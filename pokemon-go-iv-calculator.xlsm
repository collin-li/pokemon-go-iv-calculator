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1170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Pokemon'!$A$2:$CX$502</definedName>
    <definedName name="_xlnm._FilterDatabase" localSheetId="2" hidden="1">'Perfect IV CPs'!$A$2:$AM$253</definedName>
    <definedName name="_xlnm._FilterDatabase" localSheetId="3" hidden="1">'Pokemon Data'!$A$1:$O$252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7" l="1"/>
  <c r="B1" i="7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L250" i="7"/>
  <c r="M250" i="7"/>
  <c r="N250" i="7"/>
  <c r="O250" i="7"/>
  <c r="P250" i="7"/>
  <c r="Q250" i="7"/>
  <c r="U250" i="7"/>
  <c r="L375" i="7"/>
  <c r="M375" i="7"/>
  <c r="N375" i="7"/>
  <c r="O375" i="7"/>
  <c r="P375" i="7"/>
  <c r="Q375" i="7"/>
  <c r="U375" i="7"/>
  <c r="L388" i="7"/>
  <c r="M388" i="7"/>
  <c r="N388" i="7"/>
  <c r="O388" i="7"/>
  <c r="P388" i="7"/>
  <c r="L370" i="7"/>
  <c r="M370" i="7"/>
  <c r="N370" i="7"/>
  <c r="O370" i="7"/>
  <c r="P370" i="7"/>
  <c r="Q370" i="7"/>
  <c r="U370" i="7"/>
  <c r="L380" i="7"/>
  <c r="M380" i="7"/>
  <c r="N380" i="7"/>
  <c r="O380" i="7"/>
  <c r="P380" i="7"/>
  <c r="L92" i="7"/>
  <c r="M92" i="7"/>
  <c r="N92" i="7"/>
  <c r="O92" i="7"/>
  <c r="P92" i="7"/>
  <c r="L246" i="7"/>
  <c r="M246" i="7"/>
  <c r="N246" i="7"/>
  <c r="O246" i="7"/>
  <c r="P246" i="7"/>
  <c r="Q246" i="7"/>
  <c r="U246" i="7"/>
  <c r="L383" i="7"/>
  <c r="M383" i="7"/>
  <c r="N383" i="7"/>
  <c r="O383" i="7"/>
  <c r="P383" i="7"/>
  <c r="Q383" i="7"/>
  <c r="U383" i="7"/>
  <c r="L365" i="7"/>
  <c r="M365" i="7"/>
  <c r="N365" i="7"/>
  <c r="O365" i="7"/>
  <c r="P365" i="7"/>
  <c r="Q365" i="7"/>
  <c r="U365" i="7"/>
  <c r="L199" i="7"/>
  <c r="M199" i="7"/>
  <c r="N199" i="7"/>
  <c r="O199" i="7"/>
  <c r="P199" i="7"/>
  <c r="Q199" i="7"/>
  <c r="U199" i="7"/>
  <c r="L29" i="7"/>
  <c r="M29" i="7"/>
  <c r="N29" i="7"/>
  <c r="O29" i="7"/>
  <c r="P29" i="7"/>
  <c r="L296" i="7"/>
  <c r="M296" i="7"/>
  <c r="N296" i="7"/>
  <c r="O296" i="7"/>
  <c r="P296" i="7"/>
  <c r="AH296" i="7"/>
  <c r="L256" i="7"/>
  <c r="M256" i="7"/>
  <c r="N256" i="7"/>
  <c r="O256" i="7"/>
  <c r="P256" i="7"/>
  <c r="L371" i="7"/>
  <c r="M371" i="7"/>
  <c r="N371" i="7"/>
  <c r="O371" i="7"/>
  <c r="P371" i="7"/>
  <c r="L213" i="7"/>
  <c r="M213" i="7"/>
  <c r="N213" i="7"/>
  <c r="O213" i="7"/>
  <c r="P213" i="7"/>
  <c r="Q213" i="7"/>
  <c r="U213" i="7"/>
  <c r="L395" i="7"/>
  <c r="M395" i="7"/>
  <c r="N395" i="7"/>
  <c r="O395" i="7"/>
  <c r="P395" i="7"/>
  <c r="L376" i="7"/>
  <c r="M376" i="7"/>
  <c r="N376" i="7"/>
  <c r="O376" i="7"/>
  <c r="P376" i="7"/>
  <c r="Q376" i="7"/>
  <c r="U376" i="7"/>
  <c r="L231" i="7"/>
  <c r="M231" i="7"/>
  <c r="N231" i="7"/>
  <c r="O231" i="7"/>
  <c r="P231" i="7"/>
  <c r="Q231" i="7"/>
  <c r="U231" i="7"/>
  <c r="L27" i="7"/>
  <c r="M27" i="7"/>
  <c r="N27" i="7"/>
  <c r="O27" i="7"/>
  <c r="P27" i="7"/>
  <c r="L229" i="7"/>
  <c r="M229" i="7"/>
  <c r="N229" i="7"/>
  <c r="O229" i="7"/>
  <c r="P229" i="7"/>
  <c r="Q229" i="7"/>
  <c r="L235" i="7"/>
  <c r="M235" i="7"/>
  <c r="N235" i="7"/>
  <c r="O235" i="7"/>
  <c r="P235" i="7"/>
  <c r="L384" i="7"/>
  <c r="M384" i="7"/>
  <c r="N384" i="7"/>
  <c r="O384" i="7"/>
  <c r="P384" i="7"/>
  <c r="AH384" i="7"/>
  <c r="L241" i="7"/>
  <c r="M241" i="7"/>
  <c r="N241" i="7"/>
  <c r="O241" i="7"/>
  <c r="P241" i="7"/>
  <c r="AH241" i="7"/>
  <c r="L209" i="7"/>
  <c r="M209" i="7"/>
  <c r="N209" i="7"/>
  <c r="O209" i="7"/>
  <c r="P209" i="7"/>
  <c r="AH209" i="7"/>
  <c r="L369" i="7"/>
  <c r="M369" i="7"/>
  <c r="N369" i="7"/>
  <c r="O369" i="7"/>
  <c r="P369" i="7"/>
  <c r="AH369" i="7"/>
  <c r="L368" i="7"/>
  <c r="M368" i="7"/>
  <c r="N368" i="7"/>
  <c r="O368" i="7"/>
  <c r="P368" i="7"/>
  <c r="Q368" i="7"/>
  <c r="U368" i="7"/>
  <c r="L372" i="7"/>
  <c r="M372" i="7"/>
  <c r="N372" i="7"/>
  <c r="O372" i="7"/>
  <c r="P372" i="7"/>
  <c r="L260" i="7"/>
  <c r="M260" i="7"/>
  <c r="N260" i="7"/>
  <c r="O260" i="7"/>
  <c r="P260" i="7"/>
  <c r="L193" i="7"/>
  <c r="M193" i="7"/>
  <c r="N193" i="7"/>
  <c r="O193" i="7"/>
  <c r="P193" i="7"/>
  <c r="L208" i="7"/>
  <c r="M208" i="7"/>
  <c r="N208" i="7"/>
  <c r="O208" i="7"/>
  <c r="P208" i="7"/>
  <c r="Q208" i="7"/>
  <c r="U208" i="7"/>
  <c r="L354" i="7"/>
  <c r="M354" i="7"/>
  <c r="N354" i="7"/>
  <c r="O354" i="7"/>
  <c r="P354" i="7"/>
  <c r="L374" i="7"/>
  <c r="M374" i="7"/>
  <c r="N374" i="7"/>
  <c r="O374" i="7"/>
  <c r="P374" i="7"/>
  <c r="AH374" i="7"/>
  <c r="L43" i="7"/>
  <c r="M43" i="7"/>
  <c r="N43" i="7"/>
  <c r="O43" i="7"/>
  <c r="P43" i="7"/>
  <c r="AH43" i="7"/>
  <c r="AI43" i="7"/>
  <c r="AM43" i="7"/>
  <c r="L309" i="7"/>
  <c r="M309" i="7"/>
  <c r="N309" i="7"/>
  <c r="O309" i="7"/>
  <c r="P309" i="7"/>
  <c r="Q309" i="7"/>
  <c r="U309" i="7"/>
  <c r="L236" i="7"/>
  <c r="M236" i="7"/>
  <c r="N236" i="7"/>
  <c r="O236" i="7"/>
  <c r="P236" i="7"/>
  <c r="L295" i="7"/>
  <c r="M295" i="7"/>
  <c r="N295" i="7"/>
  <c r="O295" i="7"/>
  <c r="P295" i="7"/>
  <c r="AH295" i="7"/>
  <c r="L232" i="7"/>
  <c r="M232" i="7"/>
  <c r="N232" i="7"/>
  <c r="O232" i="7"/>
  <c r="P232" i="7"/>
  <c r="L75" i="7"/>
  <c r="M75" i="7"/>
  <c r="N75" i="7"/>
  <c r="O75" i="7"/>
  <c r="P75" i="7"/>
  <c r="AH75" i="7"/>
  <c r="L205" i="7"/>
  <c r="M205" i="7"/>
  <c r="N205" i="7"/>
  <c r="O205" i="7"/>
  <c r="P205" i="7"/>
  <c r="AH205" i="7"/>
  <c r="L385" i="7"/>
  <c r="M385" i="7"/>
  <c r="N385" i="7"/>
  <c r="O385" i="7"/>
  <c r="P385" i="7"/>
  <c r="Q385" i="7"/>
  <c r="U385" i="7"/>
  <c r="L340" i="7"/>
  <c r="M340" i="7"/>
  <c r="N340" i="7"/>
  <c r="O340" i="7"/>
  <c r="P340" i="7"/>
  <c r="Q340" i="7"/>
  <c r="U340" i="7"/>
  <c r="L227" i="7"/>
  <c r="M227" i="7"/>
  <c r="N227" i="7"/>
  <c r="O227" i="7"/>
  <c r="P227" i="7"/>
  <c r="AH227" i="7"/>
  <c r="AI227" i="7"/>
  <c r="AM227" i="7"/>
  <c r="L364" i="7"/>
  <c r="M364" i="7"/>
  <c r="N364" i="7"/>
  <c r="O364" i="7"/>
  <c r="P364" i="7"/>
  <c r="Q364" i="7"/>
  <c r="R364" i="7"/>
  <c r="L392" i="7"/>
  <c r="M392" i="7"/>
  <c r="N392" i="7"/>
  <c r="O392" i="7"/>
  <c r="P392" i="7"/>
  <c r="Q392" i="7"/>
  <c r="U392" i="7"/>
  <c r="L397" i="7"/>
  <c r="M397" i="7"/>
  <c r="N397" i="7"/>
  <c r="O397" i="7"/>
  <c r="P397" i="7"/>
  <c r="Q397" i="7"/>
  <c r="S397" i="7"/>
  <c r="L274" i="7"/>
  <c r="M274" i="7"/>
  <c r="N274" i="7"/>
  <c r="O274" i="7"/>
  <c r="P274" i="7"/>
  <c r="Q274" i="7"/>
  <c r="U274" i="7"/>
  <c r="L399" i="7"/>
  <c r="M399" i="7"/>
  <c r="N399" i="7"/>
  <c r="O399" i="7"/>
  <c r="P399" i="7"/>
  <c r="Q399" i="7"/>
  <c r="U399" i="7"/>
  <c r="L400" i="7"/>
  <c r="M400" i="7"/>
  <c r="N400" i="7"/>
  <c r="O400" i="7"/>
  <c r="P400" i="7"/>
  <c r="AH400" i="7"/>
  <c r="AI400" i="7"/>
  <c r="AM400" i="7"/>
  <c r="L401" i="7"/>
  <c r="M401" i="7"/>
  <c r="N401" i="7"/>
  <c r="O401" i="7"/>
  <c r="P401" i="7"/>
  <c r="Q401" i="7"/>
  <c r="U401" i="7"/>
  <c r="L402" i="7"/>
  <c r="M402" i="7"/>
  <c r="N402" i="7"/>
  <c r="O402" i="7"/>
  <c r="P402" i="7"/>
  <c r="S402" i="7"/>
  <c r="L403" i="7"/>
  <c r="M403" i="7"/>
  <c r="N403" i="7"/>
  <c r="O403" i="7"/>
  <c r="P403" i="7"/>
  <c r="Q403" i="7"/>
  <c r="U403" i="7"/>
  <c r="L404" i="7"/>
  <c r="M404" i="7"/>
  <c r="N404" i="7"/>
  <c r="O404" i="7"/>
  <c r="P404" i="7"/>
  <c r="Q404" i="7"/>
  <c r="U404" i="7"/>
  <c r="L405" i="7"/>
  <c r="M405" i="7"/>
  <c r="N405" i="7"/>
  <c r="O405" i="7"/>
  <c r="P405" i="7"/>
  <c r="S405" i="7"/>
  <c r="L406" i="7"/>
  <c r="M406" i="7"/>
  <c r="N406" i="7"/>
  <c r="O406" i="7"/>
  <c r="P406" i="7"/>
  <c r="Q406" i="7"/>
  <c r="U406" i="7"/>
  <c r="L407" i="7"/>
  <c r="M407" i="7"/>
  <c r="N407" i="7"/>
  <c r="O407" i="7"/>
  <c r="P407" i="7"/>
  <c r="Q407" i="7"/>
  <c r="U407" i="7"/>
  <c r="L408" i="7"/>
  <c r="M408" i="7"/>
  <c r="N408" i="7"/>
  <c r="O408" i="7"/>
  <c r="P408" i="7"/>
  <c r="AH408" i="7"/>
  <c r="AI408" i="7"/>
  <c r="AM408" i="7"/>
  <c r="L409" i="7"/>
  <c r="M409" i="7"/>
  <c r="N409" i="7"/>
  <c r="O409" i="7"/>
  <c r="P409" i="7"/>
  <c r="Q409" i="7"/>
  <c r="U409" i="7"/>
  <c r="L410" i="7"/>
  <c r="M410" i="7"/>
  <c r="N410" i="7"/>
  <c r="O410" i="7"/>
  <c r="P410" i="7"/>
  <c r="Q410" i="7"/>
  <c r="U410" i="7"/>
  <c r="L411" i="7"/>
  <c r="M411" i="7"/>
  <c r="N411" i="7"/>
  <c r="O411" i="7"/>
  <c r="P411" i="7"/>
  <c r="S411" i="7"/>
  <c r="L412" i="7"/>
  <c r="M412" i="7"/>
  <c r="N412" i="7"/>
  <c r="O412" i="7"/>
  <c r="P412" i="7"/>
  <c r="Q412" i="7"/>
  <c r="U412" i="7"/>
  <c r="L413" i="7"/>
  <c r="M413" i="7"/>
  <c r="N413" i="7"/>
  <c r="O413" i="7"/>
  <c r="P413" i="7"/>
  <c r="R413" i="7"/>
  <c r="L414" i="7"/>
  <c r="M414" i="7"/>
  <c r="N414" i="7"/>
  <c r="O414" i="7"/>
  <c r="P414" i="7"/>
  <c r="Q414" i="7"/>
  <c r="U414" i="7"/>
  <c r="L415" i="7"/>
  <c r="M415" i="7"/>
  <c r="N415" i="7"/>
  <c r="O415" i="7"/>
  <c r="P415" i="7"/>
  <c r="Q415" i="7"/>
  <c r="U415" i="7"/>
  <c r="L416" i="7"/>
  <c r="M416" i="7"/>
  <c r="N416" i="7"/>
  <c r="O416" i="7"/>
  <c r="P416" i="7"/>
  <c r="AH416" i="7"/>
  <c r="AI416" i="7"/>
  <c r="AM416" i="7"/>
  <c r="L417" i="7"/>
  <c r="M417" i="7"/>
  <c r="N417" i="7"/>
  <c r="O417" i="7"/>
  <c r="P417" i="7"/>
  <c r="Q417" i="7"/>
  <c r="U417" i="7"/>
  <c r="L418" i="7"/>
  <c r="M418" i="7"/>
  <c r="N418" i="7"/>
  <c r="O418" i="7"/>
  <c r="P418" i="7"/>
  <c r="Q418" i="7"/>
  <c r="U418" i="7"/>
  <c r="L419" i="7"/>
  <c r="M419" i="7"/>
  <c r="N419" i="7"/>
  <c r="O419" i="7"/>
  <c r="P419" i="7"/>
  <c r="S419" i="7"/>
  <c r="L420" i="7"/>
  <c r="M420" i="7"/>
  <c r="N420" i="7"/>
  <c r="O420" i="7"/>
  <c r="P420" i="7"/>
  <c r="Q420" i="7"/>
  <c r="U420" i="7"/>
  <c r="L421" i="7"/>
  <c r="M421" i="7"/>
  <c r="N421" i="7"/>
  <c r="O421" i="7"/>
  <c r="P421" i="7"/>
  <c r="Q421" i="7"/>
  <c r="U421" i="7"/>
  <c r="L422" i="7"/>
  <c r="M422" i="7"/>
  <c r="N422" i="7"/>
  <c r="O422" i="7"/>
  <c r="P422" i="7"/>
  <c r="Q422" i="7"/>
  <c r="U422" i="7"/>
  <c r="L423" i="7"/>
  <c r="M423" i="7"/>
  <c r="N423" i="7"/>
  <c r="O423" i="7"/>
  <c r="P423" i="7"/>
  <c r="Q423" i="7"/>
  <c r="U423" i="7"/>
  <c r="L424" i="7"/>
  <c r="M424" i="7"/>
  <c r="N424" i="7"/>
  <c r="O424" i="7"/>
  <c r="P424" i="7"/>
  <c r="AH424" i="7"/>
  <c r="AI424" i="7"/>
  <c r="AM424" i="7"/>
  <c r="L425" i="7"/>
  <c r="M425" i="7"/>
  <c r="N425" i="7"/>
  <c r="O425" i="7"/>
  <c r="P425" i="7"/>
  <c r="Q425" i="7"/>
  <c r="U425" i="7"/>
  <c r="L426" i="7"/>
  <c r="M426" i="7"/>
  <c r="N426" i="7"/>
  <c r="O426" i="7"/>
  <c r="P426" i="7"/>
  <c r="AH426" i="7"/>
  <c r="AI426" i="7"/>
  <c r="AM426" i="7"/>
  <c r="L427" i="7"/>
  <c r="M427" i="7"/>
  <c r="N427" i="7"/>
  <c r="O427" i="7"/>
  <c r="P427" i="7"/>
  <c r="R427" i="7"/>
  <c r="L428" i="7"/>
  <c r="M428" i="7"/>
  <c r="N428" i="7"/>
  <c r="O428" i="7"/>
  <c r="P428" i="7"/>
  <c r="Q428" i="7"/>
  <c r="U428" i="7"/>
  <c r="L429" i="7"/>
  <c r="M429" i="7"/>
  <c r="N429" i="7"/>
  <c r="O429" i="7"/>
  <c r="P429" i="7"/>
  <c r="R429" i="7"/>
  <c r="L430" i="7"/>
  <c r="M430" i="7"/>
  <c r="N430" i="7"/>
  <c r="O430" i="7"/>
  <c r="P430" i="7"/>
  <c r="R430" i="7"/>
  <c r="L431" i="7"/>
  <c r="M431" i="7"/>
  <c r="N431" i="7"/>
  <c r="O431" i="7"/>
  <c r="P431" i="7"/>
  <c r="L432" i="7"/>
  <c r="M432" i="7"/>
  <c r="N432" i="7"/>
  <c r="O432" i="7"/>
  <c r="P432" i="7"/>
  <c r="R432" i="7"/>
  <c r="L433" i="7"/>
  <c r="M433" i="7"/>
  <c r="N433" i="7"/>
  <c r="O433" i="7"/>
  <c r="P433" i="7"/>
  <c r="Q433" i="7"/>
  <c r="U433" i="7"/>
  <c r="L434" i="7"/>
  <c r="M434" i="7"/>
  <c r="N434" i="7"/>
  <c r="O434" i="7"/>
  <c r="P434" i="7"/>
  <c r="Q434" i="7"/>
  <c r="U434" i="7"/>
  <c r="L435" i="7"/>
  <c r="M435" i="7"/>
  <c r="N435" i="7"/>
  <c r="O435" i="7"/>
  <c r="P435" i="7"/>
  <c r="Q435" i="7"/>
  <c r="U435" i="7"/>
  <c r="L436" i="7"/>
  <c r="M436" i="7"/>
  <c r="N436" i="7"/>
  <c r="O436" i="7"/>
  <c r="P436" i="7"/>
  <c r="Q436" i="7"/>
  <c r="U436" i="7"/>
  <c r="L437" i="7"/>
  <c r="M437" i="7"/>
  <c r="N437" i="7"/>
  <c r="O437" i="7"/>
  <c r="P437" i="7"/>
  <c r="L438" i="7"/>
  <c r="M438" i="7"/>
  <c r="N438" i="7"/>
  <c r="O438" i="7"/>
  <c r="P438" i="7"/>
  <c r="L439" i="7"/>
  <c r="M439" i="7"/>
  <c r="N439" i="7"/>
  <c r="O439" i="7"/>
  <c r="P439" i="7"/>
  <c r="Q439" i="7"/>
  <c r="U439" i="7"/>
  <c r="L440" i="7"/>
  <c r="M440" i="7"/>
  <c r="N440" i="7"/>
  <c r="O440" i="7"/>
  <c r="P440" i="7"/>
  <c r="R440" i="7"/>
  <c r="L441" i="7"/>
  <c r="M441" i="7"/>
  <c r="N441" i="7"/>
  <c r="O441" i="7"/>
  <c r="P441" i="7"/>
  <c r="Q441" i="7"/>
  <c r="U441" i="7"/>
  <c r="L442" i="7"/>
  <c r="M442" i="7"/>
  <c r="N442" i="7"/>
  <c r="O442" i="7"/>
  <c r="P442" i="7"/>
  <c r="Q442" i="7"/>
  <c r="U442" i="7"/>
  <c r="L443" i="7"/>
  <c r="M443" i="7"/>
  <c r="N443" i="7"/>
  <c r="O443" i="7"/>
  <c r="P443" i="7"/>
  <c r="Q443" i="7"/>
  <c r="U443" i="7"/>
  <c r="L444" i="7"/>
  <c r="M444" i="7"/>
  <c r="N444" i="7"/>
  <c r="O444" i="7"/>
  <c r="P444" i="7"/>
  <c r="Q444" i="7"/>
  <c r="U444" i="7"/>
  <c r="L445" i="7"/>
  <c r="M445" i="7"/>
  <c r="N445" i="7"/>
  <c r="O445" i="7"/>
  <c r="P445" i="7"/>
  <c r="L446" i="7"/>
  <c r="M446" i="7"/>
  <c r="N446" i="7"/>
  <c r="O446" i="7"/>
  <c r="P446" i="7"/>
  <c r="L447" i="7"/>
  <c r="M447" i="7"/>
  <c r="N447" i="7"/>
  <c r="O447" i="7"/>
  <c r="P447" i="7"/>
  <c r="Q447" i="7"/>
  <c r="U447" i="7"/>
  <c r="L448" i="7"/>
  <c r="M448" i="7"/>
  <c r="N448" i="7"/>
  <c r="O448" i="7"/>
  <c r="P448" i="7"/>
  <c r="R448" i="7"/>
  <c r="L449" i="7"/>
  <c r="M449" i="7"/>
  <c r="N449" i="7"/>
  <c r="O449" i="7"/>
  <c r="P449" i="7"/>
  <c r="Q449" i="7"/>
  <c r="U449" i="7"/>
  <c r="L450" i="7"/>
  <c r="M450" i="7"/>
  <c r="N450" i="7"/>
  <c r="O450" i="7"/>
  <c r="P450" i="7"/>
  <c r="Q450" i="7"/>
  <c r="U450" i="7"/>
  <c r="L451" i="7"/>
  <c r="M451" i="7"/>
  <c r="N451" i="7"/>
  <c r="O451" i="7"/>
  <c r="P451" i="7"/>
  <c r="Q451" i="7"/>
  <c r="U451" i="7"/>
  <c r="L452" i="7"/>
  <c r="M452" i="7"/>
  <c r="N452" i="7"/>
  <c r="O452" i="7"/>
  <c r="P452" i="7"/>
  <c r="Q452" i="7"/>
  <c r="U452" i="7"/>
  <c r="L453" i="7"/>
  <c r="M453" i="7"/>
  <c r="N453" i="7"/>
  <c r="O453" i="7"/>
  <c r="P453" i="7"/>
  <c r="L454" i="7"/>
  <c r="M454" i="7"/>
  <c r="N454" i="7"/>
  <c r="O454" i="7"/>
  <c r="P454" i="7"/>
  <c r="L455" i="7"/>
  <c r="M455" i="7"/>
  <c r="N455" i="7"/>
  <c r="O455" i="7"/>
  <c r="P455" i="7"/>
  <c r="Q455" i="7"/>
  <c r="U455" i="7"/>
  <c r="L456" i="7"/>
  <c r="M456" i="7"/>
  <c r="N456" i="7"/>
  <c r="O456" i="7"/>
  <c r="P456" i="7"/>
  <c r="L457" i="7"/>
  <c r="M457" i="7"/>
  <c r="N457" i="7"/>
  <c r="O457" i="7"/>
  <c r="P457" i="7"/>
  <c r="Q457" i="7"/>
  <c r="U457" i="7"/>
  <c r="L458" i="7"/>
  <c r="M458" i="7"/>
  <c r="N458" i="7"/>
  <c r="O458" i="7"/>
  <c r="P458" i="7"/>
  <c r="Q458" i="7"/>
  <c r="U458" i="7"/>
  <c r="L459" i="7"/>
  <c r="M459" i="7"/>
  <c r="N459" i="7"/>
  <c r="O459" i="7"/>
  <c r="P459" i="7"/>
  <c r="R459" i="7"/>
  <c r="L460" i="7"/>
  <c r="M460" i="7"/>
  <c r="N460" i="7"/>
  <c r="O460" i="7"/>
  <c r="P460" i="7"/>
  <c r="Q460" i="7"/>
  <c r="U460" i="7"/>
  <c r="L461" i="7"/>
  <c r="M461" i="7"/>
  <c r="N461" i="7"/>
  <c r="O461" i="7"/>
  <c r="P461" i="7"/>
  <c r="R461" i="7"/>
  <c r="L462" i="7"/>
  <c r="M462" i="7"/>
  <c r="N462" i="7"/>
  <c r="O462" i="7"/>
  <c r="P462" i="7"/>
  <c r="S462" i="7"/>
  <c r="L463" i="7"/>
  <c r="M463" i="7"/>
  <c r="N463" i="7"/>
  <c r="O463" i="7"/>
  <c r="P463" i="7"/>
  <c r="L464" i="7"/>
  <c r="M464" i="7"/>
  <c r="N464" i="7"/>
  <c r="O464" i="7"/>
  <c r="P464" i="7"/>
  <c r="R464" i="7"/>
  <c r="L465" i="7"/>
  <c r="M465" i="7"/>
  <c r="N465" i="7"/>
  <c r="O465" i="7"/>
  <c r="P465" i="7"/>
  <c r="R465" i="7"/>
  <c r="L466" i="7"/>
  <c r="M466" i="7"/>
  <c r="N466" i="7"/>
  <c r="O466" i="7"/>
  <c r="P466" i="7"/>
  <c r="L467" i="7"/>
  <c r="M467" i="7"/>
  <c r="N467" i="7"/>
  <c r="O467" i="7"/>
  <c r="P467" i="7"/>
  <c r="Q467" i="7"/>
  <c r="U467" i="7"/>
  <c r="L468" i="7"/>
  <c r="M468" i="7"/>
  <c r="N468" i="7"/>
  <c r="O468" i="7"/>
  <c r="P468" i="7"/>
  <c r="Q468" i="7"/>
  <c r="U468" i="7"/>
  <c r="L469" i="7"/>
  <c r="M469" i="7"/>
  <c r="N469" i="7"/>
  <c r="O469" i="7"/>
  <c r="P469" i="7"/>
  <c r="Q469" i="7"/>
  <c r="U469" i="7"/>
  <c r="L470" i="7"/>
  <c r="M470" i="7"/>
  <c r="N470" i="7"/>
  <c r="O470" i="7"/>
  <c r="P470" i="7"/>
  <c r="Q470" i="7"/>
  <c r="U470" i="7"/>
  <c r="L471" i="7"/>
  <c r="M471" i="7"/>
  <c r="N471" i="7"/>
  <c r="O471" i="7"/>
  <c r="P471" i="7"/>
  <c r="R471" i="7"/>
  <c r="L472" i="7"/>
  <c r="M472" i="7"/>
  <c r="N472" i="7"/>
  <c r="O472" i="7"/>
  <c r="P472" i="7"/>
  <c r="Q472" i="7"/>
  <c r="U472" i="7"/>
  <c r="L473" i="7"/>
  <c r="M473" i="7"/>
  <c r="N473" i="7"/>
  <c r="O473" i="7"/>
  <c r="P473" i="7"/>
  <c r="L474" i="7"/>
  <c r="M474" i="7"/>
  <c r="N474" i="7"/>
  <c r="O474" i="7"/>
  <c r="P474" i="7"/>
  <c r="L475" i="7"/>
  <c r="M475" i="7"/>
  <c r="N475" i="7"/>
  <c r="O475" i="7"/>
  <c r="P475" i="7"/>
  <c r="Q475" i="7"/>
  <c r="U475" i="7"/>
  <c r="L476" i="7"/>
  <c r="M476" i="7"/>
  <c r="N476" i="7"/>
  <c r="O476" i="7"/>
  <c r="P476" i="7"/>
  <c r="R476" i="7"/>
  <c r="L477" i="7"/>
  <c r="M477" i="7"/>
  <c r="N477" i="7"/>
  <c r="O477" i="7"/>
  <c r="P477" i="7"/>
  <c r="R477" i="7"/>
  <c r="L478" i="7"/>
  <c r="M478" i="7"/>
  <c r="N478" i="7"/>
  <c r="O478" i="7"/>
  <c r="P478" i="7"/>
  <c r="Q478" i="7"/>
  <c r="U478" i="7"/>
  <c r="L479" i="7"/>
  <c r="M479" i="7"/>
  <c r="N479" i="7"/>
  <c r="O479" i="7"/>
  <c r="P479" i="7"/>
  <c r="Q479" i="7"/>
  <c r="U479" i="7"/>
  <c r="L480" i="7"/>
  <c r="M480" i="7"/>
  <c r="N480" i="7"/>
  <c r="O480" i="7"/>
  <c r="P480" i="7"/>
  <c r="Q480" i="7"/>
  <c r="U480" i="7"/>
  <c r="L481" i="7"/>
  <c r="M481" i="7"/>
  <c r="N481" i="7"/>
  <c r="O481" i="7"/>
  <c r="P481" i="7"/>
  <c r="L482" i="7"/>
  <c r="M482" i="7"/>
  <c r="N482" i="7"/>
  <c r="O482" i="7"/>
  <c r="P482" i="7"/>
  <c r="L483" i="7"/>
  <c r="M483" i="7"/>
  <c r="N483" i="7"/>
  <c r="O483" i="7"/>
  <c r="P483" i="7"/>
  <c r="Q483" i="7"/>
  <c r="U483" i="7"/>
  <c r="L484" i="7"/>
  <c r="M484" i="7"/>
  <c r="N484" i="7"/>
  <c r="O484" i="7"/>
  <c r="P484" i="7"/>
  <c r="R484" i="7"/>
  <c r="L485" i="7"/>
  <c r="M485" i="7"/>
  <c r="N485" i="7"/>
  <c r="O485" i="7"/>
  <c r="P485" i="7"/>
  <c r="Q485" i="7"/>
  <c r="U485" i="7"/>
  <c r="L486" i="7"/>
  <c r="M486" i="7"/>
  <c r="N486" i="7"/>
  <c r="O486" i="7"/>
  <c r="P486" i="7"/>
  <c r="Q486" i="7"/>
  <c r="U486" i="7"/>
  <c r="L487" i="7"/>
  <c r="M487" i="7"/>
  <c r="N487" i="7"/>
  <c r="O487" i="7"/>
  <c r="P487" i="7"/>
  <c r="Q487" i="7"/>
  <c r="U487" i="7"/>
  <c r="L488" i="7"/>
  <c r="M488" i="7"/>
  <c r="N488" i="7"/>
  <c r="O488" i="7"/>
  <c r="P488" i="7"/>
  <c r="Q488" i="7"/>
  <c r="U488" i="7"/>
  <c r="L489" i="7"/>
  <c r="M489" i="7"/>
  <c r="N489" i="7"/>
  <c r="O489" i="7"/>
  <c r="P489" i="7"/>
  <c r="L490" i="7"/>
  <c r="M490" i="7"/>
  <c r="N490" i="7"/>
  <c r="O490" i="7"/>
  <c r="P490" i="7"/>
  <c r="L491" i="7"/>
  <c r="M491" i="7"/>
  <c r="N491" i="7"/>
  <c r="O491" i="7"/>
  <c r="P491" i="7"/>
  <c r="Q491" i="7"/>
  <c r="U491" i="7"/>
  <c r="L492" i="7"/>
  <c r="M492" i="7"/>
  <c r="N492" i="7"/>
  <c r="O492" i="7"/>
  <c r="P492" i="7"/>
  <c r="L493" i="7"/>
  <c r="M493" i="7"/>
  <c r="N493" i="7"/>
  <c r="O493" i="7"/>
  <c r="P493" i="7"/>
  <c r="Q493" i="7"/>
  <c r="U493" i="7"/>
  <c r="L494" i="7"/>
  <c r="M494" i="7"/>
  <c r="N494" i="7"/>
  <c r="O494" i="7"/>
  <c r="P494" i="7"/>
  <c r="Q494" i="7"/>
  <c r="U494" i="7"/>
  <c r="L495" i="7"/>
  <c r="M495" i="7"/>
  <c r="N495" i="7"/>
  <c r="O495" i="7"/>
  <c r="P495" i="7"/>
  <c r="Q495" i="7"/>
  <c r="U495" i="7"/>
  <c r="L496" i="7"/>
  <c r="M496" i="7"/>
  <c r="N496" i="7"/>
  <c r="O496" i="7"/>
  <c r="P496" i="7"/>
  <c r="Q496" i="7"/>
  <c r="U496" i="7"/>
  <c r="L497" i="7"/>
  <c r="M497" i="7"/>
  <c r="N497" i="7"/>
  <c r="O497" i="7"/>
  <c r="P497" i="7"/>
  <c r="L498" i="7"/>
  <c r="M498" i="7"/>
  <c r="N498" i="7"/>
  <c r="O498" i="7"/>
  <c r="P498" i="7"/>
  <c r="L499" i="7"/>
  <c r="M499" i="7"/>
  <c r="N499" i="7"/>
  <c r="O499" i="7"/>
  <c r="P499" i="7"/>
  <c r="L500" i="7"/>
  <c r="M500" i="7"/>
  <c r="N500" i="7"/>
  <c r="O500" i="7"/>
  <c r="P500" i="7"/>
  <c r="R500" i="7"/>
  <c r="L501" i="7"/>
  <c r="M501" i="7"/>
  <c r="N501" i="7"/>
  <c r="O501" i="7"/>
  <c r="P501" i="7"/>
  <c r="Q501" i="7"/>
  <c r="U501" i="7"/>
  <c r="L502" i="7"/>
  <c r="M502" i="7"/>
  <c r="N502" i="7"/>
  <c r="O502" i="7"/>
  <c r="P502" i="7"/>
  <c r="Q502" i="7"/>
  <c r="U502" i="7"/>
  <c r="Q295" i="7"/>
  <c r="U295" i="7"/>
  <c r="AH415" i="7"/>
  <c r="AK415" i="7"/>
  <c r="AH412" i="7"/>
  <c r="AI412" i="7"/>
  <c r="AM412" i="7"/>
  <c r="AH405" i="7"/>
  <c r="AK405" i="7"/>
  <c r="R502" i="7"/>
  <c r="T502" i="7"/>
  <c r="R487" i="7"/>
  <c r="R405" i="7"/>
  <c r="T405" i="7"/>
  <c r="Q405" i="7"/>
  <c r="U405" i="7"/>
  <c r="V405" i="7"/>
  <c r="W405" i="7" a="1"/>
  <c r="R485" i="7"/>
  <c r="T485" i="7"/>
  <c r="S424" i="7"/>
  <c r="R246" i="7"/>
  <c r="AH480" i="7"/>
  <c r="AI480" i="7"/>
  <c r="AM480" i="7"/>
  <c r="Q384" i="7"/>
  <c r="U384" i="7"/>
  <c r="S480" i="7"/>
  <c r="S400" i="7"/>
  <c r="Q209" i="7"/>
  <c r="U209" i="7"/>
  <c r="Q374" i="7"/>
  <c r="U374" i="7"/>
  <c r="S472" i="7"/>
  <c r="AH460" i="7"/>
  <c r="AI460" i="7"/>
  <c r="AM460" i="7"/>
  <c r="S436" i="7"/>
  <c r="AH429" i="7"/>
  <c r="AK429" i="7"/>
  <c r="AH428" i="7"/>
  <c r="AI428" i="7"/>
  <c r="AM428" i="7"/>
  <c r="S426" i="7"/>
  <c r="AH418" i="7"/>
  <c r="AI418" i="7"/>
  <c r="AM418" i="7"/>
  <c r="S416" i="7"/>
  <c r="S415" i="7"/>
  <c r="AH413" i="7"/>
  <c r="AK413" i="7"/>
  <c r="Q402" i="7"/>
  <c r="U402" i="7"/>
  <c r="Q400" i="7"/>
  <c r="U400" i="7"/>
  <c r="AH397" i="7"/>
  <c r="AI397" i="7"/>
  <c r="AM397" i="7"/>
  <c r="AH392" i="7"/>
  <c r="AI392" i="7"/>
  <c r="AM392" i="7"/>
  <c r="R295" i="7"/>
  <c r="AH486" i="7"/>
  <c r="AK486" i="7"/>
  <c r="R468" i="7"/>
  <c r="T468" i="7"/>
  <c r="Q465" i="7"/>
  <c r="U465" i="7"/>
  <c r="AH462" i="7"/>
  <c r="AI462" i="7"/>
  <c r="AM462" i="7"/>
  <c r="S444" i="7"/>
  <c r="R441" i="7"/>
  <c r="T441" i="7"/>
  <c r="R433" i="7"/>
  <c r="S429" i="7"/>
  <c r="S423" i="7"/>
  <c r="S418" i="7"/>
  <c r="Q416" i="7"/>
  <c r="U416" i="7"/>
  <c r="Q413" i="7"/>
  <c r="U413" i="7"/>
  <c r="AH407" i="7"/>
  <c r="AK407" i="7"/>
  <c r="R397" i="7"/>
  <c r="Q75" i="7"/>
  <c r="U75" i="7"/>
  <c r="Q459" i="7"/>
  <c r="U459" i="7"/>
  <c r="R452" i="7"/>
  <c r="T452" i="7"/>
  <c r="R449" i="7"/>
  <c r="T449" i="7"/>
  <c r="R435" i="7"/>
  <c r="T435" i="7"/>
  <c r="Q429" i="7"/>
  <c r="U429" i="7"/>
  <c r="AH427" i="7"/>
  <c r="AK427" i="7"/>
  <c r="AH419" i="7"/>
  <c r="AK419" i="7"/>
  <c r="S407" i="7"/>
  <c r="U397" i="7"/>
  <c r="AH364" i="7"/>
  <c r="AI364" i="7"/>
  <c r="AM364" i="7"/>
  <c r="R374" i="7"/>
  <c r="AH421" i="7"/>
  <c r="AK421" i="7"/>
  <c r="S486" i="7"/>
  <c r="AH478" i="7"/>
  <c r="AK478" i="7"/>
  <c r="Q477" i="7"/>
  <c r="U477" i="7"/>
  <c r="R472" i="7"/>
  <c r="T472" i="7"/>
  <c r="V472" i="7"/>
  <c r="W472" i="7" a="1"/>
  <c r="R470" i="7"/>
  <c r="T470" i="7"/>
  <c r="S460" i="7"/>
  <c r="AH444" i="7"/>
  <c r="AI444" i="7"/>
  <c r="AM444" i="7"/>
  <c r="AH436" i="7"/>
  <c r="AI436" i="7"/>
  <c r="AM436" i="7"/>
  <c r="S428" i="7"/>
  <c r="Q427" i="7"/>
  <c r="U427" i="7"/>
  <c r="Q426" i="7"/>
  <c r="U426" i="7"/>
  <c r="Q424" i="7"/>
  <c r="U424" i="7"/>
  <c r="S421" i="7"/>
  <c r="AH420" i="7"/>
  <c r="AI420" i="7"/>
  <c r="AM420" i="7"/>
  <c r="R419" i="7"/>
  <c r="T419" i="7"/>
  <c r="AH411" i="7"/>
  <c r="AK411" i="7"/>
  <c r="AH410" i="7"/>
  <c r="AI410" i="7"/>
  <c r="AM410" i="7"/>
  <c r="S399" i="7"/>
  <c r="AH399" i="7"/>
  <c r="AI399" i="7"/>
  <c r="AM399" i="7"/>
  <c r="AH496" i="7"/>
  <c r="AI496" i="7"/>
  <c r="AM496" i="7"/>
  <c r="R479" i="7"/>
  <c r="T479" i="7"/>
  <c r="S478" i="7"/>
  <c r="R460" i="7"/>
  <c r="T460" i="7"/>
  <c r="R421" i="7"/>
  <c r="Q419" i="7"/>
  <c r="U419" i="7"/>
  <c r="S413" i="7"/>
  <c r="R411" i="7"/>
  <c r="T411" i="7"/>
  <c r="S410" i="7"/>
  <c r="S408" i="7"/>
  <c r="AH402" i="7"/>
  <c r="AI402" i="7"/>
  <c r="AM402" i="7"/>
  <c r="AH401" i="7"/>
  <c r="AI401" i="7"/>
  <c r="AM401" i="7"/>
  <c r="R399" i="7"/>
  <c r="S496" i="7"/>
  <c r="R493" i="7"/>
  <c r="T493" i="7"/>
  <c r="R478" i="7"/>
  <c r="T478" i="7"/>
  <c r="AH472" i="7"/>
  <c r="AI472" i="7"/>
  <c r="AM472" i="7"/>
  <c r="Q471" i="7"/>
  <c r="U471" i="7"/>
  <c r="R457" i="7"/>
  <c r="T457" i="7"/>
  <c r="AH423" i="7"/>
  <c r="AK423" i="7"/>
  <c r="Q411" i="7"/>
  <c r="U411" i="7"/>
  <c r="Q408" i="7"/>
  <c r="U408" i="7"/>
  <c r="AH404" i="7"/>
  <c r="AI404" i="7"/>
  <c r="AM404" i="7"/>
  <c r="S401" i="7"/>
  <c r="S365" i="7"/>
  <c r="AH417" i="7"/>
  <c r="AK417" i="7"/>
  <c r="AH494" i="7"/>
  <c r="AJ494" i="7"/>
  <c r="AH450" i="7"/>
  <c r="AZ450" i="7"/>
  <c r="AH442" i="7"/>
  <c r="AI442" i="7"/>
  <c r="AM442" i="7"/>
  <c r="AH434" i="7"/>
  <c r="AI434" i="7"/>
  <c r="AM434" i="7"/>
  <c r="S425" i="7"/>
  <c r="R423" i="7"/>
  <c r="AH422" i="7"/>
  <c r="AI422" i="7"/>
  <c r="AM422" i="7"/>
  <c r="S420" i="7"/>
  <c r="S417" i="7"/>
  <c r="R415" i="7"/>
  <c r="T415" i="7"/>
  <c r="AH414" i="7"/>
  <c r="AI414" i="7"/>
  <c r="AM414" i="7"/>
  <c r="S412" i="7"/>
  <c r="S409" i="7"/>
  <c r="R407" i="7"/>
  <c r="T407" i="7"/>
  <c r="AH406" i="7"/>
  <c r="AI406" i="7"/>
  <c r="AM406" i="7"/>
  <c r="S404" i="7"/>
  <c r="S403" i="7"/>
  <c r="R401" i="7"/>
  <c r="T401" i="7"/>
  <c r="V401" i="7"/>
  <c r="W401" i="7" a="1"/>
  <c r="AH274" i="7"/>
  <c r="AI274" i="7"/>
  <c r="AM274" i="7"/>
  <c r="S392" i="7"/>
  <c r="R75" i="7"/>
  <c r="T75" i="7"/>
  <c r="R209" i="7"/>
  <c r="AH231" i="7"/>
  <c r="AZ231" i="7"/>
  <c r="R376" i="7"/>
  <c r="T376" i="7"/>
  <c r="R250" i="7"/>
  <c r="AH425" i="7"/>
  <c r="AK425" i="7"/>
  <c r="AH409" i="7"/>
  <c r="AK409" i="7"/>
  <c r="AH502" i="7"/>
  <c r="AI502" i="7"/>
  <c r="AM502" i="7"/>
  <c r="R501" i="7"/>
  <c r="T501" i="7"/>
  <c r="S494" i="7"/>
  <c r="AH488" i="7"/>
  <c r="AZ488" i="7"/>
  <c r="R486" i="7"/>
  <c r="T486" i="7"/>
  <c r="V486" i="7"/>
  <c r="W486" i="7" a="1"/>
  <c r="R480" i="7"/>
  <c r="T480" i="7"/>
  <c r="V480" i="7"/>
  <c r="W480" i="7" a="1"/>
  <c r="AH470" i="7"/>
  <c r="AK470" i="7"/>
  <c r="R469" i="7"/>
  <c r="T469" i="7"/>
  <c r="AH468" i="7"/>
  <c r="AI468" i="7"/>
  <c r="AM468" i="7"/>
  <c r="R467" i="7"/>
  <c r="T467" i="7"/>
  <c r="AH458" i="7"/>
  <c r="AZ458" i="7"/>
  <c r="AH452" i="7"/>
  <c r="AI452" i="7"/>
  <c r="AM452" i="7"/>
  <c r="R451" i="7"/>
  <c r="S450" i="7"/>
  <c r="S442" i="7"/>
  <c r="R436" i="7"/>
  <c r="T436" i="7"/>
  <c r="V436" i="7"/>
  <c r="W436" i="7" a="1"/>
  <c r="S434" i="7"/>
  <c r="S427" i="7"/>
  <c r="R425" i="7"/>
  <c r="S422" i="7"/>
  <c r="R417" i="7"/>
  <c r="T417" i="7"/>
  <c r="S414" i="7"/>
  <c r="R409" i="7"/>
  <c r="S406" i="7"/>
  <c r="R403" i="7"/>
  <c r="T403" i="7"/>
  <c r="S274" i="7"/>
  <c r="S295" i="7"/>
  <c r="S374" i="7"/>
  <c r="R231" i="7"/>
  <c r="T231" i="7"/>
  <c r="AH375" i="7"/>
  <c r="AI375" i="7"/>
  <c r="AM375" i="7"/>
  <c r="AH403" i="7"/>
  <c r="AI403" i="7"/>
  <c r="AM403" i="7"/>
  <c r="S502" i="7"/>
  <c r="R495" i="7"/>
  <c r="T495" i="7"/>
  <c r="R494" i="7"/>
  <c r="T494" i="7"/>
  <c r="S488" i="7"/>
  <c r="S470" i="7"/>
  <c r="S468" i="7"/>
  <c r="S458" i="7"/>
  <c r="S452" i="7"/>
  <c r="R450" i="7"/>
  <c r="T450" i="7"/>
  <c r="R443" i="7"/>
  <c r="T443" i="7"/>
  <c r="R442" i="7"/>
  <c r="T442" i="7"/>
  <c r="R434" i="7"/>
  <c r="Q227" i="7"/>
  <c r="R227" i="7"/>
  <c r="T227" i="7"/>
  <c r="AH340" i="7"/>
  <c r="AZ340" i="7"/>
  <c r="S340" i="7"/>
  <c r="R340" i="7"/>
  <c r="AH385" i="7"/>
  <c r="AI385" i="7"/>
  <c r="AM385" i="7"/>
  <c r="S385" i="7"/>
  <c r="Q205" i="7"/>
  <c r="T205" i="7"/>
  <c r="S75" i="7"/>
  <c r="S309" i="7"/>
  <c r="R309" i="7"/>
  <c r="T309" i="7"/>
  <c r="AH309" i="7"/>
  <c r="AI309" i="7"/>
  <c r="R208" i="7"/>
  <c r="S208" i="7"/>
  <c r="AH208" i="7"/>
  <c r="AI208" i="7"/>
  <c r="AH260" i="7"/>
  <c r="AI260" i="7"/>
  <c r="AM260" i="7"/>
  <c r="Q260" i="7"/>
  <c r="S368" i="7"/>
  <c r="R368" i="7"/>
  <c r="T368" i="7"/>
  <c r="AH368" i="7"/>
  <c r="AI368" i="7"/>
  <c r="AM368" i="7"/>
  <c r="S209" i="7"/>
  <c r="S384" i="7"/>
  <c r="U229" i="7"/>
  <c r="S229" i="7"/>
  <c r="R229" i="7"/>
  <c r="AH229" i="7"/>
  <c r="S231" i="7"/>
  <c r="AH199" i="7"/>
  <c r="AI199" i="7"/>
  <c r="AM199" i="7"/>
  <c r="S199" i="7"/>
  <c r="R199" i="7"/>
  <c r="T199" i="7"/>
  <c r="R365" i="7"/>
  <c r="T365" i="7"/>
  <c r="AH365" i="7"/>
  <c r="AZ365" i="7"/>
  <c r="U364" i="7"/>
  <c r="R383" i="7"/>
  <c r="T383" i="7"/>
  <c r="AH246" i="7"/>
  <c r="AZ246" i="7"/>
  <c r="BA246" i="7"/>
  <c r="BE246" i="7"/>
  <c r="S246" i="7"/>
  <c r="AH370" i="7"/>
  <c r="AZ370" i="7"/>
  <c r="S370" i="7"/>
  <c r="Q388" i="7"/>
  <c r="U388" i="7"/>
  <c r="AH388" i="7"/>
  <c r="S375" i="7"/>
  <c r="AH250" i="7"/>
  <c r="AI250" i="7"/>
  <c r="AM250" i="7"/>
  <c r="S250" i="7"/>
  <c r="T459" i="7"/>
  <c r="T487" i="7"/>
  <c r="T451" i="7"/>
  <c r="T471" i="7"/>
  <c r="T430" i="7"/>
  <c r="T500" i="7"/>
  <c r="T440" i="7"/>
  <c r="T461" i="7"/>
  <c r="T484" i="7"/>
  <c r="T476" i="7"/>
  <c r="Q492" i="7"/>
  <c r="U492" i="7"/>
  <c r="S492" i="7"/>
  <c r="AH492" i="7"/>
  <c r="S481" i="7"/>
  <c r="AH481" i="7"/>
  <c r="Q481" i="7"/>
  <c r="U481" i="7"/>
  <c r="R481" i="7"/>
  <c r="T481" i="7"/>
  <c r="S473" i="7"/>
  <c r="AH473" i="7"/>
  <c r="Q473" i="7"/>
  <c r="U473" i="7"/>
  <c r="R473" i="7"/>
  <c r="T473" i="7"/>
  <c r="Q446" i="7"/>
  <c r="U446" i="7"/>
  <c r="R446" i="7"/>
  <c r="T446" i="7"/>
  <c r="S446" i="7"/>
  <c r="AH446" i="7"/>
  <c r="S437" i="7"/>
  <c r="AH437" i="7"/>
  <c r="Q437" i="7"/>
  <c r="U437" i="7"/>
  <c r="R437" i="7"/>
  <c r="T437" i="7"/>
  <c r="Q498" i="7"/>
  <c r="U498" i="7"/>
  <c r="R498" i="7"/>
  <c r="T498" i="7"/>
  <c r="S498" i="7"/>
  <c r="AH498" i="7"/>
  <c r="S489" i="7"/>
  <c r="AH489" i="7"/>
  <c r="Q489" i="7"/>
  <c r="U489" i="7"/>
  <c r="R489" i="7"/>
  <c r="T489" i="7"/>
  <c r="S483" i="7"/>
  <c r="AH483" i="7"/>
  <c r="R483" i="7"/>
  <c r="T483" i="7"/>
  <c r="S475" i="7"/>
  <c r="AH475" i="7"/>
  <c r="R475" i="7"/>
  <c r="Q466" i="7"/>
  <c r="U466" i="7"/>
  <c r="R466" i="7"/>
  <c r="T466" i="7"/>
  <c r="S466" i="7"/>
  <c r="AH466" i="7"/>
  <c r="Q456" i="7"/>
  <c r="U456" i="7"/>
  <c r="S456" i="7"/>
  <c r="AH456" i="7"/>
  <c r="R456" i="7"/>
  <c r="T456" i="7"/>
  <c r="Q500" i="7"/>
  <c r="U500" i="7"/>
  <c r="S500" i="7"/>
  <c r="AH500" i="7"/>
  <c r="AJ496" i="7"/>
  <c r="AL496" i="7"/>
  <c r="AK496" i="7"/>
  <c r="S491" i="7"/>
  <c r="AH491" i="7"/>
  <c r="R491" i="7"/>
  <c r="T491" i="7"/>
  <c r="Q482" i="7"/>
  <c r="U482" i="7"/>
  <c r="R482" i="7"/>
  <c r="S482" i="7"/>
  <c r="AH482" i="7"/>
  <c r="Q474" i="7"/>
  <c r="U474" i="7"/>
  <c r="R474" i="7"/>
  <c r="S474" i="7"/>
  <c r="AH474" i="7"/>
  <c r="AI470" i="7"/>
  <c r="AM470" i="7"/>
  <c r="Q454" i="7"/>
  <c r="U454" i="7"/>
  <c r="R454" i="7"/>
  <c r="S454" i="7"/>
  <c r="AH454" i="7"/>
  <c r="T208" i="7"/>
  <c r="S499" i="7"/>
  <c r="AH499" i="7"/>
  <c r="R499" i="7"/>
  <c r="AJ488" i="7"/>
  <c r="AL488" i="7"/>
  <c r="AK488" i="7"/>
  <c r="AK458" i="7"/>
  <c r="Q499" i="7"/>
  <c r="U499" i="7"/>
  <c r="S497" i="7"/>
  <c r="AH497" i="7"/>
  <c r="Q497" i="7"/>
  <c r="U497" i="7"/>
  <c r="R497" i="7"/>
  <c r="T497" i="7"/>
  <c r="R492" i="7"/>
  <c r="T492" i="7"/>
  <c r="Q490" i="7"/>
  <c r="U490" i="7"/>
  <c r="R490" i="7"/>
  <c r="T490" i="7"/>
  <c r="S490" i="7"/>
  <c r="AH490" i="7"/>
  <c r="AI488" i="7"/>
  <c r="AM488" i="7"/>
  <c r="Q484" i="7"/>
  <c r="U484" i="7"/>
  <c r="S484" i="7"/>
  <c r="AH484" i="7"/>
  <c r="AJ480" i="7"/>
  <c r="AL480" i="7"/>
  <c r="AK480" i="7"/>
  <c r="T477" i="7"/>
  <c r="Q476" i="7"/>
  <c r="U476" i="7"/>
  <c r="S476" i="7"/>
  <c r="AH476" i="7"/>
  <c r="AK472" i="7"/>
  <c r="AZ472" i="7"/>
  <c r="T464" i="7"/>
  <c r="S463" i="7"/>
  <c r="AH463" i="7"/>
  <c r="R463" i="7"/>
  <c r="T463" i="7"/>
  <c r="Q463" i="7"/>
  <c r="U463" i="7"/>
  <c r="T465" i="7"/>
  <c r="T374" i="7"/>
  <c r="T250" i="7"/>
  <c r="S501" i="7"/>
  <c r="AH501" i="7"/>
  <c r="R496" i="7"/>
  <c r="S493" i="7"/>
  <c r="AH493" i="7"/>
  <c r="R488" i="7"/>
  <c r="T488" i="7"/>
  <c r="S485" i="7"/>
  <c r="AH485" i="7"/>
  <c r="S477" i="7"/>
  <c r="AH477" i="7"/>
  <c r="S469" i="7"/>
  <c r="AH469" i="7"/>
  <c r="Q462" i="7"/>
  <c r="U462" i="7"/>
  <c r="R462" i="7"/>
  <c r="T462" i="7"/>
  <c r="R458" i="7"/>
  <c r="T458" i="7"/>
  <c r="S457" i="7"/>
  <c r="AH457" i="7"/>
  <c r="S453" i="7"/>
  <c r="AH453" i="7"/>
  <c r="Q453" i="7"/>
  <c r="U453" i="7"/>
  <c r="R453" i="7"/>
  <c r="T453" i="7"/>
  <c r="S445" i="7"/>
  <c r="AH445" i="7"/>
  <c r="Q445" i="7"/>
  <c r="U445" i="7"/>
  <c r="R445" i="7"/>
  <c r="T445" i="7"/>
  <c r="AJ442" i="7"/>
  <c r="Q438" i="7"/>
  <c r="U438" i="7"/>
  <c r="R438" i="7"/>
  <c r="S438" i="7"/>
  <c r="AH438" i="7"/>
  <c r="T434" i="7"/>
  <c r="S431" i="7"/>
  <c r="AH431" i="7"/>
  <c r="Q431" i="7"/>
  <c r="U431" i="7"/>
  <c r="R431" i="7"/>
  <c r="AJ368" i="7"/>
  <c r="AZ369" i="7"/>
  <c r="AI369" i="7"/>
  <c r="AM369" i="7"/>
  <c r="Q464" i="7"/>
  <c r="U464" i="7"/>
  <c r="S464" i="7"/>
  <c r="AH464" i="7"/>
  <c r="S461" i="7"/>
  <c r="AH461" i="7"/>
  <c r="Q461" i="7"/>
  <c r="U461" i="7"/>
  <c r="AK452" i="7"/>
  <c r="AZ452" i="7"/>
  <c r="Q448" i="7"/>
  <c r="U448" i="7"/>
  <c r="S448" i="7"/>
  <c r="AH448" i="7"/>
  <c r="S439" i="7"/>
  <c r="AH439" i="7"/>
  <c r="R439" i="7"/>
  <c r="T439" i="7"/>
  <c r="T433" i="7"/>
  <c r="Q432" i="7"/>
  <c r="U432" i="7"/>
  <c r="S432" i="7"/>
  <c r="AH432" i="7"/>
  <c r="S495" i="7"/>
  <c r="AH495" i="7"/>
  <c r="S487" i="7"/>
  <c r="AH487" i="7"/>
  <c r="S479" i="7"/>
  <c r="AH479" i="7"/>
  <c r="S471" i="7"/>
  <c r="AH471" i="7"/>
  <c r="S465" i="7"/>
  <c r="AH465" i="7"/>
  <c r="S455" i="7"/>
  <c r="AH455" i="7"/>
  <c r="R455" i="7"/>
  <c r="T448" i="7"/>
  <c r="S447" i="7"/>
  <c r="AH447" i="7"/>
  <c r="R447" i="7"/>
  <c r="T447" i="7"/>
  <c r="Q440" i="7"/>
  <c r="U440" i="7"/>
  <c r="S440" i="7"/>
  <c r="AH440" i="7"/>
  <c r="AJ436" i="7"/>
  <c r="AL436" i="7"/>
  <c r="AK436" i="7"/>
  <c r="AI384" i="7"/>
  <c r="AM384" i="7"/>
  <c r="AZ384" i="7"/>
  <c r="S449" i="7"/>
  <c r="AH449" i="7"/>
  <c r="R444" i="7"/>
  <c r="S441" i="7"/>
  <c r="AH441" i="7"/>
  <c r="Q430" i="7"/>
  <c r="U430" i="7"/>
  <c r="S430" i="7"/>
  <c r="AH430" i="7"/>
  <c r="AI429" i="7"/>
  <c r="AM429" i="7"/>
  <c r="AJ425" i="7"/>
  <c r="AI421" i="7"/>
  <c r="AM421" i="7"/>
  <c r="AJ421" i="7"/>
  <c r="AJ419" i="7"/>
  <c r="AI415" i="7"/>
  <c r="AM415" i="7"/>
  <c r="AJ415" i="7"/>
  <c r="AL415" i="7"/>
  <c r="AZ415" i="7"/>
  <c r="AI413" i="7"/>
  <c r="AM413" i="7"/>
  <c r="AI411" i="7"/>
  <c r="AM411" i="7"/>
  <c r="AJ411" i="7"/>
  <c r="AJ409" i="7"/>
  <c r="AZ409" i="7"/>
  <c r="S467" i="7"/>
  <c r="AH467" i="7"/>
  <c r="S459" i="7"/>
  <c r="AH459" i="7"/>
  <c r="S451" i="7"/>
  <c r="AH451" i="7"/>
  <c r="S443" i="7"/>
  <c r="AH443" i="7"/>
  <c r="S435" i="7"/>
  <c r="AH435" i="7"/>
  <c r="T432" i="7"/>
  <c r="AK426" i="7"/>
  <c r="AZ426" i="7"/>
  <c r="AJ426" i="7"/>
  <c r="AK424" i="7"/>
  <c r="AZ424" i="7"/>
  <c r="AJ424" i="7"/>
  <c r="AK418" i="7"/>
  <c r="AZ418" i="7"/>
  <c r="AK416" i="7"/>
  <c r="AZ416" i="7"/>
  <c r="AJ416" i="7"/>
  <c r="Q232" i="7"/>
  <c r="U232" i="7"/>
  <c r="AH232" i="7"/>
  <c r="Q354" i="7"/>
  <c r="U354" i="7"/>
  <c r="AH354" i="7"/>
  <c r="S213" i="7"/>
  <c r="AH213" i="7"/>
  <c r="R213" i="7"/>
  <c r="T213" i="7"/>
  <c r="AJ412" i="7"/>
  <c r="AK408" i="7"/>
  <c r="AZ408" i="7"/>
  <c r="AJ408" i="7"/>
  <c r="AL408" i="7"/>
  <c r="AZ406" i="7"/>
  <c r="T399" i="7"/>
  <c r="T397" i="7"/>
  <c r="T364" i="7"/>
  <c r="T340" i="7"/>
  <c r="AI205" i="7"/>
  <c r="AM205" i="7"/>
  <c r="AI295" i="7"/>
  <c r="AM295" i="7"/>
  <c r="AZ295" i="7"/>
  <c r="AZ241" i="7"/>
  <c r="AI241" i="7"/>
  <c r="AM241" i="7"/>
  <c r="S433" i="7"/>
  <c r="AH433" i="7"/>
  <c r="T429" i="7"/>
  <c r="T427" i="7"/>
  <c r="T425" i="7"/>
  <c r="T423" i="7"/>
  <c r="T421" i="7"/>
  <c r="T413" i="7"/>
  <c r="T409" i="7"/>
  <c r="AK400" i="7"/>
  <c r="AZ400" i="7"/>
  <c r="AJ400" i="7"/>
  <c r="AL400" i="7"/>
  <c r="AZ397" i="7"/>
  <c r="AK392" i="7"/>
  <c r="AK227" i="7"/>
  <c r="AZ227" i="7"/>
  <c r="AJ227" i="7"/>
  <c r="AZ205" i="7"/>
  <c r="AI75" i="7"/>
  <c r="AM75" i="7"/>
  <c r="AZ75" i="7"/>
  <c r="Q236" i="7"/>
  <c r="U236" i="7"/>
  <c r="AH236" i="7"/>
  <c r="Q193" i="7"/>
  <c r="U193" i="7"/>
  <c r="AH193" i="7"/>
  <c r="AI365" i="7"/>
  <c r="AM365" i="7"/>
  <c r="AK43" i="7"/>
  <c r="AZ43" i="7"/>
  <c r="AJ43" i="7"/>
  <c r="AL43" i="7"/>
  <c r="Q235" i="7"/>
  <c r="U235" i="7"/>
  <c r="AH235" i="7"/>
  <c r="AH27" i="7"/>
  <c r="Q27" i="7"/>
  <c r="U27" i="7"/>
  <c r="Q372" i="7"/>
  <c r="U372" i="7"/>
  <c r="AH372" i="7"/>
  <c r="T209" i="7"/>
  <c r="Q241" i="7"/>
  <c r="U241" i="7"/>
  <c r="AH256" i="7"/>
  <c r="Q256" i="7"/>
  <c r="U256" i="7"/>
  <c r="Q380" i="7"/>
  <c r="U380" i="7"/>
  <c r="AH380" i="7"/>
  <c r="AZ296" i="7"/>
  <c r="AI296" i="7"/>
  <c r="AM296" i="7"/>
  <c r="AH92" i="7"/>
  <c r="Q92" i="7"/>
  <c r="U92" i="7"/>
  <c r="AI370" i="7"/>
  <c r="AM370" i="7"/>
  <c r="R428" i="7"/>
  <c r="T428" i="7"/>
  <c r="R426" i="7"/>
  <c r="T426" i="7"/>
  <c r="R424" i="7"/>
  <c r="T424" i="7"/>
  <c r="R422" i="7"/>
  <c r="T422" i="7"/>
  <c r="R420" i="7"/>
  <c r="T420" i="7"/>
  <c r="R418" i="7"/>
  <c r="T418" i="7"/>
  <c r="R416" i="7"/>
  <c r="T416" i="7"/>
  <c r="R414" i="7"/>
  <c r="T414" i="7"/>
  <c r="R412" i="7"/>
  <c r="R410" i="7"/>
  <c r="T410" i="7"/>
  <c r="R408" i="7"/>
  <c r="R406" i="7"/>
  <c r="T406" i="7"/>
  <c r="V406" i="7"/>
  <c r="W406" i="7" a="1"/>
  <c r="R404" i="7"/>
  <c r="T404" i="7"/>
  <c r="R402" i="7"/>
  <c r="T402" i="7"/>
  <c r="R400" i="7"/>
  <c r="T400" i="7"/>
  <c r="R274" i="7"/>
  <c r="T274" i="7"/>
  <c r="R392" i="7"/>
  <c r="T392" i="7"/>
  <c r="R385" i="7"/>
  <c r="T385" i="7"/>
  <c r="T295" i="7"/>
  <c r="R43" i="7"/>
  <c r="Q43" i="7"/>
  <c r="U43" i="7"/>
  <c r="AI374" i="7"/>
  <c r="AK374" i="7"/>
  <c r="AZ374" i="7"/>
  <c r="R260" i="7"/>
  <c r="T260" i="7"/>
  <c r="Q369" i="7"/>
  <c r="U369" i="7"/>
  <c r="AI209" i="7"/>
  <c r="AM209" i="7"/>
  <c r="AZ209" i="7"/>
  <c r="T229" i="7"/>
  <c r="Q395" i="7"/>
  <c r="AH395" i="7"/>
  <c r="Q296" i="7"/>
  <c r="U296" i="7"/>
  <c r="Q371" i="7"/>
  <c r="U371" i="7"/>
  <c r="AH371" i="7"/>
  <c r="AH29" i="7"/>
  <c r="Q29" i="7"/>
  <c r="U29" i="7"/>
  <c r="AJ199" i="7"/>
  <c r="AK199" i="7"/>
  <c r="AZ199" i="7"/>
  <c r="T246" i="7"/>
  <c r="V246" i="7"/>
  <c r="S376" i="7"/>
  <c r="AH376" i="7"/>
  <c r="S383" i="7"/>
  <c r="AH383" i="7"/>
  <c r="R370" i="7"/>
  <c r="T370" i="7"/>
  <c r="R375" i="7"/>
  <c r="A1" i="7"/>
  <c r="W246" i="7" a="1"/>
  <c r="AI231" i="7"/>
  <c r="AM231" i="7"/>
  <c r="AJ392" i="7"/>
  <c r="AL392" i="7"/>
  <c r="AK274" i="7"/>
  <c r="AZ412" i="7"/>
  <c r="BC412" i="7"/>
  <c r="AZ422" i="7"/>
  <c r="AI409" i="7"/>
  <c r="AM409" i="7"/>
  <c r="AJ452" i="7"/>
  <c r="AL452" i="7"/>
  <c r="AJ472" i="7"/>
  <c r="AL472" i="7"/>
  <c r="AJ462" i="7"/>
  <c r="V407" i="7"/>
  <c r="W407" i="7" a="1"/>
  <c r="AZ462" i="7"/>
  <c r="BB462" i="7"/>
  <c r="BD462" i="7"/>
  <c r="V410" i="7"/>
  <c r="W410" i="7" a="1"/>
  <c r="AZ392" i="7"/>
  <c r="AK412" i="7"/>
  <c r="AZ414" i="7"/>
  <c r="BA414" i="7"/>
  <c r="BE414" i="7"/>
  <c r="AJ418" i="7"/>
  <c r="AL418" i="7"/>
  <c r="AN418" i="7"/>
  <c r="AO418" i="7" a="1"/>
  <c r="V435" i="7"/>
  <c r="W435" i="7" a="1"/>
  <c r="AZ411" i="7"/>
  <c r="AZ421" i="7"/>
  <c r="BC421" i="7"/>
  <c r="AJ429" i="7"/>
  <c r="AL429" i="7"/>
  <c r="AN429" i="7"/>
  <c r="AO429" i="7" a="1"/>
  <c r="AZ436" i="7"/>
  <c r="V487" i="7"/>
  <c r="W487" i="7" a="1"/>
  <c r="AZ480" i="7"/>
  <c r="BR480" i="7"/>
  <c r="AZ496" i="7"/>
  <c r="V470" i="7"/>
  <c r="W470" i="7" a="1"/>
  <c r="V75" i="7"/>
  <c r="V502" i="7"/>
  <c r="W502" i="7" a="1"/>
  <c r="X502" i="7"/>
  <c r="V399" i="7"/>
  <c r="W399" i="7" a="1"/>
  <c r="AK420" i="7"/>
  <c r="AJ428" i="7"/>
  <c r="AL428" i="7"/>
  <c r="V295" i="7"/>
  <c r="W295" i="7" a="1"/>
  <c r="W295" i="7"/>
  <c r="V423" i="7"/>
  <c r="W423" i="7" a="1"/>
  <c r="X423" i="7"/>
  <c r="AZ410" i="7"/>
  <c r="AJ405" i="7"/>
  <c r="AL405" i="7"/>
  <c r="AZ417" i="7"/>
  <c r="BA417" i="7"/>
  <c r="BE417" i="7"/>
  <c r="V374" i="7"/>
  <c r="AZ494" i="7"/>
  <c r="AK410" i="7"/>
  <c r="AJ434" i="7"/>
  <c r="AL434" i="7"/>
  <c r="V459" i="7"/>
  <c r="W459" i="7" a="1"/>
  <c r="AI405" i="7"/>
  <c r="AM405" i="7"/>
  <c r="AI486" i="7"/>
  <c r="AM486" i="7"/>
  <c r="AJ486" i="7"/>
  <c r="AL486" i="7"/>
  <c r="AN486" i="7"/>
  <c r="AO486" i="7" a="1"/>
  <c r="AZ502" i="7"/>
  <c r="BC502" i="7"/>
  <c r="AJ427" i="7"/>
  <c r="AL427" i="7"/>
  <c r="AI427" i="7"/>
  <c r="AM427" i="7"/>
  <c r="AN427" i="7"/>
  <c r="AO427" i="7" a="1"/>
  <c r="AK385" i="7"/>
  <c r="AZ364" i="7"/>
  <c r="BA364" i="7"/>
  <c r="BB364" i="7"/>
  <c r="BD364" i="7"/>
  <c r="V413" i="7"/>
  <c r="W413" i="7" a="1"/>
  <c r="AK404" i="7"/>
  <c r="AZ434" i="7"/>
  <c r="BR434" i="7"/>
  <c r="AZ407" i="7"/>
  <c r="BB407" i="7"/>
  <c r="BD407" i="7"/>
  <c r="AJ417" i="7"/>
  <c r="AL417" i="7"/>
  <c r="AZ468" i="7"/>
  <c r="BA468" i="7"/>
  <c r="BE468" i="7"/>
  <c r="AK462" i="7"/>
  <c r="AI478" i="7"/>
  <c r="AM478" i="7"/>
  <c r="AJ502" i="7"/>
  <c r="AL502" i="7"/>
  <c r="V425" i="7"/>
  <c r="W425" i="7" a="1"/>
  <c r="AA425" i="7"/>
  <c r="AI340" i="7"/>
  <c r="AM340" i="7"/>
  <c r="AZ404" i="7"/>
  <c r="AK494" i="7"/>
  <c r="V403" i="7"/>
  <c r="W403" i="7" a="1"/>
  <c r="W403" i="7"/>
  <c r="V417" i="7"/>
  <c r="W417" i="7" a="1"/>
  <c r="Y417" i="7"/>
  <c r="AK402" i="7"/>
  <c r="AJ402" i="7"/>
  <c r="AL402" i="7"/>
  <c r="AN402" i="7"/>
  <c r="AO402" i="7" a="1"/>
  <c r="V421" i="7"/>
  <c r="W421" i="7" a="1"/>
  <c r="V429" i="7"/>
  <c r="W429" i="7" a="1"/>
  <c r="AE429" i="7"/>
  <c r="V397" i="7"/>
  <c r="W397" i="7" a="1"/>
  <c r="AE397" i="7"/>
  <c r="AJ410" i="7"/>
  <c r="AL410" i="7"/>
  <c r="AZ420" i="7"/>
  <c r="AK434" i="7"/>
  <c r="AZ405" i="7"/>
  <c r="BB405" i="7"/>
  <c r="BD405" i="7"/>
  <c r="AI417" i="7"/>
  <c r="AM417" i="7"/>
  <c r="AZ429" i="7"/>
  <c r="AK468" i="7"/>
  <c r="AJ478" i="7"/>
  <c r="AL478" i="7"/>
  <c r="V415" i="7"/>
  <c r="W415" i="7" a="1"/>
  <c r="V460" i="7"/>
  <c r="W460" i="7" a="1"/>
  <c r="AJ231" i="7"/>
  <c r="AL231" i="7"/>
  <c r="V411" i="7"/>
  <c r="W411" i="7" a="1"/>
  <c r="Y411" i="7"/>
  <c r="V468" i="7"/>
  <c r="W468" i="7" a="1"/>
  <c r="AD468" i="7"/>
  <c r="V213" i="7"/>
  <c r="AI419" i="7"/>
  <c r="AM419" i="7"/>
  <c r="AJ423" i="7"/>
  <c r="AL423" i="7"/>
  <c r="AZ460" i="7"/>
  <c r="BR246" i="7"/>
  <c r="BS246" i="7"/>
  <c r="BW246" i="7"/>
  <c r="AZ375" i="7"/>
  <c r="BA375" i="7"/>
  <c r="BE375" i="7"/>
  <c r="AJ385" i="7"/>
  <c r="AL385" i="7"/>
  <c r="AZ399" i="7"/>
  <c r="AJ397" i="7"/>
  <c r="AL397" i="7"/>
  <c r="AZ428" i="7"/>
  <c r="BR428" i="7"/>
  <c r="AJ407" i="7"/>
  <c r="AZ413" i="7"/>
  <c r="AJ468" i="7"/>
  <c r="AL468" i="7"/>
  <c r="AK460" i="7"/>
  <c r="AI494" i="7"/>
  <c r="AM494" i="7"/>
  <c r="AZ478" i="7"/>
  <c r="AZ486" i="7"/>
  <c r="BR486" i="7"/>
  <c r="AK502" i="7"/>
  <c r="AN502" i="7"/>
  <c r="AO502" i="7" a="1"/>
  <c r="AQ502" i="7"/>
  <c r="AK397" i="7"/>
  <c r="AK450" i="7"/>
  <c r="AJ364" i="7"/>
  <c r="V370" i="7"/>
  <c r="V199" i="7"/>
  <c r="AZ385" i="7"/>
  <c r="AZ402" i="7"/>
  <c r="BC402" i="7"/>
  <c r="V409" i="7"/>
  <c r="W409" i="7" a="1"/>
  <c r="AE409" i="7"/>
  <c r="AJ404" i="7"/>
  <c r="AL404" i="7"/>
  <c r="AN404" i="7"/>
  <c r="AO404" i="7" a="1"/>
  <c r="AJ420" i="7"/>
  <c r="AK428" i="7"/>
  <c r="AI407" i="7"/>
  <c r="AM407" i="7"/>
  <c r="AJ413" i="7"/>
  <c r="AZ419" i="7"/>
  <c r="AZ427" i="7"/>
  <c r="BC427" i="7"/>
  <c r="V434" i="7"/>
  <c r="W434" i="7" a="1"/>
  <c r="Z434" i="7"/>
  <c r="V493" i="7"/>
  <c r="W493" i="7" a="1"/>
  <c r="AB493" i="7"/>
  <c r="AJ460" i="7"/>
  <c r="AL460" i="7"/>
  <c r="R384" i="7"/>
  <c r="T384" i="7"/>
  <c r="AK231" i="7"/>
  <c r="AN231" i="7"/>
  <c r="AO231" i="7" a="1"/>
  <c r="V498" i="7"/>
  <c r="W498" i="7" a="1"/>
  <c r="V419" i="7"/>
  <c r="W419" i="7" a="1"/>
  <c r="AI246" i="7"/>
  <c r="BC246" i="7"/>
  <c r="V365" i="7"/>
  <c r="W365" i="7" a="1"/>
  <c r="V368" i="7"/>
  <c r="AK399" i="7"/>
  <c r="AK401" i="7"/>
  <c r="AI423" i="7"/>
  <c r="AM423" i="7"/>
  <c r="AJ384" i="7"/>
  <c r="AL384" i="7"/>
  <c r="AZ444" i="7"/>
  <c r="BA444" i="7"/>
  <c r="BE444" i="7"/>
  <c r="AI450" i="7"/>
  <c r="AM450" i="7"/>
  <c r="AJ450" i="7"/>
  <c r="AL450" i="7"/>
  <c r="AN450" i="7"/>
  <c r="AO450" i="7" a="1"/>
  <c r="V478" i="7"/>
  <c r="W478" i="7" a="1"/>
  <c r="W478" i="7"/>
  <c r="AJ250" i="7"/>
  <c r="R256" i="7"/>
  <c r="R241" i="7"/>
  <c r="AZ208" i="7"/>
  <c r="V427" i="7"/>
  <c r="W427" i="7" a="1"/>
  <c r="V309" i="7"/>
  <c r="AJ399" i="7"/>
  <c r="AL399" i="7"/>
  <c r="AN399" i="7"/>
  <c r="AO399" i="7" a="1"/>
  <c r="AJ401" i="7"/>
  <c r="AL401" i="7"/>
  <c r="AK444" i="7"/>
  <c r="BB246" i="7"/>
  <c r="BD246" i="7"/>
  <c r="V209" i="7"/>
  <c r="W209" i="7" a="1"/>
  <c r="AZ401" i="7"/>
  <c r="V451" i="7"/>
  <c r="W451" i="7" a="1"/>
  <c r="Z451" i="7"/>
  <c r="V467" i="7"/>
  <c r="W467" i="7" a="1"/>
  <c r="Y467" i="7"/>
  <c r="AZ423" i="7"/>
  <c r="V471" i="7"/>
  <c r="W471" i="7" a="1"/>
  <c r="AJ444" i="7"/>
  <c r="AL444" i="7"/>
  <c r="V450" i="7"/>
  <c r="W450" i="7" a="1"/>
  <c r="Y450" i="7"/>
  <c r="V462" i="7"/>
  <c r="W462" i="7" a="1"/>
  <c r="V477" i="7"/>
  <c r="W477" i="7" a="1"/>
  <c r="V231" i="7"/>
  <c r="AM309" i="7"/>
  <c r="AJ309" i="7"/>
  <c r="AL309" i="7"/>
  <c r="R235" i="7"/>
  <c r="T235" i="7"/>
  <c r="AZ309" i="7"/>
  <c r="AZ403" i="7"/>
  <c r="BB403" i="7"/>
  <c r="BD403" i="7"/>
  <c r="AK403" i="7"/>
  <c r="AK406" i="7"/>
  <c r="AK414" i="7"/>
  <c r="AK422" i="7"/>
  <c r="AI425" i="7"/>
  <c r="AM425" i="7"/>
  <c r="AZ368" i="7"/>
  <c r="BA368" i="7"/>
  <c r="BE368" i="7"/>
  <c r="AZ442" i="7"/>
  <c r="AI458" i="7"/>
  <c r="AM458" i="7"/>
  <c r="AJ470" i="7"/>
  <c r="S371" i="7"/>
  <c r="V229" i="7"/>
  <c r="W229" i="7" a="1"/>
  <c r="AD229" i="7"/>
  <c r="S235" i="7"/>
  <c r="AZ260" i="7"/>
  <c r="BA260" i="7"/>
  <c r="BE260" i="7"/>
  <c r="AK309" i="7"/>
  <c r="AJ75" i="7"/>
  <c r="AL75" i="7"/>
  <c r="AJ274" i="7"/>
  <c r="AL274" i="7"/>
  <c r="AJ403" i="7"/>
  <c r="AL403" i="7"/>
  <c r="AN403" i="7"/>
  <c r="AO403" i="7" a="1"/>
  <c r="AK442" i="7"/>
  <c r="V442" i="7"/>
  <c r="W442" i="7" a="1"/>
  <c r="AF442" i="7"/>
  <c r="AJ458" i="7"/>
  <c r="AL458" i="7"/>
  <c r="AZ470" i="7"/>
  <c r="V426" i="7"/>
  <c r="W426" i="7" a="1"/>
  <c r="AC426" i="7"/>
  <c r="R27" i="7"/>
  <c r="T27" i="7"/>
  <c r="AZ274" i="7"/>
  <c r="BR274" i="7"/>
  <c r="AK295" i="7"/>
  <c r="AK205" i="7"/>
  <c r="AJ406" i="7"/>
  <c r="AJ414" i="7"/>
  <c r="AL414" i="7"/>
  <c r="AJ422" i="7"/>
  <c r="AL422" i="7"/>
  <c r="AZ425" i="7"/>
  <c r="AK369" i="7"/>
  <c r="V476" i="7"/>
  <c r="W476" i="7" a="1"/>
  <c r="W476" i="7"/>
  <c r="V494" i="7"/>
  <c r="W494" i="7" a="1"/>
  <c r="V452" i="7"/>
  <c r="W452" i="7" a="1"/>
  <c r="Y452" i="7"/>
  <c r="U227" i="7"/>
  <c r="S227" i="7"/>
  <c r="V227" i="7"/>
  <c r="V340" i="7"/>
  <c r="AJ205" i="7"/>
  <c r="U205" i="7"/>
  <c r="R205" i="7"/>
  <c r="S205" i="7"/>
  <c r="AK75" i="7"/>
  <c r="R232" i="7"/>
  <c r="S232" i="7"/>
  <c r="AJ295" i="7"/>
  <c r="R236" i="7"/>
  <c r="T236" i="7"/>
  <c r="S236" i="7"/>
  <c r="S43" i="7"/>
  <c r="AM374" i="7"/>
  <c r="AJ374" i="7"/>
  <c r="AL374" i="7"/>
  <c r="R354" i="7"/>
  <c r="S354" i="7"/>
  <c r="AM208" i="7"/>
  <c r="AJ208" i="7"/>
  <c r="AL208" i="7"/>
  <c r="AK208" i="7"/>
  <c r="V208" i="7"/>
  <c r="S193" i="7"/>
  <c r="R193" i="7"/>
  <c r="T193" i="7"/>
  <c r="V193" i="7"/>
  <c r="AJ260" i="7"/>
  <c r="AL260" i="7"/>
  <c r="U260" i="7"/>
  <c r="AK260" i="7"/>
  <c r="S260" i="7"/>
  <c r="S372" i="7"/>
  <c r="R372" i="7"/>
  <c r="AK368" i="7"/>
  <c r="R369" i="7"/>
  <c r="T369" i="7"/>
  <c r="AJ369" i="7"/>
  <c r="AL369" i="7"/>
  <c r="S369" i="7"/>
  <c r="AK209" i="7"/>
  <c r="AJ209" i="7"/>
  <c r="AL209" i="7"/>
  <c r="AK241" i="7"/>
  <c r="S241" i="7"/>
  <c r="AJ241" i="7"/>
  <c r="AL241" i="7"/>
  <c r="AK384" i="7"/>
  <c r="AZ229" i="7"/>
  <c r="BR229" i="7"/>
  <c r="AI229" i="7"/>
  <c r="S27" i="7"/>
  <c r="V27" i="7"/>
  <c r="U395" i="7"/>
  <c r="S395" i="7"/>
  <c r="R395" i="7"/>
  <c r="T395" i="7"/>
  <c r="R371" i="7"/>
  <c r="S256" i="7"/>
  <c r="AJ296" i="7"/>
  <c r="AL296" i="7"/>
  <c r="S296" i="7"/>
  <c r="R296" i="7"/>
  <c r="AK296" i="7"/>
  <c r="T29" i="7"/>
  <c r="S29" i="7"/>
  <c r="R29" i="7"/>
  <c r="AK365" i="7"/>
  <c r="AJ365" i="7"/>
  <c r="AL365" i="7"/>
  <c r="AK364" i="7"/>
  <c r="S364" i="7"/>
  <c r="V364" i="7"/>
  <c r="AK246" i="7"/>
  <c r="S92" i="7"/>
  <c r="R92" i="7"/>
  <c r="T92" i="7"/>
  <c r="S380" i="7"/>
  <c r="R380" i="7"/>
  <c r="T380" i="7"/>
  <c r="AJ370" i="7"/>
  <c r="AL370" i="7"/>
  <c r="AK370" i="7"/>
  <c r="AN370" i="7"/>
  <c r="AO370" i="7" a="1"/>
  <c r="AT370" i="7"/>
  <c r="AZ388" i="7"/>
  <c r="S388" i="7"/>
  <c r="AI388" i="7"/>
  <c r="AM388" i="7"/>
  <c r="R388" i="7"/>
  <c r="AJ375" i="7"/>
  <c r="AK375" i="7"/>
  <c r="V250" i="7"/>
  <c r="AZ250" i="7"/>
  <c r="AK250" i="7"/>
  <c r="V497" i="7"/>
  <c r="W497" i="7" a="1"/>
  <c r="AA497" i="7"/>
  <c r="AN488" i="7"/>
  <c r="AO488" i="7" a="1"/>
  <c r="AY488" i="7"/>
  <c r="V500" i="7"/>
  <c r="W500" i="7" a="1"/>
  <c r="X500" i="7"/>
  <c r="V501" i="7"/>
  <c r="W501" i="7" a="1"/>
  <c r="Z501" i="7"/>
  <c r="V469" i="7"/>
  <c r="W469" i="7" a="1"/>
  <c r="AD469" i="7"/>
  <c r="V485" i="7"/>
  <c r="W485" i="7" a="1"/>
  <c r="Z452" i="7"/>
  <c r="AC452" i="7"/>
  <c r="V433" i="7"/>
  <c r="W433" i="7" a="1"/>
  <c r="AD433" i="7"/>
  <c r="V432" i="7"/>
  <c r="W432" i="7" a="1"/>
  <c r="AF432" i="7"/>
  <c r="V457" i="7"/>
  <c r="W457" i="7" a="1"/>
  <c r="AD457" i="7"/>
  <c r="V465" i="7"/>
  <c r="W465" i="7" a="1"/>
  <c r="Z465" i="7"/>
  <c r="V479" i="7"/>
  <c r="W479" i="7" a="1"/>
  <c r="AE479" i="7"/>
  <c r="V495" i="7"/>
  <c r="W495" i="7" a="1"/>
  <c r="Y495" i="7"/>
  <c r="V376" i="7"/>
  <c r="V443" i="7"/>
  <c r="W443" i="7" a="1"/>
  <c r="Z443" i="7"/>
  <c r="V461" i="7"/>
  <c r="W461" i="7" a="1"/>
  <c r="AG461" i="7"/>
  <c r="V414" i="7"/>
  <c r="W414" i="7" a="1"/>
  <c r="W414" i="7"/>
  <c r="V448" i="7"/>
  <c r="W448" i="7" a="1"/>
  <c r="AB448" i="7"/>
  <c r="V446" i="7"/>
  <c r="W446" i="7" a="1"/>
  <c r="AA446" i="7"/>
  <c r="V402" i="7"/>
  <c r="W402" i="7" a="1"/>
  <c r="AG402" i="7"/>
  <c r="V440" i="7"/>
  <c r="W440" i="7" a="1"/>
  <c r="AF440" i="7"/>
  <c r="V473" i="7"/>
  <c r="W473" i="7" a="1"/>
  <c r="V274" i="7"/>
  <c r="W274" i="7" a="1"/>
  <c r="V466" i="7"/>
  <c r="W466" i="7" a="1"/>
  <c r="W466" i="7"/>
  <c r="V492" i="7"/>
  <c r="W492" i="7" a="1"/>
  <c r="AF492" i="7"/>
  <c r="V422" i="7"/>
  <c r="W422" i="7" a="1"/>
  <c r="V449" i="7"/>
  <c r="W449" i="7" a="1"/>
  <c r="AN436" i="7"/>
  <c r="AO436" i="7" a="1"/>
  <c r="AU436" i="7"/>
  <c r="AN444" i="7"/>
  <c r="AO444" i="7" a="1"/>
  <c r="AO444" i="7"/>
  <c r="AN452" i="7"/>
  <c r="AO452" i="7" a="1"/>
  <c r="AQ452" i="7"/>
  <c r="V464" i="7"/>
  <c r="W464" i="7" a="1"/>
  <c r="AF464" i="7"/>
  <c r="V484" i="7"/>
  <c r="W484" i="7" a="1"/>
  <c r="X484" i="7"/>
  <c r="V418" i="7"/>
  <c r="W418" i="7" a="1"/>
  <c r="AG418" i="7"/>
  <c r="V445" i="7"/>
  <c r="W445" i="7" a="1"/>
  <c r="AA445" i="7"/>
  <c r="AN480" i="7"/>
  <c r="AO480" i="7" a="1"/>
  <c r="AP480" i="7"/>
  <c r="V437" i="7"/>
  <c r="W437" i="7" a="1"/>
  <c r="Y437" i="7"/>
  <c r="V430" i="7"/>
  <c r="W430" i="7" a="1"/>
  <c r="AD430" i="7"/>
  <c r="AN496" i="7"/>
  <c r="AO496" i="7" a="1"/>
  <c r="V456" i="7"/>
  <c r="W456" i="7" a="1"/>
  <c r="AB456" i="7"/>
  <c r="AG295" i="7"/>
  <c r="Y406" i="7"/>
  <c r="AC406" i="7"/>
  <c r="AG406" i="7"/>
  <c r="Z406" i="7"/>
  <c r="AE406" i="7"/>
  <c r="X406" i="7"/>
  <c r="AF406" i="7"/>
  <c r="AA406" i="7"/>
  <c r="W406" i="7"/>
  <c r="AB406" i="7"/>
  <c r="AD406" i="7"/>
  <c r="AB415" i="7"/>
  <c r="Z471" i="7"/>
  <c r="AD471" i="7"/>
  <c r="Y471" i="7"/>
  <c r="AE471" i="7"/>
  <c r="AA471" i="7"/>
  <c r="AF471" i="7"/>
  <c r="W471" i="7"/>
  <c r="AG471" i="7"/>
  <c r="X471" i="7"/>
  <c r="AB471" i="7"/>
  <c r="AC471" i="7"/>
  <c r="Z487" i="7"/>
  <c r="AD487" i="7"/>
  <c r="Y487" i="7"/>
  <c r="AE487" i="7"/>
  <c r="AA487" i="7"/>
  <c r="AF487" i="7"/>
  <c r="W487" i="7"/>
  <c r="AG487" i="7"/>
  <c r="X487" i="7"/>
  <c r="AB487" i="7"/>
  <c r="AC487" i="7"/>
  <c r="Z477" i="7"/>
  <c r="AD477" i="7"/>
  <c r="X477" i="7"/>
  <c r="AC477" i="7"/>
  <c r="Y477" i="7"/>
  <c r="AE477" i="7"/>
  <c r="AB477" i="7"/>
  <c r="W477" i="7"/>
  <c r="AF477" i="7"/>
  <c r="AG477" i="7"/>
  <c r="AA477" i="7"/>
  <c r="AQ488" i="7"/>
  <c r="AU488" i="7"/>
  <c r="AT488" i="7"/>
  <c r="AP488" i="7"/>
  <c r="AR488" i="7"/>
  <c r="AW488" i="7"/>
  <c r="AF468" i="7"/>
  <c r="AA410" i="7"/>
  <c r="Z435" i="7"/>
  <c r="AD435" i="7"/>
  <c r="Y435" i="7"/>
  <c r="AE435" i="7"/>
  <c r="AA435" i="7"/>
  <c r="AF435" i="7"/>
  <c r="W435" i="7"/>
  <c r="AG435" i="7"/>
  <c r="AB435" i="7"/>
  <c r="X435" i="7"/>
  <c r="AC435" i="7"/>
  <c r="W451" i="7"/>
  <c r="X464" i="7"/>
  <c r="AC464" i="7"/>
  <c r="Z464" i="7"/>
  <c r="X476" i="7"/>
  <c r="AF502" i="7"/>
  <c r="Y502" i="7"/>
  <c r="AE502" i="7"/>
  <c r="AC502" i="7"/>
  <c r="W502" i="7"/>
  <c r="AG492" i="7"/>
  <c r="W479" i="7"/>
  <c r="AA495" i="7"/>
  <c r="Z469" i="7"/>
  <c r="Y469" i="7"/>
  <c r="X486" i="7"/>
  <c r="AB486" i="7"/>
  <c r="AF486" i="7"/>
  <c r="Y486" i="7"/>
  <c r="AD486" i="7"/>
  <c r="Z486" i="7"/>
  <c r="AE486" i="7"/>
  <c r="AG486" i="7"/>
  <c r="W486" i="7"/>
  <c r="AA486" i="7"/>
  <c r="AC486" i="7"/>
  <c r="AZ383" i="7"/>
  <c r="AI383" i="7"/>
  <c r="AM383" i="7"/>
  <c r="BR296" i="7"/>
  <c r="BA296" i="7"/>
  <c r="BE296" i="7"/>
  <c r="AZ380" i="7"/>
  <c r="AI380" i="7"/>
  <c r="AM380" i="7"/>
  <c r="W401" i="7"/>
  <c r="AA401" i="7"/>
  <c r="AE401" i="7"/>
  <c r="Y401" i="7"/>
  <c r="AD401" i="7"/>
  <c r="AC401" i="7"/>
  <c r="X401" i="7"/>
  <c r="AG401" i="7"/>
  <c r="Z401" i="7"/>
  <c r="AB401" i="7"/>
  <c r="AF401" i="7"/>
  <c r="AZ354" i="7"/>
  <c r="AI354" i="7"/>
  <c r="AM354" i="7"/>
  <c r="BA418" i="7"/>
  <c r="BE418" i="7"/>
  <c r="BB418" i="7"/>
  <c r="BD418" i="7"/>
  <c r="BR418" i="7"/>
  <c r="BC418" i="7"/>
  <c r="BA426" i="7"/>
  <c r="BE426" i="7"/>
  <c r="BB426" i="7"/>
  <c r="BD426" i="7"/>
  <c r="BR426" i="7"/>
  <c r="BC426" i="7"/>
  <c r="AC459" i="7"/>
  <c r="BB409" i="7"/>
  <c r="BD409" i="7"/>
  <c r="BA409" i="7"/>
  <c r="BE409" i="7"/>
  <c r="BR409" i="7"/>
  <c r="BC409" i="7"/>
  <c r="BB411" i="7"/>
  <c r="BD411" i="7"/>
  <c r="BA411" i="7"/>
  <c r="BE411" i="7"/>
  <c r="BR411" i="7"/>
  <c r="BC411" i="7"/>
  <c r="BB419" i="7"/>
  <c r="BD419" i="7"/>
  <c r="BA419" i="7"/>
  <c r="BE419" i="7"/>
  <c r="BR419" i="7"/>
  <c r="BC419" i="7"/>
  <c r="BA427" i="7"/>
  <c r="BE427" i="7"/>
  <c r="BR427" i="7"/>
  <c r="AI449" i="7"/>
  <c r="AM449" i="7"/>
  <c r="AJ449" i="7"/>
  <c r="AL449" i="7"/>
  <c r="AK449" i="7"/>
  <c r="AZ449" i="7"/>
  <c r="AL416" i="7"/>
  <c r="AN416" i="7"/>
  <c r="AO416" i="7" a="1"/>
  <c r="AL424" i="7"/>
  <c r="AN424" i="7"/>
  <c r="AO424" i="7" a="1"/>
  <c r="BC436" i="7"/>
  <c r="BR436" i="7"/>
  <c r="BA436" i="7"/>
  <c r="BE436" i="7"/>
  <c r="BB436" i="7"/>
  <c r="BD436" i="7"/>
  <c r="AJ440" i="7"/>
  <c r="AL440" i="7"/>
  <c r="AI440" i="7"/>
  <c r="AM440" i="7"/>
  <c r="AK440" i="7"/>
  <c r="AZ440" i="7"/>
  <c r="AI447" i="7"/>
  <c r="AM447" i="7"/>
  <c r="AJ447" i="7"/>
  <c r="AL447" i="7"/>
  <c r="AK447" i="7"/>
  <c r="AZ447" i="7"/>
  <c r="X460" i="7"/>
  <c r="AB460" i="7"/>
  <c r="AF460" i="7"/>
  <c r="Z460" i="7"/>
  <c r="AE460" i="7"/>
  <c r="W460" i="7"/>
  <c r="AD460" i="7"/>
  <c r="Y460" i="7"/>
  <c r="AG460" i="7"/>
  <c r="AA460" i="7"/>
  <c r="AC460" i="7"/>
  <c r="AI465" i="7"/>
  <c r="AM465" i="7"/>
  <c r="AJ465" i="7"/>
  <c r="AL465" i="7"/>
  <c r="AK465" i="7"/>
  <c r="AZ465" i="7"/>
  <c r="AJ479" i="7"/>
  <c r="AL479" i="7"/>
  <c r="AK479" i="7"/>
  <c r="AZ479" i="7"/>
  <c r="AI479" i="7"/>
  <c r="AM479" i="7"/>
  <c r="X442" i="7"/>
  <c r="AB442" i="7"/>
  <c r="AD442" i="7"/>
  <c r="Z442" i="7"/>
  <c r="AA442" i="7"/>
  <c r="W442" i="7"/>
  <c r="BC452" i="7"/>
  <c r="BR452" i="7"/>
  <c r="BA452" i="7"/>
  <c r="BE452" i="7"/>
  <c r="BB452" i="7"/>
  <c r="BD452" i="7"/>
  <c r="AJ464" i="7"/>
  <c r="AL464" i="7"/>
  <c r="AI464" i="7"/>
  <c r="AM464" i="7"/>
  <c r="AK464" i="7"/>
  <c r="AZ464" i="7"/>
  <c r="BR462" i="7"/>
  <c r="BA462" i="7"/>
  <c r="BE462" i="7"/>
  <c r="T475" i="7"/>
  <c r="V475" i="7"/>
  <c r="W475" i="7" a="1"/>
  <c r="AK481" i="7"/>
  <c r="AZ481" i="7"/>
  <c r="AI481" i="7"/>
  <c r="AM481" i="7"/>
  <c r="AJ481" i="7"/>
  <c r="AL481" i="7"/>
  <c r="V383" i="7"/>
  <c r="T375" i="7"/>
  <c r="V375" i="7"/>
  <c r="W375" i="7" a="1"/>
  <c r="BR199" i="7"/>
  <c r="BA199" i="7"/>
  <c r="BE199" i="7"/>
  <c r="AZ371" i="7"/>
  <c r="AI371" i="7"/>
  <c r="AM371" i="7"/>
  <c r="X274" i="7"/>
  <c r="AC402" i="7"/>
  <c r="AB402" i="7"/>
  <c r="AD422" i="7"/>
  <c r="AB426" i="7"/>
  <c r="AZ27" i="7"/>
  <c r="AI27" i="7"/>
  <c r="AM27" i="7"/>
  <c r="BR260" i="7"/>
  <c r="BR205" i="7"/>
  <c r="BA205" i="7"/>
  <c r="BE205" i="7"/>
  <c r="BR340" i="7"/>
  <c r="BA340" i="7"/>
  <c r="BE340" i="7"/>
  <c r="BA397" i="7"/>
  <c r="BB397" i="7"/>
  <c r="BD397" i="7"/>
  <c r="BR397" i="7"/>
  <c r="BE397" i="7"/>
  <c r="BC397" i="7"/>
  <c r="BB401" i="7"/>
  <c r="BD401" i="7"/>
  <c r="BR401" i="7"/>
  <c r="BA401" i="7"/>
  <c r="BE401" i="7"/>
  <c r="BC401" i="7"/>
  <c r="AK463" i="7"/>
  <c r="AI463" i="7"/>
  <c r="AM463" i="7"/>
  <c r="AZ463" i="7"/>
  <c r="AJ463" i="7"/>
  <c r="AL463" i="7"/>
  <c r="V490" i="7"/>
  <c r="W490" i="7" a="1"/>
  <c r="V439" i="7"/>
  <c r="W439" i="7" a="1"/>
  <c r="V491" i="7"/>
  <c r="W491" i="7" a="1"/>
  <c r="AL494" i="7"/>
  <c r="AI475" i="7"/>
  <c r="AM475" i="7"/>
  <c r="AZ475" i="7"/>
  <c r="AJ475" i="7"/>
  <c r="AL475" i="7"/>
  <c r="AK475" i="7"/>
  <c r="AI483" i="7"/>
  <c r="AM483" i="7"/>
  <c r="AK483" i="7"/>
  <c r="AZ483" i="7"/>
  <c r="AJ483" i="7"/>
  <c r="AL483" i="7"/>
  <c r="AK489" i="7"/>
  <c r="AZ489" i="7"/>
  <c r="AI489" i="7"/>
  <c r="AM489" i="7"/>
  <c r="AJ489" i="7"/>
  <c r="AL489" i="7"/>
  <c r="AJ446" i="7"/>
  <c r="AL446" i="7"/>
  <c r="AI446" i="7"/>
  <c r="AM446" i="7"/>
  <c r="AZ446" i="7"/>
  <c r="AK446" i="7"/>
  <c r="AJ492" i="7"/>
  <c r="AL492" i="7"/>
  <c r="AI492" i="7"/>
  <c r="AM492" i="7"/>
  <c r="AZ492" i="7"/>
  <c r="AK492" i="7"/>
  <c r="AI376" i="7"/>
  <c r="AM376" i="7"/>
  <c r="AZ376" i="7"/>
  <c r="AI395" i="7"/>
  <c r="AM395" i="7"/>
  <c r="AZ395" i="7"/>
  <c r="BA370" i="7"/>
  <c r="BE370" i="7"/>
  <c r="BR370" i="7"/>
  <c r="AI256" i="7"/>
  <c r="AM256" i="7"/>
  <c r="AZ256" i="7"/>
  <c r="AZ372" i="7"/>
  <c r="AI372" i="7"/>
  <c r="AM372" i="7"/>
  <c r="BA43" i="7"/>
  <c r="BE43" i="7"/>
  <c r="BR43" i="7"/>
  <c r="BA75" i="7"/>
  <c r="BE75" i="7"/>
  <c r="BR75" i="7"/>
  <c r="AN392" i="7"/>
  <c r="AO392" i="7" a="1"/>
  <c r="AN400" i="7"/>
  <c r="AO400" i="7" a="1"/>
  <c r="BA241" i="7"/>
  <c r="BE241" i="7"/>
  <c r="BR241" i="7"/>
  <c r="BR404" i="7"/>
  <c r="BA406" i="7"/>
  <c r="BE406" i="7"/>
  <c r="BB406" i="7"/>
  <c r="BD406" i="7"/>
  <c r="BR406" i="7"/>
  <c r="BC406" i="7"/>
  <c r="BA408" i="7"/>
  <c r="BE408" i="7"/>
  <c r="BB408" i="7"/>
  <c r="BD408" i="7"/>
  <c r="BR408" i="7"/>
  <c r="BC408" i="7"/>
  <c r="BA410" i="7"/>
  <c r="BE410" i="7"/>
  <c r="BB410" i="7"/>
  <c r="BD410" i="7"/>
  <c r="BR410" i="7"/>
  <c r="BC410" i="7"/>
  <c r="BR412" i="7"/>
  <c r="AI213" i="7"/>
  <c r="AM213" i="7"/>
  <c r="AZ213" i="7"/>
  <c r="AL409" i="7"/>
  <c r="AN409" i="7"/>
  <c r="AO409" i="7" a="1"/>
  <c r="BR414" i="7"/>
  <c r="BC414" i="7"/>
  <c r="AL420" i="7"/>
  <c r="AN420" i="7"/>
  <c r="AO420" i="7" a="1"/>
  <c r="BA422" i="7"/>
  <c r="BE422" i="7"/>
  <c r="BB422" i="7"/>
  <c r="BD422" i="7"/>
  <c r="BR422" i="7"/>
  <c r="BC422" i="7"/>
  <c r="AJ443" i="7"/>
  <c r="AL443" i="7"/>
  <c r="AK443" i="7"/>
  <c r="AZ443" i="7"/>
  <c r="AI443" i="7"/>
  <c r="AM443" i="7"/>
  <c r="AJ451" i="7"/>
  <c r="AL451" i="7"/>
  <c r="AK451" i="7"/>
  <c r="AZ451" i="7"/>
  <c r="AI451" i="7"/>
  <c r="AM451" i="7"/>
  <c r="BB415" i="7"/>
  <c r="BD415" i="7"/>
  <c r="BA415" i="7"/>
  <c r="BE415" i="7"/>
  <c r="BR415" i="7"/>
  <c r="BC415" i="7"/>
  <c r="BR423" i="7"/>
  <c r="AJ430" i="7"/>
  <c r="AL430" i="7"/>
  <c r="AI430" i="7"/>
  <c r="AM430" i="7"/>
  <c r="AK430" i="7"/>
  <c r="AZ430" i="7"/>
  <c r="V441" i="7"/>
  <c r="W441" i="7" a="1"/>
  <c r="BA384" i="7"/>
  <c r="BE384" i="7"/>
  <c r="BR384" i="7"/>
  <c r="AJ455" i="7"/>
  <c r="AK455" i="7"/>
  <c r="AZ455" i="7"/>
  <c r="AI455" i="7"/>
  <c r="AM455" i="7"/>
  <c r="AA462" i="7"/>
  <c r="AL425" i="7"/>
  <c r="AI439" i="7"/>
  <c r="AM439" i="7"/>
  <c r="AJ439" i="7"/>
  <c r="AL439" i="7"/>
  <c r="AZ439" i="7"/>
  <c r="AK439" i="7"/>
  <c r="AJ448" i="7"/>
  <c r="AL448" i="7"/>
  <c r="AI448" i="7"/>
  <c r="AM448" i="7"/>
  <c r="AZ448" i="7"/>
  <c r="AK448" i="7"/>
  <c r="AK461" i="7"/>
  <c r="AZ461" i="7"/>
  <c r="AJ461" i="7"/>
  <c r="AL461" i="7"/>
  <c r="AI461" i="7"/>
  <c r="AM461" i="7"/>
  <c r="BA369" i="7"/>
  <c r="BE369" i="7"/>
  <c r="BR369" i="7"/>
  <c r="AI431" i="7"/>
  <c r="AM431" i="7"/>
  <c r="AK431" i="7"/>
  <c r="AZ431" i="7"/>
  <c r="AJ431" i="7"/>
  <c r="AL431" i="7"/>
  <c r="T438" i="7"/>
  <c r="V438" i="7"/>
  <c r="W438" i="7" a="1"/>
  <c r="AK445" i="7"/>
  <c r="AZ445" i="7"/>
  <c r="AI445" i="7"/>
  <c r="AM445" i="7"/>
  <c r="AJ445" i="7"/>
  <c r="V458" i="7"/>
  <c r="W458" i="7" a="1"/>
  <c r="T408" i="7"/>
  <c r="V408" i="7"/>
  <c r="W408" i="7" a="1"/>
  <c r="T454" i="7"/>
  <c r="V454" i="7"/>
  <c r="W454" i="7" a="1"/>
  <c r="BC480" i="7"/>
  <c r="BB480" i="7"/>
  <c r="BD480" i="7"/>
  <c r="AJ484" i="7"/>
  <c r="AI484" i="7"/>
  <c r="AM484" i="7"/>
  <c r="AK484" i="7"/>
  <c r="AZ484" i="7"/>
  <c r="AK497" i="7"/>
  <c r="AZ497" i="7"/>
  <c r="AJ497" i="7"/>
  <c r="AI497" i="7"/>
  <c r="AM497" i="7"/>
  <c r="AL442" i="7"/>
  <c r="T444" i="7"/>
  <c r="V444" i="7"/>
  <c r="W444" i="7" a="1"/>
  <c r="BC488" i="7"/>
  <c r="BR488" i="7"/>
  <c r="BA488" i="7"/>
  <c r="BE488" i="7"/>
  <c r="BB488" i="7"/>
  <c r="BD488" i="7"/>
  <c r="AI499" i="7"/>
  <c r="AM499" i="7"/>
  <c r="AK499" i="7"/>
  <c r="AJ499" i="7"/>
  <c r="AL499" i="7"/>
  <c r="AZ499" i="7"/>
  <c r="AJ474" i="7"/>
  <c r="AL474" i="7"/>
  <c r="AI474" i="7"/>
  <c r="AM474" i="7"/>
  <c r="AK474" i="7"/>
  <c r="AZ474" i="7"/>
  <c r="AJ482" i="7"/>
  <c r="AL482" i="7"/>
  <c r="AI482" i="7"/>
  <c r="AM482" i="7"/>
  <c r="AK482" i="7"/>
  <c r="AZ482" i="7"/>
  <c r="V483" i="7"/>
  <c r="W483" i="7" a="1"/>
  <c r="AI491" i="7"/>
  <c r="AM491" i="7"/>
  <c r="AZ491" i="7"/>
  <c r="AJ491" i="7"/>
  <c r="AL491" i="7"/>
  <c r="AK491" i="7"/>
  <c r="T499" i="7"/>
  <c r="V499" i="7"/>
  <c r="W499" i="7" a="1"/>
  <c r="AK437" i="7"/>
  <c r="AZ437" i="7"/>
  <c r="AI437" i="7"/>
  <c r="AM437" i="7"/>
  <c r="AJ437" i="7"/>
  <c r="AL437" i="7"/>
  <c r="AK473" i="7"/>
  <c r="AZ473" i="7"/>
  <c r="AI473" i="7"/>
  <c r="AM473" i="7"/>
  <c r="AJ473" i="7"/>
  <c r="AL473" i="7"/>
  <c r="V481" i="7"/>
  <c r="W481" i="7" a="1"/>
  <c r="V463" i="7"/>
  <c r="W463" i="7" a="1"/>
  <c r="AL199" i="7"/>
  <c r="AN199" i="7"/>
  <c r="AO199" i="7" a="1"/>
  <c r="X432" i="7"/>
  <c r="AB432" i="7"/>
  <c r="Z432" i="7"/>
  <c r="AC432" i="7"/>
  <c r="AJ438" i="7"/>
  <c r="AL438" i="7"/>
  <c r="AI438" i="7"/>
  <c r="AM438" i="7"/>
  <c r="AK438" i="7"/>
  <c r="AZ438" i="7"/>
  <c r="BA442" i="7"/>
  <c r="BE442" i="7"/>
  <c r="AI457" i="7"/>
  <c r="AM457" i="7"/>
  <c r="AJ457" i="7"/>
  <c r="AK457" i="7"/>
  <c r="AZ457" i="7"/>
  <c r="T496" i="7"/>
  <c r="V496" i="7"/>
  <c r="W496" i="7" a="1"/>
  <c r="AI501" i="7"/>
  <c r="AM501" i="7"/>
  <c r="AJ501" i="7"/>
  <c r="AL501" i="7"/>
  <c r="AK501" i="7"/>
  <c r="AZ501" i="7"/>
  <c r="W399" i="7"/>
  <c r="T412" i="7"/>
  <c r="V412" i="7"/>
  <c r="W412" i="7" a="1"/>
  <c r="BC494" i="7"/>
  <c r="BR494" i="7"/>
  <c r="BB494" i="7"/>
  <c r="BD494" i="7"/>
  <c r="BA494" i="7"/>
  <c r="BE494" i="7"/>
  <c r="AD497" i="7"/>
  <c r="AB497" i="7"/>
  <c r="AC497" i="7"/>
  <c r="AD478" i="7"/>
  <c r="AA423" i="7"/>
  <c r="AC423" i="7"/>
  <c r="X472" i="7"/>
  <c r="AB472" i="7"/>
  <c r="AF472" i="7"/>
  <c r="Z472" i="7"/>
  <c r="AE472" i="7"/>
  <c r="AA472" i="7"/>
  <c r="AG472" i="7"/>
  <c r="W472" i="7"/>
  <c r="AC472" i="7"/>
  <c r="Y472" i="7"/>
  <c r="AD472" i="7"/>
  <c r="T474" i="7"/>
  <c r="V474" i="7"/>
  <c r="W474" i="7" a="1"/>
  <c r="X480" i="7"/>
  <c r="AB480" i="7"/>
  <c r="AF480" i="7"/>
  <c r="Z480" i="7"/>
  <c r="AE480" i="7"/>
  <c r="AA480" i="7"/>
  <c r="AG480" i="7"/>
  <c r="W480" i="7"/>
  <c r="Y480" i="7"/>
  <c r="AC480" i="7"/>
  <c r="AD480" i="7"/>
  <c r="T482" i="7"/>
  <c r="V482" i="7"/>
  <c r="W482" i="7" a="1"/>
  <c r="AC500" i="7"/>
  <c r="Y500" i="7"/>
  <c r="AJ456" i="7"/>
  <c r="AZ456" i="7"/>
  <c r="AI456" i="7"/>
  <c r="AM456" i="7"/>
  <c r="AK456" i="7"/>
  <c r="X470" i="7"/>
  <c r="AB470" i="7"/>
  <c r="AF470" i="7"/>
  <c r="Y470" i="7"/>
  <c r="AD470" i="7"/>
  <c r="Z470" i="7"/>
  <c r="AE470" i="7"/>
  <c r="AG470" i="7"/>
  <c r="AA470" i="7"/>
  <c r="W470" i="7"/>
  <c r="AC470" i="7"/>
  <c r="BA209" i="7"/>
  <c r="BE209" i="7"/>
  <c r="BR209" i="7"/>
  <c r="AI235" i="7"/>
  <c r="AK235" i="7"/>
  <c r="AZ235" i="7"/>
  <c r="AM235" i="7"/>
  <c r="AN43" i="7"/>
  <c r="AO43" i="7" a="1"/>
  <c r="BR365" i="7"/>
  <c r="BA365" i="7"/>
  <c r="BE365" i="7"/>
  <c r="W407" i="7"/>
  <c r="AA407" i="7"/>
  <c r="AE407" i="7"/>
  <c r="Y407" i="7"/>
  <c r="AD407" i="7"/>
  <c r="X407" i="7"/>
  <c r="AF407" i="7"/>
  <c r="Z407" i="7"/>
  <c r="AG407" i="7"/>
  <c r="AC407" i="7"/>
  <c r="AB407" i="7"/>
  <c r="W419" i="7"/>
  <c r="AA419" i="7"/>
  <c r="AE419" i="7"/>
  <c r="Y419" i="7"/>
  <c r="AD419" i="7"/>
  <c r="X419" i="7"/>
  <c r="AF419" i="7"/>
  <c r="AG419" i="7"/>
  <c r="Z419" i="7"/>
  <c r="AC419" i="7"/>
  <c r="AB419" i="7"/>
  <c r="W427" i="7"/>
  <c r="AA427" i="7"/>
  <c r="AE427" i="7"/>
  <c r="Y427" i="7"/>
  <c r="AD427" i="7"/>
  <c r="X427" i="7"/>
  <c r="AF427" i="7"/>
  <c r="AG427" i="7"/>
  <c r="Z427" i="7"/>
  <c r="AC427" i="7"/>
  <c r="AB427" i="7"/>
  <c r="AJ433" i="7"/>
  <c r="AI433" i="7"/>
  <c r="AM433" i="7"/>
  <c r="AZ433" i="7"/>
  <c r="AK433" i="7"/>
  <c r="AL368" i="7"/>
  <c r="BA295" i="7"/>
  <c r="BE295" i="7"/>
  <c r="BR295" i="7"/>
  <c r="T232" i="7"/>
  <c r="AE403" i="7"/>
  <c r="Y403" i="7"/>
  <c r="AB403" i="7"/>
  <c r="AL406" i="7"/>
  <c r="AN406" i="7"/>
  <c r="AO406" i="7" a="1"/>
  <c r="AN408" i="7"/>
  <c r="AO408" i="7" a="1"/>
  <c r="T43" i="7"/>
  <c r="AZ232" i="7"/>
  <c r="AI232" i="7"/>
  <c r="AM232" i="7"/>
  <c r="BA416" i="7"/>
  <c r="BE416" i="7"/>
  <c r="BB416" i="7"/>
  <c r="BR416" i="7"/>
  <c r="BC416" i="7"/>
  <c r="BA424" i="7"/>
  <c r="BE424" i="7"/>
  <c r="BB424" i="7"/>
  <c r="BD424" i="7"/>
  <c r="BR424" i="7"/>
  <c r="BC424" i="7"/>
  <c r="BA434" i="7"/>
  <c r="BE434" i="7"/>
  <c r="AJ435" i="7"/>
  <c r="AL435" i="7"/>
  <c r="AK435" i="7"/>
  <c r="AZ435" i="7"/>
  <c r="AI435" i="7"/>
  <c r="AM435" i="7"/>
  <c r="BB425" i="7"/>
  <c r="BA425" i="7"/>
  <c r="BE425" i="7"/>
  <c r="BR425" i="7"/>
  <c r="BC425" i="7"/>
  <c r="T431" i="7"/>
  <c r="V431" i="7"/>
  <c r="W431" i="7" a="1"/>
  <c r="AI441" i="7"/>
  <c r="AM441" i="7"/>
  <c r="AJ441" i="7"/>
  <c r="AZ441" i="7"/>
  <c r="AK441" i="7"/>
  <c r="Z449" i="7"/>
  <c r="AD449" i="7"/>
  <c r="X449" i="7"/>
  <c r="AC449" i="7"/>
  <c r="Y449" i="7"/>
  <c r="AE449" i="7"/>
  <c r="W449" i="7"/>
  <c r="AG449" i="7"/>
  <c r="AB449" i="7"/>
  <c r="AA449" i="7"/>
  <c r="AF449" i="7"/>
  <c r="AB434" i="7"/>
  <c r="T455" i="7"/>
  <c r="V455" i="7"/>
  <c r="W455" i="7" a="1"/>
  <c r="AJ487" i="7"/>
  <c r="AL487" i="7"/>
  <c r="AK487" i="7"/>
  <c r="AZ487" i="7"/>
  <c r="AI487" i="7"/>
  <c r="AM487" i="7"/>
  <c r="AJ495" i="7"/>
  <c r="AL495" i="7"/>
  <c r="AK495" i="7"/>
  <c r="AZ495" i="7"/>
  <c r="AI495" i="7"/>
  <c r="AM495" i="7"/>
  <c r="BB368" i="7"/>
  <c r="BR368" i="7"/>
  <c r="AL419" i="7"/>
  <c r="V453" i="7"/>
  <c r="W453" i="7" a="1"/>
  <c r="V488" i="7"/>
  <c r="W488" i="7" a="1"/>
  <c r="AI493" i="7"/>
  <c r="AM493" i="7"/>
  <c r="AJ493" i="7"/>
  <c r="AL493" i="7"/>
  <c r="AZ493" i="7"/>
  <c r="AK493" i="7"/>
  <c r="AL205" i="7"/>
  <c r="AL462" i="7"/>
  <c r="AC365" i="7"/>
  <c r="X246" i="7"/>
  <c r="AB246" i="7"/>
  <c r="AF246" i="7"/>
  <c r="Y246" i="7"/>
  <c r="AD246" i="7"/>
  <c r="AC246" i="7"/>
  <c r="AA246" i="7"/>
  <c r="W246" i="7"/>
  <c r="Z246" i="7"/>
  <c r="AG246" i="7"/>
  <c r="AE246" i="7"/>
  <c r="AZ29" i="7"/>
  <c r="AI29" i="7"/>
  <c r="AM29" i="7"/>
  <c r="BR231" i="7"/>
  <c r="BA231" i="7"/>
  <c r="BE231" i="7"/>
  <c r="BA374" i="7"/>
  <c r="BE374" i="7"/>
  <c r="BR374" i="7"/>
  <c r="V385" i="7"/>
  <c r="V392" i="7"/>
  <c r="W392" i="7" a="1"/>
  <c r="V400" i="7"/>
  <c r="W400" i="7" a="1"/>
  <c r="V404" i="7"/>
  <c r="W404" i="7" a="1"/>
  <c r="V416" i="7"/>
  <c r="W416" i="7" a="1"/>
  <c r="V420" i="7"/>
  <c r="W420" i="7" a="1"/>
  <c r="V424" i="7"/>
  <c r="W424" i="7" a="1"/>
  <c r="V428" i="7"/>
  <c r="W428" i="7" a="1"/>
  <c r="AI92" i="7"/>
  <c r="AM92" i="7"/>
  <c r="AZ92" i="7"/>
  <c r="BR375" i="7"/>
  <c r="AZ193" i="7"/>
  <c r="AI193" i="7"/>
  <c r="AM193" i="7"/>
  <c r="AZ236" i="7"/>
  <c r="AI236" i="7"/>
  <c r="AM236" i="7"/>
  <c r="BR385" i="7"/>
  <c r="BA385" i="7"/>
  <c r="BE385" i="7"/>
  <c r="BR227" i="7"/>
  <c r="BA227" i="7"/>
  <c r="BE227" i="7"/>
  <c r="BR392" i="7"/>
  <c r="BA392" i="7"/>
  <c r="BE392" i="7"/>
  <c r="BB392" i="7"/>
  <c r="BD392" i="7"/>
  <c r="BC392" i="7"/>
  <c r="BR400" i="7"/>
  <c r="BA400" i="7"/>
  <c r="BE400" i="7"/>
  <c r="BB400" i="7"/>
  <c r="BD400" i="7"/>
  <c r="BC400" i="7"/>
  <c r="W405" i="7"/>
  <c r="AA405" i="7"/>
  <c r="AE405" i="7"/>
  <c r="Y405" i="7"/>
  <c r="AD405" i="7"/>
  <c r="X405" i="7"/>
  <c r="AF405" i="7"/>
  <c r="Z405" i="7"/>
  <c r="AG405" i="7"/>
  <c r="AC405" i="7"/>
  <c r="AB405" i="7"/>
  <c r="AF413" i="7"/>
  <c r="W421" i="7"/>
  <c r="AA421" i="7"/>
  <c r="AE421" i="7"/>
  <c r="Y421" i="7"/>
  <c r="AD421" i="7"/>
  <c r="X421" i="7"/>
  <c r="AF421" i="7"/>
  <c r="AG421" i="7"/>
  <c r="Z421" i="7"/>
  <c r="AB421" i="7"/>
  <c r="AC421" i="7"/>
  <c r="W425" i="7"/>
  <c r="AG425" i="7"/>
  <c r="Z425" i="7"/>
  <c r="AD429" i="7"/>
  <c r="X429" i="7"/>
  <c r="AL295" i="7"/>
  <c r="AL364" i="7"/>
  <c r="AN364" i="7"/>
  <c r="AO364" i="7" a="1"/>
  <c r="AL411" i="7"/>
  <c r="AN411" i="7"/>
  <c r="AO411" i="7" a="1"/>
  <c r="BA420" i="7"/>
  <c r="BE420" i="7"/>
  <c r="BB420" i="7"/>
  <c r="BD420" i="7"/>
  <c r="BR420" i="7"/>
  <c r="BC420" i="7"/>
  <c r="AL426" i="7"/>
  <c r="AN426" i="7"/>
  <c r="AO426" i="7" a="1"/>
  <c r="AJ459" i="7"/>
  <c r="AL459" i="7"/>
  <c r="AK459" i="7"/>
  <c r="AZ459" i="7"/>
  <c r="AI459" i="7"/>
  <c r="AM459" i="7"/>
  <c r="AJ467" i="7"/>
  <c r="AL467" i="7"/>
  <c r="AZ467" i="7"/>
  <c r="AI467" i="7"/>
  <c r="AM467" i="7"/>
  <c r="AK467" i="7"/>
  <c r="AL227" i="7"/>
  <c r="AN227" i="7"/>
  <c r="AO227" i="7" a="1"/>
  <c r="BB413" i="7"/>
  <c r="BD413" i="7"/>
  <c r="BA413" i="7"/>
  <c r="BE413" i="7"/>
  <c r="BR413" i="7"/>
  <c r="BC413" i="7"/>
  <c r="AN415" i="7"/>
  <c r="AO415" i="7" a="1"/>
  <c r="BA421" i="7"/>
  <c r="BE421" i="7"/>
  <c r="BR421" i="7"/>
  <c r="BB429" i="7"/>
  <c r="BD429" i="7"/>
  <c r="BA429" i="7"/>
  <c r="BE429" i="7"/>
  <c r="BC429" i="7"/>
  <c r="BR429" i="7"/>
  <c r="AL412" i="7"/>
  <c r="AN412" i="7"/>
  <c r="AO412" i="7" a="1"/>
  <c r="AL421" i="7"/>
  <c r="AN421" i="7"/>
  <c r="AO421" i="7" a="1"/>
  <c r="V447" i="7"/>
  <c r="W447" i="7" a="1"/>
  <c r="AJ471" i="7"/>
  <c r="AL471" i="7"/>
  <c r="AK471" i="7"/>
  <c r="AZ471" i="7"/>
  <c r="AI471" i="7"/>
  <c r="AM471" i="7"/>
  <c r="AJ432" i="7"/>
  <c r="AL432" i="7"/>
  <c r="AI432" i="7"/>
  <c r="AM432" i="7"/>
  <c r="AK432" i="7"/>
  <c r="AZ432" i="7"/>
  <c r="BC444" i="7"/>
  <c r="BR444" i="7"/>
  <c r="X436" i="7"/>
  <c r="AB436" i="7"/>
  <c r="AF436" i="7"/>
  <c r="Z436" i="7"/>
  <c r="AE436" i="7"/>
  <c r="AA436" i="7"/>
  <c r="AG436" i="7"/>
  <c r="W436" i="7"/>
  <c r="AC436" i="7"/>
  <c r="Y436" i="7"/>
  <c r="AD436" i="7"/>
  <c r="AK453" i="7"/>
  <c r="AZ453" i="7"/>
  <c r="AI453" i="7"/>
  <c r="AM453" i="7"/>
  <c r="AJ453" i="7"/>
  <c r="AL453" i="7"/>
  <c r="AI469" i="7"/>
  <c r="AM469" i="7"/>
  <c r="AJ469" i="7"/>
  <c r="AL469" i="7"/>
  <c r="AK469" i="7"/>
  <c r="AZ469" i="7"/>
  <c r="AI477" i="7"/>
  <c r="AM477" i="7"/>
  <c r="AJ477" i="7"/>
  <c r="AL477" i="7"/>
  <c r="AZ477" i="7"/>
  <c r="AK477" i="7"/>
  <c r="AI485" i="7"/>
  <c r="AM485" i="7"/>
  <c r="AJ485" i="7"/>
  <c r="AL485" i="7"/>
  <c r="AZ485" i="7"/>
  <c r="AK485" i="7"/>
  <c r="AL250" i="7"/>
  <c r="BC450" i="7"/>
  <c r="BR450" i="7"/>
  <c r="BA450" i="7"/>
  <c r="BE450" i="7"/>
  <c r="BB450" i="7"/>
  <c r="BD450" i="7"/>
  <c r="BC472" i="7"/>
  <c r="BR472" i="7"/>
  <c r="BA472" i="7"/>
  <c r="BE472" i="7"/>
  <c r="BB472" i="7"/>
  <c r="BD472" i="7"/>
  <c r="AJ476" i="7"/>
  <c r="AL476" i="7"/>
  <c r="AI476" i="7"/>
  <c r="AM476" i="7"/>
  <c r="AK476" i="7"/>
  <c r="AZ476" i="7"/>
  <c r="AJ490" i="7"/>
  <c r="AL490" i="7"/>
  <c r="AK490" i="7"/>
  <c r="AI490" i="7"/>
  <c r="AM490" i="7"/>
  <c r="AZ490" i="7"/>
  <c r="BC458" i="7"/>
  <c r="BR458" i="7"/>
  <c r="BA458" i="7"/>
  <c r="BE458" i="7"/>
  <c r="BB458" i="7"/>
  <c r="BD458" i="7"/>
  <c r="AJ454" i="7"/>
  <c r="AL454" i="7"/>
  <c r="AI454" i="7"/>
  <c r="AM454" i="7"/>
  <c r="AZ454" i="7"/>
  <c r="AK454" i="7"/>
  <c r="BC478" i="7"/>
  <c r="BR478" i="7"/>
  <c r="BA478" i="7"/>
  <c r="BE478" i="7"/>
  <c r="BB478" i="7"/>
  <c r="BD478" i="7"/>
  <c r="BB486" i="7"/>
  <c r="BD486" i="7"/>
  <c r="AJ500" i="7"/>
  <c r="AL500" i="7"/>
  <c r="AI500" i="7"/>
  <c r="AM500" i="7"/>
  <c r="AZ500" i="7"/>
  <c r="AK500" i="7"/>
  <c r="AJ466" i="7"/>
  <c r="AL466" i="7"/>
  <c r="AI466" i="7"/>
  <c r="AM466" i="7"/>
  <c r="AZ466" i="7"/>
  <c r="AK466" i="7"/>
  <c r="V489" i="7"/>
  <c r="W489" i="7" a="1"/>
  <c r="AJ498" i="7"/>
  <c r="AL498" i="7"/>
  <c r="AZ498" i="7"/>
  <c r="AI498" i="7"/>
  <c r="AM498" i="7"/>
  <c r="AK498" i="7"/>
  <c r="BB502" i="7"/>
  <c r="BD502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W75" i="7" a="1"/>
  <c r="W374" i="7" a="1"/>
  <c r="W213" i="7" a="1"/>
  <c r="W370" i="7" a="1"/>
  <c r="W199" i="7" a="1"/>
  <c r="W309" i="7" a="1"/>
  <c r="W231" i="7" a="1"/>
  <c r="W368" i="7" a="1"/>
  <c r="W227" i="7" a="1"/>
  <c r="W340" i="7" a="1"/>
  <c r="W385" i="7" a="1"/>
  <c r="W208" i="7" a="1"/>
  <c r="W193" i="7" a="1"/>
  <c r="W27" i="7" a="1"/>
  <c r="W376" i="7" a="1"/>
  <c r="W364" i="7" a="1"/>
  <c r="W383" i="7" a="1"/>
  <c r="W250" i="7" a="1"/>
  <c r="AL470" i="7"/>
  <c r="AN470" i="7"/>
  <c r="AO470" i="7" a="1"/>
  <c r="Z209" i="7"/>
  <c r="AA209" i="7"/>
  <c r="AG209" i="7"/>
  <c r="AB209" i="7"/>
  <c r="AE209" i="7"/>
  <c r="AD209" i="7"/>
  <c r="BA208" i="7"/>
  <c r="BE208" i="7"/>
  <c r="BR208" i="7"/>
  <c r="AA498" i="7"/>
  <c r="AE498" i="7"/>
  <c r="AE415" i="7"/>
  <c r="AF415" i="7"/>
  <c r="AC415" i="7"/>
  <c r="W415" i="7"/>
  <c r="AD415" i="7"/>
  <c r="Z415" i="7"/>
  <c r="Y415" i="7"/>
  <c r="AG415" i="7"/>
  <c r="Y413" i="7"/>
  <c r="Z413" i="7"/>
  <c r="W413" i="7"/>
  <c r="AD413" i="7"/>
  <c r="AG413" i="7"/>
  <c r="AA399" i="7"/>
  <c r="AC399" i="7"/>
  <c r="AB399" i="7"/>
  <c r="Y399" i="7"/>
  <c r="AG399" i="7"/>
  <c r="AE399" i="7"/>
  <c r="X399" i="7"/>
  <c r="AF399" i="7"/>
  <c r="BA496" i="7"/>
  <c r="BE496" i="7"/>
  <c r="BB496" i="7"/>
  <c r="Y410" i="7"/>
  <c r="AE410" i="7"/>
  <c r="W410" i="7"/>
  <c r="AG410" i="7"/>
  <c r="AF410" i="7"/>
  <c r="AD410" i="7"/>
  <c r="AC410" i="7"/>
  <c r="X410" i="7"/>
  <c r="AB410" i="7"/>
  <c r="Z423" i="7"/>
  <c r="W423" i="7"/>
  <c r="X478" i="7"/>
  <c r="AE422" i="7"/>
  <c r="AC422" i="7"/>
  <c r="BR496" i="7"/>
  <c r="Z399" i="7"/>
  <c r="AN425" i="7"/>
  <c r="AO425" i="7" a="1"/>
  <c r="AS425" i="7"/>
  <c r="AA415" i="7"/>
  <c r="W494" i="7"/>
  <c r="X494" i="7"/>
  <c r="BR470" i="7"/>
  <c r="BT470" i="7"/>
  <c r="BV470" i="7"/>
  <c r="BB470" i="7"/>
  <c r="BD470" i="7"/>
  <c r="X462" i="7"/>
  <c r="AG462" i="7"/>
  <c r="Y462" i="7"/>
  <c r="AF462" i="7"/>
  <c r="W462" i="7"/>
  <c r="Z462" i="7"/>
  <c r="AB462" i="7"/>
  <c r="AC462" i="7"/>
  <c r="AE462" i="7"/>
  <c r="BC423" i="7"/>
  <c r="BA423" i="7"/>
  <c r="BE423" i="7"/>
  <c r="BB423" i="7"/>
  <c r="BD423" i="7"/>
  <c r="BF423" i="7"/>
  <c r="BG423" i="7" a="1"/>
  <c r="AB478" i="7"/>
  <c r="Z478" i="7"/>
  <c r="AA478" i="7"/>
  <c r="Y478" i="7"/>
  <c r="AF478" i="7"/>
  <c r="AE478" i="7"/>
  <c r="AC478" i="7"/>
  <c r="AB365" i="7"/>
  <c r="Z365" i="7"/>
  <c r="AE365" i="7"/>
  <c r="AL413" i="7"/>
  <c r="AN413" i="7"/>
  <c r="AO413" i="7" a="1"/>
  <c r="Z468" i="7"/>
  <c r="AA468" i="7"/>
  <c r="AB468" i="7"/>
  <c r="Y468" i="7"/>
  <c r="W468" i="7"/>
  <c r="X468" i="7"/>
  <c r="AE468" i="7"/>
  <c r="AC468" i="7"/>
  <c r="BC404" i="7"/>
  <c r="BB404" i="7"/>
  <c r="BD404" i="7"/>
  <c r="BA404" i="7"/>
  <c r="BE404" i="7"/>
  <c r="AN417" i="7"/>
  <c r="AO417" i="7" a="1"/>
  <c r="Y459" i="7"/>
  <c r="AA459" i="7"/>
  <c r="AB459" i="7"/>
  <c r="Z459" i="7"/>
  <c r="W459" i="7"/>
  <c r="AF459" i="7"/>
  <c r="AE459" i="7"/>
  <c r="X459" i="7"/>
  <c r="AE423" i="7"/>
  <c r="AF423" i="7"/>
  <c r="AB423" i="7"/>
  <c r="Y423" i="7"/>
  <c r="AG423" i="7"/>
  <c r="X413" i="7"/>
  <c r="X365" i="7"/>
  <c r="AD459" i="7"/>
  <c r="AC209" i="7"/>
  <c r="Z410" i="7"/>
  <c r="X415" i="7"/>
  <c r="BC470" i="7"/>
  <c r="AB413" i="7"/>
  <c r="AE413" i="7"/>
  <c r="AC413" i="7"/>
  <c r="AA413" i="7"/>
  <c r="Y365" i="7"/>
  <c r="BC496" i="7"/>
  <c r="AD423" i="7"/>
  <c r="AG478" i="7"/>
  <c r="AD399" i="7"/>
  <c r="AD462" i="7"/>
  <c r="AG459" i="7"/>
  <c r="AG468" i="7"/>
  <c r="BB421" i="7"/>
  <c r="BD421" i="7"/>
  <c r="BA274" i="7"/>
  <c r="BC274" i="7"/>
  <c r="AD432" i="7"/>
  <c r="BA480" i="7"/>
  <c r="BE480" i="7"/>
  <c r="BB414" i="7"/>
  <c r="BD414" i="7"/>
  <c r="BA412" i="7"/>
  <c r="BE412" i="7"/>
  <c r="BB417" i="7"/>
  <c r="BD417" i="7"/>
  <c r="X418" i="7"/>
  <c r="AA437" i="7"/>
  <c r="BC462" i="7"/>
  <c r="BF462" i="7"/>
  <c r="BG462" i="7" a="1"/>
  <c r="BC405" i="7"/>
  <c r="AG502" i="7"/>
  <c r="Z502" i="7"/>
  <c r="AB502" i="7"/>
  <c r="AS488" i="7"/>
  <c r="AO488" i="7"/>
  <c r="Z295" i="7"/>
  <c r="BB412" i="7"/>
  <c r="BD412" i="7"/>
  <c r="V205" i="7"/>
  <c r="W205" i="7" a="1"/>
  <c r="W205" i="7"/>
  <c r="AC417" i="7"/>
  <c r="W432" i="7"/>
  <c r="Y432" i="7"/>
  <c r="AC397" i="7"/>
  <c r="Y418" i="7"/>
  <c r="AF495" i="7"/>
  <c r="AA502" i="7"/>
  <c r="AD502" i="7"/>
  <c r="AX488" i="7"/>
  <c r="AV488" i="7"/>
  <c r="AN472" i="7"/>
  <c r="AO472" i="7" a="1"/>
  <c r="T371" i="7"/>
  <c r="V371" i="7"/>
  <c r="AA75" i="7"/>
  <c r="Y75" i="7"/>
  <c r="AC75" i="7"/>
  <c r="AE75" i="7"/>
  <c r="AG75" i="7"/>
  <c r="AD75" i="7"/>
  <c r="Z75" i="7"/>
  <c r="AB75" i="7"/>
  <c r="W75" i="7"/>
  <c r="AF75" i="7"/>
  <c r="X75" i="7"/>
  <c r="AG479" i="7"/>
  <c r="AN460" i="7"/>
  <c r="AO460" i="7" a="1"/>
  <c r="AU460" i="7"/>
  <c r="AN405" i="7"/>
  <c r="AO405" i="7" a="1"/>
  <c r="AG469" i="7"/>
  <c r="Y209" i="7"/>
  <c r="AF209" i="7"/>
  <c r="W209" i="7"/>
  <c r="X209" i="7"/>
  <c r="AG229" i="7"/>
  <c r="AA374" i="7"/>
  <c r="AB374" i="7"/>
  <c r="AG374" i="7"/>
  <c r="Z374" i="7"/>
  <c r="AD374" i="7"/>
  <c r="W374" i="7"/>
  <c r="AF374" i="7"/>
  <c r="Y374" i="7"/>
  <c r="AE374" i="7"/>
  <c r="AC374" i="7"/>
  <c r="X374" i="7"/>
  <c r="AY486" i="7"/>
  <c r="AO486" i="7"/>
  <c r="BR417" i="7"/>
  <c r="AA418" i="7"/>
  <c r="Z418" i="7"/>
  <c r="AF402" i="7"/>
  <c r="X461" i="7"/>
  <c r="AG442" i="7"/>
  <c r="Y442" i="7"/>
  <c r="W495" i="7"/>
  <c r="AD495" i="7"/>
  <c r="AE476" i="7"/>
  <c r="AA451" i="7"/>
  <c r="AC295" i="7"/>
  <c r="X295" i="7"/>
  <c r="AA295" i="7"/>
  <c r="AN458" i="7"/>
  <c r="AO458" i="7" a="1"/>
  <c r="Z484" i="7"/>
  <c r="BA502" i="7"/>
  <c r="BE502" i="7"/>
  <c r="BF502" i="7"/>
  <c r="BG502" i="7" a="1"/>
  <c r="BN502" i="7"/>
  <c r="AN250" i="7"/>
  <c r="AO250" i="7" a="1"/>
  <c r="AX250" i="7"/>
  <c r="AF417" i="7"/>
  <c r="BB274" i="7"/>
  <c r="BD274" i="7"/>
  <c r="AB457" i="7"/>
  <c r="AA450" i="7"/>
  <c r="AA397" i="7"/>
  <c r="BC417" i="7"/>
  <c r="BC364" i="7"/>
  <c r="BE364" i="7"/>
  <c r="BF364" i="7"/>
  <c r="BG364" i="7" a="1"/>
  <c r="AD418" i="7"/>
  <c r="AE418" i="7"/>
  <c r="AC467" i="7"/>
  <c r="AU472" i="7"/>
  <c r="AD484" i="7"/>
  <c r="AB295" i="7"/>
  <c r="AD295" i="7"/>
  <c r="AE295" i="7"/>
  <c r="BR502" i="7"/>
  <c r="BS502" i="7"/>
  <c r="BW502" i="7"/>
  <c r="BC486" i="7"/>
  <c r="BR468" i="7"/>
  <c r="AB429" i="7"/>
  <c r="AA429" i="7"/>
  <c r="AD425" i="7"/>
  <c r="AE417" i="7"/>
  <c r="X409" i="7"/>
  <c r="BB402" i="7"/>
  <c r="BD402" i="7"/>
  <c r="BA402" i="7"/>
  <c r="BE402" i="7"/>
  <c r="BF402" i="7"/>
  <c r="BG402" i="7" a="1"/>
  <c r="BE274" i="7"/>
  <c r="BC434" i="7"/>
  <c r="AN410" i="7"/>
  <c r="AO410" i="7" a="1"/>
  <c r="AO410" i="7"/>
  <c r="AG403" i="7"/>
  <c r="Z500" i="7"/>
  <c r="AB500" i="7"/>
  <c r="AA432" i="7"/>
  <c r="BC468" i="7"/>
  <c r="BB468" i="7"/>
  <c r="BD468" i="7"/>
  <c r="BF468" i="7"/>
  <c r="BG468" i="7" a="1"/>
  <c r="BA428" i="7"/>
  <c r="BE428" i="7"/>
  <c r="Z429" i="7"/>
  <c r="W429" i="7"/>
  <c r="Y425" i="7"/>
  <c r="AG434" i="7"/>
  <c r="X403" i="7"/>
  <c r="AE500" i="7"/>
  <c r="AE432" i="7"/>
  <c r="AG432" i="7"/>
  <c r="AB397" i="7"/>
  <c r="AN274" i="7"/>
  <c r="AO274" i="7" a="1"/>
  <c r="AT274" i="7"/>
  <c r="W418" i="7"/>
  <c r="AC418" i="7"/>
  <c r="AC442" i="7"/>
  <c r="AE442" i="7"/>
  <c r="BC407" i="7"/>
  <c r="AC495" i="7"/>
  <c r="Z495" i="7"/>
  <c r="Z476" i="7"/>
  <c r="Y295" i="7"/>
  <c r="AF295" i="7"/>
  <c r="AN369" i="7"/>
  <c r="AO369" i="7" a="1"/>
  <c r="AS369" i="7"/>
  <c r="AN260" i="7"/>
  <c r="AE411" i="7"/>
  <c r="AN478" i="7"/>
  <c r="AO478" i="7" a="1"/>
  <c r="AC434" i="7"/>
  <c r="AN422" i="7"/>
  <c r="AO422" i="7" a="1"/>
  <c r="AR422" i="7"/>
  <c r="V43" i="7"/>
  <c r="W43" i="7" a="1"/>
  <c r="AE450" i="7"/>
  <c r="Z397" i="7"/>
  <c r="AD397" i="7"/>
  <c r="W397" i="7"/>
  <c r="AC411" i="7"/>
  <c r="X411" i="7"/>
  <c r="AA411" i="7"/>
  <c r="AD426" i="7"/>
  <c r="AA422" i="7"/>
  <c r="Y422" i="7"/>
  <c r="BR407" i="7"/>
  <c r="AE467" i="7"/>
  <c r="AF469" i="7"/>
  <c r="AC469" i="7"/>
  <c r="Y465" i="7"/>
  <c r="AE229" i="7"/>
  <c r="BA486" i="7"/>
  <c r="BE486" i="7"/>
  <c r="BA470" i="7"/>
  <c r="BE470" i="7"/>
  <c r="BF470" i="7"/>
  <c r="BG470" i="7" a="1"/>
  <c r="BB444" i="7"/>
  <c r="BD444" i="7"/>
  <c r="AN295" i="7"/>
  <c r="AO295" i="7" a="1"/>
  <c r="AO295" i="7"/>
  <c r="AG429" i="7"/>
  <c r="Y429" i="7"/>
  <c r="AC425" i="7"/>
  <c r="AF425" i="7"/>
  <c r="AE425" i="7"/>
  <c r="Z417" i="7"/>
  <c r="AD417" i="7"/>
  <c r="W417" i="7"/>
  <c r="AC409" i="7"/>
  <c r="AA409" i="7"/>
  <c r="BR402" i="7"/>
  <c r="AN462" i="7"/>
  <c r="AO462" i="7" a="1"/>
  <c r="AP462" i="7"/>
  <c r="AN419" i="7"/>
  <c r="AO419" i="7" a="1"/>
  <c r="AP419" i="7"/>
  <c r="AA434" i="7"/>
  <c r="BB434" i="7"/>
  <c r="AN414" i="7"/>
  <c r="AO414" i="7" a="1"/>
  <c r="AT414" i="7"/>
  <c r="AF403" i="7"/>
  <c r="AC403" i="7"/>
  <c r="AA403" i="7"/>
  <c r="AG494" i="7"/>
  <c r="AA457" i="7"/>
  <c r="Y497" i="7"/>
  <c r="AF497" i="7"/>
  <c r="AN434" i="7"/>
  <c r="AO434" i="7" a="1"/>
  <c r="AY434" i="7"/>
  <c r="AN428" i="7"/>
  <c r="AO428" i="7" a="1"/>
  <c r="AT428" i="7"/>
  <c r="AG397" i="7"/>
  <c r="Y397" i="7"/>
  <c r="AN309" i="7"/>
  <c r="AO309" i="7" a="1"/>
  <c r="AO309" i="7"/>
  <c r="W501" i="7"/>
  <c r="AG411" i="7"/>
  <c r="AD411" i="7"/>
  <c r="W411" i="7"/>
  <c r="BR364" i="7"/>
  <c r="BS364" i="7"/>
  <c r="BT364" i="7"/>
  <c r="AG426" i="7"/>
  <c r="X422" i="7"/>
  <c r="BB427" i="7"/>
  <c r="BD427" i="7"/>
  <c r="BA407" i="7"/>
  <c r="BE407" i="7"/>
  <c r="BF407" i="7"/>
  <c r="BG407" i="7" a="1"/>
  <c r="BA405" i="7"/>
  <c r="BE405" i="7"/>
  <c r="AB469" i="7"/>
  <c r="AA469" i="7"/>
  <c r="X469" i="7"/>
  <c r="W484" i="7"/>
  <c r="AC476" i="7"/>
  <c r="AE464" i="7"/>
  <c r="AW452" i="7"/>
  <c r="AE451" i="7"/>
  <c r="AX502" i="7"/>
  <c r="AK340" i="7"/>
  <c r="V235" i="7"/>
  <c r="AB411" i="7"/>
  <c r="AF411" i="7"/>
  <c r="AB417" i="7"/>
  <c r="X417" i="7"/>
  <c r="AA417" i="7"/>
  <c r="AD409" i="7"/>
  <c r="X497" i="7"/>
  <c r="W497" i="7"/>
  <c r="Z497" i="7"/>
  <c r="BR405" i="7"/>
  <c r="BU405" i="7"/>
  <c r="BB428" i="7"/>
  <c r="BD428" i="7"/>
  <c r="AC429" i="7"/>
  <c r="AF429" i="7"/>
  <c r="AB425" i="7"/>
  <c r="X425" i="7"/>
  <c r="AG417" i="7"/>
  <c r="AG409" i="7"/>
  <c r="W409" i="7"/>
  <c r="AN205" i="7"/>
  <c r="AO205" i="7" a="1"/>
  <c r="AT205" i="7"/>
  <c r="Y434" i="7"/>
  <c r="AF434" i="7"/>
  <c r="Z403" i="7"/>
  <c r="AD403" i="7"/>
  <c r="Y494" i="7"/>
  <c r="Z457" i="7"/>
  <c r="AE497" i="7"/>
  <c r="AG497" i="7"/>
  <c r="AG445" i="7"/>
  <c r="AF397" i="7"/>
  <c r="X397" i="7"/>
  <c r="BA229" i="7"/>
  <c r="BE229" i="7"/>
  <c r="AC501" i="7"/>
  <c r="Z411" i="7"/>
  <c r="W469" i="7"/>
  <c r="AE469" i="7"/>
  <c r="AG484" i="7"/>
  <c r="AF484" i="7"/>
  <c r="AG451" i="7"/>
  <c r="AS502" i="7"/>
  <c r="Y229" i="7"/>
  <c r="AN468" i="7"/>
  <c r="AO468" i="7" a="1"/>
  <c r="AP468" i="7"/>
  <c r="AJ340" i="7"/>
  <c r="AL340" i="7"/>
  <c r="V384" i="7"/>
  <c r="AN384" i="7"/>
  <c r="AO384" i="7" a="1"/>
  <c r="AG365" i="7"/>
  <c r="AD365" i="7"/>
  <c r="AF365" i="7"/>
  <c r="AA365" i="7"/>
  <c r="W365" i="7"/>
  <c r="AW480" i="7"/>
  <c r="AT472" i="7"/>
  <c r="AC479" i="7"/>
  <c r="Y479" i="7"/>
  <c r="AA464" i="7"/>
  <c r="AB464" i="7"/>
  <c r="AO458" i="7"/>
  <c r="AY458" i="7"/>
  <c r="W452" i="7"/>
  <c r="AA452" i="7"/>
  <c r="AD464" i="7"/>
  <c r="W464" i="7"/>
  <c r="AD452" i="7"/>
  <c r="AB418" i="7"/>
  <c r="AF418" i="7"/>
  <c r="AB492" i="7"/>
  <c r="AE484" i="7"/>
  <c r="Y484" i="7"/>
  <c r="AB484" i="7"/>
  <c r="AE452" i="7"/>
  <c r="AG452" i="7"/>
  <c r="AB452" i="7"/>
  <c r="AN241" i="7"/>
  <c r="AO241" i="7" a="1"/>
  <c r="AP241" i="7"/>
  <c r="AN208" i="7"/>
  <c r="AO208" i="7" a="1"/>
  <c r="AT208" i="7"/>
  <c r="V236" i="7"/>
  <c r="AA484" i="7"/>
  <c r="AC484" i="7"/>
  <c r="V380" i="7"/>
  <c r="X452" i="7"/>
  <c r="AF452" i="7"/>
  <c r="V92" i="7"/>
  <c r="W92" i="7" a="1"/>
  <c r="AB92" i="7"/>
  <c r="AN423" i="7"/>
  <c r="AO423" i="7" a="1"/>
  <c r="AS423" i="7"/>
  <c r="X199" i="7"/>
  <c r="AE199" i="7"/>
  <c r="AG199" i="7"/>
  <c r="AB199" i="7"/>
  <c r="AA199" i="7"/>
  <c r="AC199" i="7"/>
  <c r="AF199" i="7"/>
  <c r="Y199" i="7"/>
  <c r="AD199" i="7"/>
  <c r="Z199" i="7"/>
  <c r="W199" i="7"/>
  <c r="Z370" i="7"/>
  <c r="AD370" i="7"/>
  <c r="Y370" i="7"/>
  <c r="AE370" i="7"/>
  <c r="AF370" i="7"/>
  <c r="AB370" i="7"/>
  <c r="AC370" i="7"/>
  <c r="W370" i="7"/>
  <c r="AG370" i="7"/>
  <c r="X370" i="7"/>
  <c r="AA370" i="7"/>
  <c r="AD213" i="7"/>
  <c r="AF213" i="7"/>
  <c r="AA213" i="7"/>
  <c r="X213" i="7"/>
  <c r="AB213" i="7"/>
  <c r="AE213" i="7"/>
  <c r="Z213" i="7"/>
  <c r="W213" i="7"/>
  <c r="Y213" i="7"/>
  <c r="AG213" i="7"/>
  <c r="AC213" i="7"/>
  <c r="AQ450" i="7"/>
  <c r="AR450" i="7"/>
  <c r="AU231" i="7"/>
  <c r="AP231" i="7"/>
  <c r="AO231" i="7"/>
  <c r="BC460" i="7"/>
  <c r="BR460" i="7"/>
  <c r="BT460" i="7"/>
  <c r="BV460" i="7"/>
  <c r="BA460" i="7"/>
  <c r="BE460" i="7"/>
  <c r="Z437" i="7"/>
  <c r="W437" i="7"/>
  <c r="X437" i="7"/>
  <c r="AD437" i="7"/>
  <c r="AB437" i="7"/>
  <c r="AE437" i="7"/>
  <c r="Y414" i="7"/>
  <c r="AE414" i="7"/>
  <c r="AA414" i="7"/>
  <c r="AC414" i="7"/>
  <c r="X414" i="7"/>
  <c r="AB414" i="7"/>
  <c r="AD485" i="7"/>
  <c r="Z485" i="7"/>
  <c r="Y485" i="7"/>
  <c r="AD493" i="7"/>
  <c r="AE493" i="7"/>
  <c r="AG493" i="7"/>
  <c r="X493" i="7"/>
  <c r="AF493" i="7"/>
  <c r="AA493" i="7"/>
  <c r="BR399" i="7"/>
  <c r="BU399" i="7"/>
  <c r="BA399" i="7"/>
  <c r="BE399" i="7"/>
  <c r="AF414" i="7"/>
  <c r="Z402" i="7"/>
  <c r="X402" i="7"/>
  <c r="Y402" i="7"/>
  <c r="AE402" i="7"/>
  <c r="AA402" i="7"/>
  <c r="Z426" i="7"/>
  <c r="W426" i="7"/>
  <c r="Y426" i="7"/>
  <c r="AE426" i="7"/>
  <c r="AA426" i="7"/>
  <c r="BC442" i="7"/>
  <c r="BR442" i="7"/>
  <c r="BT442" i="7"/>
  <c r="BV442" i="7"/>
  <c r="BR403" i="7"/>
  <c r="BA403" i="7"/>
  <c r="BE403" i="7"/>
  <c r="Z467" i="7"/>
  <c r="X467" i="7"/>
  <c r="AB467" i="7"/>
  <c r="AD467" i="7"/>
  <c r="AF467" i="7"/>
  <c r="W467" i="7"/>
  <c r="T241" i="7"/>
  <c r="V241" i="7"/>
  <c r="BC428" i="7"/>
  <c r="Z409" i="7"/>
  <c r="Y409" i="7"/>
  <c r="BF246" i="7"/>
  <c r="W434" i="7"/>
  <c r="AE434" i="7"/>
  <c r="X434" i="7"/>
  <c r="AN368" i="7"/>
  <c r="AO368" i="7" a="1"/>
  <c r="AX368" i="7"/>
  <c r="AE445" i="7"/>
  <c r="AN442" i="7"/>
  <c r="AO442" i="7" a="1"/>
  <c r="AY442" i="7"/>
  <c r="AN494" i="7"/>
  <c r="AO494" i="7" a="1"/>
  <c r="BB399" i="7"/>
  <c r="BD399" i="7"/>
  <c r="AF426" i="7"/>
  <c r="Z414" i="7"/>
  <c r="AD402" i="7"/>
  <c r="AG437" i="7"/>
  <c r="AG467" i="7"/>
  <c r="AN397" i="7"/>
  <c r="AO397" i="7" a="1"/>
  <c r="AT397" i="7"/>
  <c r="AC493" i="7"/>
  <c r="AV502" i="7"/>
  <c r="AU496" i="7"/>
  <c r="AX496" i="7"/>
  <c r="AC274" i="7"/>
  <c r="Y274" i="7"/>
  <c r="AA274" i="7"/>
  <c r="Z274" i="7"/>
  <c r="AL375" i="7"/>
  <c r="AN375" i="7"/>
  <c r="AO375" i="7" a="1"/>
  <c r="T296" i="7"/>
  <c r="V296" i="7"/>
  <c r="T372" i="7"/>
  <c r="V372" i="7"/>
  <c r="W372" i="7" a="1"/>
  <c r="T354" i="7"/>
  <c r="V354" i="7"/>
  <c r="W354" i="7" a="1"/>
  <c r="AC354" i="7"/>
  <c r="AB476" i="7"/>
  <c r="Y476" i="7"/>
  <c r="AA476" i="7"/>
  <c r="AF476" i="7"/>
  <c r="AD476" i="7"/>
  <c r="AG476" i="7"/>
  <c r="BR309" i="7"/>
  <c r="BA309" i="7"/>
  <c r="BE309" i="7"/>
  <c r="AD451" i="7"/>
  <c r="AF451" i="7"/>
  <c r="AC451" i="7"/>
  <c r="Y451" i="7"/>
  <c r="AB451" i="7"/>
  <c r="X451" i="7"/>
  <c r="T256" i="7"/>
  <c r="V256" i="7"/>
  <c r="AM246" i="7"/>
  <c r="AJ246" i="7"/>
  <c r="Z445" i="7"/>
  <c r="W445" i="7"/>
  <c r="AC445" i="7"/>
  <c r="AD445" i="7"/>
  <c r="AB445" i="7"/>
  <c r="Y445" i="7"/>
  <c r="AO436" i="7"/>
  <c r="AV436" i="7"/>
  <c r="AS436" i="7"/>
  <c r="AB498" i="7"/>
  <c r="W498" i="7"/>
  <c r="Y498" i="7"/>
  <c r="AF498" i="7"/>
  <c r="AC498" i="7"/>
  <c r="Z498" i="7"/>
  <c r="AL407" i="7"/>
  <c r="AN407" i="7"/>
  <c r="AO407" i="7" a="1"/>
  <c r="AG498" i="7"/>
  <c r="AF445" i="7"/>
  <c r="BC399" i="7"/>
  <c r="AC437" i="7"/>
  <c r="W485" i="7"/>
  <c r="AC465" i="7"/>
  <c r="Y493" i="7"/>
  <c r="AP436" i="7"/>
  <c r="Z433" i="7"/>
  <c r="AA461" i="7"/>
  <c r="AD461" i="7"/>
  <c r="AB494" i="7"/>
  <c r="Z494" i="7"/>
  <c r="AA494" i="7"/>
  <c r="AF494" i="7"/>
  <c r="AE494" i="7"/>
  <c r="AC494" i="7"/>
  <c r="W229" i="7"/>
  <c r="AF229" i="7"/>
  <c r="AB229" i="7"/>
  <c r="AA229" i="7"/>
  <c r="X229" i="7"/>
  <c r="AC229" i="7"/>
  <c r="X450" i="7"/>
  <c r="AD450" i="7"/>
  <c r="AG450" i="7"/>
  <c r="AB450" i="7"/>
  <c r="Z450" i="7"/>
  <c r="AC450" i="7"/>
  <c r="AU502" i="7"/>
  <c r="AO502" i="7"/>
  <c r="AP502" i="7"/>
  <c r="AY502" i="7"/>
  <c r="AT502" i="7"/>
  <c r="AR502" i="7"/>
  <c r="AN401" i="7"/>
  <c r="AO401" i="7" a="1"/>
  <c r="AB409" i="7"/>
  <c r="AF409" i="7"/>
  <c r="AD434" i="7"/>
  <c r="AD494" i="7"/>
  <c r="AD498" i="7"/>
  <c r="X498" i="7"/>
  <c r="BB460" i="7"/>
  <c r="BD460" i="7"/>
  <c r="X445" i="7"/>
  <c r="BB442" i="7"/>
  <c r="BD442" i="7"/>
  <c r="W450" i="7"/>
  <c r="AF450" i="7"/>
  <c r="AN385" i="7"/>
  <c r="AO385" i="7" a="1"/>
  <c r="BC403" i="7"/>
  <c r="AN75" i="7"/>
  <c r="AO75" i="7" a="1"/>
  <c r="AX75" i="7"/>
  <c r="X426" i="7"/>
  <c r="AD414" i="7"/>
  <c r="AG414" i="7"/>
  <c r="W402" i="7"/>
  <c r="AE274" i="7"/>
  <c r="AC446" i="7"/>
  <c r="AF437" i="7"/>
  <c r="AA467" i="7"/>
  <c r="W493" i="7"/>
  <c r="Z493" i="7"/>
  <c r="AW502" i="7"/>
  <c r="Z229" i="7"/>
  <c r="AG422" i="7"/>
  <c r="AF422" i="7"/>
  <c r="AB422" i="7"/>
  <c r="Z422" i="7"/>
  <c r="W422" i="7"/>
  <c r="Z473" i="7"/>
  <c r="AF473" i="7"/>
  <c r="Z479" i="7"/>
  <c r="AA479" i="7"/>
  <c r="X479" i="7"/>
  <c r="AD479" i="7"/>
  <c r="AF479" i="7"/>
  <c r="AB479" i="7"/>
  <c r="AS458" i="7"/>
  <c r="AR458" i="7"/>
  <c r="AQ458" i="7"/>
  <c r="AX458" i="7"/>
  <c r="AT458" i="7"/>
  <c r="AF500" i="7"/>
  <c r="AD500" i="7"/>
  <c r="AA500" i="7"/>
  <c r="W500" i="7"/>
  <c r="AG500" i="7"/>
  <c r="V260" i="7"/>
  <c r="W260" i="7" a="1"/>
  <c r="AD260" i="7"/>
  <c r="V232" i="7"/>
  <c r="T388" i="7"/>
  <c r="V388" i="7"/>
  <c r="AK92" i="7"/>
  <c r="AS496" i="7"/>
  <c r="AN209" i="7"/>
  <c r="AO209" i="7" a="1"/>
  <c r="AY450" i="7"/>
  <c r="AA456" i="7"/>
  <c r="AO496" i="7"/>
  <c r="BC374" i="7"/>
  <c r="AJ29" i="7"/>
  <c r="AX436" i="7"/>
  <c r="AY436" i="7"/>
  <c r="W456" i="7"/>
  <c r="AY496" i="7"/>
  <c r="Z368" i="7"/>
  <c r="AD368" i="7"/>
  <c r="W368" i="7"/>
  <c r="AF368" i="7"/>
  <c r="AG368" i="7"/>
  <c r="AA368" i="7"/>
  <c r="AC368" i="7"/>
  <c r="X368" i="7"/>
  <c r="AE368" i="7"/>
  <c r="AB368" i="7"/>
  <c r="Y368" i="7"/>
  <c r="AF231" i="7"/>
  <c r="Y231" i="7"/>
  <c r="AD231" i="7"/>
  <c r="Z231" i="7"/>
  <c r="W231" i="7"/>
  <c r="X231" i="7"/>
  <c r="AE231" i="7"/>
  <c r="AA231" i="7"/>
  <c r="AB231" i="7"/>
  <c r="AC231" i="7"/>
  <c r="AG231" i="7"/>
  <c r="AE309" i="7"/>
  <c r="AB309" i="7"/>
  <c r="AG309" i="7"/>
  <c r="Z309" i="7"/>
  <c r="X309" i="7"/>
  <c r="W309" i="7"/>
  <c r="AF309" i="7"/>
  <c r="Y309" i="7"/>
  <c r="AA309" i="7"/>
  <c r="AC309" i="7"/>
  <c r="AD309" i="7"/>
  <c r="AS241" i="7"/>
  <c r="AK29" i="7"/>
  <c r="BB384" i="7"/>
  <c r="BD384" i="7"/>
  <c r="BC208" i="7"/>
  <c r="AK372" i="7"/>
  <c r="BC296" i="7"/>
  <c r="AX478" i="7"/>
  <c r="AV496" i="7"/>
  <c r="AQ496" i="7"/>
  <c r="BC385" i="7"/>
  <c r="BB241" i="7"/>
  <c r="BD241" i="7"/>
  <c r="BC75" i="7"/>
  <c r="AK354" i="7"/>
  <c r="AR478" i="7"/>
  <c r="AU478" i="7"/>
  <c r="Y464" i="7"/>
  <c r="AG464" i="7"/>
  <c r="AR496" i="7"/>
  <c r="AT496" i="7"/>
  <c r="BC295" i="7"/>
  <c r="AK256" i="7"/>
  <c r="AK395" i="7"/>
  <c r="AK376" i="7"/>
  <c r="AK383" i="7"/>
  <c r="AW496" i="7"/>
  <c r="AP496" i="7"/>
  <c r="V29" i="7"/>
  <c r="W29" i="7" a="1"/>
  <c r="AA29" i="7"/>
  <c r="AJ232" i="7"/>
  <c r="AN365" i="7"/>
  <c r="AO365" i="7" a="1"/>
  <c r="AT365" i="7"/>
  <c r="AN296" i="7"/>
  <c r="AO296" i="7" a="1"/>
  <c r="AV296" i="7"/>
  <c r="V395" i="7"/>
  <c r="V369" i="7"/>
  <c r="AN374" i="7"/>
  <c r="AO374" i="7" a="1"/>
  <c r="AO374" i="7"/>
  <c r="AK213" i="7"/>
  <c r="AK371" i="7"/>
  <c r="BC227" i="7"/>
  <c r="AK236" i="7"/>
  <c r="AJ395" i="7"/>
  <c r="AL395" i="7"/>
  <c r="AJ376" i="7"/>
  <c r="AL376" i="7"/>
  <c r="BC205" i="7"/>
  <c r="AJ371" i="7"/>
  <c r="AL371" i="7"/>
  <c r="AG227" i="7"/>
  <c r="BB227" i="7"/>
  <c r="BD227" i="7"/>
  <c r="AE227" i="7"/>
  <c r="W340" i="7"/>
  <c r="AD340" i="7"/>
  <c r="Z340" i="7"/>
  <c r="AA340" i="7"/>
  <c r="AC340" i="7"/>
  <c r="AB340" i="7"/>
  <c r="Y340" i="7"/>
  <c r="AE340" i="7"/>
  <c r="X340" i="7"/>
  <c r="AF340" i="7"/>
  <c r="AG340" i="7"/>
  <c r="BB340" i="7"/>
  <c r="BD340" i="7"/>
  <c r="BC340" i="7"/>
  <c r="BB385" i="7"/>
  <c r="BD385" i="7"/>
  <c r="AG205" i="7"/>
  <c r="AA205" i="7"/>
  <c r="BB205" i="7"/>
  <c r="BD205" i="7"/>
  <c r="BB75" i="7"/>
  <c r="BD75" i="7"/>
  <c r="AK232" i="7"/>
  <c r="BB295" i="7"/>
  <c r="BD295" i="7"/>
  <c r="AJ236" i="7"/>
  <c r="AL236" i="7"/>
  <c r="BB309" i="7"/>
  <c r="BD309" i="7"/>
  <c r="BC309" i="7"/>
  <c r="BB43" i="7"/>
  <c r="BD43" i="7"/>
  <c r="BC43" i="7"/>
  <c r="BB374" i="7"/>
  <c r="BD374" i="7"/>
  <c r="AJ354" i="7"/>
  <c r="AL354" i="7"/>
  <c r="Z208" i="7"/>
  <c r="AB208" i="7"/>
  <c r="AG208" i="7"/>
  <c r="W208" i="7"/>
  <c r="AF208" i="7"/>
  <c r="AD208" i="7"/>
  <c r="AA208" i="7"/>
  <c r="Y208" i="7"/>
  <c r="X208" i="7"/>
  <c r="AE208" i="7"/>
  <c r="AC208" i="7"/>
  <c r="BB208" i="7"/>
  <c r="BD208" i="7"/>
  <c r="AA193" i="7"/>
  <c r="AJ193" i="7"/>
  <c r="AL193" i="7"/>
  <c r="AK193" i="7"/>
  <c r="BC260" i="7"/>
  <c r="BB260" i="7"/>
  <c r="BD260" i="7"/>
  <c r="AJ372" i="7"/>
  <c r="AL372" i="7"/>
  <c r="BC368" i="7"/>
  <c r="BD368" i="7"/>
  <c r="BB369" i="7"/>
  <c r="BD369" i="7"/>
  <c r="BC369" i="7"/>
  <c r="BC209" i="7"/>
  <c r="BB209" i="7"/>
  <c r="BD209" i="7"/>
  <c r="BC241" i="7"/>
  <c r="BC384" i="7"/>
  <c r="AJ235" i="7"/>
  <c r="AL235" i="7"/>
  <c r="AM229" i="7"/>
  <c r="AJ229" i="7"/>
  <c r="AL229" i="7"/>
  <c r="AK229" i="7"/>
  <c r="AK27" i="7"/>
  <c r="AJ27" i="7"/>
  <c r="AL27" i="7"/>
  <c r="BC231" i="7"/>
  <c r="BB231" i="7"/>
  <c r="BD231" i="7"/>
  <c r="AR231" i="7"/>
  <c r="AS231" i="7"/>
  <c r="AQ231" i="7"/>
  <c r="AT231" i="7"/>
  <c r="AE376" i="7"/>
  <c r="AJ213" i="7"/>
  <c r="AL213" i="7"/>
  <c r="AJ256" i="7"/>
  <c r="AL256" i="7"/>
  <c r="BB296" i="7"/>
  <c r="BD296" i="7"/>
  <c r="BC199" i="7"/>
  <c r="BB199" i="7"/>
  <c r="BC365" i="7"/>
  <c r="BB365" i="7"/>
  <c r="BD365" i="7"/>
  <c r="W364" i="7"/>
  <c r="AD364" i="7"/>
  <c r="Z364" i="7"/>
  <c r="AA364" i="7"/>
  <c r="AC364" i="7"/>
  <c r="AF364" i="7"/>
  <c r="AG364" i="7"/>
  <c r="AE364" i="7"/>
  <c r="X364" i="7"/>
  <c r="AB364" i="7"/>
  <c r="Y364" i="7"/>
  <c r="AJ383" i="7"/>
  <c r="AL383" i="7"/>
  <c r="BT246" i="7"/>
  <c r="BV246" i="7"/>
  <c r="BU246" i="7"/>
  <c r="AJ92" i="7"/>
  <c r="AL92" i="7"/>
  <c r="AJ380" i="7"/>
  <c r="AL380" i="7"/>
  <c r="AK380" i="7"/>
  <c r="BB370" i="7"/>
  <c r="BD370" i="7"/>
  <c r="BC370" i="7"/>
  <c r="BF370" i="7"/>
  <c r="BG370" i="7" a="1"/>
  <c r="AK388" i="7"/>
  <c r="AJ388" i="7"/>
  <c r="AL388" i="7"/>
  <c r="BR388" i="7"/>
  <c r="BA388" i="7"/>
  <c r="BB388" i="7"/>
  <c r="BC375" i="7"/>
  <c r="BB375" i="7"/>
  <c r="Y250" i="7"/>
  <c r="X250" i="7"/>
  <c r="W250" i="7"/>
  <c r="AD250" i="7"/>
  <c r="Z250" i="7"/>
  <c r="AA250" i="7"/>
  <c r="AB250" i="7"/>
  <c r="AC250" i="7"/>
  <c r="AE250" i="7"/>
  <c r="AF250" i="7"/>
  <c r="AG250" i="7"/>
  <c r="BA250" i="7"/>
  <c r="BR250" i="7"/>
  <c r="AB193" i="7"/>
  <c r="AG193" i="7"/>
  <c r="X193" i="7"/>
  <c r="AX231" i="7"/>
  <c r="AW231" i="7"/>
  <c r="AY231" i="7"/>
  <c r="AV231" i="7"/>
  <c r="AQ370" i="7"/>
  <c r="AO370" i="7"/>
  <c r="AF501" i="7"/>
  <c r="AA501" i="7"/>
  <c r="X501" i="7"/>
  <c r="AF227" i="7"/>
  <c r="AC227" i="7"/>
  <c r="Y473" i="7"/>
  <c r="AA473" i="7"/>
  <c r="W446" i="7"/>
  <c r="AB461" i="7"/>
  <c r="Y461" i="7"/>
  <c r="Z461" i="7"/>
  <c r="AX486" i="7"/>
  <c r="AF485" i="7"/>
  <c r="AC485" i="7"/>
  <c r="AA465" i="7"/>
  <c r="AE465" i="7"/>
  <c r="X465" i="7"/>
  <c r="AE492" i="7"/>
  <c r="X492" i="7"/>
  <c r="AV450" i="7"/>
  <c r="AV452" i="7"/>
  <c r="Z456" i="7"/>
  <c r="X456" i="7"/>
  <c r="Z193" i="7"/>
  <c r="AX370" i="7"/>
  <c r="AV370" i="7"/>
  <c r="AN473" i="7"/>
  <c r="AO473" i="7" a="1"/>
  <c r="AP473" i="7"/>
  <c r="AB501" i="7"/>
  <c r="AE501" i="7"/>
  <c r="AD501" i="7"/>
  <c r="AA227" i="7"/>
  <c r="Y227" i="7"/>
  <c r="AC473" i="7"/>
  <c r="Z446" i="7"/>
  <c r="AF446" i="7"/>
  <c r="AC461" i="7"/>
  <c r="AF461" i="7"/>
  <c r="AV486" i="7"/>
  <c r="AU486" i="7"/>
  <c r="AA485" i="7"/>
  <c r="AB485" i="7"/>
  <c r="X485" i="7"/>
  <c r="AG465" i="7"/>
  <c r="W465" i="7"/>
  <c r="AD465" i="7"/>
  <c r="Y492" i="7"/>
  <c r="AT450" i="7"/>
  <c r="AO452" i="7"/>
  <c r="AW370" i="7"/>
  <c r="AF433" i="7"/>
  <c r="AG501" i="7"/>
  <c r="Y501" i="7"/>
  <c r="W227" i="7"/>
  <c r="AG473" i="7"/>
  <c r="AE446" i="7"/>
  <c r="AB446" i="7"/>
  <c r="AE461" i="7"/>
  <c r="W461" i="7"/>
  <c r="AR486" i="7"/>
  <c r="AQ486" i="7"/>
  <c r="AG485" i="7"/>
  <c r="AE485" i="7"/>
  <c r="AF465" i="7"/>
  <c r="AB465" i="7"/>
  <c r="AC492" i="7"/>
  <c r="AS450" i="7"/>
  <c r="AS452" i="7"/>
  <c r="AY452" i="7"/>
  <c r="AC456" i="7"/>
  <c r="AD193" i="7"/>
  <c r="AC193" i="7"/>
  <c r="AP370" i="7"/>
  <c r="AA433" i="7"/>
  <c r="AA466" i="7"/>
  <c r="AE457" i="7"/>
  <c r="AC457" i="7"/>
  <c r="AU480" i="7"/>
  <c r="AW444" i="7"/>
  <c r="AA443" i="7"/>
  <c r="X433" i="7"/>
  <c r="AE433" i="7"/>
  <c r="AG440" i="7"/>
  <c r="AB466" i="7"/>
  <c r="AF457" i="7"/>
  <c r="W457" i="7"/>
  <c r="X457" i="7"/>
  <c r="BF406" i="7"/>
  <c r="BG406" i="7" a="1"/>
  <c r="W433" i="7"/>
  <c r="AB433" i="7"/>
  <c r="Y433" i="7"/>
  <c r="AN477" i="7"/>
  <c r="AO477" i="7" a="1"/>
  <c r="AY477" i="7"/>
  <c r="AN495" i="7"/>
  <c r="AO495" i="7" a="1"/>
  <c r="AS495" i="7"/>
  <c r="Y457" i="7"/>
  <c r="AG457" i="7"/>
  <c r="Y448" i="7"/>
  <c r="AC433" i="7"/>
  <c r="AG433" i="7"/>
  <c r="AU468" i="7"/>
  <c r="AS468" i="7"/>
  <c r="AP365" i="7"/>
  <c r="AY460" i="7"/>
  <c r="AX460" i="7"/>
  <c r="AP460" i="7"/>
  <c r="AQ460" i="7"/>
  <c r="AV460" i="7"/>
  <c r="AO460" i="7"/>
  <c r="AS460" i="7"/>
  <c r="AT460" i="7"/>
  <c r="W440" i="7"/>
  <c r="Z440" i="7"/>
  <c r="X440" i="7"/>
  <c r="AC440" i="7"/>
  <c r="AE440" i="7"/>
  <c r="AD376" i="7"/>
  <c r="X376" i="7"/>
  <c r="AA376" i="7"/>
  <c r="Y376" i="7"/>
  <c r="AG376" i="7"/>
  <c r="AC376" i="7"/>
  <c r="Z376" i="7"/>
  <c r="AD440" i="7"/>
  <c r="AG448" i="7"/>
  <c r="AN492" i="7"/>
  <c r="AO492" i="7" a="1"/>
  <c r="AR492" i="7"/>
  <c r="AF376" i="7"/>
  <c r="AW460" i="7"/>
  <c r="AB430" i="7"/>
  <c r="AF430" i="7"/>
  <c r="AE430" i="7"/>
  <c r="W430" i="7"/>
  <c r="AG430" i="7"/>
  <c r="AC430" i="7"/>
  <c r="Z430" i="7"/>
  <c r="AO480" i="7"/>
  <c r="AR480" i="7"/>
  <c r="AQ480" i="7"/>
  <c r="AT480" i="7"/>
  <c r="AS480" i="7"/>
  <c r="AQ444" i="7"/>
  <c r="AT444" i="7"/>
  <c r="AR444" i="7"/>
  <c r="AY444" i="7"/>
  <c r="AS444" i="7"/>
  <c r="AU444" i="7"/>
  <c r="AP444" i="7"/>
  <c r="AX444" i="7"/>
  <c r="AV444" i="7"/>
  <c r="Y466" i="7"/>
  <c r="Z466" i="7"/>
  <c r="X466" i="7"/>
  <c r="AD466" i="7"/>
  <c r="AG466" i="7"/>
  <c r="W448" i="7"/>
  <c r="AE448" i="7"/>
  <c r="X448" i="7"/>
  <c r="AC448" i="7"/>
  <c r="Z448" i="7"/>
  <c r="AD443" i="7"/>
  <c r="AF443" i="7"/>
  <c r="AG443" i="7"/>
  <c r="Y443" i="7"/>
  <c r="X443" i="7"/>
  <c r="W443" i="7"/>
  <c r="AE443" i="7"/>
  <c r="AC443" i="7"/>
  <c r="AA440" i="7"/>
  <c r="AB440" i="7"/>
  <c r="AE466" i="7"/>
  <c r="AA448" i="7"/>
  <c r="AF448" i="7"/>
  <c r="AL484" i="7"/>
  <c r="AN484" i="7"/>
  <c r="AO484" i="7" a="1"/>
  <c r="AY484" i="7"/>
  <c r="W376" i="7"/>
  <c r="AV480" i="7"/>
  <c r="X430" i="7"/>
  <c r="Y440" i="7"/>
  <c r="AC466" i="7"/>
  <c r="AF466" i="7"/>
  <c r="AD448" i="7"/>
  <c r="AL497" i="7"/>
  <c r="AN497" i="7"/>
  <c r="AO497" i="7" a="1"/>
  <c r="AB376" i="7"/>
  <c r="AX480" i="7"/>
  <c r="AY480" i="7"/>
  <c r="AR460" i="7"/>
  <c r="AB443" i="7"/>
  <c r="BF414" i="7"/>
  <c r="BG414" i="7" a="1"/>
  <c r="BK414" i="7"/>
  <c r="AF274" i="7"/>
  <c r="AD274" i="7"/>
  <c r="AG274" i="7"/>
  <c r="AR472" i="7"/>
  <c r="X495" i="7"/>
  <c r="AE495" i="7"/>
  <c r="AP478" i="7"/>
  <c r="AS478" i="7"/>
  <c r="AW436" i="7"/>
  <c r="AT436" i="7"/>
  <c r="AQ436" i="7"/>
  <c r="AD456" i="7"/>
  <c r="AE456" i="7"/>
  <c r="AF456" i="7"/>
  <c r="W193" i="7"/>
  <c r="AF193" i="7"/>
  <c r="Y193" i="7"/>
  <c r="AB274" i="7"/>
  <c r="W274" i="7"/>
  <c r="AG495" i="7"/>
  <c r="AB495" i="7"/>
  <c r="AW478" i="7"/>
  <c r="AT478" i="7"/>
  <c r="AR436" i="7"/>
  <c r="AG456" i="7"/>
  <c r="Y456" i="7"/>
  <c r="AE193" i="7"/>
  <c r="AN500" i="7"/>
  <c r="AO500" i="7" a="1"/>
  <c r="AR500" i="7"/>
  <c r="AY369" i="7"/>
  <c r="AN461" i="7"/>
  <c r="AO461" i="7" a="1"/>
  <c r="AW461" i="7"/>
  <c r="AN446" i="7"/>
  <c r="AO446" i="7" a="1"/>
  <c r="BF401" i="7"/>
  <c r="BG401" i="7" a="1"/>
  <c r="BQ401" i="7"/>
  <c r="X227" i="7"/>
  <c r="Z227" i="7"/>
  <c r="AE473" i="7"/>
  <c r="AB473" i="7"/>
  <c r="AD473" i="7"/>
  <c r="Y446" i="7"/>
  <c r="AG446" i="7"/>
  <c r="X446" i="7"/>
  <c r="BF452" i="7"/>
  <c r="BG452" i="7" a="1"/>
  <c r="BO452" i="7"/>
  <c r="BF436" i="7"/>
  <c r="BG436" i="7" a="1"/>
  <c r="BK436" i="7"/>
  <c r="BF426" i="7"/>
  <c r="BG426" i="7" a="1"/>
  <c r="BN426" i="7"/>
  <c r="AP486" i="7"/>
  <c r="AS486" i="7"/>
  <c r="AA492" i="7"/>
  <c r="W492" i="7"/>
  <c r="AW450" i="7"/>
  <c r="AO450" i="7"/>
  <c r="AU450" i="7"/>
  <c r="AX452" i="7"/>
  <c r="AP452" i="7"/>
  <c r="AU452" i="7"/>
  <c r="AU370" i="7"/>
  <c r="AY370" i="7"/>
  <c r="AR370" i="7"/>
  <c r="BF478" i="7"/>
  <c r="BG478" i="7" a="1"/>
  <c r="BN478" i="7"/>
  <c r="BF444" i="7"/>
  <c r="BG444" i="7" a="1"/>
  <c r="BM444" i="7"/>
  <c r="AN476" i="7"/>
  <c r="AO476" i="7" a="1"/>
  <c r="AY476" i="7"/>
  <c r="AN471" i="7"/>
  <c r="AO471" i="7" a="1"/>
  <c r="AQ471" i="7"/>
  <c r="BF421" i="7"/>
  <c r="BG421" i="7" a="1"/>
  <c r="BQ421" i="7"/>
  <c r="BF274" i="7"/>
  <c r="BG274" i="7" a="1"/>
  <c r="BK274" i="7"/>
  <c r="AN435" i="7"/>
  <c r="AO435" i="7" a="1"/>
  <c r="AY435" i="7"/>
  <c r="BF480" i="7"/>
  <c r="BG480" i="7" a="1"/>
  <c r="BL480" i="7"/>
  <c r="AN448" i="7"/>
  <c r="AO448" i="7" a="1"/>
  <c r="BF404" i="7"/>
  <c r="BG404" i="7" a="1"/>
  <c r="AB227" i="7"/>
  <c r="AD227" i="7"/>
  <c r="X473" i="7"/>
  <c r="W473" i="7"/>
  <c r="AD446" i="7"/>
  <c r="AN447" i="7"/>
  <c r="AO447" i="7" a="1"/>
  <c r="AW447" i="7"/>
  <c r="AN440" i="7"/>
  <c r="AO440" i="7" a="1"/>
  <c r="AO440" i="7"/>
  <c r="AW486" i="7"/>
  <c r="AT486" i="7"/>
  <c r="Z492" i="7"/>
  <c r="AD492" i="7"/>
  <c r="AP450" i="7"/>
  <c r="AX450" i="7"/>
  <c r="AR452" i="7"/>
  <c r="AT452" i="7"/>
  <c r="Y430" i="7"/>
  <c r="AA430" i="7"/>
  <c r="AS370" i="7"/>
  <c r="BF486" i="7"/>
  <c r="BG486" i="7" a="1"/>
  <c r="BM486" i="7"/>
  <c r="BF429" i="7"/>
  <c r="BG429" i="7" a="1"/>
  <c r="BQ429" i="7"/>
  <c r="BF413" i="7"/>
  <c r="BG413" i="7" a="1"/>
  <c r="BN413" i="7"/>
  <c r="BF424" i="7"/>
  <c r="BG424" i="7" a="1"/>
  <c r="BF412" i="7"/>
  <c r="BG412" i="7" a="1"/>
  <c r="BG412" i="7"/>
  <c r="AN481" i="7"/>
  <c r="AO481" i="7" a="1"/>
  <c r="AP481" i="7"/>
  <c r="AN479" i="7"/>
  <c r="AO479" i="7" a="1"/>
  <c r="AO479" i="7"/>
  <c r="AN454" i="7"/>
  <c r="AO454" i="7" a="1"/>
  <c r="AO454" i="7"/>
  <c r="BF400" i="7"/>
  <c r="BG400" i="7" a="1"/>
  <c r="BP400" i="7"/>
  <c r="AN487" i="7"/>
  <c r="AO487" i="7" a="1"/>
  <c r="AO487" i="7"/>
  <c r="AN443" i="7"/>
  <c r="AO443" i="7" a="1"/>
  <c r="AT443" i="7"/>
  <c r="BF411" i="7"/>
  <c r="BG411" i="7" a="1"/>
  <c r="BQ411" i="7"/>
  <c r="BF420" i="7"/>
  <c r="BG420" i="7" a="1"/>
  <c r="BP420" i="7"/>
  <c r="AN437" i="7"/>
  <c r="AO437" i="7" a="1"/>
  <c r="AU437" i="7"/>
  <c r="AN499" i="7"/>
  <c r="AO499" i="7" a="1"/>
  <c r="AX499" i="7"/>
  <c r="AN475" i="7"/>
  <c r="AO475" i="7" a="1"/>
  <c r="AV475" i="7"/>
  <c r="AN463" i="7"/>
  <c r="AO463" i="7" a="1"/>
  <c r="AS463" i="7"/>
  <c r="AN465" i="7"/>
  <c r="AO465" i="7" a="1"/>
  <c r="AU465" i="7"/>
  <c r="AT476" i="7"/>
  <c r="AR426" i="7"/>
  <c r="AV426" i="7"/>
  <c r="AO426" i="7"/>
  <c r="AT426" i="7"/>
  <c r="AY426" i="7"/>
  <c r="AS426" i="7"/>
  <c r="AP426" i="7"/>
  <c r="AX426" i="7"/>
  <c r="AQ426" i="7"/>
  <c r="AU426" i="7"/>
  <c r="AW426" i="7"/>
  <c r="AP399" i="7"/>
  <c r="AT399" i="7"/>
  <c r="AX399" i="7"/>
  <c r="AS399" i="7"/>
  <c r="AY399" i="7"/>
  <c r="AQ399" i="7"/>
  <c r="AW399" i="7"/>
  <c r="AO399" i="7"/>
  <c r="AR399" i="7"/>
  <c r="AU399" i="7"/>
  <c r="AV399" i="7"/>
  <c r="BS458" i="7"/>
  <c r="BW458" i="7"/>
  <c r="BT458" i="7"/>
  <c r="BV458" i="7"/>
  <c r="BU458" i="7"/>
  <c r="BS450" i="7"/>
  <c r="BW450" i="7"/>
  <c r="BT450" i="7"/>
  <c r="BV450" i="7"/>
  <c r="BU450" i="7"/>
  <c r="AR227" i="7"/>
  <c r="AV227" i="7"/>
  <c r="AO227" i="7"/>
  <c r="AT227" i="7"/>
  <c r="AY227" i="7"/>
  <c r="AQ227" i="7"/>
  <c r="AX227" i="7"/>
  <c r="AP227" i="7"/>
  <c r="AS227" i="7"/>
  <c r="AU227" i="7"/>
  <c r="AW227" i="7"/>
  <c r="BA467" i="7"/>
  <c r="BE467" i="7"/>
  <c r="BB467" i="7"/>
  <c r="BD467" i="7"/>
  <c r="BC467" i="7"/>
  <c r="BR467" i="7"/>
  <c r="BA459" i="7"/>
  <c r="BE459" i="7"/>
  <c r="BR459" i="7"/>
  <c r="BB459" i="7"/>
  <c r="BD459" i="7"/>
  <c r="BC459" i="7"/>
  <c r="BS420" i="7"/>
  <c r="BW420" i="7"/>
  <c r="BT420" i="7"/>
  <c r="BV420" i="7"/>
  <c r="BU420" i="7"/>
  <c r="AP364" i="7"/>
  <c r="AT364" i="7"/>
  <c r="AX364" i="7"/>
  <c r="AS364" i="7"/>
  <c r="AY364" i="7"/>
  <c r="AQ364" i="7"/>
  <c r="AW364" i="7"/>
  <c r="AO364" i="7"/>
  <c r="AR364" i="7"/>
  <c r="AU364" i="7"/>
  <c r="AV364" i="7"/>
  <c r="BS274" i="7"/>
  <c r="BW274" i="7"/>
  <c r="BT274" i="7"/>
  <c r="BV274" i="7"/>
  <c r="BU274" i="7"/>
  <c r="AL441" i="7"/>
  <c r="AN441" i="7"/>
  <c r="AO441" i="7" a="1"/>
  <c r="AP401" i="7"/>
  <c r="AS401" i="7"/>
  <c r="AY401" i="7"/>
  <c r="AO401" i="7"/>
  <c r="AR401" i="7"/>
  <c r="Z489" i="7"/>
  <c r="AD489" i="7"/>
  <c r="AA489" i="7"/>
  <c r="AF489" i="7"/>
  <c r="W489" i="7"/>
  <c r="AB489" i="7"/>
  <c r="AG489" i="7"/>
  <c r="AE489" i="7"/>
  <c r="AC489" i="7"/>
  <c r="X489" i="7"/>
  <c r="Y489" i="7"/>
  <c r="AN466" i="7"/>
  <c r="AO466" i="7" a="1"/>
  <c r="BU470" i="7"/>
  <c r="AN490" i="7"/>
  <c r="AO490" i="7" a="1"/>
  <c r="BF472" i="7"/>
  <c r="BG472" i="7" a="1"/>
  <c r="BA485" i="7"/>
  <c r="BE485" i="7"/>
  <c r="BC485" i="7"/>
  <c r="BR485" i="7"/>
  <c r="BB485" i="7"/>
  <c r="BD485" i="7"/>
  <c r="AN469" i="7"/>
  <c r="AO469" i="7" a="1"/>
  <c r="AN453" i="7"/>
  <c r="AO453" i="7" a="1"/>
  <c r="AN432" i="7"/>
  <c r="AO432" i="7" a="1"/>
  <c r="BA471" i="7"/>
  <c r="BE471" i="7"/>
  <c r="BB471" i="7"/>
  <c r="BD471" i="7"/>
  <c r="BC471" i="7"/>
  <c r="BR471" i="7"/>
  <c r="AP421" i="7"/>
  <c r="AT421" i="7"/>
  <c r="AX421" i="7"/>
  <c r="AS421" i="7"/>
  <c r="AY421" i="7"/>
  <c r="AR421" i="7"/>
  <c r="AO421" i="7"/>
  <c r="AW421" i="7"/>
  <c r="AQ421" i="7"/>
  <c r="AV421" i="7"/>
  <c r="AU421" i="7"/>
  <c r="BS428" i="7"/>
  <c r="BW428" i="7"/>
  <c r="BT428" i="7"/>
  <c r="BV428" i="7"/>
  <c r="BU428" i="7"/>
  <c r="AP411" i="7"/>
  <c r="AT411" i="7"/>
  <c r="AX411" i="7"/>
  <c r="AS411" i="7"/>
  <c r="AY411" i="7"/>
  <c r="AR411" i="7"/>
  <c r="AU411" i="7"/>
  <c r="AQ411" i="7"/>
  <c r="AV411" i="7"/>
  <c r="AO411" i="7"/>
  <c r="AW411" i="7"/>
  <c r="BS392" i="7"/>
  <c r="BW392" i="7"/>
  <c r="BT392" i="7"/>
  <c r="BU392" i="7"/>
  <c r="Y428" i="7"/>
  <c r="AC428" i="7"/>
  <c r="AG428" i="7"/>
  <c r="Z428" i="7"/>
  <c r="AE428" i="7"/>
  <c r="X428" i="7"/>
  <c r="AF428" i="7"/>
  <c r="W428" i="7"/>
  <c r="AA428" i="7"/>
  <c r="AB428" i="7"/>
  <c r="AD428" i="7"/>
  <c r="Y404" i="7"/>
  <c r="AC404" i="7"/>
  <c r="AG404" i="7"/>
  <c r="Z404" i="7"/>
  <c r="AE404" i="7"/>
  <c r="W404" i="7"/>
  <c r="X404" i="7"/>
  <c r="AF404" i="7"/>
  <c r="AA404" i="7"/>
  <c r="AB404" i="7"/>
  <c r="AD404" i="7"/>
  <c r="BS374" i="7"/>
  <c r="BW374" i="7"/>
  <c r="AV495" i="7"/>
  <c r="Y43" i="7"/>
  <c r="AC43" i="7"/>
  <c r="AG43" i="7"/>
  <c r="AA43" i="7"/>
  <c r="AF43" i="7"/>
  <c r="W43" i="7"/>
  <c r="AD43" i="7"/>
  <c r="AB43" i="7"/>
  <c r="AE43" i="7"/>
  <c r="Z43" i="7"/>
  <c r="X43" i="7"/>
  <c r="AR406" i="7"/>
  <c r="AV406" i="7"/>
  <c r="AO406" i="7"/>
  <c r="AT406" i="7"/>
  <c r="AY406" i="7"/>
  <c r="AS406" i="7"/>
  <c r="AU406" i="7"/>
  <c r="AQ406" i="7"/>
  <c r="AW406" i="7"/>
  <c r="AX406" i="7"/>
  <c r="AP406" i="7"/>
  <c r="AQ368" i="7"/>
  <c r="AR368" i="7"/>
  <c r="AL433" i="7"/>
  <c r="AN433" i="7"/>
  <c r="AO433" i="7" a="1"/>
  <c r="BS494" i="7"/>
  <c r="BW494" i="7"/>
  <c r="BT494" i="7"/>
  <c r="BV494" i="7"/>
  <c r="BU494" i="7"/>
  <c r="AQ199" i="7"/>
  <c r="AU199" i="7"/>
  <c r="AY199" i="7"/>
  <c r="AO199" i="7"/>
  <c r="AT199" i="7"/>
  <c r="AV199" i="7"/>
  <c r="AS199" i="7"/>
  <c r="AW199" i="7"/>
  <c r="AR199" i="7"/>
  <c r="AX199" i="7"/>
  <c r="AP199" i="7"/>
  <c r="AN482" i="7"/>
  <c r="AO482" i="7" a="1"/>
  <c r="BM480" i="7"/>
  <c r="AP405" i="7"/>
  <c r="AT405" i="7"/>
  <c r="AX405" i="7"/>
  <c r="AS405" i="7"/>
  <c r="AY405" i="7"/>
  <c r="AR405" i="7"/>
  <c r="AU405" i="7"/>
  <c r="AQ405" i="7"/>
  <c r="AV405" i="7"/>
  <c r="AO405" i="7"/>
  <c r="AW405" i="7"/>
  <c r="AL445" i="7"/>
  <c r="AN445" i="7"/>
  <c r="AO445" i="7" a="1"/>
  <c r="BA439" i="7"/>
  <c r="BE439" i="7"/>
  <c r="BB439" i="7"/>
  <c r="BD439" i="7"/>
  <c r="BC439" i="7"/>
  <c r="BR439" i="7"/>
  <c r="AQ494" i="7"/>
  <c r="AU494" i="7"/>
  <c r="AY494" i="7"/>
  <c r="AS494" i="7"/>
  <c r="AX494" i="7"/>
  <c r="AO494" i="7"/>
  <c r="AT494" i="7"/>
  <c r="AR494" i="7"/>
  <c r="AP494" i="7"/>
  <c r="AV494" i="7"/>
  <c r="AW494" i="7"/>
  <c r="AR424" i="7"/>
  <c r="AV424" i="7"/>
  <c r="AO424" i="7"/>
  <c r="AT424" i="7"/>
  <c r="AY424" i="7"/>
  <c r="AS424" i="7"/>
  <c r="AP424" i="7"/>
  <c r="AX424" i="7"/>
  <c r="AQ424" i="7"/>
  <c r="AU424" i="7"/>
  <c r="AW424" i="7"/>
  <c r="BA477" i="7"/>
  <c r="BE477" i="7"/>
  <c r="BC477" i="7"/>
  <c r="BR477" i="7"/>
  <c r="BB477" i="7"/>
  <c r="BD477" i="7"/>
  <c r="BA469" i="7"/>
  <c r="BE469" i="7"/>
  <c r="BC469" i="7"/>
  <c r="BR469" i="7"/>
  <c r="BB469" i="7"/>
  <c r="BD469" i="7"/>
  <c r="AR412" i="7"/>
  <c r="AV412" i="7"/>
  <c r="AO412" i="7"/>
  <c r="AT412" i="7"/>
  <c r="AY412" i="7"/>
  <c r="AS412" i="7"/>
  <c r="AU412" i="7"/>
  <c r="AQ412" i="7"/>
  <c r="AW412" i="7"/>
  <c r="AP412" i="7"/>
  <c r="AX412" i="7"/>
  <c r="BU421" i="7"/>
  <c r="BS421" i="7"/>
  <c r="BW421" i="7"/>
  <c r="BT421" i="7"/>
  <c r="BV421" i="7"/>
  <c r="AP403" i="7"/>
  <c r="AT403" i="7"/>
  <c r="AX403" i="7"/>
  <c r="AS403" i="7"/>
  <c r="AY403" i="7"/>
  <c r="AQ403" i="7"/>
  <c r="AW403" i="7"/>
  <c r="AO403" i="7"/>
  <c r="AR403" i="7"/>
  <c r="AU403" i="7"/>
  <c r="AV403" i="7"/>
  <c r="BA236" i="7"/>
  <c r="BE236" i="7"/>
  <c r="BR236" i="7"/>
  <c r="Y424" i="7"/>
  <c r="AC424" i="7"/>
  <c r="AG424" i="7"/>
  <c r="Z424" i="7"/>
  <c r="AE424" i="7"/>
  <c r="X424" i="7"/>
  <c r="AF424" i="7"/>
  <c r="W424" i="7"/>
  <c r="AA424" i="7"/>
  <c r="AB424" i="7"/>
  <c r="AD424" i="7"/>
  <c r="AL29" i="7"/>
  <c r="X488" i="7"/>
  <c r="AB488" i="7"/>
  <c r="AF488" i="7"/>
  <c r="Z488" i="7"/>
  <c r="AE488" i="7"/>
  <c r="AA488" i="7"/>
  <c r="AG488" i="7"/>
  <c r="Y488" i="7"/>
  <c r="W488" i="7"/>
  <c r="AC488" i="7"/>
  <c r="AD488" i="7"/>
  <c r="BD425" i="7"/>
  <c r="BF425" i="7"/>
  <c r="BG425" i="7" a="1"/>
  <c r="BD416" i="7"/>
  <c r="BF416" i="7"/>
  <c r="BG416" i="7" a="1"/>
  <c r="AL232" i="7"/>
  <c r="X482" i="7"/>
  <c r="AB482" i="7"/>
  <c r="AF482" i="7"/>
  <c r="AA482" i="7"/>
  <c r="AG482" i="7"/>
  <c r="W482" i="7"/>
  <c r="AC482" i="7"/>
  <c r="Y482" i="7"/>
  <c r="Z482" i="7"/>
  <c r="AD482" i="7"/>
  <c r="AE482" i="7"/>
  <c r="Z499" i="7"/>
  <c r="AD499" i="7"/>
  <c r="W499" i="7"/>
  <c r="AB499" i="7"/>
  <c r="AG499" i="7"/>
  <c r="X499" i="7"/>
  <c r="AC499" i="7"/>
  <c r="AA499" i="7"/>
  <c r="Y499" i="7"/>
  <c r="AE499" i="7"/>
  <c r="AF499" i="7"/>
  <c r="BT488" i="7"/>
  <c r="BV488" i="7"/>
  <c r="BU488" i="7"/>
  <c r="BS488" i="7"/>
  <c r="BW488" i="7"/>
  <c r="AP417" i="7"/>
  <c r="AT417" i="7"/>
  <c r="AX417" i="7"/>
  <c r="AS417" i="7"/>
  <c r="AY417" i="7"/>
  <c r="AR417" i="7"/>
  <c r="AO417" i="7"/>
  <c r="AW417" i="7"/>
  <c r="AQ417" i="7"/>
  <c r="AU417" i="7"/>
  <c r="AV417" i="7"/>
  <c r="BA461" i="7"/>
  <c r="BE461" i="7"/>
  <c r="BB461" i="7"/>
  <c r="BD461" i="7"/>
  <c r="BC461" i="7"/>
  <c r="BR461" i="7"/>
  <c r="AP409" i="7"/>
  <c r="AT409" i="7"/>
  <c r="AX409" i="7"/>
  <c r="AS409" i="7"/>
  <c r="AY409" i="7"/>
  <c r="AR409" i="7"/>
  <c r="AU409" i="7"/>
  <c r="AQ409" i="7"/>
  <c r="AV409" i="7"/>
  <c r="AO409" i="7"/>
  <c r="AW409" i="7"/>
  <c r="AR416" i="7"/>
  <c r="AV416" i="7"/>
  <c r="AO416" i="7"/>
  <c r="AT416" i="7"/>
  <c r="AY416" i="7"/>
  <c r="AS416" i="7"/>
  <c r="AP416" i="7"/>
  <c r="AX416" i="7"/>
  <c r="AQ416" i="7"/>
  <c r="AU416" i="7"/>
  <c r="AW416" i="7"/>
  <c r="Z447" i="7"/>
  <c r="AD447" i="7"/>
  <c r="W447" i="7"/>
  <c r="AB447" i="7"/>
  <c r="AG447" i="7"/>
  <c r="X447" i="7"/>
  <c r="AC447" i="7"/>
  <c r="Y447" i="7"/>
  <c r="AE447" i="7"/>
  <c r="AA447" i="7"/>
  <c r="AF447" i="7"/>
  <c r="BC498" i="7"/>
  <c r="BR498" i="7"/>
  <c r="BA498" i="7"/>
  <c r="BE498" i="7"/>
  <c r="BB498" i="7"/>
  <c r="BD498" i="7"/>
  <c r="BC490" i="7"/>
  <c r="BR490" i="7"/>
  <c r="BA490" i="7"/>
  <c r="BE490" i="7"/>
  <c r="BB490" i="7"/>
  <c r="BD490" i="7"/>
  <c r="BT468" i="7"/>
  <c r="BV468" i="7"/>
  <c r="BU468" i="7"/>
  <c r="BS468" i="7"/>
  <c r="BW468" i="7"/>
  <c r="BC432" i="7"/>
  <c r="BR432" i="7"/>
  <c r="BA432" i="7"/>
  <c r="BE432" i="7"/>
  <c r="BB432" i="7"/>
  <c r="BD432" i="7"/>
  <c r="AP415" i="7"/>
  <c r="AT415" i="7"/>
  <c r="AX415" i="7"/>
  <c r="AS415" i="7"/>
  <c r="AY415" i="7"/>
  <c r="AR415" i="7"/>
  <c r="AO415" i="7"/>
  <c r="AW415" i="7"/>
  <c r="AQ415" i="7"/>
  <c r="AU415" i="7"/>
  <c r="AV415" i="7"/>
  <c r="AX295" i="7"/>
  <c r="BS375" i="7"/>
  <c r="BW375" i="7"/>
  <c r="Y400" i="7"/>
  <c r="AC400" i="7"/>
  <c r="AG400" i="7"/>
  <c r="Z400" i="7"/>
  <c r="AE400" i="7"/>
  <c r="W400" i="7"/>
  <c r="AD400" i="7"/>
  <c r="X400" i="7"/>
  <c r="AA400" i="7"/>
  <c r="AB400" i="7"/>
  <c r="AF400" i="7"/>
  <c r="AN498" i="7"/>
  <c r="AO498" i="7" a="1"/>
  <c r="BC466" i="7"/>
  <c r="BR466" i="7"/>
  <c r="BA466" i="7"/>
  <c r="BE466" i="7"/>
  <c r="BB466" i="7"/>
  <c r="BD466" i="7"/>
  <c r="BS486" i="7"/>
  <c r="BW486" i="7"/>
  <c r="BT486" i="7"/>
  <c r="BV486" i="7"/>
  <c r="BU486" i="7"/>
  <c r="BF458" i="7"/>
  <c r="BG458" i="7" a="1"/>
  <c r="BC476" i="7"/>
  <c r="BR476" i="7"/>
  <c r="BB476" i="7"/>
  <c r="BD476" i="7"/>
  <c r="BA476" i="7"/>
  <c r="BE476" i="7"/>
  <c r="BT472" i="7"/>
  <c r="BV472" i="7"/>
  <c r="BU472" i="7"/>
  <c r="BS472" i="7"/>
  <c r="BW472" i="7"/>
  <c r="BF450" i="7"/>
  <c r="BG450" i="7" a="1"/>
  <c r="AN485" i="7"/>
  <c r="AO485" i="7" a="1"/>
  <c r="BA453" i="7"/>
  <c r="BE453" i="7"/>
  <c r="BB453" i="7"/>
  <c r="BD453" i="7"/>
  <c r="BC453" i="7"/>
  <c r="BR453" i="7"/>
  <c r="BT429" i="7"/>
  <c r="BV429" i="7"/>
  <c r="BU429" i="7"/>
  <c r="BS429" i="7"/>
  <c r="BW429" i="7"/>
  <c r="AN467" i="7"/>
  <c r="AO467" i="7" a="1"/>
  <c r="AN459" i="7"/>
  <c r="AO459" i="7" a="1"/>
  <c r="BA193" i="7"/>
  <c r="BE193" i="7"/>
  <c r="BR193" i="7"/>
  <c r="BD375" i="7"/>
  <c r="BS231" i="7"/>
  <c r="BW231" i="7"/>
  <c r="BA29" i="7"/>
  <c r="BE29" i="7"/>
  <c r="BR29" i="7"/>
  <c r="BA493" i="7"/>
  <c r="BE493" i="7"/>
  <c r="BC493" i="7"/>
  <c r="BR493" i="7"/>
  <c r="BB493" i="7"/>
  <c r="BD493" i="7"/>
  <c r="AR404" i="7"/>
  <c r="AV404" i="7"/>
  <c r="AO404" i="7"/>
  <c r="AT404" i="7"/>
  <c r="AY404" i="7"/>
  <c r="AS404" i="7"/>
  <c r="AU404" i="7"/>
  <c r="AQ404" i="7"/>
  <c r="AW404" i="7"/>
  <c r="AP404" i="7"/>
  <c r="AX404" i="7"/>
  <c r="AY205" i="7"/>
  <c r="AL456" i="7"/>
  <c r="AN456" i="7"/>
  <c r="AO456" i="7" a="1"/>
  <c r="BD496" i="7"/>
  <c r="BF496" i="7"/>
  <c r="BG496" i="7" a="1"/>
  <c r="AL457" i="7"/>
  <c r="AN457" i="7"/>
  <c r="AO457" i="7" a="1"/>
  <c r="Z481" i="7"/>
  <c r="AD481" i="7"/>
  <c r="AA481" i="7"/>
  <c r="AF481" i="7"/>
  <c r="W481" i="7"/>
  <c r="AB481" i="7"/>
  <c r="AG481" i="7"/>
  <c r="AC481" i="7"/>
  <c r="Y481" i="7"/>
  <c r="AE481" i="7"/>
  <c r="X481" i="7"/>
  <c r="BA473" i="7"/>
  <c r="BE473" i="7"/>
  <c r="BB473" i="7"/>
  <c r="BD473" i="7"/>
  <c r="BR473" i="7"/>
  <c r="BC473" i="7"/>
  <c r="AN491" i="7"/>
  <c r="AO491" i="7" a="1"/>
  <c r="AU499" i="7"/>
  <c r="Y408" i="7"/>
  <c r="AC408" i="7"/>
  <c r="AG408" i="7"/>
  <c r="Z408" i="7"/>
  <c r="AE408" i="7"/>
  <c r="X408" i="7"/>
  <c r="AF408" i="7"/>
  <c r="AA408" i="7"/>
  <c r="W408" i="7"/>
  <c r="AB408" i="7"/>
  <c r="AD408" i="7"/>
  <c r="AL455" i="7"/>
  <c r="AN455" i="7"/>
  <c r="AO455" i="7" a="1"/>
  <c r="Z475" i="7"/>
  <c r="AD475" i="7"/>
  <c r="W475" i="7"/>
  <c r="AB475" i="7"/>
  <c r="AG475" i="7"/>
  <c r="X475" i="7"/>
  <c r="AC475" i="7"/>
  <c r="AE475" i="7"/>
  <c r="AF475" i="7"/>
  <c r="Y475" i="7"/>
  <c r="AA475" i="7"/>
  <c r="BC500" i="7"/>
  <c r="BR500" i="7"/>
  <c r="BB500" i="7"/>
  <c r="BD500" i="7"/>
  <c r="BA500" i="7"/>
  <c r="BE500" i="7"/>
  <c r="BS478" i="7"/>
  <c r="BW478" i="7"/>
  <c r="BT478" i="7"/>
  <c r="BU478" i="7"/>
  <c r="BC454" i="7"/>
  <c r="BR454" i="7"/>
  <c r="BA454" i="7"/>
  <c r="BE454" i="7"/>
  <c r="BB454" i="7"/>
  <c r="AP427" i="7"/>
  <c r="AT427" i="7"/>
  <c r="AX427" i="7"/>
  <c r="AS427" i="7"/>
  <c r="AY427" i="7"/>
  <c r="AR427" i="7"/>
  <c r="AO427" i="7"/>
  <c r="AW427" i="7"/>
  <c r="AQ427" i="7"/>
  <c r="AU427" i="7"/>
  <c r="AV427" i="7"/>
  <c r="BT444" i="7"/>
  <c r="BV444" i="7"/>
  <c r="BU444" i="7"/>
  <c r="BS444" i="7"/>
  <c r="BW444" i="7"/>
  <c r="BU413" i="7"/>
  <c r="BS413" i="7"/>
  <c r="BW413" i="7"/>
  <c r="BT413" i="7"/>
  <c r="BV413" i="7"/>
  <c r="AR418" i="7"/>
  <c r="AV418" i="7"/>
  <c r="AO418" i="7"/>
  <c r="AT418" i="7"/>
  <c r="AY418" i="7"/>
  <c r="AS418" i="7"/>
  <c r="AP418" i="7"/>
  <c r="AX418" i="7"/>
  <c r="AQ418" i="7"/>
  <c r="AW418" i="7"/>
  <c r="AU418" i="7"/>
  <c r="BD434" i="7"/>
  <c r="BF434" i="7"/>
  <c r="BG434" i="7" a="1"/>
  <c r="AR408" i="7"/>
  <c r="AV408" i="7"/>
  <c r="AO408" i="7"/>
  <c r="AT408" i="7"/>
  <c r="AY408" i="7"/>
  <c r="AS408" i="7"/>
  <c r="AU408" i="7"/>
  <c r="AQ408" i="7"/>
  <c r="AW408" i="7"/>
  <c r="AP408" i="7"/>
  <c r="AX408" i="7"/>
  <c r="Y412" i="7"/>
  <c r="AC412" i="7"/>
  <c r="AG412" i="7"/>
  <c r="Z412" i="7"/>
  <c r="AE412" i="7"/>
  <c r="X412" i="7"/>
  <c r="AF412" i="7"/>
  <c r="AA412" i="7"/>
  <c r="W412" i="7"/>
  <c r="AB412" i="7"/>
  <c r="AD412" i="7"/>
  <c r="X496" i="7"/>
  <c r="AB496" i="7"/>
  <c r="AF496" i="7"/>
  <c r="Z496" i="7"/>
  <c r="AE496" i="7"/>
  <c r="AA496" i="7"/>
  <c r="AG496" i="7"/>
  <c r="AD496" i="7"/>
  <c r="AC496" i="7"/>
  <c r="W496" i="7"/>
  <c r="Y496" i="7"/>
  <c r="Z431" i="7"/>
  <c r="AD431" i="7"/>
  <c r="X431" i="7"/>
  <c r="AC431" i="7"/>
  <c r="W431" i="7"/>
  <c r="AE431" i="7"/>
  <c r="Y431" i="7"/>
  <c r="AF431" i="7"/>
  <c r="AA431" i="7"/>
  <c r="AB431" i="7"/>
  <c r="AG431" i="7"/>
  <c r="BA499" i="7"/>
  <c r="BE499" i="7"/>
  <c r="BB499" i="7"/>
  <c r="BD499" i="7"/>
  <c r="BC499" i="7"/>
  <c r="BR499" i="7"/>
  <c r="X444" i="7"/>
  <c r="AB444" i="7"/>
  <c r="AF444" i="7"/>
  <c r="Z444" i="7"/>
  <c r="AE444" i="7"/>
  <c r="AA444" i="7"/>
  <c r="AG444" i="7"/>
  <c r="AC444" i="7"/>
  <c r="W444" i="7"/>
  <c r="AD444" i="7"/>
  <c r="Y444" i="7"/>
  <c r="X454" i="7"/>
  <c r="AB454" i="7"/>
  <c r="AF454" i="7"/>
  <c r="AA454" i="7"/>
  <c r="AG454" i="7"/>
  <c r="W454" i="7"/>
  <c r="AC454" i="7"/>
  <c r="AD454" i="7"/>
  <c r="AE454" i="7"/>
  <c r="Y454" i="7"/>
  <c r="Z454" i="7"/>
  <c r="BA431" i="7"/>
  <c r="BE431" i="7"/>
  <c r="BC431" i="7"/>
  <c r="BR431" i="7"/>
  <c r="BB431" i="7"/>
  <c r="BD431" i="7"/>
  <c r="AX425" i="7"/>
  <c r="AO425" i="7"/>
  <c r="AV425" i="7"/>
  <c r="Y375" i="7"/>
  <c r="AC375" i="7"/>
  <c r="AG375" i="7"/>
  <c r="Z375" i="7"/>
  <c r="AE375" i="7"/>
  <c r="AB375" i="7"/>
  <c r="AD375" i="7"/>
  <c r="AA375" i="7"/>
  <c r="W375" i="7"/>
  <c r="X375" i="7"/>
  <c r="AF375" i="7"/>
  <c r="BS402" i="7"/>
  <c r="BW402" i="7"/>
  <c r="BT402" i="7"/>
  <c r="BV402" i="7"/>
  <c r="BU402" i="7"/>
  <c r="BF392" i="7"/>
  <c r="BG392" i="7" a="1"/>
  <c r="BS227" i="7"/>
  <c r="BW227" i="7"/>
  <c r="BA92" i="7"/>
  <c r="BE92" i="7"/>
  <c r="BR92" i="7"/>
  <c r="Y420" i="7"/>
  <c r="AC420" i="7"/>
  <c r="AG420" i="7"/>
  <c r="Z420" i="7"/>
  <c r="AE420" i="7"/>
  <c r="X420" i="7"/>
  <c r="AF420" i="7"/>
  <c r="W420" i="7"/>
  <c r="AA420" i="7"/>
  <c r="AB420" i="7"/>
  <c r="AD420" i="7"/>
  <c r="Y392" i="7"/>
  <c r="AC392" i="7"/>
  <c r="AG392" i="7"/>
  <c r="Z392" i="7"/>
  <c r="AE392" i="7"/>
  <c r="W392" i="7"/>
  <c r="AD392" i="7"/>
  <c r="X392" i="7"/>
  <c r="AA392" i="7"/>
  <c r="AB392" i="7"/>
  <c r="AF392" i="7"/>
  <c r="Z453" i="7"/>
  <c r="AD453" i="7"/>
  <c r="AA453" i="7"/>
  <c r="AF453" i="7"/>
  <c r="W453" i="7"/>
  <c r="AB453" i="7"/>
  <c r="AG453" i="7"/>
  <c r="X453" i="7"/>
  <c r="AC453" i="7"/>
  <c r="Y453" i="7"/>
  <c r="AE453" i="7"/>
  <c r="BS368" i="7"/>
  <c r="BT368" i="7"/>
  <c r="BW368" i="7"/>
  <c r="BU425" i="7"/>
  <c r="BS425" i="7"/>
  <c r="BW425" i="7"/>
  <c r="BT425" i="7"/>
  <c r="BV425" i="7"/>
  <c r="BT434" i="7"/>
  <c r="BV434" i="7"/>
  <c r="BS434" i="7"/>
  <c r="BW434" i="7"/>
  <c r="BU434" i="7"/>
  <c r="BS424" i="7"/>
  <c r="BW424" i="7"/>
  <c r="BT424" i="7"/>
  <c r="BV424" i="7"/>
  <c r="BU424" i="7"/>
  <c r="BA433" i="7"/>
  <c r="BE433" i="7"/>
  <c r="BB433" i="7"/>
  <c r="BD433" i="7"/>
  <c r="BC433" i="7"/>
  <c r="BR433" i="7"/>
  <c r="BS365" i="7"/>
  <c r="BW365" i="7"/>
  <c r="BS209" i="7"/>
  <c r="BW209" i="7"/>
  <c r="X474" i="7"/>
  <c r="AB474" i="7"/>
  <c r="AF474" i="7"/>
  <c r="AA474" i="7"/>
  <c r="AG474" i="7"/>
  <c r="W474" i="7"/>
  <c r="AC474" i="7"/>
  <c r="Y474" i="7"/>
  <c r="AD474" i="7"/>
  <c r="Z474" i="7"/>
  <c r="AE474" i="7"/>
  <c r="BF494" i="7"/>
  <c r="BG494" i="7" a="1"/>
  <c r="BA437" i="7"/>
  <c r="BE437" i="7"/>
  <c r="BB437" i="7"/>
  <c r="BD437" i="7"/>
  <c r="BR437" i="7"/>
  <c r="BC437" i="7"/>
  <c r="Z483" i="7"/>
  <c r="AD483" i="7"/>
  <c r="W483" i="7"/>
  <c r="AB483" i="7"/>
  <c r="AG483" i="7"/>
  <c r="X483" i="7"/>
  <c r="AC483" i="7"/>
  <c r="AE483" i="7"/>
  <c r="AA483" i="7"/>
  <c r="AF483" i="7"/>
  <c r="Y483" i="7"/>
  <c r="BC484" i="7"/>
  <c r="BR484" i="7"/>
  <c r="BB484" i="7"/>
  <c r="BD484" i="7"/>
  <c r="BA484" i="7"/>
  <c r="BE484" i="7"/>
  <c r="BT480" i="7"/>
  <c r="BV480" i="7"/>
  <c r="BU480" i="7"/>
  <c r="BS480" i="7"/>
  <c r="BW480" i="7"/>
  <c r="X438" i="7"/>
  <c r="AB438" i="7"/>
  <c r="AF438" i="7"/>
  <c r="AA438" i="7"/>
  <c r="AG438" i="7"/>
  <c r="W438" i="7"/>
  <c r="AC438" i="7"/>
  <c r="Y438" i="7"/>
  <c r="AD438" i="7"/>
  <c r="Z438" i="7"/>
  <c r="AE438" i="7"/>
  <c r="BA455" i="7"/>
  <c r="BE455" i="7"/>
  <c r="BB455" i="7"/>
  <c r="BD455" i="7"/>
  <c r="BR455" i="7"/>
  <c r="BC455" i="7"/>
  <c r="BS384" i="7"/>
  <c r="BW384" i="7"/>
  <c r="AN451" i="7"/>
  <c r="AO451" i="7" a="1"/>
  <c r="BF422" i="7"/>
  <c r="BG422" i="7" a="1"/>
  <c r="AR420" i="7"/>
  <c r="AV420" i="7"/>
  <c r="AO420" i="7"/>
  <c r="AT420" i="7"/>
  <c r="AY420" i="7"/>
  <c r="AS420" i="7"/>
  <c r="AP420" i="7"/>
  <c r="AX420" i="7"/>
  <c r="AQ420" i="7"/>
  <c r="AU420" i="7"/>
  <c r="AW420" i="7"/>
  <c r="BS414" i="7"/>
  <c r="BW414" i="7"/>
  <c r="BT414" i="7"/>
  <c r="BV414" i="7"/>
  <c r="BU414" i="7"/>
  <c r="BS410" i="7"/>
  <c r="BW410" i="7"/>
  <c r="BT410" i="7"/>
  <c r="BV410" i="7"/>
  <c r="BU410" i="7"/>
  <c r="BS75" i="7"/>
  <c r="BW75" i="7"/>
  <c r="BS43" i="7"/>
  <c r="BW43" i="7"/>
  <c r="AN489" i="7"/>
  <c r="AO489" i="7" a="1"/>
  <c r="BA483" i="7"/>
  <c r="BE483" i="7"/>
  <c r="BB483" i="7"/>
  <c r="BD483" i="7"/>
  <c r="BC483" i="7"/>
  <c r="BR483" i="7"/>
  <c r="X490" i="7"/>
  <c r="AB490" i="7"/>
  <c r="AF490" i="7"/>
  <c r="AA490" i="7"/>
  <c r="AG490" i="7"/>
  <c r="W490" i="7"/>
  <c r="AC490" i="7"/>
  <c r="Z490" i="7"/>
  <c r="Y490" i="7"/>
  <c r="AD490" i="7"/>
  <c r="AE490" i="7"/>
  <c r="BS399" i="7"/>
  <c r="BW399" i="7"/>
  <c r="BT399" i="7"/>
  <c r="BS205" i="7"/>
  <c r="BW205" i="7"/>
  <c r="BS199" i="7"/>
  <c r="BW199" i="7"/>
  <c r="BA481" i="7"/>
  <c r="BE481" i="7"/>
  <c r="BB481" i="7"/>
  <c r="BD481" i="7"/>
  <c r="BR481" i="7"/>
  <c r="BC481" i="7"/>
  <c r="BA479" i="7"/>
  <c r="BE479" i="7"/>
  <c r="BB479" i="7"/>
  <c r="BD479" i="7"/>
  <c r="BC479" i="7"/>
  <c r="BR479" i="7"/>
  <c r="BC440" i="7"/>
  <c r="BR440" i="7"/>
  <c r="BB440" i="7"/>
  <c r="BD440" i="7"/>
  <c r="BA440" i="7"/>
  <c r="BE440" i="7"/>
  <c r="BT436" i="7"/>
  <c r="BV436" i="7"/>
  <c r="BU436" i="7"/>
  <c r="BS436" i="7"/>
  <c r="BW436" i="7"/>
  <c r="AN449" i="7"/>
  <c r="AO449" i="7" a="1"/>
  <c r="BF409" i="7"/>
  <c r="BG409" i="7" a="1"/>
  <c r="BS426" i="7"/>
  <c r="BW426" i="7"/>
  <c r="BT426" i="7"/>
  <c r="BV426" i="7"/>
  <c r="BU426" i="7"/>
  <c r="BA383" i="7"/>
  <c r="BE383" i="7"/>
  <c r="BR383" i="7"/>
  <c r="BS400" i="7"/>
  <c r="BW400" i="7"/>
  <c r="BT400" i="7"/>
  <c r="BV400" i="7"/>
  <c r="BU400" i="7"/>
  <c r="BS385" i="7"/>
  <c r="BW385" i="7"/>
  <c r="Z27" i="7"/>
  <c r="AD27" i="7"/>
  <c r="AA27" i="7"/>
  <c r="AF27" i="7"/>
  <c r="X27" i="7"/>
  <c r="AE27" i="7"/>
  <c r="AC27" i="7"/>
  <c r="AG27" i="7"/>
  <c r="W27" i="7"/>
  <c r="Y27" i="7"/>
  <c r="AB27" i="7"/>
  <c r="Y416" i="7"/>
  <c r="AC416" i="7"/>
  <c r="AG416" i="7"/>
  <c r="Z416" i="7"/>
  <c r="AE416" i="7"/>
  <c r="X416" i="7"/>
  <c r="AF416" i="7"/>
  <c r="W416" i="7"/>
  <c r="AA416" i="7"/>
  <c r="AB416" i="7"/>
  <c r="AD416" i="7"/>
  <c r="Y385" i="7"/>
  <c r="AC385" i="7"/>
  <c r="AG385" i="7"/>
  <c r="Z385" i="7"/>
  <c r="AE385" i="7"/>
  <c r="W385" i="7"/>
  <c r="AD385" i="7"/>
  <c r="X385" i="7"/>
  <c r="AA385" i="7"/>
  <c r="AB385" i="7"/>
  <c r="AF385" i="7"/>
  <c r="AN493" i="7"/>
  <c r="AO493" i="7" a="1"/>
  <c r="BA495" i="7"/>
  <c r="BE495" i="7"/>
  <c r="BC495" i="7"/>
  <c r="BR495" i="7"/>
  <c r="BB495" i="7"/>
  <c r="BD495" i="7"/>
  <c r="AP384" i="7"/>
  <c r="AT384" i="7"/>
  <c r="AX384" i="7"/>
  <c r="AO384" i="7"/>
  <c r="AU384" i="7"/>
  <c r="AS384" i="7"/>
  <c r="AR384" i="7"/>
  <c r="AY384" i="7"/>
  <c r="AQ384" i="7"/>
  <c r="AV384" i="7"/>
  <c r="AW384" i="7"/>
  <c r="AW414" i="7"/>
  <c r="AU414" i="7"/>
  <c r="BA232" i="7"/>
  <c r="BE232" i="7"/>
  <c r="BR232" i="7"/>
  <c r="AN235" i="7"/>
  <c r="AO235" i="7" a="1"/>
  <c r="BC456" i="7"/>
  <c r="BR456" i="7"/>
  <c r="BB456" i="7"/>
  <c r="BD456" i="7"/>
  <c r="BA456" i="7"/>
  <c r="BE456" i="7"/>
  <c r="AN501" i="7"/>
  <c r="AO501" i="7" a="1"/>
  <c r="BA457" i="7"/>
  <c r="BE457" i="7"/>
  <c r="BC457" i="7"/>
  <c r="BR457" i="7"/>
  <c r="BB457" i="7"/>
  <c r="BD457" i="7"/>
  <c r="AN438" i="7"/>
  <c r="AO438" i="7" a="1"/>
  <c r="BA491" i="7"/>
  <c r="BE491" i="7"/>
  <c r="BB491" i="7"/>
  <c r="BD491" i="7"/>
  <c r="BC491" i="7"/>
  <c r="BR491" i="7"/>
  <c r="BC482" i="7"/>
  <c r="BR482" i="7"/>
  <c r="BA482" i="7"/>
  <c r="BE482" i="7"/>
  <c r="BB482" i="7"/>
  <c r="BD482" i="7"/>
  <c r="AN474" i="7"/>
  <c r="AO474" i="7" a="1"/>
  <c r="BF488" i="7"/>
  <c r="BG488" i="7" a="1"/>
  <c r="AN431" i="7"/>
  <c r="AO431" i="7" a="1"/>
  <c r="BS369" i="7"/>
  <c r="BW369" i="7"/>
  <c r="AN439" i="7"/>
  <c r="AO439" i="7" a="1"/>
  <c r="Z441" i="7"/>
  <c r="AD441" i="7"/>
  <c r="X441" i="7"/>
  <c r="AC441" i="7"/>
  <c r="Y441" i="7"/>
  <c r="AE441" i="7"/>
  <c r="AB441" i="7"/>
  <c r="W441" i="7"/>
  <c r="AG441" i="7"/>
  <c r="AF441" i="7"/>
  <c r="AA441" i="7"/>
  <c r="AN430" i="7"/>
  <c r="AO430" i="7" a="1"/>
  <c r="BU423" i="7"/>
  <c r="BS423" i="7"/>
  <c r="BW423" i="7"/>
  <c r="BT423" i="7"/>
  <c r="BV423" i="7"/>
  <c r="BF415" i="7"/>
  <c r="BG415" i="7" a="1"/>
  <c r="BA451" i="7"/>
  <c r="BE451" i="7"/>
  <c r="BB451" i="7"/>
  <c r="BD451" i="7"/>
  <c r="BR451" i="7"/>
  <c r="BC451" i="7"/>
  <c r="BS422" i="7"/>
  <c r="BW422" i="7"/>
  <c r="BT422" i="7"/>
  <c r="BV422" i="7"/>
  <c r="BU422" i="7"/>
  <c r="BF410" i="7"/>
  <c r="BG410" i="7" a="1"/>
  <c r="BS408" i="7"/>
  <c r="BW408" i="7"/>
  <c r="BT408" i="7"/>
  <c r="BV408" i="7"/>
  <c r="BU408" i="7"/>
  <c r="BS241" i="7"/>
  <c r="BW241" i="7"/>
  <c r="AR392" i="7"/>
  <c r="AV392" i="7"/>
  <c r="AO392" i="7"/>
  <c r="AT392" i="7"/>
  <c r="AY392" i="7"/>
  <c r="AQ392" i="7"/>
  <c r="AX392" i="7"/>
  <c r="AP392" i="7"/>
  <c r="AS392" i="7"/>
  <c r="AU392" i="7"/>
  <c r="AW392" i="7"/>
  <c r="BS229" i="7"/>
  <c r="BW229" i="7"/>
  <c r="BA376" i="7"/>
  <c r="BE376" i="7"/>
  <c r="BR376" i="7"/>
  <c r="BC492" i="7"/>
  <c r="BR492" i="7"/>
  <c r="BB492" i="7"/>
  <c r="BD492" i="7"/>
  <c r="BA492" i="7"/>
  <c r="BE492" i="7"/>
  <c r="BA489" i="7"/>
  <c r="BE489" i="7"/>
  <c r="BB489" i="7"/>
  <c r="BD489" i="7"/>
  <c r="BR489" i="7"/>
  <c r="BC489" i="7"/>
  <c r="BU417" i="7"/>
  <c r="BS417" i="7"/>
  <c r="BW417" i="7"/>
  <c r="BT417" i="7"/>
  <c r="BV417" i="7"/>
  <c r="BS397" i="7"/>
  <c r="BU397" i="7"/>
  <c r="BW397" i="7"/>
  <c r="BT397" i="7"/>
  <c r="BV397" i="7"/>
  <c r="AP208" i="7"/>
  <c r="BR371" i="7"/>
  <c r="BA371" i="7"/>
  <c r="BE371" i="7"/>
  <c r="AN464" i="7"/>
  <c r="AO464" i="7" a="1"/>
  <c r="BT452" i="7"/>
  <c r="BV452" i="7"/>
  <c r="BU452" i="7"/>
  <c r="BS452" i="7"/>
  <c r="BW452" i="7"/>
  <c r="BA449" i="7"/>
  <c r="BE449" i="7"/>
  <c r="BC449" i="7"/>
  <c r="BR449" i="7"/>
  <c r="BB449" i="7"/>
  <c r="BD449" i="7"/>
  <c r="BU427" i="7"/>
  <c r="BS427" i="7"/>
  <c r="BW427" i="7"/>
  <c r="BT427" i="7"/>
  <c r="BV427" i="7"/>
  <c r="BF419" i="7"/>
  <c r="BG419" i="7" a="1"/>
  <c r="BU411" i="7"/>
  <c r="BS411" i="7"/>
  <c r="BW411" i="7"/>
  <c r="BT411" i="7"/>
  <c r="BV411" i="7"/>
  <c r="BF418" i="7"/>
  <c r="BG418" i="7" a="1"/>
  <c r="BA354" i="7"/>
  <c r="BE354" i="7"/>
  <c r="BR354" i="7"/>
  <c r="BS296" i="7"/>
  <c r="BW296" i="7"/>
  <c r="BA487" i="7"/>
  <c r="BE487" i="7"/>
  <c r="BB487" i="7"/>
  <c r="BD487" i="7"/>
  <c r="BC487" i="7"/>
  <c r="BR487" i="7"/>
  <c r="Z455" i="7"/>
  <c r="AD455" i="7"/>
  <c r="W455" i="7"/>
  <c r="AB455" i="7"/>
  <c r="AG455" i="7"/>
  <c r="AC455" i="7"/>
  <c r="X455" i="7"/>
  <c r="AE455" i="7"/>
  <c r="Y455" i="7"/>
  <c r="AF455" i="7"/>
  <c r="AA455" i="7"/>
  <c r="BA441" i="7"/>
  <c r="BE441" i="7"/>
  <c r="BC441" i="7"/>
  <c r="BR441" i="7"/>
  <c r="BB441" i="7"/>
  <c r="BD441" i="7"/>
  <c r="BA435" i="7"/>
  <c r="BE435" i="7"/>
  <c r="BB435" i="7"/>
  <c r="BD435" i="7"/>
  <c r="BC435" i="7"/>
  <c r="BR435" i="7"/>
  <c r="BS416" i="7"/>
  <c r="BW416" i="7"/>
  <c r="BT416" i="7"/>
  <c r="BV416" i="7"/>
  <c r="BU416" i="7"/>
  <c r="AR410" i="7"/>
  <c r="BS295" i="7"/>
  <c r="BW295" i="7"/>
  <c r="AR43" i="7"/>
  <c r="AV43" i="7"/>
  <c r="AP43" i="7"/>
  <c r="AU43" i="7"/>
  <c r="AQ43" i="7"/>
  <c r="AX43" i="7"/>
  <c r="AT43" i="7"/>
  <c r="AS43" i="7"/>
  <c r="AO43" i="7"/>
  <c r="AW43" i="7"/>
  <c r="AY43" i="7"/>
  <c r="BA235" i="7"/>
  <c r="BE235" i="7"/>
  <c r="BR235" i="7"/>
  <c r="BT496" i="7"/>
  <c r="BV496" i="7"/>
  <c r="BU496" i="7"/>
  <c r="BS496" i="7"/>
  <c r="BW496" i="7"/>
  <c r="BA501" i="7"/>
  <c r="BE501" i="7"/>
  <c r="BC501" i="7"/>
  <c r="BR501" i="7"/>
  <c r="BB501" i="7"/>
  <c r="BD501" i="7"/>
  <c r="BC438" i="7"/>
  <c r="BR438" i="7"/>
  <c r="BA438" i="7"/>
  <c r="BE438" i="7"/>
  <c r="BB438" i="7"/>
  <c r="BD438" i="7"/>
  <c r="Z463" i="7"/>
  <c r="AD463" i="7"/>
  <c r="W463" i="7"/>
  <c r="AB463" i="7"/>
  <c r="AG463" i="7"/>
  <c r="X463" i="7"/>
  <c r="AE463" i="7"/>
  <c r="AA463" i="7"/>
  <c r="Y463" i="7"/>
  <c r="AF463" i="7"/>
  <c r="AC463" i="7"/>
  <c r="BC474" i="7"/>
  <c r="BR474" i="7"/>
  <c r="BA474" i="7"/>
  <c r="BE474" i="7"/>
  <c r="BB474" i="7"/>
  <c r="BA497" i="7"/>
  <c r="BE497" i="7"/>
  <c r="BB497" i="7"/>
  <c r="BD497" i="7"/>
  <c r="BC497" i="7"/>
  <c r="BR497" i="7"/>
  <c r="X458" i="7"/>
  <c r="AB458" i="7"/>
  <c r="AF458" i="7"/>
  <c r="Y458" i="7"/>
  <c r="AD458" i="7"/>
  <c r="AC458" i="7"/>
  <c r="W458" i="7"/>
  <c r="AE458" i="7"/>
  <c r="Z458" i="7"/>
  <c r="AG458" i="7"/>
  <c r="AA458" i="7"/>
  <c r="BA445" i="7"/>
  <c r="BE445" i="7"/>
  <c r="BB445" i="7"/>
  <c r="BD445" i="7"/>
  <c r="BC445" i="7"/>
  <c r="BR445" i="7"/>
  <c r="BC448" i="7"/>
  <c r="BR448" i="7"/>
  <c r="BB448" i="7"/>
  <c r="BA448" i="7"/>
  <c r="BE448" i="7"/>
  <c r="BC430" i="7"/>
  <c r="BR430" i="7"/>
  <c r="BB430" i="7"/>
  <c r="BD430" i="7"/>
  <c r="BA430" i="7"/>
  <c r="BE430" i="7"/>
  <c r="BA443" i="7"/>
  <c r="BE443" i="7"/>
  <c r="BC443" i="7"/>
  <c r="BR443" i="7"/>
  <c r="BB443" i="7"/>
  <c r="BD443" i="7"/>
  <c r="BF408" i="7"/>
  <c r="BG408" i="7" a="1"/>
  <c r="BS406" i="7"/>
  <c r="BW406" i="7"/>
  <c r="BT406" i="7"/>
  <c r="BV406" i="7"/>
  <c r="BU406" i="7"/>
  <c r="AR402" i="7"/>
  <c r="AV402" i="7"/>
  <c r="AO402" i="7"/>
  <c r="AT402" i="7"/>
  <c r="AY402" i="7"/>
  <c r="AQ402" i="7"/>
  <c r="AX402" i="7"/>
  <c r="AP402" i="7"/>
  <c r="AS402" i="7"/>
  <c r="AU402" i="7"/>
  <c r="AW402" i="7"/>
  <c r="BA372" i="7"/>
  <c r="BR372" i="7"/>
  <c r="BC446" i="7"/>
  <c r="BR446" i="7"/>
  <c r="BA446" i="7"/>
  <c r="BE446" i="7"/>
  <c r="BB446" i="7"/>
  <c r="AN483" i="7"/>
  <c r="AO483" i="7" a="1"/>
  <c r="BA475" i="7"/>
  <c r="BE475" i="7"/>
  <c r="BB475" i="7"/>
  <c r="BD475" i="7"/>
  <c r="BC475" i="7"/>
  <c r="BR475" i="7"/>
  <c r="Z491" i="7"/>
  <c r="AD491" i="7"/>
  <c r="W491" i="7"/>
  <c r="AB491" i="7"/>
  <c r="AG491" i="7"/>
  <c r="X491" i="7"/>
  <c r="AC491" i="7"/>
  <c r="AF491" i="7"/>
  <c r="AE491" i="7"/>
  <c r="Y491" i="7"/>
  <c r="AA491" i="7"/>
  <c r="BA463" i="7"/>
  <c r="BE463" i="7"/>
  <c r="BB463" i="7"/>
  <c r="BD463" i="7"/>
  <c r="BC463" i="7"/>
  <c r="BR463" i="7"/>
  <c r="BU403" i="7"/>
  <c r="BS403" i="7"/>
  <c r="BW403" i="7"/>
  <c r="BT403" i="7"/>
  <c r="BV403" i="7"/>
  <c r="BF397" i="7"/>
  <c r="BG397" i="7" a="1"/>
  <c r="BA27" i="7"/>
  <c r="BE27" i="7"/>
  <c r="BR27" i="7"/>
  <c r="BC464" i="7"/>
  <c r="BR464" i="7"/>
  <c r="BB464" i="7"/>
  <c r="BD464" i="7"/>
  <c r="BA464" i="7"/>
  <c r="BE464" i="7"/>
  <c r="BU409" i="7"/>
  <c r="BS409" i="7"/>
  <c r="BW409" i="7"/>
  <c r="BT409" i="7"/>
  <c r="BV409" i="7"/>
  <c r="BF405" i="7"/>
  <c r="BG405" i="7" a="1"/>
  <c r="BS418" i="7"/>
  <c r="BW418" i="7"/>
  <c r="BT418" i="7"/>
  <c r="BV418" i="7"/>
  <c r="BU418" i="7"/>
  <c r="BU415" i="7"/>
  <c r="BS415" i="7"/>
  <c r="BW415" i="7"/>
  <c r="BT415" i="7"/>
  <c r="BV415" i="7"/>
  <c r="BA213" i="7"/>
  <c r="BE213" i="7"/>
  <c r="BR213" i="7"/>
  <c r="BS412" i="7"/>
  <c r="BW412" i="7"/>
  <c r="BT412" i="7"/>
  <c r="BV412" i="7"/>
  <c r="BU412" i="7"/>
  <c r="BS404" i="7"/>
  <c r="BW404" i="7"/>
  <c r="BT404" i="7"/>
  <c r="BV404" i="7"/>
  <c r="BU404" i="7"/>
  <c r="AR400" i="7"/>
  <c r="AV400" i="7"/>
  <c r="AO400" i="7"/>
  <c r="AT400" i="7"/>
  <c r="AY400" i="7"/>
  <c r="AQ400" i="7"/>
  <c r="AX400" i="7"/>
  <c r="AP400" i="7"/>
  <c r="AS400" i="7"/>
  <c r="AU400" i="7"/>
  <c r="AW400" i="7"/>
  <c r="AO385" i="7"/>
  <c r="AT385" i="7"/>
  <c r="AX385" i="7"/>
  <c r="AP385" i="7"/>
  <c r="AW385" i="7"/>
  <c r="BS208" i="7"/>
  <c r="BW208" i="7"/>
  <c r="BA256" i="7"/>
  <c r="BE256" i="7"/>
  <c r="BR256" i="7"/>
  <c r="BS370" i="7"/>
  <c r="BW370" i="7"/>
  <c r="BR395" i="7"/>
  <c r="BA395" i="7"/>
  <c r="BE395" i="7"/>
  <c r="AQ475" i="7"/>
  <c r="Z439" i="7"/>
  <c r="AD439" i="7"/>
  <c r="W439" i="7"/>
  <c r="AB439" i="7"/>
  <c r="AG439" i="7"/>
  <c r="X439" i="7"/>
  <c r="AC439" i="7"/>
  <c r="AE439" i="7"/>
  <c r="Y439" i="7"/>
  <c r="AF439" i="7"/>
  <c r="AA439" i="7"/>
  <c r="BU401" i="7"/>
  <c r="BS401" i="7"/>
  <c r="BW401" i="7"/>
  <c r="BT401" i="7"/>
  <c r="BV401" i="7"/>
  <c r="BS340" i="7"/>
  <c r="BW340" i="7"/>
  <c r="BS260" i="7"/>
  <c r="BW260" i="7"/>
  <c r="Z383" i="7"/>
  <c r="AD383" i="7"/>
  <c r="Y383" i="7"/>
  <c r="AE383" i="7"/>
  <c r="W383" i="7"/>
  <c r="AC383" i="7"/>
  <c r="AB383" i="7"/>
  <c r="AF383" i="7"/>
  <c r="AG383" i="7"/>
  <c r="X383" i="7"/>
  <c r="AA383" i="7"/>
  <c r="AV481" i="7"/>
  <c r="AX481" i="7"/>
  <c r="BU462" i="7"/>
  <c r="BS462" i="7"/>
  <c r="BW462" i="7"/>
  <c r="BT462" i="7"/>
  <c r="BV462" i="7"/>
  <c r="BA465" i="7"/>
  <c r="BE465" i="7"/>
  <c r="BC465" i="7"/>
  <c r="BR465" i="7"/>
  <c r="BB465" i="7"/>
  <c r="BD465" i="7"/>
  <c r="BA447" i="7"/>
  <c r="BE447" i="7"/>
  <c r="BB447" i="7"/>
  <c r="BD447" i="7"/>
  <c r="BC447" i="7"/>
  <c r="BR447" i="7"/>
  <c r="AS440" i="7"/>
  <c r="AP429" i="7"/>
  <c r="AT429" i="7"/>
  <c r="AX429" i="7"/>
  <c r="AS429" i="7"/>
  <c r="AY429" i="7"/>
  <c r="AR429" i="7"/>
  <c r="AO429" i="7"/>
  <c r="AW429" i="7"/>
  <c r="AQ429" i="7"/>
  <c r="AV429" i="7"/>
  <c r="AU429" i="7"/>
  <c r="BU419" i="7"/>
  <c r="BS419" i="7"/>
  <c r="BW419" i="7"/>
  <c r="BT419" i="7"/>
  <c r="BV419" i="7"/>
  <c r="BM411" i="7"/>
  <c r="BL411" i="7"/>
  <c r="BG411" i="7"/>
  <c r="BP411" i="7"/>
  <c r="BU407" i="7"/>
  <c r="BS407" i="7"/>
  <c r="BW407" i="7"/>
  <c r="BT407" i="7"/>
  <c r="BV407" i="7"/>
  <c r="BR380" i="7"/>
  <c r="BA380" i="7"/>
  <c r="BE380" i="7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/>
  <c r="E249" i="10"/>
  <c r="H249" i="10"/>
  <c r="D249" i="10"/>
  <c r="G249" i="10"/>
  <c r="F248" i="10"/>
  <c r="I248" i="10"/>
  <c r="E248" i="10"/>
  <c r="D248" i="10"/>
  <c r="F247" i="10"/>
  <c r="I247" i="10"/>
  <c r="E247" i="10"/>
  <c r="H247" i="10"/>
  <c r="D247" i="10"/>
  <c r="F246" i="10"/>
  <c r="I246" i="10"/>
  <c r="E246" i="10"/>
  <c r="H246" i="10"/>
  <c r="D246" i="10"/>
  <c r="G246" i="10"/>
  <c r="F245" i="10"/>
  <c r="I245" i="10"/>
  <c r="E245" i="10"/>
  <c r="H245" i="10"/>
  <c r="D245" i="10"/>
  <c r="G245" i="10"/>
  <c r="F244" i="10"/>
  <c r="I244" i="10"/>
  <c r="E244" i="10"/>
  <c r="H244" i="10"/>
  <c r="D244" i="10"/>
  <c r="G244" i="10"/>
  <c r="F243" i="10"/>
  <c r="I243" i="10"/>
  <c r="E243" i="10"/>
  <c r="H243" i="10"/>
  <c r="D243" i="10"/>
  <c r="G243" i="10"/>
  <c r="F242" i="10"/>
  <c r="I242" i="10"/>
  <c r="E242" i="10"/>
  <c r="H242" i="10"/>
  <c r="D242" i="10"/>
  <c r="G242" i="10"/>
  <c r="F241" i="10"/>
  <c r="I241" i="10"/>
  <c r="E241" i="10"/>
  <c r="H241" i="10"/>
  <c r="D241" i="10"/>
  <c r="G241" i="10"/>
  <c r="F240" i="10"/>
  <c r="I240" i="10"/>
  <c r="E240" i="10"/>
  <c r="H240" i="10"/>
  <c r="D240" i="10"/>
  <c r="G240" i="10"/>
  <c r="F239" i="10"/>
  <c r="I239" i="10"/>
  <c r="E239" i="10"/>
  <c r="H239" i="10"/>
  <c r="D239" i="10"/>
  <c r="G239" i="10"/>
  <c r="F238" i="10"/>
  <c r="I238" i="10"/>
  <c r="E238" i="10"/>
  <c r="H238" i="10"/>
  <c r="D238" i="10"/>
  <c r="G238" i="10"/>
  <c r="F237" i="10"/>
  <c r="I237" i="10"/>
  <c r="E237" i="10"/>
  <c r="H237" i="10"/>
  <c r="D237" i="10"/>
  <c r="G237" i="10"/>
  <c r="F236" i="10"/>
  <c r="I236" i="10"/>
  <c r="E236" i="10"/>
  <c r="H236" i="10"/>
  <c r="D236" i="10"/>
  <c r="G236" i="10"/>
  <c r="F235" i="10"/>
  <c r="I235" i="10"/>
  <c r="E235" i="10"/>
  <c r="H235" i="10"/>
  <c r="D235" i="10"/>
  <c r="F234" i="10"/>
  <c r="I234" i="10"/>
  <c r="E234" i="10"/>
  <c r="H234" i="10"/>
  <c r="D234" i="10"/>
  <c r="G234" i="10"/>
  <c r="F233" i="10"/>
  <c r="I233" i="10"/>
  <c r="E233" i="10"/>
  <c r="H233" i="10"/>
  <c r="D233" i="10"/>
  <c r="G233" i="10"/>
  <c r="F232" i="10"/>
  <c r="I232" i="10"/>
  <c r="E232" i="10"/>
  <c r="D232" i="10"/>
  <c r="G232" i="10"/>
  <c r="F231" i="10"/>
  <c r="I231" i="10"/>
  <c r="E231" i="10"/>
  <c r="H231" i="10"/>
  <c r="D231" i="10"/>
  <c r="G231" i="10"/>
  <c r="F230" i="10"/>
  <c r="I230" i="10"/>
  <c r="E230" i="10"/>
  <c r="H230" i="10"/>
  <c r="D230" i="10"/>
  <c r="G230" i="10"/>
  <c r="F229" i="10"/>
  <c r="I229" i="10"/>
  <c r="E229" i="10"/>
  <c r="H229" i="10"/>
  <c r="D229" i="10"/>
  <c r="G229" i="10"/>
  <c r="F228" i="10"/>
  <c r="I228" i="10"/>
  <c r="E228" i="10"/>
  <c r="H228" i="10"/>
  <c r="D228" i="10"/>
  <c r="G228" i="10"/>
  <c r="F227" i="10"/>
  <c r="I227" i="10"/>
  <c r="E227" i="10"/>
  <c r="H227" i="10"/>
  <c r="D227" i="10"/>
  <c r="F226" i="10"/>
  <c r="I226" i="10"/>
  <c r="E226" i="10"/>
  <c r="H226" i="10"/>
  <c r="D226" i="10"/>
  <c r="G226" i="10"/>
  <c r="F225" i="10"/>
  <c r="I225" i="10"/>
  <c r="E225" i="10"/>
  <c r="H225" i="10"/>
  <c r="D225" i="10"/>
  <c r="G225" i="10"/>
  <c r="F224" i="10"/>
  <c r="I224" i="10"/>
  <c r="E224" i="10"/>
  <c r="D224" i="10"/>
  <c r="G224" i="10"/>
  <c r="F223" i="10"/>
  <c r="I223" i="10"/>
  <c r="E223" i="10"/>
  <c r="H223" i="10"/>
  <c r="D223" i="10"/>
  <c r="G223" i="10"/>
  <c r="F222" i="10"/>
  <c r="I222" i="10"/>
  <c r="E222" i="10"/>
  <c r="H222" i="10"/>
  <c r="D222" i="10"/>
  <c r="G222" i="10"/>
  <c r="F221" i="10"/>
  <c r="E221" i="10"/>
  <c r="H221" i="10"/>
  <c r="D221" i="10"/>
  <c r="G221" i="10"/>
  <c r="F220" i="10"/>
  <c r="I220" i="10"/>
  <c r="E220" i="10"/>
  <c r="H220" i="10"/>
  <c r="D220" i="10"/>
  <c r="G220" i="10"/>
  <c r="F219" i="10"/>
  <c r="I219" i="10"/>
  <c r="E219" i="10"/>
  <c r="H219" i="10"/>
  <c r="D219" i="10"/>
  <c r="G219" i="10"/>
  <c r="F218" i="10"/>
  <c r="I218" i="10"/>
  <c r="E218" i="10"/>
  <c r="H218" i="10"/>
  <c r="D218" i="10"/>
  <c r="G218" i="10"/>
  <c r="F217" i="10"/>
  <c r="E217" i="10"/>
  <c r="H217" i="10"/>
  <c r="D217" i="10"/>
  <c r="G217" i="10"/>
  <c r="F216" i="10"/>
  <c r="I216" i="10"/>
  <c r="E216" i="10"/>
  <c r="H216" i="10"/>
  <c r="D216" i="10"/>
  <c r="G216" i="10"/>
  <c r="F215" i="10"/>
  <c r="I215" i="10"/>
  <c r="E215" i="10"/>
  <c r="H215" i="10"/>
  <c r="D215" i="10"/>
  <c r="G215" i="10"/>
  <c r="F214" i="10"/>
  <c r="I214" i="10"/>
  <c r="E214" i="10"/>
  <c r="H214" i="10"/>
  <c r="D214" i="10"/>
  <c r="G214" i="10"/>
  <c r="F213" i="10"/>
  <c r="I213" i="10"/>
  <c r="E213" i="10"/>
  <c r="H213" i="10"/>
  <c r="D213" i="10"/>
  <c r="G213" i="10"/>
  <c r="F212" i="10"/>
  <c r="I212" i="10"/>
  <c r="E212" i="10"/>
  <c r="H212" i="10"/>
  <c r="D212" i="10"/>
  <c r="G212" i="10"/>
  <c r="F211" i="10"/>
  <c r="I211" i="10"/>
  <c r="E211" i="10"/>
  <c r="H211" i="10"/>
  <c r="D211" i="10"/>
  <c r="G211" i="10"/>
  <c r="F210" i="10"/>
  <c r="I210" i="10"/>
  <c r="E210" i="10"/>
  <c r="H210" i="10"/>
  <c r="D210" i="10"/>
  <c r="G210" i="10"/>
  <c r="F209" i="10"/>
  <c r="I209" i="10"/>
  <c r="E209" i="10"/>
  <c r="H209" i="10"/>
  <c r="D209" i="10"/>
  <c r="G209" i="10"/>
  <c r="F208" i="10"/>
  <c r="I208" i="10"/>
  <c r="E208" i="10"/>
  <c r="D208" i="10"/>
  <c r="G208" i="10"/>
  <c r="F207" i="10"/>
  <c r="I207" i="10"/>
  <c r="E207" i="10"/>
  <c r="H207" i="10"/>
  <c r="D207" i="10"/>
  <c r="G207" i="10"/>
  <c r="F206" i="10"/>
  <c r="I206" i="10"/>
  <c r="E206" i="10"/>
  <c r="H206" i="10"/>
  <c r="D206" i="10"/>
  <c r="G206" i="10"/>
  <c r="F205" i="10"/>
  <c r="I205" i="10"/>
  <c r="E205" i="10"/>
  <c r="H205" i="10"/>
  <c r="D205" i="10"/>
  <c r="G205" i="10"/>
  <c r="F204" i="10"/>
  <c r="I204" i="10"/>
  <c r="E204" i="10"/>
  <c r="H204" i="10"/>
  <c r="D204" i="10"/>
  <c r="G204" i="10"/>
  <c r="F203" i="10"/>
  <c r="I203" i="10"/>
  <c r="E203" i="10"/>
  <c r="H203" i="10"/>
  <c r="D203" i="10"/>
  <c r="G203" i="10"/>
  <c r="F202" i="10"/>
  <c r="I202" i="10"/>
  <c r="E202" i="10"/>
  <c r="H202" i="10"/>
  <c r="D202" i="10"/>
  <c r="G202" i="10"/>
  <c r="F201" i="10"/>
  <c r="I201" i="10"/>
  <c r="E201" i="10"/>
  <c r="H201" i="10"/>
  <c r="D201" i="10"/>
  <c r="G201" i="10"/>
  <c r="F200" i="10"/>
  <c r="I200" i="10"/>
  <c r="E200" i="10"/>
  <c r="H200" i="10"/>
  <c r="D200" i="10"/>
  <c r="G200" i="10"/>
  <c r="F199" i="10"/>
  <c r="I199" i="10"/>
  <c r="E199" i="10"/>
  <c r="H199" i="10"/>
  <c r="D199" i="10"/>
  <c r="G199" i="10"/>
  <c r="F198" i="10"/>
  <c r="I198" i="10"/>
  <c r="E198" i="10"/>
  <c r="H198" i="10"/>
  <c r="D198" i="10"/>
  <c r="G198" i="10"/>
  <c r="F197" i="10"/>
  <c r="I197" i="10"/>
  <c r="E197" i="10"/>
  <c r="H197" i="10"/>
  <c r="D197" i="10"/>
  <c r="G197" i="10"/>
  <c r="F196" i="10"/>
  <c r="I196" i="10"/>
  <c r="E196" i="10"/>
  <c r="H196" i="10"/>
  <c r="D196" i="10"/>
  <c r="G196" i="10"/>
  <c r="F195" i="10"/>
  <c r="I195" i="10"/>
  <c r="E195" i="10"/>
  <c r="H195" i="10"/>
  <c r="D195" i="10"/>
  <c r="F194" i="10"/>
  <c r="I194" i="10"/>
  <c r="E194" i="10"/>
  <c r="H194" i="10"/>
  <c r="D194" i="10"/>
  <c r="G194" i="10"/>
  <c r="F193" i="10"/>
  <c r="I193" i="10"/>
  <c r="E193" i="10"/>
  <c r="H193" i="10"/>
  <c r="D193" i="10"/>
  <c r="G193" i="10"/>
  <c r="F192" i="10"/>
  <c r="I192" i="10"/>
  <c r="E192" i="10"/>
  <c r="D192" i="10"/>
  <c r="G192" i="10"/>
  <c r="F191" i="10"/>
  <c r="I191" i="10"/>
  <c r="E191" i="10"/>
  <c r="H191" i="10"/>
  <c r="D191" i="10"/>
  <c r="G191" i="10"/>
  <c r="F190" i="10"/>
  <c r="I190" i="10"/>
  <c r="E190" i="10"/>
  <c r="H190" i="10"/>
  <c r="D190" i="10"/>
  <c r="G190" i="10"/>
  <c r="F189" i="10"/>
  <c r="I189" i="10"/>
  <c r="E189" i="10"/>
  <c r="H189" i="10"/>
  <c r="D189" i="10"/>
  <c r="G189" i="10"/>
  <c r="F188" i="10"/>
  <c r="I188" i="10"/>
  <c r="E188" i="10"/>
  <c r="H188" i="10"/>
  <c r="D188" i="10"/>
  <c r="G188" i="10"/>
  <c r="F187" i="10"/>
  <c r="I187" i="10"/>
  <c r="E187" i="10"/>
  <c r="H187" i="10"/>
  <c r="D187" i="10"/>
  <c r="G187" i="10"/>
  <c r="F186" i="10"/>
  <c r="I186" i="10"/>
  <c r="E186" i="10"/>
  <c r="H186" i="10"/>
  <c r="D186" i="10"/>
  <c r="G186" i="10"/>
  <c r="F185" i="10"/>
  <c r="I185" i="10"/>
  <c r="E185" i="10"/>
  <c r="H185" i="10"/>
  <c r="D185" i="10"/>
  <c r="G185" i="10"/>
  <c r="F184" i="10"/>
  <c r="I184" i="10"/>
  <c r="E184" i="10"/>
  <c r="H184" i="10"/>
  <c r="D184" i="10"/>
  <c r="G184" i="10"/>
  <c r="F183" i="10"/>
  <c r="I183" i="10"/>
  <c r="E183" i="10"/>
  <c r="H183" i="10"/>
  <c r="D183" i="10"/>
  <c r="F182" i="10"/>
  <c r="I182" i="10"/>
  <c r="E182" i="10"/>
  <c r="H182" i="10"/>
  <c r="D182" i="10"/>
  <c r="G182" i="10"/>
  <c r="F181" i="10"/>
  <c r="I181" i="10"/>
  <c r="E181" i="10"/>
  <c r="H181" i="10"/>
  <c r="D181" i="10"/>
  <c r="G181" i="10"/>
  <c r="F180" i="10"/>
  <c r="I180" i="10"/>
  <c r="E180" i="10"/>
  <c r="D180" i="10"/>
  <c r="G180" i="10"/>
  <c r="F179" i="10"/>
  <c r="I179" i="10"/>
  <c r="E179" i="10"/>
  <c r="H179" i="10"/>
  <c r="D179" i="10"/>
  <c r="G179" i="10"/>
  <c r="F178" i="10"/>
  <c r="I178" i="10"/>
  <c r="E178" i="10"/>
  <c r="H178" i="10"/>
  <c r="D178" i="10"/>
  <c r="G178" i="10"/>
  <c r="F177" i="10"/>
  <c r="I177" i="10"/>
  <c r="E177" i="10"/>
  <c r="H177" i="10"/>
  <c r="D177" i="10"/>
  <c r="G177" i="10"/>
  <c r="F176" i="10"/>
  <c r="I176" i="10"/>
  <c r="E176" i="10"/>
  <c r="H176" i="10"/>
  <c r="D176" i="10"/>
  <c r="G176" i="10"/>
  <c r="F175" i="10"/>
  <c r="I175" i="10"/>
  <c r="E175" i="10"/>
  <c r="H175" i="10"/>
  <c r="D175" i="10"/>
  <c r="G175" i="10"/>
  <c r="F174" i="10"/>
  <c r="I174" i="10"/>
  <c r="E174" i="10"/>
  <c r="H174" i="10"/>
  <c r="D174" i="10"/>
  <c r="G174" i="10"/>
  <c r="F173" i="10"/>
  <c r="I173" i="10"/>
  <c r="E173" i="10"/>
  <c r="H173" i="10"/>
  <c r="D173" i="10"/>
  <c r="G173" i="10"/>
  <c r="F172" i="10"/>
  <c r="I172" i="10"/>
  <c r="E172" i="10"/>
  <c r="H172" i="10"/>
  <c r="D172" i="10"/>
  <c r="G172" i="10"/>
  <c r="F171" i="10"/>
  <c r="I171" i="10"/>
  <c r="E171" i="10"/>
  <c r="H171" i="10"/>
  <c r="D171" i="10"/>
  <c r="G171" i="10"/>
  <c r="F170" i="10"/>
  <c r="I170" i="10"/>
  <c r="E170" i="10"/>
  <c r="H170" i="10"/>
  <c r="D170" i="10"/>
  <c r="G170" i="10"/>
  <c r="F169" i="10"/>
  <c r="I169" i="10"/>
  <c r="E169" i="10"/>
  <c r="H169" i="10"/>
  <c r="D169" i="10"/>
  <c r="G169" i="10"/>
  <c r="F168" i="10"/>
  <c r="I168" i="10"/>
  <c r="E168" i="10"/>
  <c r="H168" i="10"/>
  <c r="D168" i="10"/>
  <c r="G168" i="10"/>
  <c r="F167" i="10"/>
  <c r="I167" i="10"/>
  <c r="E167" i="10"/>
  <c r="H167" i="10"/>
  <c r="D167" i="10"/>
  <c r="G167" i="10"/>
  <c r="F166" i="10"/>
  <c r="I166" i="10"/>
  <c r="E166" i="10"/>
  <c r="H166" i="10"/>
  <c r="D166" i="10"/>
  <c r="G166" i="10"/>
  <c r="F165" i="10"/>
  <c r="I165" i="10"/>
  <c r="E165" i="10"/>
  <c r="H165" i="10"/>
  <c r="D165" i="10"/>
  <c r="G165" i="10"/>
  <c r="F164" i="10"/>
  <c r="I164" i="10"/>
  <c r="E164" i="10"/>
  <c r="H164" i="10"/>
  <c r="D164" i="10"/>
  <c r="G164" i="10"/>
  <c r="F163" i="10"/>
  <c r="I163" i="10"/>
  <c r="E163" i="10"/>
  <c r="H163" i="10"/>
  <c r="D163" i="10"/>
  <c r="F162" i="10"/>
  <c r="I162" i="10"/>
  <c r="E162" i="10"/>
  <c r="H162" i="10"/>
  <c r="D162" i="10"/>
  <c r="G162" i="10"/>
  <c r="F161" i="10"/>
  <c r="I161" i="10"/>
  <c r="E161" i="10"/>
  <c r="H161" i="10"/>
  <c r="D161" i="10"/>
  <c r="G161" i="10"/>
  <c r="F160" i="10"/>
  <c r="I160" i="10"/>
  <c r="E160" i="10"/>
  <c r="H160" i="10"/>
  <c r="D160" i="10"/>
  <c r="G160" i="10"/>
  <c r="F159" i="10"/>
  <c r="I159" i="10"/>
  <c r="E159" i="10"/>
  <c r="H159" i="10"/>
  <c r="D159" i="10"/>
  <c r="G159" i="10"/>
  <c r="F158" i="10"/>
  <c r="I158" i="10"/>
  <c r="E158" i="10"/>
  <c r="H158" i="10"/>
  <c r="D158" i="10"/>
  <c r="G158" i="10"/>
  <c r="F157" i="10"/>
  <c r="E157" i="10"/>
  <c r="H157" i="10"/>
  <c r="D157" i="10"/>
  <c r="G157" i="10"/>
  <c r="F156" i="10"/>
  <c r="I156" i="10"/>
  <c r="E156" i="10"/>
  <c r="H156" i="10"/>
  <c r="D156" i="10"/>
  <c r="G156" i="10"/>
  <c r="F155" i="10"/>
  <c r="I155" i="10"/>
  <c r="E155" i="10"/>
  <c r="H155" i="10"/>
  <c r="D155" i="10"/>
  <c r="G155" i="10"/>
  <c r="F154" i="10"/>
  <c r="I154" i="10"/>
  <c r="E154" i="10"/>
  <c r="H154" i="10"/>
  <c r="D154" i="10"/>
  <c r="G154" i="10"/>
  <c r="F153" i="10"/>
  <c r="I153" i="10"/>
  <c r="E153" i="10"/>
  <c r="H153" i="10"/>
  <c r="D153" i="10"/>
  <c r="G153" i="10"/>
  <c r="F152" i="10"/>
  <c r="I152" i="10"/>
  <c r="E152" i="10"/>
  <c r="H152" i="10"/>
  <c r="D152" i="10"/>
  <c r="G152" i="10"/>
  <c r="F151" i="10"/>
  <c r="I151" i="10"/>
  <c r="E151" i="10"/>
  <c r="H151" i="10"/>
  <c r="D151" i="10"/>
  <c r="G151" i="10"/>
  <c r="F150" i="10"/>
  <c r="I150" i="10"/>
  <c r="E150" i="10"/>
  <c r="H150" i="10"/>
  <c r="D150" i="10"/>
  <c r="G150" i="10"/>
  <c r="F149" i="10"/>
  <c r="I149" i="10"/>
  <c r="E149" i="10"/>
  <c r="H149" i="10"/>
  <c r="D149" i="10"/>
  <c r="G149" i="10"/>
  <c r="F148" i="10"/>
  <c r="I148" i="10"/>
  <c r="E148" i="10"/>
  <c r="H148" i="10"/>
  <c r="D148" i="10"/>
  <c r="G148" i="10"/>
  <c r="F147" i="10"/>
  <c r="I147" i="10"/>
  <c r="E147" i="10"/>
  <c r="H147" i="10"/>
  <c r="D147" i="10"/>
  <c r="G147" i="10"/>
  <c r="F146" i="10"/>
  <c r="I146" i="10"/>
  <c r="E146" i="10"/>
  <c r="H146" i="10"/>
  <c r="D146" i="10"/>
  <c r="G146" i="10"/>
  <c r="F145" i="10"/>
  <c r="I145" i="10"/>
  <c r="E145" i="10"/>
  <c r="H145" i="10"/>
  <c r="D145" i="10"/>
  <c r="G145" i="10"/>
  <c r="F144" i="10"/>
  <c r="I144" i="10"/>
  <c r="E144" i="10"/>
  <c r="H144" i="10"/>
  <c r="D144" i="10"/>
  <c r="G144" i="10"/>
  <c r="F143" i="10"/>
  <c r="I143" i="10"/>
  <c r="E143" i="10"/>
  <c r="H143" i="10"/>
  <c r="D143" i="10"/>
  <c r="G143" i="10"/>
  <c r="F142" i="10"/>
  <c r="I142" i="10"/>
  <c r="E142" i="10"/>
  <c r="H142" i="10"/>
  <c r="D142" i="10"/>
  <c r="G142" i="10"/>
  <c r="F141" i="10"/>
  <c r="I141" i="10"/>
  <c r="E141" i="10"/>
  <c r="H141" i="10"/>
  <c r="D141" i="10"/>
  <c r="G141" i="10"/>
  <c r="F140" i="10"/>
  <c r="I140" i="10"/>
  <c r="E140" i="10"/>
  <c r="H140" i="10"/>
  <c r="D140" i="10"/>
  <c r="G140" i="10"/>
  <c r="F139" i="10"/>
  <c r="I139" i="10"/>
  <c r="E139" i="10"/>
  <c r="H139" i="10"/>
  <c r="D139" i="10"/>
  <c r="G139" i="10"/>
  <c r="F138" i="10"/>
  <c r="I138" i="10"/>
  <c r="E138" i="10"/>
  <c r="H138" i="10"/>
  <c r="D138" i="10"/>
  <c r="G138" i="10"/>
  <c r="F137" i="10"/>
  <c r="I137" i="10"/>
  <c r="E137" i="10"/>
  <c r="H137" i="10"/>
  <c r="D137" i="10"/>
  <c r="G137" i="10"/>
  <c r="F136" i="10"/>
  <c r="I136" i="10"/>
  <c r="E136" i="10"/>
  <c r="H136" i="10"/>
  <c r="D136" i="10"/>
  <c r="G136" i="10"/>
  <c r="F135" i="10"/>
  <c r="I135" i="10"/>
  <c r="E135" i="10"/>
  <c r="H135" i="10"/>
  <c r="D135" i="10"/>
  <c r="G135" i="10"/>
  <c r="F134" i="10"/>
  <c r="I134" i="10"/>
  <c r="E134" i="10"/>
  <c r="H134" i="10"/>
  <c r="D134" i="10"/>
  <c r="G134" i="10"/>
  <c r="F133" i="10"/>
  <c r="I133" i="10"/>
  <c r="E133" i="10"/>
  <c r="H133" i="10"/>
  <c r="D133" i="10"/>
  <c r="G133" i="10"/>
  <c r="F132" i="10"/>
  <c r="I132" i="10"/>
  <c r="E132" i="10"/>
  <c r="H132" i="10"/>
  <c r="D132" i="10"/>
  <c r="G132" i="10"/>
  <c r="F131" i="10"/>
  <c r="I131" i="10"/>
  <c r="E131" i="10"/>
  <c r="H131" i="10"/>
  <c r="D131" i="10"/>
  <c r="G131" i="10"/>
  <c r="F130" i="10"/>
  <c r="I130" i="10"/>
  <c r="E130" i="10"/>
  <c r="H130" i="10"/>
  <c r="D130" i="10"/>
  <c r="G130" i="10"/>
  <c r="F129" i="10"/>
  <c r="I129" i="10"/>
  <c r="E129" i="10"/>
  <c r="H129" i="10"/>
  <c r="D129" i="10"/>
  <c r="G129" i="10"/>
  <c r="F128" i="10"/>
  <c r="I128" i="10"/>
  <c r="E128" i="10"/>
  <c r="D128" i="10"/>
  <c r="G128" i="10"/>
  <c r="F127" i="10"/>
  <c r="I127" i="10"/>
  <c r="E127" i="10"/>
  <c r="H127" i="10"/>
  <c r="D127" i="10"/>
  <c r="G127" i="10"/>
  <c r="F126" i="10"/>
  <c r="I126" i="10"/>
  <c r="E126" i="10"/>
  <c r="H126" i="10"/>
  <c r="D126" i="10"/>
  <c r="G126" i="10"/>
  <c r="F125" i="10"/>
  <c r="I125" i="10"/>
  <c r="E125" i="10"/>
  <c r="H125" i="10"/>
  <c r="D125" i="10"/>
  <c r="G125" i="10"/>
  <c r="F124" i="10"/>
  <c r="I124" i="10"/>
  <c r="E124" i="10"/>
  <c r="H124" i="10"/>
  <c r="D124" i="10"/>
  <c r="G124" i="10"/>
  <c r="F123" i="10"/>
  <c r="I123" i="10"/>
  <c r="E123" i="10"/>
  <c r="H123" i="10"/>
  <c r="D123" i="10"/>
  <c r="G123" i="10"/>
  <c r="F122" i="10"/>
  <c r="I122" i="10"/>
  <c r="E122" i="10"/>
  <c r="H122" i="10"/>
  <c r="D122" i="10"/>
  <c r="G122" i="10"/>
  <c r="F121" i="10"/>
  <c r="E121" i="10"/>
  <c r="H121" i="10"/>
  <c r="D121" i="10"/>
  <c r="G121" i="10"/>
  <c r="F120" i="10"/>
  <c r="I120" i="10"/>
  <c r="E120" i="10"/>
  <c r="H120" i="10"/>
  <c r="D120" i="10"/>
  <c r="G120" i="10"/>
  <c r="F119" i="10"/>
  <c r="I119" i="10"/>
  <c r="E119" i="10"/>
  <c r="H119" i="10"/>
  <c r="D119" i="10"/>
  <c r="G119" i="10"/>
  <c r="F118" i="10"/>
  <c r="I118" i="10"/>
  <c r="E118" i="10"/>
  <c r="H118" i="10"/>
  <c r="D118" i="10"/>
  <c r="G118" i="10"/>
  <c r="F117" i="10"/>
  <c r="I117" i="10"/>
  <c r="E117" i="10"/>
  <c r="H117" i="10"/>
  <c r="D117" i="10"/>
  <c r="G117" i="10"/>
  <c r="F116" i="10"/>
  <c r="I116" i="10"/>
  <c r="E116" i="10"/>
  <c r="H116" i="10"/>
  <c r="D116" i="10"/>
  <c r="G116" i="10"/>
  <c r="F115" i="10"/>
  <c r="I115" i="10"/>
  <c r="E115" i="10"/>
  <c r="H115" i="10"/>
  <c r="D115" i="10"/>
  <c r="G115" i="10"/>
  <c r="F114" i="10"/>
  <c r="I114" i="10"/>
  <c r="E114" i="10"/>
  <c r="H114" i="10"/>
  <c r="D114" i="10"/>
  <c r="G114" i="10"/>
  <c r="F113" i="10"/>
  <c r="I113" i="10"/>
  <c r="E113" i="10"/>
  <c r="H113" i="10"/>
  <c r="D113" i="10"/>
  <c r="G113" i="10"/>
  <c r="F112" i="10"/>
  <c r="I112" i="10"/>
  <c r="E112" i="10"/>
  <c r="H112" i="10"/>
  <c r="D112" i="10"/>
  <c r="G112" i="10"/>
  <c r="F111" i="10"/>
  <c r="I111" i="10"/>
  <c r="E111" i="10"/>
  <c r="H111" i="10"/>
  <c r="D111" i="10"/>
  <c r="G111" i="10"/>
  <c r="F110" i="10"/>
  <c r="I110" i="10"/>
  <c r="E110" i="10"/>
  <c r="H110" i="10"/>
  <c r="D110" i="10"/>
  <c r="G110" i="10"/>
  <c r="F109" i="10"/>
  <c r="E109" i="10"/>
  <c r="H109" i="10"/>
  <c r="D109" i="10"/>
  <c r="G109" i="10"/>
  <c r="F108" i="10"/>
  <c r="I108" i="10"/>
  <c r="E108" i="10"/>
  <c r="D108" i="10"/>
  <c r="G108" i="10"/>
  <c r="F107" i="10"/>
  <c r="I107" i="10"/>
  <c r="E107" i="10"/>
  <c r="H107" i="10"/>
  <c r="D107" i="10"/>
  <c r="G107" i="10"/>
  <c r="F106" i="10"/>
  <c r="I106" i="10"/>
  <c r="E106" i="10"/>
  <c r="H106" i="10"/>
  <c r="D106" i="10"/>
  <c r="G106" i="10"/>
  <c r="F105" i="10"/>
  <c r="I105" i="10"/>
  <c r="E105" i="10"/>
  <c r="H105" i="10"/>
  <c r="D105" i="10"/>
  <c r="G105" i="10"/>
  <c r="F104" i="10"/>
  <c r="I104" i="10"/>
  <c r="E104" i="10"/>
  <c r="D104" i="10"/>
  <c r="G104" i="10"/>
  <c r="F103" i="10"/>
  <c r="I103" i="10"/>
  <c r="E103" i="10"/>
  <c r="H103" i="10"/>
  <c r="D103" i="10"/>
  <c r="G103" i="10"/>
  <c r="F102" i="10"/>
  <c r="I102" i="10"/>
  <c r="E102" i="10"/>
  <c r="H102" i="10"/>
  <c r="D102" i="10"/>
  <c r="G102" i="10"/>
  <c r="F101" i="10"/>
  <c r="I101" i="10"/>
  <c r="E101" i="10"/>
  <c r="H101" i="10"/>
  <c r="D101" i="10"/>
  <c r="G101" i="10"/>
  <c r="F100" i="10"/>
  <c r="I100" i="10"/>
  <c r="E100" i="10"/>
  <c r="D100" i="10"/>
  <c r="G100" i="10"/>
  <c r="F99" i="10"/>
  <c r="I99" i="10"/>
  <c r="E99" i="10"/>
  <c r="H99" i="10"/>
  <c r="D99" i="10"/>
  <c r="F98" i="10"/>
  <c r="I98" i="10"/>
  <c r="E98" i="10"/>
  <c r="H98" i="10"/>
  <c r="D98" i="10"/>
  <c r="G98" i="10"/>
  <c r="F97" i="10"/>
  <c r="I97" i="10"/>
  <c r="E97" i="10"/>
  <c r="H97" i="10"/>
  <c r="D97" i="10"/>
  <c r="G97" i="10"/>
  <c r="F96" i="10"/>
  <c r="I96" i="10"/>
  <c r="E96" i="10"/>
  <c r="D96" i="10"/>
  <c r="G96" i="10"/>
  <c r="F95" i="10"/>
  <c r="I95" i="10"/>
  <c r="E95" i="10"/>
  <c r="H95" i="10"/>
  <c r="D95" i="10"/>
  <c r="F94" i="10"/>
  <c r="I94" i="10"/>
  <c r="E94" i="10"/>
  <c r="H94" i="10"/>
  <c r="D94" i="10"/>
  <c r="G94" i="10"/>
  <c r="F93" i="10"/>
  <c r="I93" i="10"/>
  <c r="E93" i="10"/>
  <c r="H93" i="10"/>
  <c r="D93" i="10"/>
  <c r="G93" i="10"/>
  <c r="F92" i="10"/>
  <c r="I92" i="10"/>
  <c r="E92" i="10"/>
  <c r="H92" i="10"/>
  <c r="D92" i="10"/>
  <c r="G92" i="10"/>
  <c r="F91" i="10"/>
  <c r="I91" i="10"/>
  <c r="E91" i="10"/>
  <c r="H91" i="10"/>
  <c r="D91" i="10"/>
  <c r="F90" i="10"/>
  <c r="I90" i="10"/>
  <c r="E90" i="10"/>
  <c r="H90" i="10"/>
  <c r="D90" i="10"/>
  <c r="G90" i="10"/>
  <c r="F89" i="10"/>
  <c r="E89" i="10"/>
  <c r="H89" i="10"/>
  <c r="D89" i="10"/>
  <c r="G89" i="10"/>
  <c r="F88" i="10"/>
  <c r="I88" i="10"/>
  <c r="E88" i="10"/>
  <c r="H88" i="10"/>
  <c r="D88" i="10"/>
  <c r="G88" i="10"/>
  <c r="F87" i="10"/>
  <c r="I87" i="10"/>
  <c r="E87" i="10"/>
  <c r="H87" i="10"/>
  <c r="D87" i="10"/>
  <c r="F86" i="10"/>
  <c r="I86" i="10"/>
  <c r="E86" i="10"/>
  <c r="H86" i="10"/>
  <c r="D86" i="10"/>
  <c r="G86" i="10"/>
  <c r="F85" i="10"/>
  <c r="E85" i="10"/>
  <c r="H85" i="10"/>
  <c r="D85" i="10"/>
  <c r="G85" i="10"/>
  <c r="F84" i="10"/>
  <c r="I84" i="10"/>
  <c r="E84" i="10"/>
  <c r="H84" i="10"/>
  <c r="D84" i="10"/>
  <c r="G84" i="10"/>
  <c r="F83" i="10"/>
  <c r="I83" i="10"/>
  <c r="E83" i="10"/>
  <c r="H83" i="10"/>
  <c r="D83" i="10"/>
  <c r="G83" i="10"/>
  <c r="F82" i="10"/>
  <c r="I82" i="10"/>
  <c r="E82" i="10"/>
  <c r="H82" i="10"/>
  <c r="D82" i="10"/>
  <c r="G82" i="10"/>
  <c r="F81" i="10"/>
  <c r="E81" i="10"/>
  <c r="H81" i="10"/>
  <c r="D81" i="10"/>
  <c r="G81" i="10"/>
  <c r="F80" i="10"/>
  <c r="I80" i="10"/>
  <c r="E80" i="10"/>
  <c r="D80" i="10"/>
  <c r="G80" i="10"/>
  <c r="F79" i="10"/>
  <c r="I79" i="10"/>
  <c r="E79" i="10"/>
  <c r="H79" i="10"/>
  <c r="D79" i="10"/>
  <c r="G79" i="10"/>
  <c r="F78" i="10"/>
  <c r="I78" i="10"/>
  <c r="E78" i="10"/>
  <c r="H78" i="10"/>
  <c r="D78" i="10"/>
  <c r="G78" i="10"/>
  <c r="F77" i="10"/>
  <c r="I77" i="10"/>
  <c r="E77" i="10"/>
  <c r="H77" i="10"/>
  <c r="D77" i="10"/>
  <c r="G77" i="10"/>
  <c r="F76" i="10"/>
  <c r="I76" i="10"/>
  <c r="E76" i="10"/>
  <c r="D76" i="10"/>
  <c r="G76" i="10"/>
  <c r="F75" i="10"/>
  <c r="I75" i="10"/>
  <c r="E75" i="10"/>
  <c r="H75" i="10"/>
  <c r="D75" i="10"/>
  <c r="F74" i="10"/>
  <c r="I74" i="10"/>
  <c r="E74" i="10"/>
  <c r="H74" i="10"/>
  <c r="D74" i="10"/>
  <c r="G74" i="10"/>
  <c r="F73" i="10"/>
  <c r="I73" i="10"/>
  <c r="E73" i="10"/>
  <c r="H73" i="10"/>
  <c r="D73" i="10"/>
  <c r="G73" i="10"/>
  <c r="F72" i="10"/>
  <c r="I72" i="10"/>
  <c r="E72" i="10"/>
  <c r="H72" i="10"/>
  <c r="D72" i="10"/>
  <c r="G72" i="10"/>
  <c r="F71" i="10"/>
  <c r="I71" i="10"/>
  <c r="E71" i="10"/>
  <c r="H71" i="10"/>
  <c r="D71" i="10"/>
  <c r="G71" i="10"/>
  <c r="F70" i="10"/>
  <c r="I70" i="10"/>
  <c r="E70" i="10"/>
  <c r="H70" i="10"/>
  <c r="D70" i="10"/>
  <c r="G70" i="10"/>
  <c r="F69" i="10"/>
  <c r="I69" i="10"/>
  <c r="E69" i="10"/>
  <c r="H69" i="10"/>
  <c r="D69" i="10"/>
  <c r="G69" i="10"/>
  <c r="F68" i="10"/>
  <c r="I68" i="10"/>
  <c r="E68" i="10"/>
  <c r="H68" i="10"/>
  <c r="D68" i="10"/>
  <c r="G68" i="10"/>
  <c r="F67" i="10"/>
  <c r="I67" i="10"/>
  <c r="E67" i="10"/>
  <c r="H67" i="10"/>
  <c r="D67" i="10"/>
  <c r="G67" i="10"/>
  <c r="F66" i="10"/>
  <c r="I66" i="10"/>
  <c r="E66" i="10"/>
  <c r="H66" i="10"/>
  <c r="D66" i="10"/>
  <c r="G66" i="10"/>
  <c r="F65" i="10"/>
  <c r="I65" i="10"/>
  <c r="E65" i="10"/>
  <c r="H65" i="10"/>
  <c r="D65" i="10"/>
  <c r="G65" i="10"/>
  <c r="F64" i="10"/>
  <c r="I64" i="10"/>
  <c r="E64" i="10"/>
  <c r="H64" i="10"/>
  <c r="D64" i="10"/>
  <c r="G64" i="10"/>
  <c r="F63" i="10"/>
  <c r="I63" i="10"/>
  <c r="E63" i="10"/>
  <c r="H63" i="10"/>
  <c r="D63" i="10"/>
  <c r="G63" i="10"/>
  <c r="F62" i="10"/>
  <c r="I62" i="10"/>
  <c r="E62" i="10"/>
  <c r="H62" i="10"/>
  <c r="D62" i="10"/>
  <c r="G62" i="10"/>
  <c r="F61" i="10"/>
  <c r="I61" i="10"/>
  <c r="E61" i="10"/>
  <c r="H61" i="10"/>
  <c r="D61" i="10"/>
  <c r="G61" i="10"/>
  <c r="F60" i="10"/>
  <c r="I60" i="10"/>
  <c r="E60" i="10"/>
  <c r="H60" i="10"/>
  <c r="D60" i="10"/>
  <c r="G60" i="10"/>
  <c r="F59" i="10"/>
  <c r="I59" i="10"/>
  <c r="E59" i="10"/>
  <c r="H59" i="10"/>
  <c r="D59" i="10"/>
  <c r="G59" i="10"/>
  <c r="F58" i="10"/>
  <c r="I58" i="10"/>
  <c r="E58" i="10"/>
  <c r="H58" i="10"/>
  <c r="D58" i="10"/>
  <c r="G58" i="10"/>
  <c r="F57" i="10"/>
  <c r="E57" i="10"/>
  <c r="H57" i="10"/>
  <c r="D57" i="10"/>
  <c r="G57" i="10"/>
  <c r="F56" i="10"/>
  <c r="I56" i="10"/>
  <c r="E56" i="10"/>
  <c r="D56" i="10"/>
  <c r="G56" i="10"/>
  <c r="F55" i="10"/>
  <c r="I55" i="10"/>
  <c r="E55" i="10"/>
  <c r="H55" i="10"/>
  <c r="D55" i="10"/>
  <c r="G55" i="10"/>
  <c r="F54" i="10"/>
  <c r="I54" i="10"/>
  <c r="E54" i="10"/>
  <c r="H54" i="10"/>
  <c r="D54" i="10"/>
  <c r="G54" i="10"/>
  <c r="F53" i="10"/>
  <c r="I53" i="10"/>
  <c r="E53" i="10"/>
  <c r="H53" i="10"/>
  <c r="D53" i="10"/>
  <c r="G53" i="10"/>
  <c r="F52" i="10"/>
  <c r="I52" i="10"/>
  <c r="E52" i="10"/>
  <c r="H52" i="10"/>
  <c r="D52" i="10"/>
  <c r="G52" i="10"/>
  <c r="F51" i="10"/>
  <c r="I51" i="10"/>
  <c r="E51" i="10"/>
  <c r="H51" i="10"/>
  <c r="D51" i="10"/>
  <c r="G51" i="10"/>
  <c r="F50" i="10"/>
  <c r="I50" i="10"/>
  <c r="E50" i="10"/>
  <c r="H50" i="10"/>
  <c r="D50" i="10"/>
  <c r="G50" i="10"/>
  <c r="F49" i="10"/>
  <c r="I49" i="10"/>
  <c r="E49" i="10"/>
  <c r="H49" i="10"/>
  <c r="D49" i="10"/>
  <c r="G49" i="10"/>
  <c r="F48" i="10"/>
  <c r="I48" i="10"/>
  <c r="E48" i="10"/>
  <c r="H48" i="10"/>
  <c r="D48" i="10"/>
  <c r="G48" i="10"/>
  <c r="F47" i="10"/>
  <c r="I47" i="10"/>
  <c r="E47" i="10"/>
  <c r="H47" i="10"/>
  <c r="D47" i="10"/>
  <c r="G47" i="10"/>
  <c r="F46" i="10"/>
  <c r="I46" i="10"/>
  <c r="E46" i="10"/>
  <c r="H46" i="10"/>
  <c r="D46" i="10"/>
  <c r="G46" i="10"/>
  <c r="F45" i="10"/>
  <c r="I45" i="10"/>
  <c r="E45" i="10"/>
  <c r="H45" i="10"/>
  <c r="D45" i="10"/>
  <c r="G45" i="10"/>
  <c r="F44" i="10"/>
  <c r="I44" i="10"/>
  <c r="E44" i="10"/>
  <c r="H44" i="10"/>
  <c r="D44" i="10"/>
  <c r="G44" i="10"/>
  <c r="F43" i="10"/>
  <c r="I43" i="10"/>
  <c r="E43" i="10"/>
  <c r="H43" i="10"/>
  <c r="D43" i="10"/>
  <c r="G43" i="10"/>
  <c r="F42" i="10"/>
  <c r="I42" i="10"/>
  <c r="E42" i="10"/>
  <c r="H42" i="10"/>
  <c r="D42" i="10"/>
  <c r="G42" i="10"/>
  <c r="F41" i="10"/>
  <c r="I41" i="10"/>
  <c r="E41" i="10"/>
  <c r="H41" i="10"/>
  <c r="D41" i="10"/>
  <c r="G41" i="10"/>
  <c r="F40" i="10"/>
  <c r="I40" i="10"/>
  <c r="E40" i="10"/>
  <c r="H40" i="10"/>
  <c r="D40" i="10"/>
  <c r="G40" i="10"/>
  <c r="F39" i="10"/>
  <c r="I39" i="10"/>
  <c r="E39" i="10"/>
  <c r="H39" i="10"/>
  <c r="D39" i="10"/>
  <c r="G39" i="10"/>
  <c r="F38" i="10"/>
  <c r="I38" i="10"/>
  <c r="E38" i="10"/>
  <c r="H38" i="10"/>
  <c r="D38" i="10"/>
  <c r="G38" i="10"/>
  <c r="F37" i="10"/>
  <c r="I37" i="10"/>
  <c r="E37" i="10"/>
  <c r="H37" i="10"/>
  <c r="D37" i="10"/>
  <c r="G37" i="10"/>
  <c r="F36" i="10"/>
  <c r="I36" i="10"/>
  <c r="E36" i="10"/>
  <c r="H36" i="10"/>
  <c r="D36" i="10"/>
  <c r="G36" i="10"/>
  <c r="F35" i="10"/>
  <c r="I35" i="10"/>
  <c r="E35" i="10"/>
  <c r="H35" i="10"/>
  <c r="D35" i="10"/>
  <c r="G35" i="10"/>
  <c r="F34" i="10"/>
  <c r="I34" i="10"/>
  <c r="E34" i="10"/>
  <c r="H34" i="10"/>
  <c r="D34" i="10"/>
  <c r="G34" i="10"/>
  <c r="F33" i="10"/>
  <c r="I33" i="10"/>
  <c r="E33" i="10"/>
  <c r="H33" i="10"/>
  <c r="D33" i="10"/>
  <c r="G33" i="10"/>
  <c r="F32" i="10"/>
  <c r="I32" i="10"/>
  <c r="E32" i="10"/>
  <c r="H32" i="10"/>
  <c r="D32" i="10"/>
  <c r="G32" i="10"/>
  <c r="F31" i="10"/>
  <c r="I31" i="10"/>
  <c r="E31" i="10"/>
  <c r="H31" i="10"/>
  <c r="D31" i="10"/>
  <c r="F30" i="10"/>
  <c r="I30" i="10"/>
  <c r="E30" i="10"/>
  <c r="H30" i="10"/>
  <c r="D30" i="10"/>
  <c r="G30" i="10"/>
  <c r="F29" i="10"/>
  <c r="E29" i="10"/>
  <c r="H29" i="10"/>
  <c r="D29" i="10"/>
  <c r="G29" i="10"/>
  <c r="F28" i="10"/>
  <c r="I28" i="10"/>
  <c r="E28" i="10"/>
  <c r="H28" i="10"/>
  <c r="D28" i="10"/>
  <c r="G28" i="10"/>
  <c r="F27" i="10"/>
  <c r="I27" i="10"/>
  <c r="E27" i="10"/>
  <c r="H27" i="10"/>
  <c r="D27" i="10"/>
  <c r="G27" i="10"/>
  <c r="F26" i="10"/>
  <c r="I26" i="10"/>
  <c r="E26" i="10"/>
  <c r="H26" i="10"/>
  <c r="D26" i="10"/>
  <c r="G26" i="10"/>
  <c r="F25" i="10"/>
  <c r="I25" i="10"/>
  <c r="E25" i="10"/>
  <c r="H25" i="10"/>
  <c r="D25" i="10"/>
  <c r="G25" i="10"/>
  <c r="F24" i="10"/>
  <c r="I24" i="10"/>
  <c r="E24" i="10"/>
  <c r="H24" i="10"/>
  <c r="D24" i="10"/>
  <c r="G24" i="10"/>
  <c r="F23" i="10"/>
  <c r="I23" i="10"/>
  <c r="E23" i="10"/>
  <c r="H23" i="10"/>
  <c r="D23" i="10"/>
  <c r="G23" i="10"/>
  <c r="F22" i="10"/>
  <c r="I22" i="10"/>
  <c r="E22" i="10"/>
  <c r="H22" i="10"/>
  <c r="D22" i="10"/>
  <c r="G22" i="10"/>
  <c r="F21" i="10"/>
  <c r="I21" i="10"/>
  <c r="E21" i="10"/>
  <c r="H21" i="10"/>
  <c r="D21" i="10"/>
  <c r="G21" i="10"/>
  <c r="F20" i="10"/>
  <c r="I20" i="10"/>
  <c r="E20" i="10"/>
  <c r="H20" i="10"/>
  <c r="D20" i="10"/>
  <c r="G20" i="10"/>
  <c r="F19" i="10"/>
  <c r="I19" i="10"/>
  <c r="E19" i="10"/>
  <c r="H19" i="10"/>
  <c r="D19" i="10"/>
  <c r="G19" i="10"/>
  <c r="F18" i="10"/>
  <c r="I18" i="10"/>
  <c r="E18" i="10"/>
  <c r="H18" i="10"/>
  <c r="D18" i="10"/>
  <c r="G18" i="10"/>
  <c r="F17" i="10"/>
  <c r="E17" i="10"/>
  <c r="H17" i="10"/>
  <c r="D17" i="10"/>
  <c r="G17" i="10"/>
  <c r="F16" i="10"/>
  <c r="I16" i="10"/>
  <c r="E16" i="10"/>
  <c r="D16" i="10"/>
  <c r="G16" i="10"/>
  <c r="F15" i="10"/>
  <c r="I15" i="10"/>
  <c r="E15" i="10"/>
  <c r="H15" i="10"/>
  <c r="D15" i="10"/>
  <c r="G15" i="10"/>
  <c r="F14" i="10"/>
  <c r="I14" i="10"/>
  <c r="E14" i="10"/>
  <c r="H14" i="10"/>
  <c r="D14" i="10"/>
  <c r="G14" i="10"/>
  <c r="F13" i="10"/>
  <c r="I13" i="10"/>
  <c r="E13" i="10"/>
  <c r="H13" i="10"/>
  <c r="D13" i="10"/>
  <c r="G13" i="10"/>
  <c r="F12" i="10"/>
  <c r="I12" i="10"/>
  <c r="E12" i="10"/>
  <c r="H12" i="10"/>
  <c r="D12" i="10"/>
  <c r="G12" i="10"/>
  <c r="F11" i="10"/>
  <c r="I11" i="10"/>
  <c r="E11" i="10"/>
  <c r="H11" i="10"/>
  <c r="D11" i="10"/>
  <c r="G11" i="10"/>
  <c r="F10" i="10"/>
  <c r="I10" i="10"/>
  <c r="E10" i="10"/>
  <c r="H10" i="10"/>
  <c r="D10" i="10"/>
  <c r="G10" i="10"/>
  <c r="F9" i="10"/>
  <c r="I9" i="10"/>
  <c r="E9" i="10"/>
  <c r="H9" i="10"/>
  <c r="D9" i="10"/>
  <c r="G9" i="10"/>
  <c r="F8" i="10"/>
  <c r="I8" i="10"/>
  <c r="E8" i="10"/>
  <c r="H8" i="10"/>
  <c r="D8" i="10"/>
  <c r="G8" i="10"/>
  <c r="F7" i="10"/>
  <c r="I7" i="10"/>
  <c r="E7" i="10"/>
  <c r="H7" i="10"/>
  <c r="D7" i="10"/>
  <c r="G7" i="10"/>
  <c r="F6" i="10"/>
  <c r="I6" i="10"/>
  <c r="E6" i="10"/>
  <c r="H6" i="10"/>
  <c r="D6" i="10"/>
  <c r="G6" i="10"/>
  <c r="F5" i="10"/>
  <c r="E5" i="10"/>
  <c r="H5" i="10"/>
  <c r="D5" i="10"/>
  <c r="G5" i="10"/>
  <c r="F4" i="10"/>
  <c r="I4" i="10"/>
  <c r="E4" i="10"/>
  <c r="H4" i="10"/>
  <c r="D4" i="10"/>
  <c r="G4" i="10"/>
  <c r="F3" i="10"/>
  <c r="I3" i="10"/>
  <c r="E3" i="10"/>
  <c r="H3" i="10"/>
  <c r="D3" i="10"/>
  <c r="G3" i="10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8" i="10"/>
  <c r="G248" i="10"/>
  <c r="G247" i="10"/>
  <c r="G235" i="10"/>
  <c r="H232" i="10"/>
  <c r="G227" i="10"/>
  <c r="H224" i="10"/>
  <c r="I221" i="10"/>
  <c r="I217" i="10"/>
  <c r="H208" i="10"/>
  <c r="G195" i="10"/>
  <c r="H192" i="10"/>
  <c r="G183" i="10"/>
  <c r="H180" i="10"/>
  <c r="G163" i="10"/>
  <c r="I157" i="10"/>
  <c r="H128" i="10"/>
  <c r="I121" i="10"/>
  <c r="I109" i="10"/>
  <c r="H108" i="10"/>
  <c r="H104" i="10"/>
  <c r="H100" i="10"/>
  <c r="G99" i="10"/>
  <c r="H96" i="10"/>
  <c r="G95" i="10"/>
  <c r="G91" i="10"/>
  <c r="I89" i="10"/>
  <c r="G87" i="10"/>
  <c r="I85" i="10"/>
  <c r="I81" i="10"/>
  <c r="H80" i="10"/>
  <c r="H76" i="10"/>
  <c r="G75" i="10"/>
  <c r="I57" i="10"/>
  <c r="H56" i="10"/>
  <c r="G31" i="10"/>
  <c r="I29" i="10"/>
  <c r="I17" i="10"/>
  <c r="H16" i="10"/>
  <c r="I5" i="10"/>
  <c r="K2" i="10"/>
  <c r="AO260" i="7" a="1"/>
  <c r="W371" i="7" a="1"/>
  <c r="W235" i="7" a="1"/>
  <c r="W384" i="7" a="1"/>
  <c r="W380" i="7" a="1"/>
  <c r="W236" i="7" a="1"/>
  <c r="W241" i="7" a="1"/>
  <c r="W232" i="7" a="1"/>
  <c r="BG246" i="7" a="1"/>
  <c r="W256" i="7" a="1"/>
  <c r="W296" i="7" a="1"/>
  <c r="W388" i="7" a="1"/>
  <c r="W395" i="7" a="1"/>
  <c r="W369" i="7" a="1"/>
  <c r="BN423" i="7"/>
  <c r="BK423" i="7"/>
  <c r="BH423" i="7"/>
  <c r="BJ423" i="7"/>
  <c r="AX413" i="7"/>
  <c r="AO413" i="7"/>
  <c r="AU413" i="7"/>
  <c r="AT413" i="7"/>
  <c r="AV413" i="7"/>
  <c r="AS413" i="7"/>
  <c r="AW413" i="7"/>
  <c r="AP413" i="7"/>
  <c r="AY413" i="7"/>
  <c r="AQ413" i="7"/>
  <c r="AR413" i="7"/>
  <c r="AS470" i="7"/>
  <c r="AW470" i="7"/>
  <c r="AR470" i="7"/>
  <c r="AO470" i="7"/>
  <c r="AT470" i="7"/>
  <c r="AV470" i="7"/>
  <c r="AP470" i="7"/>
  <c r="AY470" i="7"/>
  <c r="AU470" i="7"/>
  <c r="AX470" i="7"/>
  <c r="AQ470" i="7"/>
  <c r="AU425" i="7"/>
  <c r="AR425" i="7"/>
  <c r="AT425" i="7"/>
  <c r="AP205" i="7"/>
  <c r="AX422" i="7"/>
  <c r="AD205" i="7"/>
  <c r="AC205" i="7"/>
  <c r="AE205" i="7"/>
  <c r="AY472" i="7"/>
  <c r="AW472" i="7"/>
  <c r="AW410" i="7"/>
  <c r="BS442" i="7"/>
  <c r="BW442" i="7"/>
  <c r="AQ425" i="7"/>
  <c r="AY425" i="7"/>
  <c r="AP425" i="7"/>
  <c r="AO462" i="7"/>
  <c r="AQ434" i="7"/>
  <c r="AW397" i="7"/>
  <c r="AW500" i="7"/>
  <c r="AS442" i="7"/>
  <c r="AT495" i="7"/>
  <c r="BS470" i="7"/>
  <c r="BW470" i="7"/>
  <c r="BX470" i="7"/>
  <c r="BY470" i="7" a="1"/>
  <c r="AW250" i="7"/>
  <c r="AV472" i="7"/>
  <c r="AO365" i="7"/>
  <c r="AR369" i="7"/>
  <c r="Z205" i="7"/>
  <c r="AB205" i="7"/>
  <c r="X205" i="7"/>
  <c r="BF295" i="7"/>
  <c r="AS472" i="7"/>
  <c r="BM452" i="7"/>
  <c r="AY495" i="7"/>
  <c r="AS492" i="7"/>
  <c r="AS410" i="7"/>
  <c r="AO274" i="7"/>
  <c r="AD354" i="7"/>
  <c r="AY309" i="7"/>
  <c r="AW425" i="7"/>
  <c r="AY462" i="7"/>
  <c r="AR205" i="7"/>
  <c r="AR295" i="7"/>
  <c r="AR495" i="7"/>
  <c r="AO495" i="7"/>
  <c r="BJ486" i="7"/>
  <c r="BF417" i="7"/>
  <c r="BG417" i="7" a="1"/>
  <c r="BJ417" i="7"/>
  <c r="AX472" i="7"/>
  <c r="AO472" i="7"/>
  <c r="AV365" i="7"/>
  <c r="BF427" i="7"/>
  <c r="BG427" i="7" a="1"/>
  <c r="BI427" i="7"/>
  <c r="AX365" i="7"/>
  <c r="AV369" i="7"/>
  <c r="Y205" i="7"/>
  <c r="AF205" i="7"/>
  <c r="AP472" i="7"/>
  <c r="AQ472" i="7"/>
  <c r="BF241" i="7"/>
  <c r="AT241" i="7"/>
  <c r="AQ241" i="7"/>
  <c r="AT260" i="7"/>
  <c r="AQ260" i="7"/>
  <c r="AU260" i="7"/>
  <c r="AB371" i="7"/>
  <c r="W371" i="7"/>
  <c r="AF371" i="7"/>
  <c r="AA371" i="7"/>
  <c r="Z371" i="7"/>
  <c r="AG371" i="7"/>
  <c r="Y371" i="7"/>
  <c r="X371" i="7"/>
  <c r="AD371" i="7"/>
  <c r="AC371" i="7"/>
  <c r="AE371" i="7"/>
  <c r="Z354" i="7"/>
  <c r="BG436" i="7"/>
  <c r="AO250" i="7"/>
  <c r="AW476" i="7"/>
  <c r="AY410" i="7"/>
  <c r="AO414" i="7"/>
  <c r="BT405" i="7"/>
  <c r="BV405" i="7"/>
  <c r="AU274" i="7"/>
  <c r="AG354" i="7"/>
  <c r="BU442" i="7"/>
  <c r="AW309" i="7"/>
  <c r="AS419" i="7"/>
  <c r="AX434" i="7"/>
  <c r="AV205" i="7"/>
  <c r="AW205" i="7"/>
  <c r="AX205" i="7"/>
  <c r="AT250" i="7"/>
  <c r="AR476" i="7"/>
  <c r="BB229" i="7"/>
  <c r="BD229" i="7"/>
  <c r="BF460" i="7"/>
  <c r="BG460" i="7" a="1"/>
  <c r="BH460" i="7"/>
  <c r="AW465" i="7"/>
  <c r="AW428" i="7"/>
  <c r="AO205" i="7"/>
  <c r="AS205" i="7"/>
  <c r="AX397" i="7"/>
  <c r="AP435" i="7"/>
  <c r="AV260" i="7"/>
  <c r="BF374" i="7"/>
  <c r="BG374" i="7" a="1"/>
  <c r="BM374" i="7"/>
  <c r="BF428" i="7"/>
  <c r="BG428" i="7" a="1"/>
  <c r="BO428" i="7"/>
  <c r="AV461" i="7"/>
  <c r="AT473" i="7"/>
  <c r="AX410" i="7"/>
  <c r="AV410" i="7"/>
  <c r="AV414" i="7"/>
  <c r="AX274" i="7"/>
  <c r="AT309" i="7"/>
  <c r="AT462" i="7"/>
  <c r="AV434" i="7"/>
  <c r="AU205" i="7"/>
  <c r="AQ205" i="7"/>
  <c r="AQ295" i="7"/>
  <c r="AU397" i="7"/>
  <c r="AP442" i="7"/>
  <c r="BN486" i="7"/>
  <c r="AV423" i="7"/>
  <c r="AO476" i="7"/>
  <c r="AQ476" i="7"/>
  <c r="W260" i="7"/>
  <c r="BC229" i="7"/>
  <c r="AT369" i="7"/>
  <c r="AW369" i="7"/>
  <c r="AP428" i="7"/>
  <c r="AT422" i="7"/>
  <c r="BU502" i="7"/>
  <c r="BP401" i="7"/>
  <c r="BF365" i="7"/>
  <c r="AT75" i="7"/>
  <c r="AW473" i="7"/>
  <c r="AQ410" i="7"/>
  <c r="AT410" i="7"/>
  <c r="AQ208" i="7"/>
  <c r="AP414" i="7"/>
  <c r="AS274" i="7"/>
  <c r="AY274" i="7"/>
  <c r="AR274" i="7"/>
  <c r="AQ309" i="7"/>
  <c r="AS462" i="7"/>
  <c r="AU462" i="7"/>
  <c r="BK421" i="7"/>
  <c r="AO428" i="7"/>
  <c r="AT434" i="7"/>
  <c r="AS295" i="7"/>
  <c r="AT295" i="7"/>
  <c r="BT502" i="7"/>
  <c r="BV502" i="7"/>
  <c r="AX454" i="7"/>
  <c r="AP368" i="7"/>
  <c r="AQ495" i="7"/>
  <c r="AU495" i="7"/>
  <c r="AW495" i="7"/>
  <c r="BG486" i="7"/>
  <c r="AX423" i="7"/>
  <c r="AU250" i="7"/>
  <c r="AS250" i="7"/>
  <c r="AR260" i="7"/>
  <c r="AX260" i="7"/>
  <c r="AX468" i="7"/>
  <c r="AQ468" i="7"/>
  <c r="AX369" i="7"/>
  <c r="AO369" i="7"/>
  <c r="AW260" i="7"/>
  <c r="AO241" i="7"/>
  <c r="AV75" i="7"/>
  <c r="BF43" i="7"/>
  <c r="AW274" i="7"/>
  <c r="AQ274" i="7"/>
  <c r="AV274" i="7"/>
  <c r="AO423" i="7"/>
  <c r="AR250" i="7"/>
  <c r="AY250" i="7"/>
  <c r="AP250" i="7"/>
  <c r="AO260" i="7"/>
  <c r="AP369" i="7"/>
  <c r="AQ369" i="7"/>
  <c r="BM417" i="7"/>
  <c r="AP475" i="7"/>
  <c r="AP410" i="7"/>
  <c r="AU410" i="7"/>
  <c r="AU208" i="7"/>
  <c r="AS414" i="7"/>
  <c r="AP274" i="7"/>
  <c r="AR309" i="7"/>
  <c r="AX309" i="7"/>
  <c r="AW419" i="7"/>
  <c r="AW462" i="7"/>
  <c r="BM400" i="7"/>
  <c r="AR434" i="7"/>
  <c r="AU434" i="7"/>
  <c r="AY295" i="7"/>
  <c r="AT500" i="7"/>
  <c r="AX495" i="7"/>
  <c r="AP495" i="7"/>
  <c r="BP486" i="7"/>
  <c r="AQ250" i="7"/>
  <c r="AV250" i="7"/>
  <c r="AU369" i="7"/>
  <c r="AS260" i="7"/>
  <c r="AY260" i="7"/>
  <c r="AV468" i="7"/>
  <c r="AP260" i="7"/>
  <c r="BF340" i="7"/>
  <c r="BG340" i="7" a="1"/>
  <c r="BQ340" i="7"/>
  <c r="AU241" i="7"/>
  <c r="AP458" i="7"/>
  <c r="AV458" i="7"/>
  <c r="AU458" i="7"/>
  <c r="AW458" i="7"/>
  <c r="AF384" i="7"/>
  <c r="AD384" i="7"/>
  <c r="AA384" i="7"/>
  <c r="W384" i="7"/>
  <c r="Y384" i="7"/>
  <c r="X384" i="7"/>
  <c r="Z384" i="7"/>
  <c r="AC384" i="7"/>
  <c r="AE384" i="7"/>
  <c r="AB384" i="7"/>
  <c r="AG384" i="7"/>
  <c r="AA235" i="7"/>
  <c r="X235" i="7"/>
  <c r="AG235" i="7"/>
  <c r="Y235" i="7"/>
  <c r="AF235" i="7"/>
  <c r="AD235" i="7"/>
  <c r="AC235" i="7"/>
  <c r="Z235" i="7"/>
  <c r="AE235" i="7"/>
  <c r="AB235" i="7"/>
  <c r="W235" i="7"/>
  <c r="AN340" i="7"/>
  <c r="AO340" i="7" a="1"/>
  <c r="AY473" i="7"/>
  <c r="AU422" i="7"/>
  <c r="AP422" i="7"/>
  <c r="AO422" i="7"/>
  <c r="AP484" i="7"/>
  <c r="AU423" i="7"/>
  <c r="AR423" i="7"/>
  <c r="AT423" i="7"/>
  <c r="BL427" i="7"/>
  <c r="AQ75" i="7"/>
  <c r="AU75" i="7"/>
  <c r="BK417" i="7"/>
  <c r="AY475" i="7"/>
  <c r="AP492" i="7"/>
  <c r="AU492" i="7"/>
  <c r="BW364" i="7"/>
  <c r="AV473" i="7"/>
  <c r="AY208" i="7"/>
  <c r="AR208" i="7"/>
  <c r="AX208" i="7"/>
  <c r="AQ414" i="7"/>
  <c r="AY414" i="7"/>
  <c r="AR414" i="7"/>
  <c r="BS405" i="7"/>
  <c r="BW405" i="7"/>
  <c r="AV309" i="7"/>
  <c r="AU309" i="7"/>
  <c r="AP309" i="7"/>
  <c r="AU419" i="7"/>
  <c r="AR419" i="7"/>
  <c r="AT419" i="7"/>
  <c r="AX462" i="7"/>
  <c r="AV462" i="7"/>
  <c r="AQ462" i="7"/>
  <c r="BK400" i="7"/>
  <c r="BP421" i="7"/>
  <c r="AQ428" i="7"/>
  <c r="AY428" i="7"/>
  <c r="AR428" i="7"/>
  <c r="AW434" i="7"/>
  <c r="AO434" i="7"/>
  <c r="AW422" i="7"/>
  <c r="AS422" i="7"/>
  <c r="AV422" i="7"/>
  <c r="AV295" i="7"/>
  <c r="AU295" i="7"/>
  <c r="AP295" i="7"/>
  <c r="BG401" i="7"/>
  <c r="AU368" i="7"/>
  <c r="BO486" i="7"/>
  <c r="AQ423" i="7"/>
  <c r="AY423" i="7"/>
  <c r="AP423" i="7"/>
  <c r="AW365" i="7"/>
  <c r="AR365" i="7"/>
  <c r="AY468" i="7"/>
  <c r="AW468" i="7"/>
  <c r="AP374" i="7"/>
  <c r="AW241" i="7"/>
  <c r="AR241" i="7"/>
  <c r="AX241" i="7"/>
  <c r="AY478" i="7"/>
  <c r="AQ478" i="7"/>
  <c r="AO478" i="7"/>
  <c r="AV478" i="7"/>
  <c r="AS75" i="7"/>
  <c r="AP75" i="7"/>
  <c r="AT492" i="7"/>
  <c r="AY492" i="7"/>
  <c r="AS473" i="7"/>
  <c r="AV208" i="7"/>
  <c r="AO208" i="7"/>
  <c r="AV419" i="7"/>
  <c r="AO419" i="7"/>
  <c r="AX419" i="7"/>
  <c r="BO400" i="7"/>
  <c r="AU428" i="7"/>
  <c r="AS428" i="7"/>
  <c r="AV428" i="7"/>
  <c r="BJ427" i="7"/>
  <c r="AW75" i="7"/>
  <c r="AO75" i="7"/>
  <c r="AX492" i="7"/>
  <c r="AQ473" i="7"/>
  <c r="AW208" i="7"/>
  <c r="AS208" i="7"/>
  <c r="AX414" i="7"/>
  <c r="BS460" i="7"/>
  <c r="BW460" i="7"/>
  <c r="AS309" i="7"/>
  <c r="AQ419" i="7"/>
  <c r="AY419" i="7"/>
  <c r="AR462" i="7"/>
  <c r="AX428" i="7"/>
  <c r="AS434" i="7"/>
  <c r="AP434" i="7"/>
  <c r="AQ422" i="7"/>
  <c r="AY422" i="7"/>
  <c r="AW295" i="7"/>
  <c r="BM401" i="7"/>
  <c r="AV368" i="7"/>
  <c r="AT368" i="7"/>
  <c r="BF231" i="7"/>
  <c r="BI486" i="7"/>
  <c r="AW423" i="7"/>
  <c r="AN236" i="7"/>
  <c r="AO236" i="7" a="1"/>
  <c r="AO236" i="7"/>
  <c r="AO468" i="7"/>
  <c r="AS365" i="7"/>
  <c r="AU365" i="7"/>
  <c r="AR468" i="7"/>
  <c r="AT468" i="7"/>
  <c r="AA260" i="7"/>
  <c r="AU374" i="7"/>
  <c r="AN383" i="7"/>
  <c r="AO383" i="7" a="1"/>
  <c r="AY383" i="7"/>
  <c r="AV241" i="7"/>
  <c r="AY241" i="7"/>
  <c r="BX246" i="7"/>
  <c r="BY246" i="7" a="1"/>
  <c r="CG246" i="7"/>
  <c r="AW375" i="7"/>
  <c r="AV375" i="7"/>
  <c r="AT375" i="7"/>
  <c r="BF296" i="7"/>
  <c r="AT296" i="7"/>
  <c r="BF368" i="7"/>
  <c r="BG368" i="7" a="1"/>
  <c r="BQ368" i="7"/>
  <c r="AQ365" i="7"/>
  <c r="AY365" i="7"/>
  <c r="AF92" i="7"/>
  <c r="AD92" i="7"/>
  <c r="Y92" i="7"/>
  <c r="AA92" i="7"/>
  <c r="AE92" i="7"/>
  <c r="X92" i="7"/>
  <c r="Z92" i="7"/>
  <c r="AC92" i="7"/>
  <c r="AG92" i="7"/>
  <c r="W92" i="7"/>
  <c r="AY75" i="7"/>
  <c r="AR75" i="7"/>
  <c r="AR397" i="7"/>
  <c r="AY397" i="7"/>
  <c r="AP397" i="7"/>
  <c r="AX500" i="7"/>
  <c r="AU500" i="7"/>
  <c r="AR442" i="7"/>
  <c r="AO442" i="7"/>
  <c r="AU442" i="7"/>
  <c r="AN354" i="7"/>
  <c r="AO354" i="7" a="1"/>
  <c r="AT354" i="7"/>
  <c r="AN27" i="7"/>
  <c r="AO27" i="7" a="1"/>
  <c r="AR27" i="7"/>
  <c r="AP296" i="7"/>
  <c r="Y260" i="7"/>
  <c r="AC260" i="7"/>
  <c r="AG260" i="7"/>
  <c r="AO397" i="7"/>
  <c r="AS397" i="7"/>
  <c r="AN29" i="7"/>
  <c r="AO29" i="7" a="1"/>
  <c r="AS29" i="7"/>
  <c r="AV500" i="7"/>
  <c r="AS500" i="7"/>
  <c r="AQ500" i="7"/>
  <c r="AV442" i="7"/>
  <c r="AX442" i="7"/>
  <c r="AQ442" i="7"/>
  <c r="AR487" i="7"/>
  <c r="AO296" i="7"/>
  <c r="X260" i="7"/>
  <c r="AF260" i="7"/>
  <c r="Z260" i="7"/>
  <c r="AV374" i="7"/>
  <c r="AN371" i="7"/>
  <c r="AO371" i="7" a="1"/>
  <c r="AO371" i="7"/>
  <c r="BK411" i="7"/>
  <c r="AO463" i="7"/>
  <c r="AN372" i="7"/>
  <c r="AO372" i="7" a="1"/>
  <c r="AP372" i="7"/>
  <c r="AV397" i="7"/>
  <c r="AQ397" i="7"/>
  <c r="AO500" i="7"/>
  <c r="AY500" i="7"/>
  <c r="AW442" i="7"/>
  <c r="AT442" i="7"/>
  <c r="AE260" i="7"/>
  <c r="AB260" i="7"/>
  <c r="AG236" i="7"/>
  <c r="AC236" i="7"/>
  <c r="W236" i="7"/>
  <c r="AD236" i="7"/>
  <c r="AA236" i="7"/>
  <c r="AB236" i="7"/>
  <c r="AF236" i="7"/>
  <c r="Z236" i="7"/>
  <c r="X236" i="7"/>
  <c r="Y236" i="7"/>
  <c r="AE236" i="7"/>
  <c r="AE380" i="7"/>
  <c r="AC380" i="7"/>
  <c r="Y380" i="7"/>
  <c r="X380" i="7"/>
  <c r="AA380" i="7"/>
  <c r="Z380" i="7"/>
  <c r="AD380" i="7"/>
  <c r="W380" i="7"/>
  <c r="AB380" i="7"/>
  <c r="AF380" i="7"/>
  <c r="AG380" i="7"/>
  <c r="AC372" i="7"/>
  <c r="Y372" i="7"/>
  <c r="AE372" i="7"/>
  <c r="Z372" i="7"/>
  <c r="W372" i="7"/>
  <c r="AB372" i="7"/>
  <c r="AU407" i="7"/>
  <c r="AY407" i="7"/>
  <c r="AV407" i="7"/>
  <c r="AN256" i="7"/>
  <c r="AO256" i="7" a="1"/>
  <c r="AY256" i="7"/>
  <c r="BF442" i="7"/>
  <c r="BG442" i="7" a="1"/>
  <c r="BM442" i="7"/>
  <c r="BF399" i="7"/>
  <c r="BG399" i="7" a="1"/>
  <c r="BQ399" i="7"/>
  <c r="AN213" i="7"/>
  <c r="AO213" i="7" a="1"/>
  <c r="BF403" i="7"/>
  <c r="BG403" i="7" a="1"/>
  <c r="BH403" i="7"/>
  <c r="AB296" i="7"/>
  <c r="Y296" i="7"/>
  <c r="W296" i="7"/>
  <c r="AF296" i="7"/>
  <c r="AE296" i="7"/>
  <c r="AC296" i="7"/>
  <c r="Z296" i="7"/>
  <c r="X296" i="7"/>
  <c r="AD296" i="7"/>
  <c r="AA296" i="7"/>
  <c r="AG296" i="7"/>
  <c r="AE256" i="7"/>
  <c r="AB256" i="7"/>
  <c r="X256" i="7"/>
  <c r="AG256" i="7"/>
  <c r="AC256" i="7"/>
  <c r="AA256" i="7"/>
  <c r="W256" i="7"/>
  <c r="AD256" i="7"/>
  <c r="Z256" i="7"/>
  <c r="AF256" i="7"/>
  <c r="Y256" i="7"/>
  <c r="BN246" i="7"/>
  <c r="BQ246" i="7"/>
  <c r="BP246" i="7"/>
  <c r="BH246" i="7"/>
  <c r="BL246" i="7"/>
  <c r="BO246" i="7"/>
  <c r="BG246" i="7"/>
  <c r="BJ246" i="7"/>
  <c r="BI246" i="7"/>
  <c r="BM246" i="7"/>
  <c r="BK246" i="7"/>
  <c r="Y232" i="7"/>
  <c r="AF232" i="7"/>
  <c r="X232" i="7"/>
  <c r="AC232" i="7"/>
  <c r="Z232" i="7"/>
  <c r="AD232" i="7"/>
  <c r="AG232" i="7"/>
  <c r="AE232" i="7"/>
  <c r="AB232" i="7"/>
  <c r="W232" i="7"/>
  <c r="AA232" i="7"/>
  <c r="AD241" i="7"/>
  <c r="AF241" i="7"/>
  <c r="W241" i="7"/>
  <c r="AB241" i="7"/>
  <c r="Z241" i="7"/>
  <c r="AC241" i="7"/>
  <c r="AE241" i="7"/>
  <c r="Y241" i="7"/>
  <c r="AA241" i="7"/>
  <c r="X241" i="7"/>
  <c r="AG241" i="7"/>
  <c r="AW448" i="7"/>
  <c r="AQ448" i="7"/>
  <c r="AS448" i="7"/>
  <c r="BO406" i="7"/>
  <c r="BP406" i="7"/>
  <c r="BE372" i="7"/>
  <c r="BB372" i="7"/>
  <c r="BD372" i="7"/>
  <c r="BM414" i="7"/>
  <c r="BI423" i="7"/>
  <c r="BL423" i="7"/>
  <c r="BM423" i="7"/>
  <c r="BP423" i="7"/>
  <c r="AN193" i="7"/>
  <c r="AO193" i="7" a="1"/>
  <c r="AS193" i="7"/>
  <c r="BS309" i="7"/>
  <c r="BW309" i="7"/>
  <c r="BN364" i="7"/>
  <c r="BP364" i="7"/>
  <c r="AS477" i="7"/>
  <c r="AP477" i="7"/>
  <c r="AW477" i="7"/>
  <c r="AU477" i="7"/>
  <c r="AQ440" i="7"/>
  <c r="AT477" i="7"/>
  <c r="BQ417" i="7"/>
  <c r="BP417" i="7"/>
  <c r="BD199" i="7"/>
  <c r="BF199" i="7"/>
  <c r="AA354" i="7"/>
  <c r="AE354" i="7"/>
  <c r="Y354" i="7"/>
  <c r="AF354" i="7"/>
  <c r="X354" i="7"/>
  <c r="BL417" i="7"/>
  <c r="W354" i="7"/>
  <c r="BF205" i="7"/>
  <c r="AB354" i="7"/>
  <c r="BU460" i="7"/>
  <c r="BX460" i="7"/>
  <c r="BY460" i="7" a="1"/>
  <c r="BY460" i="7"/>
  <c r="AT448" i="7"/>
  <c r="BL460" i="7"/>
  <c r="AW475" i="7"/>
  <c r="AO475" i="7"/>
  <c r="AR475" i="7"/>
  <c r="AT475" i="7"/>
  <c r="AS475" i="7"/>
  <c r="AX475" i="7"/>
  <c r="AU475" i="7"/>
  <c r="BH411" i="7"/>
  <c r="BO411" i="7"/>
  <c r="BI411" i="7"/>
  <c r="BN411" i="7"/>
  <c r="BJ411" i="7"/>
  <c r="BI478" i="7"/>
  <c r="BG478" i="7"/>
  <c r="BI401" i="7"/>
  <c r="BH401" i="7"/>
  <c r="BL401" i="7"/>
  <c r="BK401" i="7"/>
  <c r="BO401" i="7"/>
  <c r="BF309" i="7"/>
  <c r="AR385" i="7"/>
  <c r="AY385" i="7"/>
  <c r="AS385" i="7"/>
  <c r="AV385" i="7"/>
  <c r="AQ385" i="7"/>
  <c r="AU385" i="7"/>
  <c r="AT401" i="7"/>
  <c r="AQ401" i="7"/>
  <c r="AU401" i="7"/>
  <c r="AX401" i="7"/>
  <c r="AW401" i="7"/>
  <c r="AV401" i="7"/>
  <c r="AX407" i="7"/>
  <c r="AT407" i="7"/>
  <c r="AR407" i="7"/>
  <c r="AP407" i="7"/>
  <c r="AQ407" i="7"/>
  <c r="AO407" i="7"/>
  <c r="AS407" i="7"/>
  <c r="AW407" i="7"/>
  <c r="AL246" i="7"/>
  <c r="AN246" i="7"/>
  <c r="AO246" i="7" a="1"/>
  <c r="AO375" i="7"/>
  <c r="AY375" i="7"/>
  <c r="AP375" i="7"/>
  <c r="AR375" i="7"/>
  <c r="AQ375" i="7"/>
  <c r="AO492" i="7"/>
  <c r="AW492" i="7"/>
  <c r="AQ492" i="7"/>
  <c r="AR473" i="7"/>
  <c r="AU473" i="7"/>
  <c r="AO473" i="7"/>
  <c r="BF227" i="7"/>
  <c r="AN232" i="7"/>
  <c r="AO232" i="7" a="1"/>
  <c r="AP232" i="7"/>
  <c r="AS368" i="7"/>
  <c r="AO368" i="7"/>
  <c r="BF75" i="7"/>
  <c r="BG75" i="7" a="1"/>
  <c r="BN75" i="7"/>
  <c r="BF385" i="7"/>
  <c r="BF384" i="7"/>
  <c r="AX375" i="7"/>
  <c r="AU375" i="7"/>
  <c r="X372" i="7"/>
  <c r="AA372" i="7"/>
  <c r="AG372" i="7"/>
  <c r="AS375" i="7"/>
  <c r="AR296" i="7"/>
  <c r="AQ296" i="7"/>
  <c r="AN376" i="7"/>
  <c r="AO376" i="7" a="1"/>
  <c r="AR376" i="7"/>
  <c r="AV492" i="7"/>
  <c r="AX473" i="7"/>
  <c r="AN395" i="7"/>
  <c r="AO395" i="7" a="1"/>
  <c r="AQ395" i="7"/>
  <c r="BF369" i="7"/>
  <c r="BG369" i="7" a="1"/>
  <c r="BG369" i="7"/>
  <c r="BF375" i="7"/>
  <c r="AY368" i="7"/>
  <c r="AW368" i="7"/>
  <c r="BF209" i="7"/>
  <c r="AD372" i="7"/>
  <c r="AF372" i="7"/>
  <c r="AW296" i="7"/>
  <c r="BF260" i="7"/>
  <c r="AS374" i="7"/>
  <c r="AW374" i="7"/>
  <c r="AQ374" i="7"/>
  <c r="AX374" i="7"/>
  <c r="AR374" i="7"/>
  <c r="AT374" i="7"/>
  <c r="AD388" i="7"/>
  <c r="Z388" i="7"/>
  <c r="Y388" i="7"/>
  <c r="X388" i="7"/>
  <c r="AE388" i="7"/>
  <c r="W388" i="7"/>
  <c r="AB388" i="7"/>
  <c r="AG388" i="7"/>
  <c r="AF388" i="7"/>
  <c r="AA388" i="7"/>
  <c r="AC388" i="7"/>
  <c r="BU260" i="7"/>
  <c r="BU75" i="7"/>
  <c r="AP209" i="7"/>
  <c r="AU209" i="7"/>
  <c r="AS209" i="7"/>
  <c r="AT209" i="7"/>
  <c r="AV209" i="7"/>
  <c r="AW209" i="7"/>
  <c r="AX209" i="7"/>
  <c r="AR209" i="7"/>
  <c r="AY209" i="7"/>
  <c r="AO209" i="7"/>
  <c r="AQ209" i="7"/>
  <c r="BT75" i="7"/>
  <c r="BV75" i="7"/>
  <c r="BT231" i="7"/>
  <c r="BV231" i="7"/>
  <c r="AG29" i="7"/>
  <c r="AE29" i="7"/>
  <c r="W29" i="7"/>
  <c r="AB29" i="7"/>
  <c r="BT208" i="7"/>
  <c r="BV208" i="7"/>
  <c r="BC236" i="7"/>
  <c r="AY374" i="7"/>
  <c r="BB236" i="7"/>
  <c r="BD236" i="7"/>
  <c r="BU365" i="7"/>
  <c r="X369" i="7"/>
  <c r="AB369" i="7"/>
  <c r="W369" i="7"/>
  <c r="AC369" i="7"/>
  <c r="Y369" i="7"/>
  <c r="AG369" i="7"/>
  <c r="AE369" i="7"/>
  <c r="AF369" i="7"/>
  <c r="AD369" i="7"/>
  <c r="AA369" i="7"/>
  <c r="Z369" i="7"/>
  <c r="X395" i="7"/>
  <c r="AG395" i="7"/>
  <c r="AF395" i="7"/>
  <c r="AD395" i="7"/>
  <c r="AE395" i="7"/>
  <c r="AC395" i="7"/>
  <c r="Z395" i="7"/>
  <c r="AA395" i="7"/>
  <c r="AB395" i="7"/>
  <c r="Y395" i="7"/>
  <c r="W395" i="7"/>
  <c r="BB27" i="7"/>
  <c r="BD27" i="7"/>
  <c r="BT296" i="7"/>
  <c r="BV296" i="7"/>
  <c r="BC232" i="7"/>
  <c r="AY296" i="7"/>
  <c r="AX296" i="7"/>
  <c r="AU296" i="7"/>
  <c r="AS296" i="7"/>
  <c r="Z29" i="7"/>
  <c r="AF29" i="7"/>
  <c r="AC29" i="7"/>
  <c r="X29" i="7"/>
  <c r="AD29" i="7"/>
  <c r="Y29" i="7"/>
  <c r="BB354" i="7"/>
  <c r="BD354" i="7"/>
  <c r="BC376" i="7"/>
  <c r="BB232" i="7"/>
  <c r="BD232" i="7"/>
  <c r="BT205" i="7"/>
  <c r="BV205" i="7"/>
  <c r="BC213" i="7"/>
  <c r="BX452" i="7"/>
  <c r="BY452" i="7" a="1"/>
  <c r="CG452" i="7"/>
  <c r="BC29" i="7"/>
  <c r="BU231" i="7"/>
  <c r="AN229" i="7"/>
  <c r="AO229" i="7" a="1"/>
  <c r="AP229" i="7"/>
  <c r="BB376" i="7"/>
  <c r="BD376" i="7"/>
  <c r="BU229" i="7"/>
  <c r="BU43" i="7"/>
  <c r="BU209" i="7"/>
  <c r="BC92" i="7"/>
  <c r="BB29" i="7"/>
  <c r="BD29" i="7"/>
  <c r="BB193" i="7"/>
  <c r="BD193" i="7"/>
  <c r="AN388" i="7"/>
  <c r="AO388" i="7" a="1"/>
  <c r="AP388" i="7"/>
  <c r="BU227" i="7"/>
  <c r="BT227" i="7"/>
  <c r="BV227" i="7"/>
  <c r="BU340" i="7"/>
  <c r="BT340" i="7"/>
  <c r="BV340" i="7"/>
  <c r="BU385" i="7"/>
  <c r="BT385" i="7"/>
  <c r="BV385" i="7"/>
  <c r="BU205" i="7"/>
  <c r="BT295" i="7"/>
  <c r="BU295" i="7"/>
  <c r="BT43" i="7"/>
  <c r="BV43" i="7"/>
  <c r="BT374" i="7"/>
  <c r="BV374" i="7"/>
  <c r="BU374" i="7"/>
  <c r="BC354" i="7"/>
  <c r="BU208" i="7"/>
  <c r="BF208" i="7"/>
  <c r="BC193" i="7"/>
  <c r="BT260" i="7"/>
  <c r="BV260" i="7"/>
  <c r="BC372" i="7"/>
  <c r="BV368" i="7"/>
  <c r="BU368" i="7"/>
  <c r="BT369" i="7"/>
  <c r="BV369" i="7"/>
  <c r="BU369" i="7"/>
  <c r="BT209" i="7"/>
  <c r="BV209" i="7"/>
  <c r="BT241" i="7"/>
  <c r="BV241" i="7"/>
  <c r="BU241" i="7"/>
  <c r="BT384" i="7"/>
  <c r="BV384" i="7"/>
  <c r="BU384" i="7"/>
  <c r="BC235" i="7"/>
  <c r="BB235" i="7"/>
  <c r="BD235" i="7"/>
  <c r="BT229" i="7"/>
  <c r="BV229" i="7"/>
  <c r="BC27" i="7"/>
  <c r="BB395" i="7"/>
  <c r="BD395" i="7"/>
  <c r="BC395" i="7"/>
  <c r="BB213" i="7"/>
  <c r="BD213" i="7"/>
  <c r="BB371" i="7"/>
  <c r="BD371" i="7"/>
  <c r="BC371" i="7"/>
  <c r="BC256" i="7"/>
  <c r="BB256" i="7"/>
  <c r="BD256" i="7"/>
  <c r="BU296" i="7"/>
  <c r="BU199" i="7"/>
  <c r="BT199" i="7"/>
  <c r="BT365" i="7"/>
  <c r="BV365" i="7"/>
  <c r="BU364" i="7"/>
  <c r="BB383" i="7"/>
  <c r="BD383" i="7"/>
  <c r="BC383" i="7"/>
  <c r="BB92" i="7"/>
  <c r="BD92" i="7"/>
  <c r="AN92" i="7"/>
  <c r="AO92" i="7" a="1"/>
  <c r="AP92" i="7"/>
  <c r="BB380" i="7"/>
  <c r="BD380" i="7"/>
  <c r="BC380" i="7"/>
  <c r="AN380" i="7"/>
  <c r="AO380" i="7" a="1"/>
  <c r="AU380" i="7"/>
  <c r="BU370" i="7"/>
  <c r="BT370" i="7"/>
  <c r="BV370" i="7"/>
  <c r="BC388" i="7"/>
  <c r="BS388" i="7"/>
  <c r="BW388" i="7"/>
  <c r="BE388" i="7"/>
  <c r="BD388" i="7"/>
  <c r="BU375" i="7"/>
  <c r="BT375" i="7"/>
  <c r="BV375" i="7"/>
  <c r="BE250" i="7"/>
  <c r="BB250" i="7"/>
  <c r="BD250" i="7"/>
  <c r="BC250" i="7"/>
  <c r="BS250" i="7"/>
  <c r="BW250" i="7"/>
  <c r="CF246" i="7"/>
  <c r="CD246" i="7"/>
  <c r="CA246" i="7"/>
  <c r="BG452" i="7"/>
  <c r="BG403" i="7"/>
  <c r="BJ412" i="7"/>
  <c r="AQ437" i="7"/>
  <c r="AV193" i="7"/>
  <c r="AU454" i="7"/>
  <c r="BO502" i="7"/>
  <c r="BI452" i="7"/>
  <c r="BQ403" i="7"/>
  <c r="AT463" i="7"/>
  <c r="BO412" i="7"/>
  <c r="BI429" i="7"/>
  <c r="AR471" i="7"/>
  <c r="AV463" i="7"/>
  <c r="AX447" i="7"/>
  <c r="AY443" i="7"/>
  <c r="AO471" i="7"/>
  <c r="BH412" i="7"/>
  <c r="BK412" i="7"/>
  <c r="AW236" i="7"/>
  <c r="AQ447" i="7"/>
  <c r="BI502" i="7"/>
  <c r="CC246" i="7"/>
  <c r="CE246" i="7"/>
  <c r="BZ246" i="7"/>
  <c r="BY246" i="7"/>
  <c r="CH246" i="7"/>
  <c r="CI246" i="7"/>
  <c r="BQ423" i="7"/>
  <c r="BG423" i="7"/>
  <c r="BO423" i="7"/>
  <c r="AP437" i="7"/>
  <c r="AX437" i="7"/>
  <c r="AW437" i="7"/>
  <c r="AV437" i="7"/>
  <c r="AT437" i="7"/>
  <c r="AW443" i="7"/>
  <c r="AU443" i="7"/>
  <c r="AQ443" i="7"/>
  <c r="AS443" i="7"/>
  <c r="AP443" i="7"/>
  <c r="AV443" i="7"/>
  <c r="AQ454" i="7"/>
  <c r="AV454" i="7"/>
  <c r="AR454" i="7"/>
  <c r="AP454" i="7"/>
  <c r="AW454" i="7"/>
  <c r="BP429" i="7"/>
  <c r="BN429" i="7"/>
  <c r="BJ429" i="7"/>
  <c r="BL429" i="7"/>
  <c r="BG429" i="7"/>
  <c r="BM429" i="7"/>
  <c r="BN480" i="7"/>
  <c r="BP480" i="7"/>
  <c r="BQ480" i="7"/>
  <c r="BJ480" i="7"/>
  <c r="BK480" i="7"/>
  <c r="BG480" i="7"/>
  <c r="AW471" i="7"/>
  <c r="AU471" i="7"/>
  <c r="AX471" i="7"/>
  <c r="AS471" i="7"/>
  <c r="AP471" i="7"/>
  <c r="AV471" i="7"/>
  <c r="AP461" i="7"/>
  <c r="AX461" i="7"/>
  <c r="BK406" i="7"/>
  <c r="BM406" i="7"/>
  <c r="BL406" i="7"/>
  <c r="BP452" i="7"/>
  <c r="BN452" i="7"/>
  <c r="BG406" i="7"/>
  <c r="BL452" i="7"/>
  <c r="BK452" i="7"/>
  <c r="BJ452" i="7"/>
  <c r="AX463" i="7"/>
  <c r="AY463" i="7"/>
  <c r="AW463" i="7"/>
  <c r="BQ406" i="7"/>
  <c r="BN406" i="7"/>
  <c r="AR461" i="7"/>
  <c r="AT461" i="7"/>
  <c r="AO461" i="7"/>
  <c r="BQ412" i="7"/>
  <c r="BM412" i="7"/>
  <c r="BV478" i="7"/>
  <c r="BX478" i="7"/>
  <c r="BY478" i="7" a="1"/>
  <c r="AY437" i="7"/>
  <c r="AS437" i="7"/>
  <c r="CB246" i="7"/>
  <c r="AP447" i="7"/>
  <c r="AT454" i="7"/>
  <c r="AX443" i="7"/>
  <c r="AO443" i="7"/>
  <c r="BO480" i="7"/>
  <c r="BK429" i="7"/>
  <c r="BK502" i="7"/>
  <c r="AY471" i="7"/>
  <c r="AS497" i="7"/>
  <c r="AQ497" i="7"/>
  <c r="BM502" i="7"/>
  <c r="BQ502" i="7"/>
  <c r="BH502" i="7"/>
  <c r="BG502" i="7"/>
  <c r="BL502" i="7"/>
  <c r="BI412" i="7"/>
  <c r="BP412" i="7"/>
  <c r="AS447" i="7"/>
  <c r="AR447" i="7"/>
  <c r="AU447" i="7"/>
  <c r="AO447" i="7"/>
  <c r="AV447" i="7"/>
  <c r="AY447" i="7"/>
  <c r="AT193" i="7"/>
  <c r="BH452" i="7"/>
  <c r="AU463" i="7"/>
  <c r="AQ463" i="7"/>
  <c r="BH406" i="7"/>
  <c r="AQ461" i="7"/>
  <c r="AS461" i="7"/>
  <c r="BQ452" i="7"/>
  <c r="AP463" i="7"/>
  <c r="AR463" i="7"/>
  <c r="BJ406" i="7"/>
  <c r="BI406" i="7"/>
  <c r="AY461" i="7"/>
  <c r="AU461" i="7"/>
  <c r="BL412" i="7"/>
  <c r="BN412" i="7"/>
  <c r="AR437" i="7"/>
  <c r="AO437" i="7"/>
  <c r="AT447" i="7"/>
  <c r="AS454" i="7"/>
  <c r="AY454" i="7"/>
  <c r="AR443" i="7"/>
  <c r="BH480" i="7"/>
  <c r="BI480" i="7"/>
  <c r="BO429" i="7"/>
  <c r="BH429" i="7"/>
  <c r="BP502" i="7"/>
  <c r="BJ502" i="7"/>
  <c r="AT471" i="7"/>
  <c r="BI460" i="7"/>
  <c r="AO477" i="7"/>
  <c r="AX477" i="7"/>
  <c r="AQ477" i="7"/>
  <c r="AR477" i="7"/>
  <c r="AV477" i="7"/>
  <c r="BX420" i="7"/>
  <c r="BY420" i="7" a="1"/>
  <c r="CC420" i="7"/>
  <c r="BQ486" i="7"/>
  <c r="BK486" i="7"/>
  <c r="BH486" i="7"/>
  <c r="AV476" i="7"/>
  <c r="AS476" i="7"/>
  <c r="AU476" i="7"/>
  <c r="BF457" i="7"/>
  <c r="BG457" i="7" a="1"/>
  <c r="BP457" i="7"/>
  <c r="BF495" i="7"/>
  <c r="BG495" i="7" a="1"/>
  <c r="BH495" i="7"/>
  <c r="BJ401" i="7"/>
  <c r="BN401" i="7"/>
  <c r="AP500" i="7"/>
  <c r="BL486" i="7"/>
  <c r="AP476" i="7"/>
  <c r="AX476" i="7"/>
  <c r="BL370" i="7"/>
  <c r="BI370" i="7"/>
  <c r="AQ484" i="7"/>
  <c r="AW484" i="7"/>
  <c r="AV484" i="7"/>
  <c r="AU484" i="7"/>
  <c r="AS484" i="7"/>
  <c r="AO484" i="7"/>
  <c r="AR479" i="7"/>
  <c r="BL414" i="7"/>
  <c r="BO414" i="7"/>
  <c r="AT484" i="7"/>
  <c r="AY497" i="7"/>
  <c r="AW497" i="7"/>
  <c r="BG420" i="7"/>
  <c r="BH420" i="7"/>
  <c r="BQ420" i="7"/>
  <c r="BI400" i="7"/>
  <c r="BQ400" i="7"/>
  <c r="BG400" i="7"/>
  <c r="BN400" i="7"/>
  <c r="BJ400" i="7"/>
  <c r="AY440" i="7"/>
  <c r="AX440" i="7"/>
  <c r="AP440" i="7"/>
  <c r="AR440" i="7"/>
  <c r="AT440" i="7"/>
  <c r="AW435" i="7"/>
  <c r="AU435" i="7"/>
  <c r="AX435" i="7"/>
  <c r="AT435" i="7"/>
  <c r="AQ435" i="7"/>
  <c r="BI421" i="7"/>
  <c r="BN421" i="7"/>
  <c r="BJ421" i="7"/>
  <c r="BM421" i="7"/>
  <c r="BL421" i="7"/>
  <c r="BO421" i="7"/>
  <c r="BH478" i="7"/>
  <c r="BK478" i="7"/>
  <c r="BQ478" i="7"/>
  <c r="BM478" i="7"/>
  <c r="BL478" i="7"/>
  <c r="BN436" i="7"/>
  <c r="BP436" i="7"/>
  <c r="BM436" i="7"/>
  <c r="BI436" i="7"/>
  <c r="BL436" i="7"/>
  <c r="BH436" i="7"/>
  <c r="AW440" i="7"/>
  <c r="BH400" i="7"/>
  <c r="BG421" i="7"/>
  <c r="BP478" i="7"/>
  <c r="BJ478" i="7"/>
  <c r="BP414" i="7"/>
  <c r="AX484" i="7"/>
  <c r="AX497" i="7"/>
  <c r="BO436" i="7"/>
  <c r="AR435" i="7"/>
  <c r="AS435" i="7"/>
  <c r="BV392" i="7"/>
  <c r="BX392" i="7"/>
  <c r="BY392" i="7" a="1"/>
  <c r="BI420" i="7"/>
  <c r="BI414" i="7"/>
  <c r="BQ414" i="7"/>
  <c r="BG414" i="7"/>
  <c r="BN414" i="7"/>
  <c r="BJ414" i="7"/>
  <c r="AP497" i="7"/>
  <c r="AT497" i="7"/>
  <c r="AO497" i="7"/>
  <c r="AU497" i="7"/>
  <c r="AR497" i="7"/>
  <c r="AO465" i="7"/>
  <c r="AV465" i="7"/>
  <c r="AQ465" i="7"/>
  <c r="AO499" i="7"/>
  <c r="AW499" i="7"/>
  <c r="AP499" i="7"/>
  <c r="AQ499" i="7"/>
  <c r="AO481" i="7"/>
  <c r="AU481" i="7"/>
  <c r="AY481" i="7"/>
  <c r="AS481" i="7"/>
  <c r="AQ481" i="7"/>
  <c r="AR481" i="7"/>
  <c r="BM413" i="7"/>
  <c r="BP413" i="7"/>
  <c r="BI413" i="7"/>
  <c r="BJ413" i="7"/>
  <c r="AY448" i="7"/>
  <c r="AX448" i="7"/>
  <c r="AV448" i="7"/>
  <c r="AR448" i="7"/>
  <c r="AO448" i="7"/>
  <c r="AV440" i="7"/>
  <c r="AU440" i="7"/>
  <c r="AT481" i="7"/>
  <c r="AW481" i="7"/>
  <c r="BL400" i="7"/>
  <c r="BH421" i="7"/>
  <c r="AR465" i="7"/>
  <c r="BO478" i="7"/>
  <c r="BH414" i="7"/>
  <c r="AP448" i="7"/>
  <c r="AU448" i="7"/>
  <c r="AR484" i="7"/>
  <c r="AV497" i="7"/>
  <c r="BH413" i="7"/>
  <c r="BQ436" i="7"/>
  <c r="BJ436" i="7"/>
  <c r="AV435" i="7"/>
  <c r="AO435" i="7"/>
  <c r="BO420" i="7"/>
  <c r="BL274" i="7"/>
  <c r="AR92" i="7"/>
  <c r="BX407" i="7"/>
  <c r="BY407" i="7" a="1"/>
  <c r="CF407" i="7"/>
  <c r="BF465" i="7"/>
  <c r="BG465" i="7" a="1"/>
  <c r="BP465" i="7"/>
  <c r="BF438" i="7"/>
  <c r="BG438" i="7" a="1"/>
  <c r="BK438" i="7"/>
  <c r="BX410" i="7"/>
  <c r="BY410" i="7" a="1"/>
  <c r="CH410" i="7"/>
  <c r="BF485" i="7"/>
  <c r="BG485" i="7" a="1"/>
  <c r="BG485" i="7"/>
  <c r="BV399" i="7"/>
  <c r="BX399" i="7"/>
  <c r="BY399" i="7" a="1"/>
  <c r="BY399" i="7"/>
  <c r="BD454" i="7"/>
  <c r="BF454" i="7"/>
  <c r="BG454" i="7" a="1"/>
  <c r="AS479" i="7"/>
  <c r="AP479" i="7"/>
  <c r="AV479" i="7"/>
  <c r="AW479" i="7"/>
  <c r="AU479" i="7"/>
  <c r="AX479" i="7"/>
  <c r="AO256" i="7"/>
  <c r="AV256" i="7"/>
  <c r="BG424" i="7"/>
  <c r="BN424" i="7"/>
  <c r="BJ424" i="7"/>
  <c r="BK424" i="7"/>
  <c r="BM424" i="7"/>
  <c r="BL424" i="7"/>
  <c r="BO424" i="7"/>
  <c r="BH424" i="7"/>
  <c r="BP424" i="7"/>
  <c r="BO404" i="7"/>
  <c r="BH404" i="7"/>
  <c r="BQ404" i="7"/>
  <c r="BI404" i="7"/>
  <c r="BP404" i="7"/>
  <c r="BG404" i="7"/>
  <c r="BN404" i="7"/>
  <c r="BJ404" i="7"/>
  <c r="BO444" i="7"/>
  <c r="BQ444" i="7"/>
  <c r="BJ444" i="7"/>
  <c r="BK444" i="7"/>
  <c r="BL444" i="7"/>
  <c r="BN444" i="7"/>
  <c r="BP444" i="7"/>
  <c r="BH444" i="7"/>
  <c r="BO426" i="7"/>
  <c r="BH426" i="7"/>
  <c r="BP426" i="7"/>
  <c r="BI426" i="7"/>
  <c r="BQ426" i="7"/>
  <c r="AQ446" i="7"/>
  <c r="AV446" i="7"/>
  <c r="AS446" i="7"/>
  <c r="AU446" i="7"/>
  <c r="AR446" i="7"/>
  <c r="AO446" i="7"/>
  <c r="AY446" i="7"/>
  <c r="AW446" i="7"/>
  <c r="AT446" i="7"/>
  <c r="BL426" i="7"/>
  <c r="BK426" i="7"/>
  <c r="BF447" i="7"/>
  <c r="BG447" i="7" a="1"/>
  <c r="BP447" i="7"/>
  <c r="BD446" i="7"/>
  <c r="BF446" i="7"/>
  <c r="BG446" i="7" a="1"/>
  <c r="BM370" i="7"/>
  <c r="BG370" i="7"/>
  <c r="BV295" i="7"/>
  <c r="AQ479" i="7"/>
  <c r="BG444" i="7"/>
  <c r="AX446" i="7"/>
  <c r="BL404" i="7"/>
  <c r="AY487" i="7"/>
  <c r="AU354" i="7"/>
  <c r="BM364" i="7"/>
  <c r="BK364" i="7"/>
  <c r="BL364" i="7"/>
  <c r="BQ364" i="7"/>
  <c r="BG364" i="7"/>
  <c r="BO364" i="7"/>
  <c r="BJ426" i="7"/>
  <c r="BG426" i="7"/>
  <c r="BH364" i="7"/>
  <c r="BV364" i="7"/>
  <c r="AY479" i="7"/>
  <c r="BQ424" i="7"/>
  <c r="BI444" i="7"/>
  <c r="AP446" i="7"/>
  <c r="BM404" i="7"/>
  <c r="BD474" i="7"/>
  <c r="BF474" i="7"/>
  <c r="BG474" i="7" a="1"/>
  <c r="BK474" i="7"/>
  <c r="BK370" i="7"/>
  <c r="BJ370" i="7"/>
  <c r="BH370" i="7"/>
  <c r="BO370" i="7"/>
  <c r="BQ370" i="7"/>
  <c r="BP370" i="7"/>
  <c r="AS487" i="7"/>
  <c r="AP487" i="7"/>
  <c r="AV487" i="7"/>
  <c r="AW487" i="7"/>
  <c r="AU487" i="7"/>
  <c r="AX487" i="7"/>
  <c r="AT487" i="7"/>
  <c r="AQ487" i="7"/>
  <c r="BO274" i="7"/>
  <c r="BH274" i="7"/>
  <c r="BM274" i="7"/>
  <c r="BI274" i="7"/>
  <c r="BQ274" i="7"/>
  <c r="BG274" i="7"/>
  <c r="BN274" i="7"/>
  <c r="BJ274" i="7"/>
  <c r="BM426" i="7"/>
  <c r="BJ364" i="7"/>
  <c r="BI364" i="7"/>
  <c r="BN370" i="7"/>
  <c r="BD448" i="7"/>
  <c r="BF448" i="7"/>
  <c r="BG448" i="7" a="1"/>
  <c r="BV199" i="7"/>
  <c r="AT479" i="7"/>
  <c r="BX444" i="7"/>
  <c r="BY444" i="7" a="1"/>
  <c r="CE444" i="7"/>
  <c r="BI424" i="7"/>
  <c r="BK404" i="7"/>
  <c r="BP274" i="7"/>
  <c r="BF430" i="7"/>
  <c r="BG430" i="7" a="1"/>
  <c r="BL430" i="7"/>
  <c r="BF455" i="7"/>
  <c r="BG455" i="7" a="1"/>
  <c r="BQ455" i="7"/>
  <c r="AT465" i="7"/>
  <c r="AP465" i="7"/>
  <c r="AS465" i="7"/>
  <c r="AY499" i="7"/>
  <c r="AR499" i="7"/>
  <c r="AS499" i="7"/>
  <c r="BX429" i="7"/>
  <c r="BY429" i="7" a="1"/>
  <c r="CG429" i="7"/>
  <c r="BK413" i="7"/>
  <c r="BG413" i="7"/>
  <c r="BQ413" i="7"/>
  <c r="BX421" i="7"/>
  <c r="BY421" i="7" a="1"/>
  <c r="CA421" i="7"/>
  <c r="BL420" i="7"/>
  <c r="BM420" i="7"/>
  <c r="BK420" i="7"/>
  <c r="BX401" i="7"/>
  <c r="BY401" i="7" a="1"/>
  <c r="CC401" i="7"/>
  <c r="BX425" i="7"/>
  <c r="BY425" i="7" a="1"/>
  <c r="CB425" i="7"/>
  <c r="AY465" i="7"/>
  <c r="AX465" i="7"/>
  <c r="AT499" i="7"/>
  <c r="AV499" i="7"/>
  <c r="BO413" i="7"/>
  <c r="BL413" i="7"/>
  <c r="BJ420" i="7"/>
  <c r="BN420" i="7"/>
  <c r="BX412" i="7"/>
  <c r="BY412" i="7" a="1"/>
  <c r="CA412" i="7"/>
  <c r="BX409" i="7"/>
  <c r="BY409" i="7" a="1"/>
  <c r="CG409" i="7"/>
  <c r="BX406" i="7"/>
  <c r="BY406" i="7" a="1"/>
  <c r="BZ406" i="7"/>
  <c r="BX496" i="7"/>
  <c r="BY496" i="7" a="1"/>
  <c r="CC496" i="7"/>
  <c r="BX416" i="7"/>
  <c r="BY416" i="7" a="1"/>
  <c r="CF416" i="7"/>
  <c r="BF441" i="7"/>
  <c r="BG441" i="7" a="1"/>
  <c r="BH441" i="7"/>
  <c r="BF449" i="7"/>
  <c r="BG449" i="7" a="1"/>
  <c r="BH449" i="7"/>
  <c r="BF371" i="7"/>
  <c r="BX400" i="7"/>
  <c r="BY400" i="7" a="1"/>
  <c r="CC400" i="7"/>
  <c r="BX436" i="7"/>
  <c r="BY436" i="7" a="1"/>
  <c r="CC436" i="7"/>
  <c r="BF440" i="7"/>
  <c r="BG440" i="7" a="1"/>
  <c r="BP440" i="7"/>
  <c r="BF483" i="7"/>
  <c r="BG483" i="7" a="1"/>
  <c r="BG483" i="7"/>
  <c r="BF473" i="7"/>
  <c r="BG473" i="7" a="1"/>
  <c r="BL473" i="7"/>
  <c r="BF493" i="7"/>
  <c r="BG493" i="7" a="1"/>
  <c r="BG493" i="7"/>
  <c r="BF29" i="7"/>
  <c r="BX472" i="7"/>
  <c r="BY472" i="7" a="1"/>
  <c r="CG472" i="7"/>
  <c r="BF466" i="7"/>
  <c r="BG466" i="7" a="1"/>
  <c r="BL466" i="7"/>
  <c r="BF432" i="7"/>
  <c r="BG432" i="7" a="1"/>
  <c r="BN432" i="7"/>
  <c r="BF461" i="7"/>
  <c r="BG461" i="7" a="1"/>
  <c r="BJ461" i="7"/>
  <c r="BX274" i="7"/>
  <c r="BY274" i="7" a="1"/>
  <c r="CI274" i="7"/>
  <c r="BX419" i="7"/>
  <c r="BY419" i="7" a="1"/>
  <c r="BY419" i="7"/>
  <c r="BF435" i="7"/>
  <c r="BG435" i="7" a="1"/>
  <c r="BL435" i="7"/>
  <c r="BX397" i="7"/>
  <c r="BY397" i="7" a="1"/>
  <c r="CH397" i="7"/>
  <c r="BF492" i="7"/>
  <c r="BG492" i="7" a="1"/>
  <c r="BJ492" i="7"/>
  <c r="BX408" i="7"/>
  <c r="BY408" i="7" a="1"/>
  <c r="CI408" i="7"/>
  <c r="BX414" i="7"/>
  <c r="BY414" i="7" a="1"/>
  <c r="CD414" i="7"/>
  <c r="BX480" i="7"/>
  <c r="BY480" i="7" a="1"/>
  <c r="CD480" i="7"/>
  <c r="BX413" i="7"/>
  <c r="BY413" i="7" a="1"/>
  <c r="CB413" i="7"/>
  <c r="BX411" i="7"/>
  <c r="BY411" i="7" a="1"/>
  <c r="CE411" i="7"/>
  <c r="BX402" i="7"/>
  <c r="BY402" i="7" a="1"/>
  <c r="CH402" i="7"/>
  <c r="BJ434" i="7"/>
  <c r="BN434" i="7"/>
  <c r="BI434" i="7"/>
  <c r="BO434" i="7"/>
  <c r="BH434" i="7"/>
  <c r="BP434" i="7"/>
  <c r="BK434" i="7"/>
  <c r="BQ434" i="7"/>
  <c r="BL434" i="7"/>
  <c r="BM434" i="7"/>
  <c r="BG434" i="7"/>
  <c r="AQ456" i="7"/>
  <c r="AU456" i="7"/>
  <c r="AY456" i="7"/>
  <c r="AR456" i="7"/>
  <c r="AW456" i="7"/>
  <c r="AS456" i="7"/>
  <c r="AO456" i="7"/>
  <c r="AV456" i="7"/>
  <c r="AT456" i="7"/>
  <c r="AP456" i="7"/>
  <c r="AX456" i="7"/>
  <c r="AO445" i="7"/>
  <c r="AS445" i="7"/>
  <c r="AW445" i="7"/>
  <c r="AP445" i="7"/>
  <c r="AU445" i="7"/>
  <c r="AQ445" i="7"/>
  <c r="AV445" i="7"/>
  <c r="AR445" i="7"/>
  <c r="AX445" i="7"/>
  <c r="AT445" i="7"/>
  <c r="AY445" i="7"/>
  <c r="AO455" i="7"/>
  <c r="AS455" i="7"/>
  <c r="AW455" i="7"/>
  <c r="AQ455" i="7"/>
  <c r="AV455" i="7"/>
  <c r="AP455" i="7"/>
  <c r="AX455" i="7"/>
  <c r="AR455" i="7"/>
  <c r="AY455" i="7"/>
  <c r="AT455" i="7"/>
  <c r="AU455" i="7"/>
  <c r="BL485" i="7"/>
  <c r="BP485" i="7"/>
  <c r="BI485" i="7"/>
  <c r="BN485" i="7"/>
  <c r="BK485" i="7"/>
  <c r="BO485" i="7"/>
  <c r="AO441" i="7"/>
  <c r="AS441" i="7"/>
  <c r="AW441" i="7"/>
  <c r="AR441" i="7"/>
  <c r="AX441" i="7"/>
  <c r="AT441" i="7"/>
  <c r="AY441" i="7"/>
  <c r="AV441" i="7"/>
  <c r="AQ441" i="7"/>
  <c r="AP441" i="7"/>
  <c r="AU441" i="7"/>
  <c r="BG374" i="7"/>
  <c r="BH447" i="7"/>
  <c r="BL447" i="7"/>
  <c r="BQ447" i="7"/>
  <c r="BG447" i="7"/>
  <c r="BI447" i="7"/>
  <c r="BO447" i="7"/>
  <c r="AP29" i="7"/>
  <c r="AY29" i="7"/>
  <c r="AO433" i="7"/>
  <c r="AS433" i="7"/>
  <c r="AW433" i="7"/>
  <c r="AT433" i="7"/>
  <c r="AY433" i="7"/>
  <c r="AU433" i="7"/>
  <c r="AP433" i="7"/>
  <c r="AV433" i="7"/>
  <c r="AR433" i="7"/>
  <c r="AQ433" i="7"/>
  <c r="AX433" i="7"/>
  <c r="CF410" i="7"/>
  <c r="BI407" i="7"/>
  <c r="BM407" i="7"/>
  <c r="BQ407" i="7"/>
  <c r="BH407" i="7"/>
  <c r="BN407" i="7"/>
  <c r="BL407" i="7"/>
  <c r="BG407" i="7"/>
  <c r="BO407" i="7"/>
  <c r="BJ407" i="7"/>
  <c r="BP407" i="7"/>
  <c r="BK407" i="7"/>
  <c r="BT449" i="7"/>
  <c r="BV449" i="7"/>
  <c r="BS449" i="7"/>
  <c r="BW449" i="7"/>
  <c r="BU449" i="7"/>
  <c r="AQ464" i="7"/>
  <c r="AU464" i="7"/>
  <c r="AY464" i="7"/>
  <c r="AR464" i="7"/>
  <c r="AW464" i="7"/>
  <c r="AT464" i="7"/>
  <c r="AO464" i="7"/>
  <c r="AV464" i="7"/>
  <c r="AP464" i="7"/>
  <c r="AX464" i="7"/>
  <c r="AS464" i="7"/>
  <c r="BS492" i="7"/>
  <c r="BW492" i="7"/>
  <c r="BT492" i="7"/>
  <c r="BV492" i="7"/>
  <c r="BU492" i="7"/>
  <c r="BS376" i="7"/>
  <c r="BW376" i="7"/>
  <c r="AQ430" i="7"/>
  <c r="AU430" i="7"/>
  <c r="AY430" i="7"/>
  <c r="AR430" i="7"/>
  <c r="AW430" i="7"/>
  <c r="AO430" i="7"/>
  <c r="AV430" i="7"/>
  <c r="AP430" i="7"/>
  <c r="AX430" i="7"/>
  <c r="AS430" i="7"/>
  <c r="AT430" i="7"/>
  <c r="AO439" i="7"/>
  <c r="AS439" i="7"/>
  <c r="AW439" i="7"/>
  <c r="AQ439" i="7"/>
  <c r="AV439" i="7"/>
  <c r="AR439" i="7"/>
  <c r="AX439" i="7"/>
  <c r="AY439" i="7"/>
  <c r="AT439" i="7"/>
  <c r="AP439" i="7"/>
  <c r="AU439" i="7"/>
  <c r="BT457" i="7"/>
  <c r="BV457" i="7"/>
  <c r="BS457" i="7"/>
  <c r="BW457" i="7"/>
  <c r="BU457" i="7"/>
  <c r="BS232" i="7"/>
  <c r="BW232" i="7"/>
  <c r="BT495" i="7"/>
  <c r="BV495" i="7"/>
  <c r="BS495" i="7"/>
  <c r="BW495" i="7"/>
  <c r="BU495" i="7"/>
  <c r="BM368" i="7"/>
  <c r="BT479" i="7"/>
  <c r="BV479" i="7"/>
  <c r="BS479" i="7"/>
  <c r="BW479" i="7"/>
  <c r="BU479" i="7"/>
  <c r="BG422" i="7"/>
  <c r="BK422" i="7"/>
  <c r="BO422" i="7"/>
  <c r="BI422" i="7"/>
  <c r="BN422" i="7"/>
  <c r="BM422" i="7"/>
  <c r="BH422" i="7"/>
  <c r="BQ422" i="7"/>
  <c r="BJ422" i="7"/>
  <c r="BP422" i="7"/>
  <c r="BL422" i="7"/>
  <c r="BJ494" i="7"/>
  <c r="BN494" i="7"/>
  <c r="BH494" i="7"/>
  <c r="BM494" i="7"/>
  <c r="BI494" i="7"/>
  <c r="BO494" i="7"/>
  <c r="BL494" i="7"/>
  <c r="BK494" i="7"/>
  <c r="BP494" i="7"/>
  <c r="BG494" i="7"/>
  <c r="BQ494" i="7"/>
  <c r="BS92" i="7"/>
  <c r="BW92" i="7"/>
  <c r="BT431" i="7"/>
  <c r="BV431" i="7"/>
  <c r="BS431" i="7"/>
  <c r="BW431" i="7"/>
  <c r="BU431" i="7"/>
  <c r="BU454" i="7"/>
  <c r="BS454" i="7"/>
  <c r="BW454" i="7"/>
  <c r="BT454" i="7"/>
  <c r="BV454" i="7"/>
  <c r="BT473" i="7"/>
  <c r="BV473" i="7"/>
  <c r="BU473" i="7"/>
  <c r="BS473" i="7"/>
  <c r="BW473" i="7"/>
  <c r="BJ496" i="7"/>
  <c r="BN496" i="7"/>
  <c r="BI496" i="7"/>
  <c r="BO496" i="7"/>
  <c r="BK496" i="7"/>
  <c r="BP496" i="7"/>
  <c r="BH496" i="7"/>
  <c r="BG496" i="7"/>
  <c r="BQ496" i="7"/>
  <c r="BL496" i="7"/>
  <c r="BM496" i="7"/>
  <c r="BT453" i="7"/>
  <c r="BV453" i="7"/>
  <c r="BU453" i="7"/>
  <c r="BS453" i="7"/>
  <c r="BW453" i="7"/>
  <c r="AQ498" i="7"/>
  <c r="AU498" i="7"/>
  <c r="AY498" i="7"/>
  <c r="AP498" i="7"/>
  <c r="AV498" i="7"/>
  <c r="AR498" i="7"/>
  <c r="AW498" i="7"/>
  <c r="AO498" i="7"/>
  <c r="AX498" i="7"/>
  <c r="AS498" i="7"/>
  <c r="AT498" i="7"/>
  <c r="BG416" i="7"/>
  <c r="BK416" i="7"/>
  <c r="BO416" i="7"/>
  <c r="BI416" i="7"/>
  <c r="BN416" i="7"/>
  <c r="BM416" i="7"/>
  <c r="BH416" i="7"/>
  <c r="BQ416" i="7"/>
  <c r="BJ416" i="7"/>
  <c r="BL416" i="7"/>
  <c r="BP416" i="7"/>
  <c r="BT469" i="7"/>
  <c r="BV469" i="7"/>
  <c r="BS469" i="7"/>
  <c r="BW469" i="7"/>
  <c r="BU469" i="7"/>
  <c r="BG402" i="7"/>
  <c r="BK402" i="7"/>
  <c r="BO402" i="7"/>
  <c r="BI402" i="7"/>
  <c r="BN402" i="7"/>
  <c r="BL402" i="7"/>
  <c r="BH402" i="7"/>
  <c r="BQ402" i="7"/>
  <c r="BJ402" i="7"/>
  <c r="BM402" i="7"/>
  <c r="BP402" i="7"/>
  <c r="AO453" i="7"/>
  <c r="AS453" i="7"/>
  <c r="AW453" i="7"/>
  <c r="AP453" i="7"/>
  <c r="AU453" i="7"/>
  <c r="AQ453" i="7"/>
  <c r="AV453" i="7"/>
  <c r="AR453" i="7"/>
  <c r="AX453" i="7"/>
  <c r="AT453" i="7"/>
  <c r="AY453" i="7"/>
  <c r="BT485" i="7"/>
  <c r="BV485" i="7"/>
  <c r="BS485" i="7"/>
  <c r="BW485" i="7"/>
  <c r="BU485" i="7"/>
  <c r="AQ490" i="7"/>
  <c r="AU490" i="7"/>
  <c r="AY490" i="7"/>
  <c r="AP490" i="7"/>
  <c r="AV490" i="7"/>
  <c r="AR490" i="7"/>
  <c r="AW490" i="7"/>
  <c r="AT490" i="7"/>
  <c r="AS490" i="7"/>
  <c r="AX490" i="7"/>
  <c r="AO490" i="7"/>
  <c r="BS256" i="7"/>
  <c r="BW256" i="7"/>
  <c r="BT497" i="7"/>
  <c r="BV497" i="7"/>
  <c r="BU497" i="7"/>
  <c r="BS497" i="7"/>
  <c r="BW497" i="7"/>
  <c r="BU474" i="7"/>
  <c r="BS474" i="7"/>
  <c r="BW474" i="7"/>
  <c r="BT474" i="7"/>
  <c r="BV474" i="7"/>
  <c r="BT487" i="7"/>
  <c r="BV487" i="7"/>
  <c r="BS487" i="7"/>
  <c r="BW487" i="7"/>
  <c r="BU487" i="7"/>
  <c r="BY452" i="7"/>
  <c r="CC452" i="7"/>
  <c r="CI452" i="7"/>
  <c r="BZ452" i="7"/>
  <c r="CF452" i="7"/>
  <c r="CB452" i="7"/>
  <c r="BT465" i="7"/>
  <c r="BV465" i="7"/>
  <c r="BS465" i="7"/>
  <c r="BW465" i="7"/>
  <c r="BU465" i="7"/>
  <c r="BX403" i="7"/>
  <c r="BY403" i="7" a="1"/>
  <c r="BT463" i="7"/>
  <c r="BV463" i="7"/>
  <c r="BS463" i="7"/>
  <c r="BW463" i="7"/>
  <c r="BU463" i="7"/>
  <c r="BF475" i="7"/>
  <c r="BG475" i="7" a="1"/>
  <c r="BG408" i="7"/>
  <c r="BK408" i="7"/>
  <c r="BO408" i="7"/>
  <c r="BI408" i="7"/>
  <c r="BN408" i="7"/>
  <c r="BM408" i="7"/>
  <c r="BH408" i="7"/>
  <c r="BP408" i="7"/>
  <c r="BJ408" i="7"/>
  <c r="BL408" i="7"/>
  <c r="BQ408" i="7"/>
  <c r="BF443" i="7"/>
  <c r="BG443" i="7" a="1"/>
  <c r="BF501" i="7"/>
  <c r="BG501" i="7" a="1"/>
  <c r="BT435" i="7"/>
  <c r="BV435" i="7"/>
  <c r="BS435" i="7"/>
  <c r="BW435" i="7"/>
  <c r="BU435" i="7"/>
  <c r="BS354" i="7"/>
  <c r="BW354" i="7"/>
  <c r="BG418" i="7"/>
  <c r="BK418" i="7"/>
  <c r="BO418" i="7"/>
  <c r="BI418" i="7"/>
  <c r="BN418" i="7"/>
  <c r="BM418" i="7"/>
  <c r="BH418" i="7"/>
  <c r="BQ418" i="7"/>
  <c r="BJ418" i="7"/>
  <c r="BP418" i="7"/>
  <c r="BL418" i="7"/>
  <c r="BI419" i="7"/>
  <c r="BM419" i="7"/>
  <c r="BQ419" i="7"/>
  <c r="BH419" i="7"/>
  <c r="BN419" i="7"/>
  <c r="BL419" i="7"/>
  <c r="BG419" i="7"/>
  <c r="BP419" i="7"/>
  <c r="BJ419" i="7"/>
  <c r="BK419" i="7"/>
  <c r="BO419" i="7"/>
  <c r="BJ462" i="7"/>
  <c r="BN462" i="7"/>
  <c r="BK462" i="7"/>
  <c r="BP462" i="7"/>
  <c r="BI462" i="7"/>
  <c r="BQ462" i="7"/>
  <c r="BM462" i="7"/>
  <c r="BL462" i="7"/>
  <c r="BG462" i="7"/>
  <c r="BH462" i="7"/>
  <c r="BO462" i="7"/>
  <c r="BX417" i="7"/>
  <c r="BY417" i="7" a="1"/>
  <c r="BT489" i="7"/>
  <c r="BV489" i="7"/>
  <c r="BU489" i="7"/>
  <c r="BS489" i="7"/>
  <c r="BW489" i="7"/>
  <c r="BG410" i="7"/>
  <c r="BK410" i="7"/>
  <c r="BO410" i="7"/>
  <c r="BI410" i="7"/>
  <c r="BN410" i="7"/>
  <c r="BM410" i="7"/>
  <c r="BH410" i="7"/>
  <c r="BP410" i="7"/>
  <c r="BJ410" i="7"/>
  <c r="BL410" i="7"/>
  <c r="BQ410" i="7"/>
  <c r="BF451" i="7"/>
  <c r="BG451" i="7" a="1"/>
  <c r="BX423" i="7"/>
  <c r="BY423" i="7" a="1"/>
  <c r="AO431" i="7"/>
  <c r="AS431" i="7"/>
  <c r="AW431" i="7"/>
  <c r="AR431" i="7"/>
  <c r="AX431" i="7"/>
  <c r="AQ431" i="7"/>
  <c r="AY431" i="7"/>
  <c r="AT431" i="7"/>
  <c r="AU431" i="7"/>
  <c r="AP431" i="7"/>
  <c r="AV431" i="7"/>
  <c r="BF482" i="7"/>
  <c r="BG482" i="7" a="1"/>
  <c r="BF491" i="7"/>
  <c r="BG491" i="7" a="1"/>
  <c r="AQ438" i="7"/>
  <c r="AU438" i="7"/>
  <c r="AY438" i="7"/>
  <c r="AP438" i="7"/>
  <c r="AV438" i="7"/>
  <c r="AR438" i="7"/>
  <c r="AW438" i="7"/>
  <c r="AS438" i="7"/>
  <c r="AX438" i="7"/>
  <c r="AT438" i="7"/>
  <c r="AO438" i="7"/>
  <c r="BF456" i="7"/>
  <c r="BG456" i="7" a="1"/>
  <c r="AO493" i="7"/>
  <c r="AS493" i="7"/>
  <c r="AW493" i="7"/>
  <c r="AR493" i="7"/>
  <c r="AX493" i="7"/>
  <c r="AT493" i="7"/>
  <c r="AY493" i="7"/>
  <c r="AP493" i="7"/>
  <c r="AV493" i="7"/>
  <c r="AQ493" i="7"/>
  <c r="AU493" i="7"/>
  <c r="BX426" i="7"/>
  <c r="BY426" i="7" a="1"/>
  <c r="BI409" i="7"/>
  <c r="BM409" i="7"/>
  <c r="BQ409" i="7"/>
  <c r="BH409" i="7"/>
  <c r="BN409" i="7"/>
  <c r="BL409" i="7"/>
  <c r="BG409" i="7"/>
  <c r="BO409" i="7"/>
  <c r="BJ409" i="7"/>
  <c r="BK409" i="7"/>
  <c r="BP409" i="7"/>
  <c r="BF481" i="7"/>
  <c r="BG481" i="7" a="1"/>
  <c r="AO213" i="7"/>
  <c r="AS213" i="7"/>
  <c r="AW213" i="7"/>
  <c r="AR213" i="7"/>
  <c r="AX213" i="7"/>
  <c r="AT213" i="7"/>
  <c r="AU213" i="7"/>
  <c r="AQ213" i="7"/>
  <c r="AV213" i="7"/>
  <c r="AY213" i="7"/>
  <c r="AP213" i="7"/>
  <c r="AO451" i="7"/>
  <c r="AS451" i="7"/>
  <c r="AW451" i="7"/>
  <c r="AT451" i="7"/>
  <c r="AY451" i="7"/>
  <c r="AP451" i="7"/>
  <c r="AU451" i="7"/>
  <c r="AV451" i="7"/>
  <c r="AQ451" i="7"/>
  <c r="AX451" i="7"/>
  <c r="AR451" i="7"/>
  <c r="BT455" i="7"/>
  <c r="BV455" i="7"/>
  <c r="BS455" i="7"/>
  <c r="BW455" i="7"/>
  <c r="BU455" i="7"/>
  <c r="BF484" i="7"/>
  <c r="BG484" i="7" a="1"/>
  <c r="BT437" i="7"/>
  <c r="BV437" i="7"/>
  <c r="BU437" i="7"/>
  <c r="BS437" i="7"/>
  <c r="BW437" i="7"/>
  <c r="BX442" i="7"/>
  <c r="BY442" i="7" a="1"/>
  <c r="BX434" i="7"/>
  <c r="BY434" i="7" a="1"/>
  <c r="BF499" i="7"/>
  <c r="BG499" i="7" a="1"/>
  <c r="BS500" i="7"/>
  <c r="BW500" i="7"/>
  <c r="BU500" i="7"/>
  <c r="BT500" i="7"/>
  <c r="BV500" i="7"/>
  <c r="BK428" i="7"/>
  <c r="BM428" i="7"/>
  <c r="BL428" i="7"/>
  <c r="BJ468" i="7"/>
  <c r="BN468" i="7"/>
  <c r="BI468" i="7"/>
  <c r="BO468" i="7"/>
  <c r="BG468" i="7"/>
  <c r="BM468" i="7"/>
  <c r="BH468" i="7"/>
  <c r="BP468" i="7"/>
  <c r="BK468" i="7"/>
  <c r="BQ468" i="7"/>
  <c r="BL468" i="7"/>
  <c r="BF476" i="7"/>
  <c r="BG476" i="7" a="1"/>
  <c r="BJ458" i="7"/>
  <c r="BN458" i="7"/>
  <c r="BH458" i="7"/>
  <c r="BM458" i="7"/>
  <c r="BK458" i="7"/>
  <c r="BQ458" i="7"/>
  <c r="BL458" i="7"/>
  <c r="BG458" i="7"/>
  <c r="BO458" i="7"/>
  <c r="BI458" i="7"/>
  <c r="BP458" i="7"/>
  <c r="BX486" i="7"/>
  <c r="BY486" i="7" a="1"/>
  <c r="BS432" i="7"/>
  <c r="BW432" i="7"/>
  <c r="BU432" i="7"/>
  <c r="BT432" i="7"/>
  <c r="BV432" i="7"/>
  <c r="BU490" i="7"/>
  <c r="BS490" i="7"/>
  <c r="BW490" i="7"/>
  <c r="BT490" i="7"/>
  <c r="BV490" i="7"/>
  <c r="BU498" i="7"/>
  <c r="BT498" i="7"/>
  <c r="BV498" i="7"/>
  <c r="BS498" i="7"/>
  <c r="BW498" i="7"/>
  <c r="BT477" i="7"/>
  <c r="BV477" i="7"/>
  <c r="BS477" i="7"/>
  <c r="BW477" i="7"/>
  <c r="BU477" i="7"/>
  <c r="BF471" i="7"/>
  <c r="BG471" i="7" a="1"/>
  <c r="AO469" i="7"/>
  <c r="AS469" i="7"/>
  <c r="AW469" i="7"/>
  <c r="AR469" i="7"/>
  <c r="AX469" i="7"/>
  <c r="AT469" i="7"/>
  <c r="AY469" i="7"/>
  <c r="AP469" i="7"/>
  <c r="AU469" i="7"/>
  <c r="AQ469" i="7"/>
  <c r="AV469" i="7"/>
  <c r="AQ466" i="7"/>
  <c r="AU466" i="7"/>
  <c r="AY466" i="7"/>
  <c r="AS466" i="7"/>
  <c r="AX466" i="7"/>
  <c r="AR466" i="7"/>
  <c r="AT466" i="7"/>
  <c r="AO466" i="7"/>
  <c r="AV466" i="7"/>
  <c r="AP466" i="7"/>
  <c r="AW466" i="7"/>
  <c r="BF467" i="7"/>
  <c r="BG467" i="7" a="1"/>
  <c r="BT445" i="7"/>
  <c r="BV445" i="7"/>
  <c r="BU445" i="7"/>
  <c r="BS445" i="7"/>
  <c r="BW445" i="7"/>
  <c r="BX462" i="7"/>
  <c r="BY462" i="7" a="1"/>
  <c r="BS395" i="7"/>
  <c r="BW395" i="7"/>
  <c r="BX404" i="7"/>
  <c r="BY404" i="7" a="1"/>
  <c r="BX418" i="7"/>
  <c r="BY418" i="7" a="1"/>
  <c r="BI405" i="7"/>
  <c r="BM405" i="7"/>
  <c r="BQ405" i="7"/>
  <c r="BH405" i="7"/>
  <c r="BN405" i="7"/>
  <c r="BL405" i="7"/>
  <c r="BG405" i="7"/>
  <c r="BO405" i="7"/>
  <c r="BJ405" i="7"/>
  <c r="BK405" i="7"/>
  <c r="BP405" i="7"/>
  <c r="BU464" i="7"/>
  <c r="BS464" i="7"/>
  <c r="BW464" i="7"/>
  <c r="BT464" i="7"/>
  <c r="BV464" i="7"/>
  <c r="BT475" i="7"/>
  <c r="BV475" i="7"/>
  <c r="BS475" i="7"/>
  <c r="BW475" i="7"/>
  <c r="BU475" i="7"/>
  <c r="AO483" i="7"/>
  <c r="AS483" i="7"/>
  <c r="AW483" i="7"/>
  <c r="AQ483" i="7"/>
  <c r="AV483" i="7"/>
  <c r="AR483" i="7"/>
  <c r="AX483" i="7"/>
  <c r="AY483" i="7"/>
  <c r="AU483" i="7"/>
  <c r="AP483" i="7"/>
  <c r="AT483" i="7"/>
  <c r="BU446" i="7"/>
  <c r="BS446" i="7"/>
  <c r="BW446" i="7"/>
  <c r="BT446" i="7"/>
  <c r="BV446" i="7"/>
  <c r="BS430" i="7"/>
  <c r="BW430" i="7"/>
  <c r="BT430" i="7"/>
  <c r="BV430" i="7"/>
  <c r="BU430" i="7"/>
  <c r="BU438" i="7"/>
  <c r="BS438" i="7"/>
  <c r="BW438" i="7"/>
  <c r="BT438" i="7"/>
  <c r="BV438" i="7"/>
  <c r="BT501" i="7"/>
  <c r="BV501" i="7"/>
  <c r="BS501" i="7"/>
  <c r="BW501" i="7"/>
  <c r="BU501" i="7"/>
  <c r="BG441" i="7"/>
  <c r="BS371" i="7"/>
  <c r="BW371" i="7"/>
  <c r="BX422" i="7"/>
  <c r="BY422" i="7" a="1"/>
  <c r="BJ488" i="7"/>
  <c r="BN488" i="7"/>
  <c r="BI488" i="7"/>
  <c r="BO488" i="7"/>
  <c r="BK488" i="7"/>
  <c r="BP488" i="7"/>
  <c r="BM488" i="7"/>
  <c r="BL488" i="7"/>
  <c r="BG488" i="7"/>
  <c r="BQ488" i="7"/>
  <c r="BH488" i="7"/>
  <c r="BT491" i="7"/>
  <c r="BV491" i="7"/>
  <c r="BU491" i="7"/>
  <c r="BS491" i="7"/>
  <c r="BW491" i="7"/>
  <c r="BL457" i="7"/>
  <c r="BI457" i="7"/>
  <c r="AR235" i="7"/>
  <c r="AV235" i="7"/>
  <c r="AP235" i="7"/>
  <c r="AU235" i="7"/>
  <c r="AT235" i="7"/>
  <c r="AS235" i="7"/>
  <c r="AX235" i="7"/>
  <c r="AO235" i="7"/>
  <c r="AY235" i="7"/>
  <c r="AQ235" i="7"/>
  <c r="AW235" i="7"/>
  <c r="BI495" i="7"/>
  <c r="BQ495" i="7"/>
  <c r="BS383" i="7"/>
  <c r="BW383" i="7"/>
  <c r="AO449" i="7"/>
  <c r="AS449" i="7"/>
  <c r="AW449" i="7"/>
  <c r="AR449" i="7"/>
  <c r="AX449" i="7"/>
  <c r="AT449" i="7"/>
  <c r="AY449" i="7"/>
  <c r="AQ449" i="7"/>
  <c r="AV449" i="7"/>
  <c r="AU449" i="7"/>
  <c r="AP449" i="7"/>
  <c r="BS440" i="7"/>
  <c r="BW440" i="7"/>
  <c r="BT440" i="7"/>
  <c r="BV440" i="7"/>
  <c r="BU440" i="7"/>
  <c r="BM340" i="7"/>
  <c r="BT433" i="7"/>
  <c r="BV433" i="7"/>
  <c r="BS433" i="7"/>
  <c r="BW433" i="7"/>
  <c r="BU433" i="7"/>
  <c r="BT499" i="7"/>
  <c r="BV499" i="7"/>
  <c r="BS499" i="7"/>
  <c r="BW499" i="7"/>
  <c r="BU499" i="7"/>
  <c r="BF500" i="7"/>
  <c r="BG500" i="7" a="1"/>
  <c r="BH473" i="7"/>
  <c r="AO457" i="7"/>
  <c r="AS457" i="7"/>
  <c r="AW457" i="7"/>
  <c r="AR457" i="7"/>
  <c r="AX457" i="7"/>
  <c r="AU457" i="7"/>
  <c r="AQ457" i="7"/>
  <c r="AY457" i="7"/>
  <c r="AP457" i="7"/>
  <c r="AV457" i="7"/>
  <c r="AT457" i="7"/>
  <c r="BT493" i="7"/>
  <c r="BV493" i="7"/>
  <c r="BS493" i="7"/>
  <c r="BW493" i="7"/>
  <c r="BU493" i="7"/>
  <c r="AO459" i="7"/>
  <c r="AS459" i="7"/>
  <c r="AW459" i="7"/>
  <c r="AT459" i="7"/>
  <c r="AY459" i="7"/>
  <c r="AQ459" i="7"/>
  <c r="AX459" i="7"/>
  <c r="AU459" i="7"/>
  <c r="AR459" i="7"/>
  <c r="AV459" i="7"/>
  <c r="AP459" i="7"/>
  <c r="AO485" i="7"/>
  <c r="AS485" i="7"/>
  <c r="AW485" i="7"/>
  <c r="AR485" i="7"/>
  <c r="AX485" i="7"/>
  <c r="AT485" i="7"/>
  <c r="AY485" i="7"/>
  <c r="AV485" i="7"/>
  <c r="AP485" i="7"/>
  <c r="AQ485" i="7"/>
  <c r="AU485" i="7"/>
  <c r="BJ470" i="7"/>
  <c r="BN470" i="7"/>
  <c r="BH470" i="7"/>
  <c r="BM470" i="7"/>
  <c r="BI470" i="7"/>
  <c r="BO470" i="7"/>
  <c r="BK470" i="7"/>
  <c r="BP470" i="7"/>
  <c r="BL470" i="7"/>
  <c r="BG470" i="7"/>
  <c r="BQ470" i="7"/>
  <c r="BS466" i="7"/>
  <c r="BW466" i="7"/>
  <c r="BT466" i="7"/>
  <c r="BV466" i="7"/>
  <c r="BU466" i="7"/>
  <c r="BX488" i="7"/>
  <c r="BY488" i="7" a="1"/>
  <c r="AS232" i="7"/>
  <c r="BI425" i="7"/>
  <c r="BM425" i="7"/>
  <c r="BQ425" i="7"/>
  <c r="BH425" i="7"/>
  <c r="BN425" i="7"/>
  <c r="BL425" i="7"/>
  <c r="BG425" i="7"/>
  <c r="BP425" i="7"/>
  <c r="BJ425" i="7"/>
  <c r="BK425" i="7"/>
  <c r="BO425" i="7"/>
  <c r="BS236" i="7"/>
  <c r="BW236" i="7"/>
  <c r="BF439" i="7"/>
  <c r="BG439" i="7" a="1"/>
  <c r="AQ482" i="7"/>
  <c r="AU482" i="7"/>
  <c r="AY482" i="7"/>
  <c r="AP482" i="7"/>
  <c r="AV482" i="7"/>
  <c r="AR482" i="7"/>
  <c r="AW482" i="7"/>
  <c r="AS482" i="7"/>
  <c r="AT482" i="7"/>
  <c r="AX482" i="7"/>
  <c r="AO482" i="7"/>
  <c r="BX494" i="7"/>
  <c r="BY494" i="7" a="1"/>
  <c r="BT471" i="7"/>
  <c r="BV471" i="7"/>
  <c r="BS471" i="7"/>
  <c r="BW471" i="7"/>
  <c r="BU471" i="7"/>
  <c r="BT459" i="7"/>
  <c r="BV459" i="7"/>
  <c r="BS459" i="7"/>
  <c r="BW459" i="7"/>
  <c r="BU459" i="7"/>
  <c r="BT467" i="7"/>
  <c r="BV467" i="7"/>
  <c r="BS467" i="7"/>
  <c r="BW467" i="7"/>
  <c r="BU467" i="7"/>
  <c r="CB407" i="7"/>
  <c r="CH407" i="7"/>
  <c r="BZ407" i="7"/>
  <c r="CI407" i="7"/>
  <c r="CE407" i="7"/>
  <c r="BT441" i="7"/>
  <c r="BV441" i="7"/>
  <c r="BS441" i="7"/>
  <c r="BW441" i="7"/>
  <c r="BU441" i="7"/>
  <c r="BS380" i="7"/>
  <c r="BW380" i="7"/>
  <c r="BT447" i="7"/>
  <c r="BV447" i="7"/>
  <c r="BS447" i="7"/>
  <c r="BW447" i="7"/>
  <c r="BU447" i="7"/>
  <c r="BS213" i="7"/>
  <c r="BW213" i="7"/>
  <c r="BX415" i="7"/>
  <c r="BY415" i="7" a="1"/>
  <c r="BF464" i="7"/>
  <c r="BG464" i="7" a="1"/>
  <c r="BS27" i="7"/>
  <c r="BW27" i="7"/>
  <c r="BI397" i="7"/>
  <c r="BM397" i="7"/>
  <c r="BQ397" i="7"/>
  <c r="BH397" i="7"/>
  <c r="BN397" i="7"/>
  <c r="BK397" i="7"/>
  <c r="BG397" i="7"/>
  <c r="BP397" i="7"/>
  <c r="BJ397" i="7"/>
  <c r="BO397" i="7"/>
  <c r="BL397" i="7"/>
  <c r="BF463" i="7"/>
  <c r="BG463" i="7" a="1"/>
  <c r="BS372" i="7"/>
  <c r="BW372" i="7"/>
  <c r="BT443" i="7"/>
  <c r="BV443" i="7"/>
  <c r="BS443" i="7"/>
  <c r="BW443" i="7"/>
  <c r="BU443" i="7"/>
  <c r="BS448" i="7"/>
  <c r="BW448" i="7"/>
  <c r="BT448" i="7"/>
  <c r="BV448" i="7"/>
  <c r="BU448" i="7"/>
  <c r="BF445" i="7"/>
  <c r="BG445" i="7" a="1"/>
  <c r="BF497" i="7"/>
  <c r="BG497" i="7" a="1"/>
  <c r="BS235" i="7"/>
  <c r="BW235" i="7"/>
  <c r="BF487" i="7"/>
  <c r="BG487" i="7" a="1"/>
  <c r="BX427" i="7"/>
  <c r="BY427" i="7" a="1"/>
  <c r="BM399" i="7"/>
  <c r="BK399" i="7"/>
  <c r="BO399" i="7"/>
  <c r="BF489" i="7"/>
  <c r="BG489" i="7" a="1"/>
  <c r="BF376" i="7"/>
  <c r="AS395" i="7"/>
  <c r="AP395" i="7"/>
  <c r="BT451" i="7"/>
  <c r="BV451" i="7"/>
  <c r="BS451" i="7"/>
  <c r="BW451" i="7"/>
  <c r="BU451" i="7"/>
  <c r="BI415" i="7"/>
  <c r="BM415" i="7"/>
  <c r="BQ415" i="7"/>
  <c r="BH415" i="7"/>
  <c r="BN415" i="7"/>
  <c r="BL415" i="7"/>
  <c r="BG415" i="7"/>
  <c r="BP415" i="7"/>
  <c r="BJ415" i="7"/>
  <c r="BK415" i="7"/>
  <c r="BO415" i="7"/>
  <c r="AQ474" i="7"/>
  <c r="AU474" i="7"/>
  <c r="AY474" i="7"/>
  <c r="AP474" i="7"/>
  <c r="AV474" i="7"/>
  <c r="AR474" i="7"/>
  <c r="AW474" i="7"/>
  <c r="AS474" i="7"/>
  <c r="AX474" i="7"/>
  <c r="AT474" i="7"/>
  <c r="AO474" i="7"/>
  <c r="BU482" i="7"/>
  <c r="BS482" i="7"/>
  <c r="BW482" i="7"/>
  <c r="BT482" i="7"/>
  <c r="BV482" i="7"/>
  <c r="AO501" i="7"/>
  <c r="AS501" i="7"/>
  <c r="AW501" i="7"/>
  <c r="AR501" i="7"/>
  <c r="AX501" i="7"/>
  <c r="AT501" i="7"/>
  <c r="AY501" i="7"/>
  <c r="AU501" i="7"/>
  <c r="AQ501" i="7"/>
  <c r="AV501" i="7"/>
  <c r="AP501" i="7"/>
  <c r="BT456" i="7"/>
  <c r="BV456" i="7"/>
  <c r="BU456" i="7"/>
  <c r="BS456" i="7"/>
  <c r="BW456" i="7"/>
  <c r="BF479" i="7"/>
  <c r="BG479" i="7" a="1"/>
  <c r="BT481" i="7"/>
  <c r="BV481" i="7"/>
  <c r="BU481" i="7"/>
  <c r="BS481" i="7"/>
  <c r="BW481" i="7"/>
  <c r="BT483" i="7"/>
  <c r="BV483" i="7"/>
  <c r="BS483" i="7"/>
  <c r="BW483" i="7"/>
  <c r="BU483" i="7"/>
  <c r="AO489" i="7"/>
  <c r="AS489" i="7"/>
  <c r="AW489" i="7"/>
  <c r="AP489" i="7"/>
  <c r="AU489" i="7"/>
  <c r="AQ489" i="7"/>
  <c r="AV489" i="7"/>
  <c r="AY489" i="7"/>
  <c r="AX489" i="7"/>
  <c r="AR489" i="7"/>
  <c r="AT489" i="7"/>
  <c r="BS484" i="7"/>
  <c r="BW484" i="7"/>
  <c r="BU484" i="7"/>
  <c r="BT484" i="7"/>
  <c r="BV484" i="7"/>
  <c r="BF437" i="7"/>
  <c r="BG437" i="7" a="1"/>
  <c r="BF433" i="7"/>
  <c r="BG433" i="7" a="1"/>
  <c r="BX424" i="7"/>
  <c r="BY424" i="7" a="1"/>
  <c r="BX227" i="7"/>
  <c r="BY227" i="7" a="1"/>
  <c r="BG392" i="7"/>
  <c r="BK392" i="7"/>
  <c r="BO392" i="7"/>
  <c r="BI392" i="7"/>
  <c r="BN392" i="7"/>
  <c r="BL392" i="7"/>
  <c r="BH392" i="7"/>
  <c r="BQ392" i="7"/>
  <c r="BJ392" i="7"/>
  <c r="BM392" i="7"/>
  <c r="BP392" i="7"/>
  <c r="BF431" i="7"/>
  <c r="BG431" i="7" a="1"/>
  <c r="AO491" i="7"/>
  <c r="AS491" i="7"/>
  <c r="AW491" i="7"/>
  <c r="AQ491" i="7"/>
  <c r="AV491" i="7"/>
  <c r="AR491" i="7"/>
  <c r="AX491" i="7"/>
  <c r="AP491" i="7"/>
  <c r="AY491" i="7"/>
  <c r="AT491" i="7"/>
  <c r="AU491" i="7"/>
  <c r="BS29" i="7"/>
  <c r="BW29" i="7"/>
  <c r="BS193" i="7"/>
  <c r="BW193" i="7"/>
  <c r="AO467" i="7"/>
  <c r="AS467" i="7"/>
  <c r="AW467" i="7"/>
  <c r="AT467" i="7"/>
  <c r="AY467" i="7"/>
  <c r="AR467" i="7"/>
  <c r="AU467" i="7"/>
  <c r="AP467" i="7"/>
  <c r="AV467" i="7"/>
  <c r="AQ467" i="7"/>
  <c r="AX467" i="7"/>
  <c r="BF453" i="7"/>
  <c r="BG453" i="7" a="1"/>
  <c r="BJ450" i="7"/>
  <c r="BN450" i="7"/>
  <c r="BH450" i="7"/>
  <c r="BM450" i="7"/>
  <c r="BI450" i="7"/>
  <c r="BO450" i="7"/>
  <c r="BP450" i="7"/>
  <c r="BK450" i="7"/>
  <c r="BG450" i="7"/>
  <c r="BQ450" i="7"/>
  <c r="BL450" i="7"/>
  <c r="BS476" i="7"/>
  <c r="BW476" i="7"/>
  <c r="BT476" i="7"/>
  <c r="BV476" i="7"/>
  <c r="BU476" i="7"/>
  <c r="BX468" i="7"/>
  <c r="BY468" i="7" a="1"/>
  <c r="BF490" i="7"/>
  <c r="BG490" i="7" a="1"/>
  <c r="BF498" i="7"/>
  <c r="BG498" i="7" a="1"/>
  <c r="BT461" i="7"/>
  <c r="BV461" i="7"/>
  <c r="BU461" i="7"/>
  <c r="BS461" i="7"/>
  <c r="BW461" i="7"/>
  <c r="BF469" i="7"/>
  <c r="BG469" i="7" a="1"/>
  <c r="BF477" i="7"/>
  <c r="BG477" i="7" a="1"/>
  <c r="BT439" i="7"/>
  <c r="BV439" i="7"/>
  <c r="BS439" i="7"/>
  <c r="BW439" i="7"/>
  <c r="BU439" i="7"/>
  <c r="BX428" i="7"/>
  <c r="BY428" i="7" a="1"/>
  <c r="AQ432" i="7"/>
  <c r="AU432" i="7"/>
  <c r="AY432" i="7"/>
  <c r="AS432" i="7"/>
  <c r="AX432" i="7"/>
  <c r="AT432" i="7"/>
  <c r="AO432" i="7"/>
  <c r="AV432" i="7"/>
  <c r="AW432" i="7"/>
  <c r="AP432" i="7"/>
  <c r="AR432" i="7"/>
  <c r="BJ472" i="7"/>
  <c r="BN472" i="7"/>
  <c r="BI472" i="7"/>
  <c r="BO472" i="7"/>
  <c r="BK472" i="7"/>
  <c r="BP472" i="7"/>
  <c r="BL472" i="7"/>
  <c r="BG472" i="7"/>
  <c r="BQ472" i="7"/>
  <c r="BM472" i="7"/>
  <c r="BH472" i="7"/>
  <c r="BF459" i="7"/>
  <c r="BG459" i="7" a="1"/>
  <c r="BX450" i="7"/>
  <c r="BY450" i="7" a="1"/>
  <c r="BX458" i="7"/>
  <c r="BY458" i="7" a="1"/>
  <c r="J3" i="10"/>
  <c r="L2" i="10"/>
  <c r="L1" i="10"/>
  <c r="L28" i="10"/>
  <c r="K1" i="10"/>
  <c r="K8" i="10"/>
  <c r="J199" i="10"/>
  <c r="J8" i="10"/>
  <c r="J9" i="10"/>
  <c r="J12" i="10"/>
  <c r="J32" i="10"/>
  <c r="J33" i="10"/>
  <c r="L9" i="10"/>
  <c r="J5" i="10"/>
  <c r="J6" i="10"/>
  <c r="J14" i="10"/>
  <c r="J18" i="10"/>
  <c r="K18" i="10"/>
  <c r="J22" i="10"/>
  <c r="J26" i="10"/>
  <c r="J29" i="10"/>
  <c r="J10" i="10"/>
  <c r="J13" i="10"/>
  <c r="J16" i="10"/>
  <c r="J17" i="10"/>
  <c r="J20" i="10"/>
  <c r="J21" i="10"/>
  <c r="J24" i="10"/>
  <c r="J25" i="10"/>
  <c r="J28" i="10"/>
  <c r="J30" i="10"/>
  <c r="L3" i="10"/>
  <c r="L19" i="10"/>
  <c r="L23" i="10"/>
  <c r="J34" i="10"/>
  <c r="J38" i="10"/>
  <c r="L41" i="10"/>
  <c r="J41" i="10"/>
  <c r="J45" i="10"/>
  <c r="L46" i="10"/>
  <c r="J46" i="10"/>
  <c r="J50" i="10"/>
  <c r="J51" i="10"/>
  <c r="J56" i="10"/>
  <c r="J62" i="10"/>
  <c r="J63" i="10"/>
  <c r="L63" i="10"/>
  <c r="J4" i="10"/>
  <c r="L30" i="10"/>
  <c r="L34" i="10"/>
  <c r="J36" i="10"/>
  <c r="L49" i="10"/>
  <c r="J49" i="10"/>
  <c r="J52" i="10"/>
  <c r="J64" i="10"/>
  <c r="L70" i="10"/>
  <c r="J70" i="10"/>
  <c r="J71" i="10"/>
  <c r="J7" i="10"/>
  <c r="J11" i="10"/>
  <c r="J15" i="10"/>
  <c r="J19" i="10"/>
  <c r="J23" i="10"/>
  <c r="J27" i="10"/>
  <c r="J31" i="10"/>
  <c r="J35" i="10"/>
  <c r="J39" i="10"/>
  <c r="L39" i="10"/>
  <c r="J43" i="10"/>
  <c r="K43" i="10"/>
  <c r="L58" i="10"/>
  <c r="J58" i="10"/>
  <c r="J59" i="10"/>
  <c r="L59" i="10"/>
  <c r="L66" i="10"/>
  <c r="J66" i="10"/>
  <c r="J67" i="10"/>
  <c r="L67" i="10"/>
  <c r="L36" i="10"/>
  <c r="J37" i="10"/>
  <c r="L42" i="10"/>
  <c r="J42" i="10"/>
  <c r="J47" i="10"/>
  <c r="L54" i="10"/>
  <c r="J54" i="10"/>
  <c r="J55" i="10"/>
  <c r="J60" i="10"/>
  <c r="J68" i="10"/>
  <c r="L73" i="10"/>
  <c r="J73" i="10"/>
  <c r="L74" i="10"/>
  <c r="J74" i="10"/>
  <c r="L40" i="10"/>
  <c r="L48" i="10"/>
  <c r="L52" i="10"/>
  <c r="L56" i="10"/>
  <c r="L64" i="10"/>
  <c r="L68" i="10"/>
  <c r="L72" i="10"/>
  <c r="J79" i="10"/>
  <c r="L79" i="10"/>
  <c r="K84" i="10"/>
  <c r="J84" i="10"/>
  <c r="L86" i="10"/>
  <c r="K86" i="10"/>
  <c r="J86" i="10"/>
  <c r="J89" i="10"/>
  <c r="J92" i="10"/>
  <c r="L97" i="10"/>
  <c r="K97" i="10"/>
  <c r="J97" i="10"/>
  <c r="J99" i="10"/>
  <c r="L99" i="10"/>
  <c r="K99" i="10"/>
  <c r="L101" i="10"/>
  <c r="J101" i="10"/>
  <c r="J104" i="10"/>
  <c r="L104" i="10"/>
  <c r="L106" i="10"/>
  <c r="J106" i="10"/>
  <c r="L110" i="10"/>
  <c r="J110" i="10"/>
  <c r="J53" i="10"/>
  <c r="J57" i="10"/>
  <c r="J61" i="10"/>
  <c r="J65" i="10"/>
  <c r="J69" i="10"/>
  <c r="J76" i="10"/>
  <c r="L76" i="10"/>
  <c r="L81" i="10"/>
  <c r="J81" i="10"/>
  <c r="J88" i="10"/>
  <c r="L88" i="10"/>
  <c r="J91" i="10"/>
  <c r="L91" i="10"/>
  <c r="J94" i="10"/>
  <c r="J96" i="10"/>
  <c r="L96" i="10"/>
  <c r="J103" i="10"/>
  <c r="L103" i="10"/>
  <c r="J108" i="10"/>
  <c r="L108" i="10"/>
  <c r="J40" i="10"/>
  <c r="J44" i="10"/>
  <c r="J48" i="10"/>
  <c r="J72" i="10"/>
  <c r="J75" i="10"/>
  <c r="L75" i="10"/>
  <c r="L78" i="10"/>
  <c r="J78" i="10"/>
  <c r="J83" i="10"/>
  <c r="L83" i="10"/>
  <c r="L85" i="10"/>
  <c r="J85" i="10"/>
  <c r="J87" i="10"/>
  <c r="L87" i="10"/>
  <c r="L90" i="10"/>
  <c r="J90" i="10"/>
  <c r="J93" i="10"/>
  <c r="L98" i="10"/>
  <c r="J98" i="10"/>
  <c r="J100" i="10"/>
  <c r="L100" i="10"/>
  <c r="L105" i="10"/>
  <c r="J105" i="10"/>
  <c r="J107" i="10"/>
  <c r="L107" i="10"/>
  <c r="J112" i="10"/>
  <c r="L112" i="10"/>
  <c r="J117" i="10"/>
  <c r="L117" i="10"/>
  <c r="L53" i="10"/>
  <c r="L57" i="10"/>
  <c r="L65" i="10"/>
  <c r="L69" i="10"/>
  <c r="K72" i="10"/>
  <c r="J77" i="10"/>
  <c r="K80" i="10"/>
  <c r="J80" i="10"/>
  <c r="L82" i="10"/>
  <c r="K82" i="10"/>
  <c r="J82" i="10"/>
  <c r="J95" i="10"/>
  <c r="L95" i="10"/>
  <c r="K95" i="10"/>
  <c r="L102" i="10"/>
  <c r="J102" i="10"/>
  <c r="J111" i="10"/>
  <c r="L111" i="10"/>
  <c r="L113" i="10"/>
  <c r="J124" i="10"/>
  <c r="L129" i="10"/>
  <c r="J129" i="10"/>
  <c r="J133" i="10"/>
  <c r="L137" i="10"/>
  <c r="K137" i="10"/>
  <c r="J137" i="10"/>
  <c r="L141" i="10"/>
  <c r="J141" i="10"/>
  <c r="J142" i="10"/>
  <c r="L145" i="10"/>
  <c r="J145" i="10"/>
  <c r="J149" i="10"/>
  <c r="L150" i="10"/>
  <c r="J150" i="10"/>
  <c r="J109" i="10"/>
  <c r="J113" i="10"/>
  <c r="J114" i="10"/>
  <c r="J116" i="10"/>
  <c r="J118" i="10"/>
  <c r="J119" i="10"/>
  <c r="L119" i="10"/>
  <c r="J120" i="10"/>
  <c r="L126" i="10"/>
  <c r="J126" i="10"/>
  <c r="J127" i="10"/>
  <c r="L127" i="10"/>
  <c r="J131" i="10"/>
  <c r="L131" i="10"/>
  <c r="J135" i="10"/>
  <c r="L135" i="10"/>
  <c r="J139" i="10"/>
  <c r="L139" i="10"/>
  <c r="J147" i="10"/>
  <c r="L147" i="10"/>
  <c r="L109" i="10"/>
  <c r="L115" i="10"/>
  <c r="J115" i="10"/>
  <c r="L122" i="10"/>
  <c r="J122" i="10"/>
  <c r="J123" i="10"/>
  <c r="L130" i="10"/>
  <c r="J130" i="10"/>
  <c r="L134" i="10"/>
  <c r="J134" i="10"/>
  <c r="L138" i="10"/>
  <c r="J138" i="10"/>
  <c r="J143" i="10"/>
  <c r="L146" i="10"/>
  <c r="J146" i="10"/>
  <c r="L120" i="10"/>
  <c r="L128" i="10"/>
  <c r="L132" i="10"/>
  <c r="L136" i="10"/>
  <c r="L144" i="10"/>
  <c r="L148" i="10"/>
  <c r="J153" i="10"/>
  <c r="J155" i="10"/>
  <c r="L157" i="10"/>
  <c r="J157" i="10"/>
  <c r="L160" i="10"/>
  <c r="J160" i="10"/>
  <c r="L161" i="10"/>
  <c r="J161" i="10"/>
  <c r="L164" i="10"/>
  <c r="J164" i="10"/>
  <c r="L165" i="10"/>
  <c r="J165" i="10"/>
  <c r="L168" i="10"/>
  <c r="J168" i="10"/>
  <c r="L169" i="10"/>
  <c r="J169" i="10"/>
  <c r="J172" i="10"/>
  <c r="J121" i="10"/>
  <c r="J125" i="10"/>
  <c r="L153" i="10"/>
  <c r="K155" i="10"/>
  <c r="L156" i="10"/>
  <c r="J156" i="10"/>
  <c r="J128" i="10"/>
  <c r="J132" i="10"/>
  <c r="J136" i="10"/>
  <c r="J140" i="10"/>
  <c r="J144" i="10"/>
  <c r="J148" i="10"/>
  <c r="L154" i="10"/>
  <c r="J154" i="10"/>
  <c r="J174" i="10"/>
  <c r="L174" i="10"/>
  <c r="L121" i="10"/>
  <c r="J151" i="10"/>
  <c r="J152" i="10"/>
  <c r="L152" i="10"/>
  <c r="J158" i="10"/>
  <c r="L158" i="10"/>
  <c r="J162" i="10"/>
  <c r="J166" i="10"/>
  <c r="L166" i="10"/>
  <c r="J170" i="10"/>
  <c r="L173" i="10"/>
  <c r="J173" i="10"/>
  <c r="L176" i="10"/>
  <c r="J176" i="10"/>
  <c r="L159" i="10"/>
  <c r="L163" i="10"/>
  <c r="L167" i="10"/>
  <c r="L175" i="10"/>
  <c r="L177" i="10"/>
  <c r="L179" i="10"/>
  <c r="J184" i="10"/>
  <c r="L184" i="10"/>
  <c r="L187" i="10"/>
  <c r="J187" i="10"/>
  <c r="J190" i="10"/>
  <c r="J177" i="10"/>
  <c r="J180" i="10"/>
  <c r="L183" i="10"/>
  <c r="J183" i="10"/>
  <c r="L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J178" i="10"/>
  <c r="J179" i="10"/>
  <c r="J188" i="10"/>
  <c r="L188" i="10"/>
  <c r="J191" i="10"/>
  <c r="L194" i="10"/>
  <c r="J194" i="10"/>
  <c r="J195" i="10"/>
  <c r="L198" i="10"/>
  <c r="J198" i="10"/>
  <c r="L185" i="10"/>
  <c r="L189" i="10"/>
  <c r="L193" i="10"/>
  <c r="J203" i="10"/>
  <c r="L203" i="10"/>
  <c r="J206" i="10"/>
  <c r="L209" i="10"/>
  <c r="J209" i="10"/>
  <c r="L212" i="10"/>
  <c r="J212" i="10"/>
  <c r="L213" i="10"/>
  <c r="J213" i="10"/>
  <c r="J201" i="10"/>
  <c r="L204" i="10"/>
  <c r="J204" i="10"/>
  <c r="J205" i="10"/>
  <c r="L208" i="10"/>
  <c r="J208" i="10"/>
  <c r="J181" i="10"/>
  <c r="J185" i="10"/>
  <c r="J189" i="10"/>
  <c r="J193" i="10"/>
  <c r="J197" i="10"/>
  <c r="L199" i="10"/>
  <c r="L202" i="10"/>
  <c r="J202" i="10"/>
  <c r="J210" i="10"/>
  <c r="L210" i="10"/>
  <c r="J214" i="10"/>
  <c r="L207" i="10"/>
  <c r="L211" i="10"/>
  <c r="L216" i="10"/>
  <c r="J216" i="10"/>
  <c r="J218" i="10"/>
  <c r="L218" i="10"/>
  <c r="L221" i="10"/>
  <c r="J224" i="10"/>
  <c r="L224" i="10"/>
  <c r="L217" i="10"/>
  <c r="J219" i="10"/>
  <c r="J221" i="10"/>
  <c r="L223" i="10"/>
  <c r="J223" i="10"/>
  <c r="J228" i="10"/>
  <c r="J207" i="10"/>
  <c r="J211" i="10"/>
  <c r="J217" i="10"/>
  <c r="L226" i="10"/>
  <c r="J226" i="10"/>
  <c r="L227" i="10"/>
  <c r="J227" i="10"/>
  <c r="J232" i="10"/>
  <c r="L232" i="10"/>
  <c r="J215" i="10"/>
  <c r="L220" i="10"/>
  <c r="J220" i="10"/>
  <c r="J222" i="10"/>
  <c r="J230" i="10"/>
  <c r="L231" i="10"/>
  <c r="J231" i="10"/>
  <c r="L229" i="10"/>
  <c r="J235" i="10"/>
  <c r="L235" i="10"/>
  <c r="J243" i="10"/>
  <c r="L243" i="10"/>
  <c r="J242" i="10"/>
  <c r="L242" i="10"/>
  <c r="J225" i="10"/>
  <c r="J229" i="10"/>
  <c r="L233" i="10"/>
  <c r="J234" i="10"/>
  <c r="L237" i="10"/>
  <c r="J237" i="10"/>
  <c r="L240" i="10"/>
  <c r="J240" i="10"/>
  <c r="L241" i="10"/>
  <c r="J241" i="10"/>
  <c r="J233" i="10"/>
  <c r="J236" i="10"/>
  <c r="J239" i="10"/>
  <c r="L239" i="10"/>
  <c r="J249" i="10"/>
  <c r="L238" i="10"/>
  <c r="J253" i="10"/>
  <c r="L253" i="10"/>
  <c r="J245" i="10"/>
  <c r="L245" i="10"/>
  <c r="L251" i="10"/>
  <c r="J251" i="10"/>
  <c r="J252" i="10"/>
  <c r="L252" i="10"/>
  <c r="J238" i="10"/>
  <c r="J244" i="10"/>
  <c r="L247" i="10"/>
  <c r="J247" i="10"/>
  <c r="J248" i="10"/>
  <c r="L249" i="10"/>
  <c r="J246" i="10"/>
  <c r="J250" i="10"/>
  <c r="L250" i="10"/>
  <c r="BG295" i="7" a="1"/>
  <c r="BG241" i="7" a="1"/>
  <c r="BG365" i="7" a="1"/>
  <c r="BG43" i="7" a="1"/>
  <c r="BG231" i="7" a="1"/>
  <c r="BG296" i="7" a="1"/>
  <c r="BG209" i="7" a="1"/>
  <c r="BG260" i="7" a="1"/>
  <c r="BG199" i="7" a="1"/>
  <c r="BG384" i="7" a="1"/>
  <c r="BG227" i="7" a="1"/>
  <c r="BG375" i="7" a="1"/>
  <c r="BG205" i="7" a="1"/>
  <c r="BG385" i="7" a="1"/>
  <c r="BG309" i="7" a="1"/>
  <c r="BG208" i="7" a="1"/>
  <c r="BG376" i="7" a="1"/>
  <c r="BG371" i="7" a="1"/>
  <c r="BG29" i="7" a="1"/>
  <c r="BO295" i="7"/>
  <c r="BK295" i="7"/>
  <c r="BM295" i="7"/>
  <c r="BG295" i="7"/>
  <c r="BP295" i="7"/>
  <c r="BJ295" i="7"/>
  <c r="BI295" i="7"/>
  <c r="BH295" i="7"/>
  <c r="BQ295" i="7"/>
  <c r="BL295" i="7"/>
  <c r="BN295" i="7"/>
  <c r="BP399" i="7"/>
  <c r="BH399" i="7"/>
  <c r="BQ428" i="7"/>
  <c r="BI428" i="7"/>
  <c r="BY413" i="7"/>
  <c r="CJ413" i="7"/>
  <c r="BI369" i="7"/>
  <c r="BO374" i="7"/>
  <c r="AW376" i="7"/>
  <c r="BN417" i="7"/>
  <c r="BO417" i="7"/>
  <c r="BH427" i="7"/>
  <c r="BQ427" i="7"/>
  <c r="BX502" i="7"/>
  <c r="BY502" i="7" a="1"/>
  <c r="BY502" i="7"/>
  <c r="BJ399" i="7"/>
  <c r="BN399" i="7"/>
  <c r="BI399" i="7"/>
  <c r="BJ428" i="7"/>
  <c r="BN428" i="7"/>
  <c r="BG428" i="7"/>
  <c r="BH417" i="7"/>
  <c r="BI417" i="7"/>
  <c r="BK427" i="7"/>
  <c r="BP427" i="7"/>
  <c r="BG427" i="7"/>
  <c r="BL399" i="7"/>
  <c r="BG399" i="7"/>
  <c r="BP428" i="7"/>
  <c r="BH428" i="7"/>
  <c r="CH413" i="7"/>
  <c r="BI374" i="7"/>
  <c r="BM432" i="7"/>
  <c r="BG460" i="7"/>
  <c r="CK460" i="7"/>
  <c r="AO376" i="7"/>
  <c r="BG417" i="7"/>
  <c r="BN427" i="7"/>
  <c r="BM427" i="7"/>
  <c r="BO427" i="7"/>
  <c r="BG241" i="7"/>
  <c r="BP241" i="7"/>
  <c r="BL241" i="7"/>
  <c r="BN241" i="7"/>
  <c r="BK241" i="7"/>
  <c r="BI241" i="7"/>
  <c r="BM241" i="7"/>
  <c r="BJ241" i="7"/>
  <c r="BO241" i="7"/>
  <c r="BQ241" i="7"/>
  <c r="BH241" i="7"/>
  <c r="BX205" i="7"/>
  <c r="BY205" i="7" a="1"/>
  <c r="CF205" i="7"/>
  <c r="BM369" i="7"/>
  <c r="BK374" i="7"/>
  <c r="BJ374" i="7"/>
  <c r="BX43" i="7"/>
  <c r="BY43" i="7" a="1"/>
  <c r="CF43" i="7"/>
  <c r="BN460" i="7"/>
  <c r="AT376" i="7"/>
  <c r="BJ460" i="7"/>
  <c r="BL438" i="7"/>
  <c r="BL340" i="7"/>
  <c r="AO29" i="7"/>
  <c r="BO369" i="7"/>
  <c r="BL374" i="7"/>
  <c r="BP374" i="7"/>
  <c r="BQ374" i="7"/>
  <c r="BX405" i="7"/>
  <c r="BY405" i="7" a="1"/>
  <c r="BX364" i="7"/>
  <c r="BY364" i="7" a="1"/>
  <c r="BZ364" i="7"/>
  <c r="BQ460" i="7"/>
  <c r="AP236" i="7"/>
  <c r="AQ236" i="7"/>
  <c r="AQ376" i="7"/>
  <c r="AR371" i="7"/>
  <c r="BP460" i="7"/>
  <c r="BN340" i="7"/>
  <c r="BQ435" i="7"/>
  <c r="BQ369" i="7"/>
  <c r="CI414" i="7"/>
  <c r="BN374" i="7"/>
  <c r="BH374" i="7"/>
  <c r="BK460" i="7"/>
  <c r="BM460" i="7"/>
  <c r="BI403" i="7"/>
  <c r="BO460" i="7"/>
  <c r="AO380" i="7"/>
  <c r="AU376" i="7"/>
  <c r="AO27" i="7"/>
  <c r="BF229" i="7"/>
  <c r="BJ369" i="7"/>
  <c r="AO193" i="7"/>
  <c r="BJ340" i="7"/>
  <c r="BI340" i="7"/>
  <c r="BK340" i="7"/>
  <c r="BG43" i="7"/>
  <c r="BP43" i="7"/>
  <c r="BH43" i="7"/>
  <c r="BO43" i="7"/>
  <c r="BM43" i="7"/>
  <c r="BN43" i="7"/>
  <c r="BJ43" i="7"/>
  <c r="BQ43" i="7"/>
  <c r="BK43" i="7"/>
  <c r="BL43" i="7"/>
  <c r="BI43" i="7"/>
  <c r="BJ365" i="7"/>
  <c r="BG365" i="7"/>
  <c r="BO365" i="7"/>
  <c r="BL365" i="7"/>
  <c r="BN365" i="7"/>
  <c r="BI365" i="7"/>
  <c r="BK365" i="7"/>
  <c r="BP365" i="7"/>
  <c r="BH365" i="7"/>
  <c r="BM365" i="7"/>
  <c r="BQ365" i="7"/>
  <c r="BK495" i="7"/>
  <c r="BO495" i="7"/>
  <c r="BP495" i="7"/>
  <c r="BN438" i="7"/>
  <c r="AX232" i="7"/>
  <c r="AV232" i="7"/>
  <c r="BP340" i="7"/>
  <c r="BH340" i="7"/>
  <c r="BG495" i="7"/>
  <c r="BJ495" i="7"/>
  <c r="BL495" i="7"/>
  <c r="BK449" i="7"/>
  <c r="CF420" i="7"/>
  <c r="BG368" i="7"/>
  <c r="AY372" i="7"/>
  <c r="BK435" i="7"/>
  <c r="AV29" i="7"/>
  <c r="CB406" i="7"/>
  <c r="AY354" i="7"/>
  <c r="AX256" i="7"/>
  <c r="AQ354" i="7"/>
  <c r="AY92" i="7"/>
  <c r="AV354" i="7"/>
  <c r="AT236" i="7"/>
  <c r="BN403" i="7"/>
  <c r="AO92" i="7"/>
  <c r="AV371" i="7"/>
  <c r="AQ371" i="7"/>
  <c r="AT232" i="7"/>
  <c r="BZ410" i="7"/>
  <c r="AY371" i="7"/>
  <c r="AQ232" i="7"/>
  <c r="AR232" i="7"/>
  <c r="BO340" i="7"/>
  <c r="BG340" i="7"/>
  <c r="BM495" i="7"/>
  <c r="BN495" i="7"/>
  <c r="BQ457" i="7"/>
  <c r="BG449" i="7"/>
  <c r="CK452" i="7"/>
  <c r="BK368" i="7"/>
  <c r="AV372" i="7"/>
  <c r="BH435" i="7"/>
  <c r="AU29" i="7"/>
  <c r="BY414" i="7"/>
  <c r="CK414" i="7"/>
  <c r="CH406" i="7"/>
  <c r="BG432" i="7"/>
  <c r="AS354" i="7"/>
  <c r="AU92" i="7"/>
  <c r="AW256" i="7"/>
  <c r="AX354" i="7"/>
  <c r="BM403" i="7"/>
  <c r="AS236" i="7"/>
  <c r="AV27" i="7"/>
  <c r="BX375" i="7"/>
  <c r="BY375" i="7" a="1"/>
  <c r="CH375" i="7"/>
  <c r="BF92" i="7"/>
  <c r="BF236" i="7"/>
  <c r="BG236" i="7" a="1"/>
  <c r="BO236" i="7"/>
  <c r="AY376" i="7"/>
  <c r="BG442" i="7"/>
  <c r="BJ231" i="7"/>
  <c r="BK231" i="7"/>
  <c r="BG231" i="7"/>
  <c r="BP231" i="7"/>
  <c r="BN231" i="7"/>
  <c r="BQ231" i="7"/>
  <c r="BL231" i="7"/>
  <c r="BI231" i="7"/>
  <c r="BH231" i="7"/>
  <c r="BM231" i="7"/>
  <c r="BO231" i="7"/>
  <c r="AU383" i="7"/>
  <c r="AO383" i="7"/>
  <c r="AS383" i="7"/>
  <c r="CA399" i="7"/>
  <c r="BF383" i="7"/>
  <c r="CD407" i="7"/>
  <c r="CA407" i="7"/>
  <c r="CC407" i="7"/>
  <c r="BP449" i="7"/>
  <c r="BF380" i="7"/>
  <c r="CA452" i="7"/>
  <c r="CD452" i="7"/>
  <c r="CD413" i="7"/>
  <c r="CC413" i="7"/>
  <c r="CH399" i="7"/>
  <c r="BN368" i="7"/>
  <c r="BJ368" i="7"/>
  <c r="BZ397" i="7"/>
  <c r="BN435" i="7"/>
  <c r="AT29" i="7"/>
  <c r="AX29" i="7"/>
  <c r="AW29" i="7"/>
  <c r="BH369" i="7"/>
  <c r="BL369" i="7"/>
  <c r="BK369" i="7"/>
  <c r="BZ414" i="7"/>
  <c r="BN447" i="7"/>
  <c r="BK447" i="7"/>
  <c r="BJ485" i="7"/>
  <c r="BM485" i="7"/>
  <c r="BH485" i="7"/>
  <c r="BK432" i="7"/>
  <c r="BJ432" i="7"/>
  <c r="AW354" i="7"/>
  <c r="AO354" i="7"/>
  <c r="AS256" i="7"/>
  <c r="AP256" i="7"/>
  <c r="AW193" i="7"/>
  <c r="BP403" i="7"/>
  <c r="BK403" i="7"/>
  <c r="AU193" i="7"/>
  <c r="AX236" i="7"/>
  <c r="AR236" i="7"/>
  <c r="BJ403" i="7"/>
  <c r="AQ193" i="7"/>
  <c r="AR383" i="7"/>
  <c r="AV383" i="7"/>
  <c r="AV376" i="7"/>
  <c r="AS27" i="7"/>
  <c r="AQ27" i="7"/>
  <c r="AW371" i="7"/>
  <c r="AU371" i="7"/>
  <c r="AS376" i="7"/>
  <c r="BK442" i="7"/>
  <c r="BL442" i="7"/>
  <c r="BP368" i="7"/>
  <c r="BO368" i="7"/>
  <c r="BI368" i="7"/>
  <c r="BG461" i="7"/>
  <c r="BX295" i="7"/>
  <c r="BY295" i="7" a="1"/>
  <c r="BY295" i="7"/>
  <c r="AP193" i="7"/>
  <c r="AX193" i="7"/>
  <c r="AR193" i="7"/>
  <c r="AT383" i="7"/>
  <c r="AQ383" i="7"/>
  <c r="AX383" i="7"/>
  <c r="AY27" i="7"/>
  <c r="AT27" i="7"/>
  <c r="AS371" i="7"/>
  <c r="AX371" i="7"/>
  <c r="AU27" i="7"/>
  <c r="BF372" i="7"/>
  <c r="BN442" i="7"/>
  <c r="AS340" i="7"/>
  <c r="AO340" i="7"/>
  <c r="AP340" i="7"/>
  <c r="AY340" i="7"/>
  <c r="AR340" i="7"/>
  <c r="AT340" i="7"/>
  <c r="AQ340" i="7"/>
  <c r="AU340" i="7"/>
  <c r="AV340" i="7"/>
  <c r="AW340" i="7"/>
  <c r="AX340" i="7"/>
  <c r="BF232" i="7"/>
  <c r="BY407" i="7"/>
  <c r="CK407" i="7"/>
  <c r="CG407" i="7"/>
  <c r="BO449" i="7"/>
  <c r="BH430" i="7"/>
  <c r="CH452" i="7"/>
  <c r="CE452" i="7"/>
  <c r="CI421" i="7"/>
  <c r="CI413" i="7"/>
  <c r="CH425" i="7"/>
  <c r="CB399" i="7"/>
  <c r="BH368" i="7"/>
  <c r="BL368" i="7"/>
  <c r="AW372" i="7"/>
  <c r="BI435" i="7"/>
  <c r="AR29" i="7"/>
  <c r="AQ29" i="7"/>
  <c r="BN369" i="7"/>
  <c r="BP369" i="7"/>
  <c r="BJ447" i="7"/>
  <c r="BM447" i="7"/>
  <c r="BQ485" i="7"/>
  <c r="CH429" i="7"/>
  <c r="CE406" i="7"/>
  <c r="BP432" i="7"/>
  <c r="AU256" i="7"/>
  <c r="AP354" i="7"/>
  <c r="AR354" i="7"/>
  <c r="AT256" i="7"/>
  <c r="AR256" i="7"/>
  <c r="AQ256" i="7"/>
  <c r="BJ75" i="7"/>
  <c r="BQ75" i="7"/>
  <c r="AY236" i="7"/>
  <c r="BL403" i="7"/>
  <c r="AY193" i="7"/>
  <c r="AU236" i="7"/>
  <c r="AV236" i="7"/>
  <c r="AW383" i="7"/>
  <c r="AP383" i="7"/>
  <c r="AP376" i="7"/>
  <c r="AX376" i="7"/>
  <c r="AW27" i="7"/>
  <c r="AP27" i="7"/>
  <c r="AT371" i="7"/>
  <c r="AP371" i="7"/>
  <c r="AX27" i="7"/>
  <c r="BF235" i="7"/>
  <c r="BX368" i="7"/>
  <c r="BY368" i="7" a="1"/>
  <c r="CF368" i="7"/>
  <c r="BH442" i="7"/>
  <c r="BI296" i="7"/>
  <c r="BP296" i="7"/>
  <c r="BL296" i="7"/>
  <c r="BQ296" i="7"/>
  <c r="BJ296" i="7"/>
  <c r="BK296" i="7"/>
  <c r="BN296" i="7"/>
  <c r="BH296" i="7"/>
  <c r="BG296" i="7"/>
  <c r="BO296" i="7"/>
  <c r="BM296" i="7"/>
  <c r="AQ372" i="7"/>
  <c r="AS372" i="7"/>
  <c r="AR372" i="7"/>
  <c r="AX372" i="7"/>
  <c r="AU372" i="7"/>
  <c r="AT372" i="7"/>
  <c r="AO372" i="7"/>
  <c r="BL75" i="7"/>
  <c r="BH75" i="7"/>
  <c r="BO75" i="7"/>
  <c r="BM75" i="7"/>
  <c r="BG75" i="7"/>
  <c r="BK75" i="7"/>
  <c r="BP75" i="7"/>
  <c r="BX75" i="7"/>
  <c r="BY75" i="7" a="1"/>
  <c r="CC75" i="7"/>
  <c r="BI75" i="7"/>
  <c r="BT372" i="7"/>
  <c r="BV372" i="7"/>
  <c r="BY402" i="7"/>
  <c r="CK402" i="7"/>
  <c r="CE480" i="7"/>
  <c r="BO403" i="7"/>
  <c r="BI442" i="7"/>
  <c r="BZ402" i="7"/>
  <c r="BP442" i="7"/>
  <c r="BQ442" i="7"/>
  <c r="BU380" i="7"/>
  <c r="CB402" i="7"/>
  <c r="BX241" i="7"/>
  <c r="BY241" i="7" a="1"/>
  <c r="CH241" i="7"/>
  <c r="BX209" i="7"/>
  <c r="BY209" i="7" a="1"/>
  <c r="CB209" i="7"/>
  <c r="BO442" i="7"/>
  <c r="BJ442" i="7"/>
  <c r="BX370" i="7"/>
  <c r="BY370" i="7" a="1"/>
  <c r="CC370" i="7"/>
  <c r="BX384" i="7"/>
  <c r="BY384" i="7" a="1"/>
  <c r="BY384" i="7"/>
  <c r="BX473" i="7"/>
  <c r="BY473" i="7" a="1"/>
  <c r="CE473" i="7"/>
  <c r="BY405" i="7"/>
  <c r="CJ405" i="7"/>
  <c r="BF395" i="7"/>
  <c r="BG395" i="7" a="1"/>
  <c r="BM395" i="7"/>
  <c r="BX369" i="7"/>
  <c r="BY369" i="7" a="1"/>
  <c r="CI369" i="7"/>
  <c r="BX374" i="7"/>
  <c r="BY374" i="7" a="1"/>
  <c r="CB374" i="7"/>
  <c r="BO309" i="7"/>
  <c r="BH309" i="7"/>
  <c r="BQ309" i="7"/>
  <c r="BK309" i="7"/>
  <c r="BJ309" i="7"/>
  <c r="BP309" i="7"/>
  <c r="BL309" i="7"/>
  <c r="BM309" i="7"/>
  <c r="BG309" i="7"/>
  <c r="BN309" i="7"/>
  <c r="BI309" i="7"/>
  <c r="BK385" i="7"/>
  <c r="BO385" i="7"/>
  <c r="BI385" i="7"/>
  <c r="BG385" i="7"/>
  <c r="BH385" i="7"/>
  <c r="BJ385" i="7"/>
  <c r="BQ385" i="7"/>
  <c r="BN385" i="7"/>
  <c r="BL385" i="7"/>
  <c r="BP385" i="7"/>
  <c r="BM385" i="7"/>
  <c r="BH205" i="7"/>
  <c r="BP205" i="7"/>
  <c r="BM205" i="7"/>
  <c r="BK205" i="7"/>
  <c r="BO205" i="7"/>
  <c r="BI205" i="7"/>
  <c r="BN205" i="7"/>
  <c r="BJ205" i="7"/>
  <c r="BQ205" i="7"/>
  <c r="BG205" i="7"/>
  <c r="BL205" i="7"/>
  <c r="BK375" i="7"/>
  <c r="BJ375" i="7"/>
  <c r="BH375" i="7"/>
  <c r="BI375" i="7"/>
  <c r="BM375" i="7"/>
  <c r="BG375" i="7"/>
  <c r="BN375" i="7"/>
  <c r="BL375" i="7"/>
  <c r="BO375" i="7"/>
  <c r="BQ375" i="7"/>
  <c r="BP375" i="7"/>
  <c r="BO227" i="7"/>
  <c r="BH227" i="7"/>
  <c r="BP227" i="7"/>
  <c r="BG227" i="7"/>
  <c r="BN227" i="7"/>
  <c r="BJ227" i="7"/>
  <c r="BK227" i="7"/>
  <c r="BL227" i="7"/>
  <c r="BM227" i="7"/>
  <c r="BI227" i="7"/>
  <c r="BQ227" i="7"/>
  <c r="BG384" i="7"/>
  <c r="BO384" i="7"/>
  <c r="BH384" i="7"/>
  <c r="BP384" i="7"/>
  <c r="BM384" i="7"/>
  <c r="BI384" i="7"/>
  <c r="BN384" i="7"/>
  <c r="BJ384" i="7"/>
  <c r="BL384" i="7"/>
  <c r="BQ384" i="7"/>
  <c r="BK384" i="7"/>
  <c r="BN199" i="7"/>
  <c r="BP199" i="7"/>
  <c r="BQ199" i="7"/>
  <c r="BJ199" i="7"/>
  <c r="BH199" i="7"/>
  <c r="BK199" i="7"/>
  <c r="BI199" i="7"/>
  <c r="BL199" i="7"/>
  <c r="BG199" i="7"/>
  <c r="BO199" i="7"/>
  <c r="BM199" i="7"/>
  <c r="BQ260" i="7"/>
  <c r="BG260" i="7"/>
  <c r="BX260" i="7"/>
  <c r="BY260" i="7" a="1"/>
  <c r="BY260" i="7"/>
  <c r="CJ260" i="7"/>
  <c r="BK260" i="7"/>
  <c r="BI260" i="7"/>
  <c r="BO260" i="7"/>
  <c r="BH260" i="7"/>
  <c r="BJ260" i="7"/>
  <c r="BP260" i="7"/>
  <c r="BM260" i="7"/>
  <c r="BL260" i="7"/>
  <c r="BN260" i="7"/>
  <c r="BI209" i="7"/>
  <c r="BQ209" i="7"/>
  <c r="BP209" i="7"/>
  <c r="BK209" i="7"/>
  <c r="BO209" i="7"/>
  <c r="BL209" i="7"/>
  <c r="BG209" i="7"/>
  <c r="BM209" i="7"/>
  <c r="BH209" i="7"/>
  <c r="BJ209" i="7"/>
  <c r="BN209" i="7"/>
  <c r="BF213" i="7"/>
  <c r="AS92" i="7"/>
  <c r="BF256" i="7"/>
  <c r="AQ229" i="7"/>
  <c r="BT309" i="7"/>
  <c r="AT395" i="7"/>
  <c r="AO395" i="7"/>
  <c r="AU395" i="7"/>
  <c r="AO232" i="7"/>
  <c r="AU232" i="7"/>
  <c r="BN449" i="7"/>
  <c r="BL449" i="7"/>
  <c r="BL474" i="7"/>
  <c r="BF27" i="7"/>
  <c r="CG420" i="7"/>
  <c r="CI425" i="7"/>
  <c r="CI410" i="7"/>
  <c r="CG406" i="7"/>
  <c r="BJ466" i="7"/>
  <c r="BX231" i="7"/>
  <c r="BY231" i="7" a="1"/>
  <c r="CG231" i="7"/>
  <c r="AW92" i="7"/>
  <c r="AT388" i="7"/>
  <c r="AV246" i="7"/>
  <c r="AU246" i="7"/>
  <c r="AY246" i="7"/>
  <c r="AP246" i="7"/>
  <c r="AW246" i="7"/>
  <c r="AO246" i="7"/>
  <c r="CK246" i="7"/>
  <c r="AR246" i="7"/>
  <c r="AX246" i="7"/>
  <c r="AT246" i="7"/>
  <c r="AS246" i="7"/>
  <c r="AQ246" i="7"/>
  <c r="AW395" i="7"/>
  <c r="AV395" i="7"/>
  <c r="AY395" i="7"/>
  <c r="CE425" i="7"/>
  <c r="CC425" i="7"/>
  <c r="CA410" i="7"/>
  <c r="AX92" i="7"/>
  <c r="AQ92" i="7"/>
  <c r="AV388" i="7"/>
  <c r="AR395" i="7"/>
  <c r="AX395" i="7"/>
  <c r="BO438" i="7"/>
  <c r="AY232" i="7"/>
  <c r="AW232" i="7"/>
  <c r="BL492" i="7"/>
  <c r="BJ449" i="7"/>
  <c r="BI449" i="7"/>
  <c r="CH420" i="7"/>
  <c r="BY425" i="7"/>
  <c r="CJ425" i="7"/>
  <c r="BY410" i="7"/>
  <c r="CJ410" i="7"/>
  <c r="CD410" i="7"/>
  <c r="CC406" i="7"/>
  <c r="BX199" i="7"/>
  <c r="BY199" i="7" a="1"/>
  <c r="CF199" i="7"/>
  <c r="AV92" i="7"/>
  <c r="BU309" i="7"/>
  <c r="AR388" i="7"/>
  <c r="CD241" i="7"/>
  <c r="BX365" i="7"/>
  <c r="BY365" i="7" a="1"/>
  <c r="CA365" i="7"/>
  <c r="BX340" i="7"/>
  <c r="BY340" i="7" a="1"/>
  <c r="CF340" i="7"/>
  <c r="CE420" i="7"/>
  <c r="CA420" i="7"/>
  <c r="CD420" i="7"/>
  <c r="AS380" i="7"/>
  <c r="AX388" i="7"/>
  <c r="AW388" i="7"/>
  <c r="AS388" i="7"/>
  <c r="BF354" i="7"/>
  <c r="BX296" i="7"/>
  <c r="BY296" i="7" a="1"/>
  <c r="CG296" i="7"/>
  <c r="CA409" i="7"/>
  <c r="CB420" i="7"/>
  <c r="CI420" i="7"/>
  <c r="BZ420" i="7"/>
  <c r="CA400" i="7"/>
  <c r="BX208" i="7"/>
  <c r="BY208" i="7" a="1"/>
  <c r="CB208" i="7"/>
  <c r="AP380" i="7"/>
  <c r="AU388" i="7"/>
  <c r="AY388" i="7"/>
  <c r="BU213" i="7"/>
  <c r="BQ441" i="7"/>
  <c r="BI465" i="7"/>
  <c r="BY420" i="7"/>
  <c r="CJ420" i="7"/>
  <c r="CI419" i="7"/>
  <c r="BM483" i="7"/>
  <c r="AQ388" i="7"/>
  <c r="AO388" i="7"/>
  <c r="BT383" i="7"/>
  <c r="BV383" i="7"/>
  <c r="BU232" i="7"/>
  <c r="AV380" i="7"/>
  <c r="AR380" i="7"/>
  <c r="CI402" i="7"/>
  <c r="CB414" i="7"/>
  <c r="BU236" i="7"/>
  <c r="BU383" i="7"/>
  <c r="BT354" i="7"/>
  <c r="BV354" i="7"/>
  <c r="AX229" i="7"/>
  <c r="AO229" i="7"/>
  <c r="AS229" i="7"/>
  <c r="AY229" i="7"/>
  <c r="AR229" i="7"/>
  <c r="AV229" i="7"/>
  <c r="AU229" i="7"/>
  <c r="AT229" i="7"/>
  <c r="AW229" i="7"/>
  <c r="BU92" i="7"/>
  <c r="CB472" i="7"/>
  <c r="AQ380" i="7"/>
  <c r="BF193" i="7"/>
  <c r="BT236" i="7"/>
  <c r="BV236" i="7"/>
  <c r="BX453" i="7"/>
  <c r="BY453" i="7" a="1"/>
  <c r="CE453" i="7"/>
  <c r="CE402" i="7"/>
  <c r="CD402" i="7"/>
  <c r="CC414" i="7"/>
  <c r="BP466" i="7"/>
  <c r="BF388" i="7"/>
  <c r="BX385" i="7"/>
  <c r="BY385" i="7" a="1"/>
  <c r="CH385" i="7"/>
  <c r="BT232" i="7"/>
  <c r="BV232" i="7"/>
  <c r="BU354" i="7"/>
  <c r="BJ208" i="7"/>
  <c r="BK208" i="7"/>
  <c r="BQ208" i="7"/>
  <c r="BI208" i="7"/>
  <c r="BO208" i="7"/>
  <c r="BH208" i="7"/>
  <c r="BP208" i="7"/>
  <c r="BM208" i="7"/>
  <c r="BG208" i="7"/>
  <c r="BL208" i="7"/>
  <c r="BN208" i="7"/>
  <c r="BU193" i="7"/>
  <c r="BT193" i="7"/>
  <c r="BV193" i="7"/>
  <c r="BU372" i="7"/>
  <c r="BT235" i="7"/>
  <c r="BV235" i="7"/>
  <c r="BU235" i="7"/>
  <c r="BX229" i="7"/>
  <c r="BY229" i="7" a="1"/>
  <c r="CF229" i="7"/>
  <c r="BT27" i="7"/>
  <c r="BV27" i="7"/>
  <c r="BU27" i="7"/>
  <c r="BT376" i="7"/>
  <c r="BV376" i="7"/>
  <c r="BU376" i="7"/>
  <c r="BU395" i="7"/>
  <c r="BT395" i="7"/>
  <c r="BV395" i="7"/>
  <c r="BT213" i="7"/>
  <c r="BV213" i="7"/>
  <c r="BG371" i="7"/>
  <c r="BU371" i="7"/>
  <c r="BT371" i="7"/>
  <c r="BV371" i="7"/>
  <c r="BN371" i="7"/>
  <c r="BU256" i="7"/>
  <c r="BT256" i="7"/>
  <c r="BV256" i="7"/>
  <c r="BH29" i="7"/>
  <c r="BJ29" i="7"/>
  <c r="BN29" i="7"/>
  <c r="BG29" i="7"/>
  <c r="BP29" i="7"/>
  <c r="BM29" i="7"/>
  <c r="BT29" i="7"/>
  <c r="BV29" i="7"/>
  <c r="BU29" i="7"/>
  <c r="CH364" i="7"/>
  <c r="BT92" i="7"/>
  <c r="BV92" i="7"/>
  <c r="AT92" i="7"/>
  <c r="BT380" i="7"/>
  <c r="BV380" i="7"/>
  <c r="AT380" i="7"/>
  <c r="AX380" i="7"/>
  <c r="AW380" i="7"/>
  <c r="AY380" i="7"/>
  <c r="BT388" i="7"/>
  <c r="BU388" i="7"/>
  <c r="BU250" i="7"/>
  <c r="BF250" i="7"/>
  <c r="BG250" i="7" a="1"/>
  <c r="BT250" i="7"/>
  <c r="CE75" i="7"/>
  <c r="K201" i="10"/>
  <c r="K212" i="10"/>
  <c r="K169" i="10"/>
  <c r="K141" i="10"/>
  <c r="K92" i="10"/>
  <c r="K26" i="10"/>
  <c r="L45" i="10"/>
  <c r="L15" i="10"/>
  <c r="L24" i="10"/>
  <c r="L17" i="10"/>
  <c r="L246" i="10"/>
  <c r="L248" i="10"/>
  <c r="L244" i="10"/>
  <c r="L236" i="10"/>
  <c r="L234" i="10"/>
  <c r="L225" i="10"/>
  <c r="L230" i="10"/>
  <c r="L215" i="10"/>
  <c r="L222" i="10"/>
  <c r="L228" i="10"/>
  <c r="L214" i="10"/>
  <c r="L219" i="10"/>
  <c r="L205" i="10"/>
  <c r="L206" i="10"/>
  <c r="L197" i="10"/>
  <c r="L181" i="10"/>
  <c r="L195" i="10"/>
  <c r="L191" i="10"/>
  <c r="L180" i="10"/>
  <c r="L190" i="10"/>
  <c r="L171" i="10"/>
  <c r="L170" i="10"/>
  <c r="L162" i="10"/>
  <c r="L155" i="10"/>
  <c r="L125" i="10"/>
  <c r="L151" i="10"/>
  <c r="L172" i="10"/>
  <c r="L140" i="10"/>
  <c r="L124" i="10"/>
  <c r="L143" i="10"/>
  <c r="L123" i="10"/>
  <c r="L114" i="10"/>
  <c r="L118" i="10"/>
  <c r="L149" i="10"/>
  <c r="L142" i="10"/>
  <c r="L133" i="10"/>
  <c r="L116" i="10"/>
  <c r="L80" i="10"/>
  <c r="L77" i="10"/>
  <c r="L61" i="10"/>
  <c r="L93" i="10"/>
  <c r="L94" i="10"/>
  <c r="L92" i="10"/>
  <c r="L89" i="10"/>
  <c r="L84" i="10"/>
  <c r="L60" i="10"/>
  <c r="L44" i="10"/>
  <c r="L55" i="10"/>
  <c r="L47" i="10"/>
  <c r="L37" i="10"/>
  <c r="L43" i="10"/>
  <c r="L71" i="10"/>
  <c r="L4" i="10"/>
  <c r="L62" i="10"/>
  <c r="L31" i="10"/>
  <c r="L7" i="10"/>
  <c r="M2" i="10"/>
  <c r="M1" i="10"/>
  <c r="K229" i="10"/>
  <c r="K124" i="10"/>
  <c r="K121" i="10"/>
  <c r="K44" i="10"/>
  <c r="K90" i="10"/>
  <c r="K235" i="10"/>
  <c r="K231" i="10"/>
  <c r="K196" i="10"/>
  <c r="K190" i="10"/>
  <c r="K184" i="10"/>
  <c r="K61" i="10"/>
  <c r="K244" i="10"/>
  <c r="K252" i="10"/>
  <c r="K251" i="10"/>
  <c r="K245" i="10"/>
  <c r="K236" i="10"/>
  <c r="K225" i="10"/>
  <c r="K209" i="10"/>
  <c r="K194" i="10"/>
  <c r="K188" i="10"/>
  <c r="K179" i="10"/>
  <c r="K148" i="10"/>
  <c r="K160" i="10"/>
  <c r="K123" i="10"/>
  <c r="K122" i="10"/>
  <c r="K113" i="10"/>
  <c r="K131" i="10"/>
  <c r="K65" i="10"/>
  <c r="K94" i="10"/>
  <c r="K15" i="10"/>
  <c r="K51" i="10"/>
  <c r="K230" i="10"/>
  <c r="K220" i="10"/>
  <c r="K211" i="10"/>
  <c r="K221" i="10"/>
  <c r="K222" i="10"/>
  <c r="K224" i="10"/>
  <c r="K181" i="10"/>
  <c r="K167" i="10"/>
  <c r="K183" i="10"/>
  <c r="K178" i="10"/>
  <c r="K48" i="10"/>
  <c r="K106" i="10"/>
  <c r="K104" i="10"/>
  <c r="K19" i="10"/>
  <c r="K50" i="10"/>
  <c r="K45" i="10"/>
  <c r="K3" i="10"/>
  <c r="CG478" i="7"/>
  <c r="CI478" i="7"/>
  <c r="CA478" i="7"/>
  <c r="CB478" i="7"/>
  <c r="CE478" i="7"/>
  <c r="BY478" i="7"/>
  <c r="CJ478" i="7"/>
  <c r="CH478" i="7"/>
  <c r="CF478" i="7"/>
  <c r="CC478" i="7"/>
  <c r="CD478" i="7"/>
  <c r="BZ478" i="7"/>
  <c r="BJ457" i="7"/>
  <c r="BM457" i="7"/>
  <c r="BH457" i="7"/>
  <c r="BL465" i="7"/>
  <c r="CF397" i="7"/>
  <c r="CC480" i="7"/>
  <c r="BP461" i="7"/>
  <c r="CI496" i="7"/>
  <c r="BX461" i="7"/>
  <c r="BY461" i="7" a="1"/>
  <c r="CI461" i="7"/>
  <c r="CJ399" i="7"/>
  <c r="BK457" i="7"/>
  <c r="BG457" i="7"/>
  <c r="BQ449" i="7"/>
  <c r="BM449" i="7"/>
  <c r="BX501" i="7"/>
  <c r="BY501" i="7" a="1"/>
  <c r="CB501" i="7"/>
  <c r="BQ29" i="7"/>
  <c r="BK29" i="7"/>
  <c r="BL29" i="7"/>
  <c r="CE413" i="7"/>
  <c r="CG413" i="7"/>
  <c r="CF413" i="7"/>
  <c r="CA402" i="7"/>
  <c r="CC402" i="7"/>
  <c r="CD425" i="7"/>
  <c r="CG425" i="7"/>
  <c r="CF425" i="7"/>
  <c r="CI399" i="7"/>
  <c r="CF436" i="7"/>
  <c r="BM371" i="7"/>
  <c r="BG435" i="7"/>
  <c r="BO435" i="7"/>
  <c r="BP435" i="7"/>
  <c r="CB410" i="7"/>
  <c r="CC410" i="7"/>
  <c r="CE414" i="7"/>
  <c r="CG414" i="7"/>
  <c r="CH414" i="7"/>
  <c r="BY406" i="7"/>
  <c r="CK406" i="7"/>
  <c r="CA406" i="7"/>
  <c r="CD406" i="7"/>
  <c r="BL432" i="7"/>
  <c r="BI432" i="7"/>
  <c r="BH432" i="7"/>
  <c r="CD496" i="7"/>
  <c r="BN457" i="7"/>
  <c r="BO457" i="7"/>
  <c r="BI29" i="7"/>
  <c r="BO29" i="7"/>
  <c r="CA413" i="7"/>
  <c r="BZ413" i="7"/>
  <c r="CG402" i="7"/>
  <c r="CF402" i="7"/>
  <c r="CA425" i="7"/>
  <c r="BZ425" i="7"/>
  <c r="CI436" i="7"/>
  <c r="CG397" i="7"/>
  <c r="BQ371" i="7"/>
  <c r="BM435" i="7"/>
  <c r="BJ435" i="7"/>
  <c r="CE410" i="7"/>
  <c r="CG410" i="7"/>
  <c r="CA480" i="7"/>
  <c r="CF414" i="7"/>
  <c r="CA414" i="7"/>
  <c r="CF406" i="7"/>
  <c r="CI406" i="7"/>
  <c r="BM461" i="7"/>
  <c r="BQ432" i="7"/>
  <c r="BO432" i="7"/>
  <c r="CD392" i="7"/>
  <c r="CB392" i="7"/>
  <c r="BZ392" i="7"/>
  <c r="CI392" i="7"/>
  <c r="BN454" i="7"/>
  <c r="BH454" i="7"/>
  <c r="BQ454" i="7"/>
  <c r="BJ454" i="7"/>
  <c r="BN446" i="7"/>
  <c r="BG446" i="7"/>
  <c r="BJ446" i="7"/>
  <c r="BM446" i="7"/>
  <c r="BG474" i="7"/>
  <c r="BJ430" i="7"/>
  <c r="BN465" i="7"/>
  <c r="BH465" i="7"/>
  <c r="CE412" i="7"/>
  <c r="CC274" i="7"/>
  <c r="CA416" i="7"/>
  <c r="BI473" i="7"/>
  <c r="BO474" i="7"/>
  <c r="BN474" i="7"/>
  <c r="BJ465" i="7"/>
  <c r="BX485" i="7"/>
  <c r="BY485" i="7" a="1"/>
  <c r="CB485" i="7"/>
  <c r="CB460" i="7"/>
  <c r="BQ440" i="7"/>
  <c r="CD436" i="7"/>
  <c r="CE397" i="7"/>
  <c r="BI371" i="7"/>
  <c r="BJ371" i="7"/>
  <c r="CH411" i="7"/>
  <c r="BZ480" i="7"/>
  <c r="BK461" i="7"/>
  <c r="BL461" i="7"/>
  <c r="CA496" i="7"/>
  <c r="BY496" i="7"/>
  <c r="CK496" i="7"/>
  <c r="BO473" i="7"/>
  <c r="BH474" i="7"/>
  <c r="BJ474" i="7"/>
  <c r="BX475" i="7"/>
  <c r="BY475" i="7" a="1"/>
  <c r="CE475" i="7"/>
  <c r="BM465" i="7"/>
  <c r="BX455" i="7"/>
  <c r="BY455" i="7" a="1"/>
  <c r="CI455" i="7"/>
  <c r="CA436" i="7"/>
  <c r="BY436" i="7"/>
  <c r="CK436" i="7"/>
  <c r="CD397" i="7"/>
  <c r="CC397" i="7"/>
  <c r="BK371" i="7"/>
  <c r="CB480" i="7"/>
  <c r="CG480" i="7"/>
  <c r="BN461" i="7"/>
  <c r="CB496" i="7"/>
  <c r="CG208" i="7"/>
  <c r="BH448" i="7"/>
  <c r="BN448" i="7"/>
  <c r="BK448" i="7"/>
  <c r="BH438" i="7"/>
  <c r="BJ438" i="7"/>
  <c r="BH446" i="7"/>
  <c r="BP446" i="7"/>
  <c r="BG473" i="7"/>
  <c r="BJ473" i="7"/>
  <c r="BI454" i="7"/>
  <c r="BO492" i="7"/>
  <c r="BG492" i="7"/>
  <c r="CA392" i="7"/>
  <c r="CC392" i="7"/>
  <c r="CB421" i="7"/>
  <c r="CH460" i="7"/>
  <c r="BN440" i="7"/>
  <c r="CB411" i="7"/>
  <c r="CE429" i="7"/>
  <c r="CD472" i="7"/>
  <c r="BM438" i="7"/>
  <c r="BP438" i="7"/>
  <c r="BO446" i="7"/>
  <c r="BQ446" i="7"/>
  <c r="BK446" i="7"/>
  <c r="BN473" i="7"/>
  <c r="BQ473" i="7"/>
  <c r="BP473" i="7"/>
  <c r="BM454" i="7"/>
  <c r="BL454" i="7"/>
  <c r="BK454" i="7"/>
  <c r="BP492" i="7"/>
  <c r="BM474" i="7"/>
  <c r="BP474" i="7"/>
  <c r="BQ430" i="7"/>
  <c r="BK465" i="7"/>
  <c r="BG465" i="7"/>
  <c r="CG392" i="7"/>
  <c r="CF392" i="7"/>
  <c r="CH392" i="7"/>
  <c r="CC460" i="7"/>
  <c r="CB436" i="7"/>
  <c r="CE436" i="7"/>
  <c r="CG436" i="7"/>
  <c r="CA397" i="7"/>
  <c r="BY397" i="7"/>
  <c r="CJ397" i="7"/>
  <c r="CB397" i="7"/>
  <c r="BP371" i="7"/>
  <c r="BL371" i="7"/>
  <c r="CH412" i="7"/>
  <c r="CH480" i="7"/>
  <c r="CI480" i="7"/>
  <c r="BY480" i="7"/>
  <c r="CJ480" i="7"/>
  <c r="CE401" i="7"/>
  <c r="BQ461" i="7"/>
  <c r="BO461" i="7"/>
  <c r="BH461" i="7"/>
  <c r="CC209" i="7"/>
  <c r="CH496" i="7"/>
  <c r="CE496" i="7"/>
  <c r="CG496" i="7"/>
  <c r="CF208" i="7"/>
  <c r="BG438" i="7"/>
  <c r="BP454" i="7"/>
  <c r="BK430" i="7"/>
  <c r="CG364" i="7"/>
  <c r="BZ241" i="7"/>
  <c r="CG401" i="7"/>
  <c r="CH416" i="7"/>
  <c r="BX483" i="7"/>
  <c r="BY483" i="7" a="1"/>
  <c r="CI483" i="7"/>
  <c r="BX448" i="7"/>
  <c r="BY448" i="7" a="1"/>
  <c r="CA448" i="7"/>
  <c r="BI438" i="7"/>
  <c r="BQ438" i="7"/>
  <c r="BI446" i="7"/>
  <c r="BL446" i="7"/>
  <c r="BM473" i="7"/>
  <c r="BK473" i="7"/>
  <c r="BG454" i="7"/>
  <c r="BO454" i="7"/>
  <c r="BM492" i="7"/>
  <c r="BI474" i="7"/>
  <c r="BQ474" i="7"/>
  <c r="BO465" i="7"/>
  <c r="BQ465" i="7"/>
  <c r="BX489" i="7"/>
  <c r="BY489" i="7" a="1"/>
  <c r="BY489" i="7"/>
  <c r="CE392" i="7"/>
  <c r="BY392" i="7"/>
  <c r="CJ392" i="7"/>
  <c r="CH436" i="7"/>
  <c r="BZ436" i="7"/>
  <c r="CI397" i="7"/>
  <c r="BO371" i="7"/>
  <c r="BH371" i="7"/>
  <c r="CF480" i="7"/>
  <c r="CF241" i="7"/>
  <c r="BI461" i="7"/>
  <c r="CE209" i="7"/>
  <c r="CF496" i="7"/>
  <c r="BZ496" i="7"/>
  <c r="CE208" i="7"/>
  <c r="CI208" i="7"/>
  <c r="CD408" i="7"/>
  <c r="CA408" i="7"/>
  <c r="BY408" i="7"/>
  <c r="CJ408" i="7"/>
  <c r="CH408" i="7"/>
  <c r="CG408" i="7"/>
  <c r="CE408" i="7"/>
  <c r="BH493" i="7"/>
  <c r="BM493" i="7"/>
  <c r="BQ493" i="7"/>
  <c r="BL493" i="7"/>
  <c r="BI493" i="7"/>
  <c r="BK493" i="7"/>
  <c r="BL455" i="7"/>
  <c r="BJ455" i="7"/>
  <c r="BI455" i="7"/>
  <c r="BP455" i="7"/>
  <c r="BM455" i="7"/>
  <c r="BO455" i="7"/>
  <c r="CD444" i="7"/>
  <c r="CA444" i="7"/>
  <c r="BY444" i="7"/>
  <c r="CK444" i="7"/>
  <c r="CI444" i="7"/>
  <c r="CF444" i="7"/>
  <c r="BO441" i="7"/>
  <c r="BN441" i="7"/>
  <c r="BP441" i="7"/>
  <c r="BX446" i="7"/>
  <c r="BY446" i="7" a="1"/>
  <c r="BY446" i="7"/>
  <c r="BO493" i="7"/>
  <c r="BP493" i="7"/>
  <c r="BK455" i="7"/>
  <c r="BO448" i="7"/>
  <c r="BJ448" i="7"/>
  <c r="CC408" i="7"/>
  <c r="BZ444" i="7"/>
  <c r="BI466" i="7"/>
  <c r="CI400" i="7"/>
  <c r="CF411" i="7"/>
  <c r="CG411" i="7"/>
  <c r="BY411" i="7"/>
  <c r="CK411" i="7"/>
  <c r="CC411" i="7"/>
  <c r="CA411" i="7"/>
  <c r="CD411" i="7"/>
  <c r="CG460" i="7"/>
  <c r="CF460" i="7"/>
  <c r="CE460" i="7"/>
  <c r="CD460" i="7"/>
  <c r="CA460" i="7"/>
  <c r="CD274" i="7"/>
  <c r="BY274" i="7"/>
  <c r="CJ274" i="7"/>
  <c r="CG274" i="7"/>
  <c r="CH274" i="7"/>
  <c r="CF274" i="7"/>
  <c r="CE274" i="7"/>
  <c r="BY472" i="7"/>
  <c r="CJ472" i="7"/>
  <c r="CI472" i="7"/>
  <c r="CA472" i="7"/>
  <c r="CC472" i="7"/>
  <c r="BZ472" i="7"/>
  <c r="CH472" i="7"/>
  <c r="BG440" i="7"/>
  <c r="BM440" i="7"/>
  <c r="BK440" i="7"/>
  <c r="BL440" i="7"/>
  <c r="BO440" i="7"/>
  <c r="CD369" i="7"/>
  <c r="CC416" i="7"/>
  <c r="BY416" i="7"/>
  <c r="CJ416" i="7"/>
  <c r="BZ416" i="7"/>
  <c r="CI416" i="7"/>
  <c r="CB416" i="7"/>
  <c r="CC412" i="7"/>
  <c r="CB412" i="7"/>
  <c r="BZ412" i="7"/>
  <c r="CI412" i="7"/>
  <c r="CF412" i="7"/>
  <c r="CH401" i="7"/>
  <c r="CI401" i="7"/>
  <c r="CB401" i="7"/>
  <c r="BY401" i="7"/>
  <c r="CJ401" i="7"/>
  <c r="CA401" i="7"/>
  <c r="CF421" i="7"/>
  <c r="CG421" i="7"/>
  <c r="CE421" i="7"/>
  <c r="CC421" i="7"/>
  <c r="BY421" i="7"/>
  <c r="CK421" i="7"/>
  <c r="CD421" i="7"/>
  <c r="BZ429" i="7"/>
  <c r="CC429" i="7"/>
  <c r="CA429" i="7"/>
  <c r="CF429" i="7"/>
  <c r="BY429" i="7"/>
  <c r="CK429" i="7"/>
  <c r="BN430" i="7"/>
  <c r="BI430" i="7"/>
  <c r="BM430" i="7"/>
  <c r="BG430" i="7"/>
  <c r="BP430" i="7"/>
  <c r="BO430" i="7"/>
  <c r="CF364" i="7"/>
  <c r="CI295" i="7"/>
  <c r="CH43" i="7"/>
  <c r="CB43" i="7"/>
  <c r="CB419" i="7"/>
  <c r="BZ419" i="7"/>
  <c r="CA419" i="7"/>
  <c r="CF419" i="7"/>
  <c r="CG419" i="7"/>
  <c r="CD419" i="7"/>
  <c r="BK483" i="7"/>
  <c r="BI483" i="7"/>
  <c r="BH483" i="7"/>
  <c r="BQ483" i="7"/>
  <c r="BJ483" i="7"/>
  <c r="CH409" i="7"/>
  <c r="CI409" i="7"/>
  <c r="CB409" i="7"/>
  <c r="BZ409" i="7"/>
  <c r="CE409" i="7"/>
  <c r="BX467" i="7"/>
  <c r="BY467" i="7" a="1"/>
  <c r="CC467" i="7"/>
  <c r="BX493" i="7"/>
  <c r="BY493" i="7" a="1"/>
  <c r="CE493" i="7"/>
  <c r="BK492" i="7"/>
  <c r="BH492" i="7"/>
  <c r="BN492" i="7"/>
  <c r="BJ441" i="7"/>
  <c r="BI441" i="7"/>
  <c r="BL441" i="7"/>
  <c r="BY409" i="7"/>
  <c r="CK409" i="7"/>
  <c r="CC409" i="7"/>
  <c r="CJ419" i="7"/>
  <c r="CJ402" i="7"/>
  <c r="BZ421" i="7"/>
  <c r="BJ493" i="7"/>
  <c r="BZ460" i="7"/>
  <c r="BN455" i="7"/>
  <c r="BH455" i="7"/>
  <c r="BI440" i="7"/>
  <c r="BJ440" i="7"/>
  <c r="CE43" i="7"/>
  <c r="CI411" i="7"/>
  <c r="BY412" i="7"/>
  <c r="CD412" i="7"/>
  <c r="CF408" i="7"/>
  <c r="BZ408" i="7"/>
  <c r="CH419" i="7"/>
  <c r="CB429" i="7"/>
  <c r="CH444" i="7"/>
  <c r="CG444" i="7"/>
  <c r="CD401" i="7"/>
  <c r="CF401" i="7"/>
  <c r="CB274" i="7"/>
  <c r="BZ274" i="7"/>
  <c r="CF472" i="7"/>
  <c r="BO483" i="7"/>
  <c r="BP483" i="7"/>
  <c r="CE416" i="7"/>
  <c r="CD416" i="7"/>
  <c r="BN466" i="7"/>
  <c r="BG466" i="7"/>
  <c r="BK466" i="7"/>
  <c r="BH466" i="7"/>
  <c r="BO466" i="7"/>
  <c r="BQ466" i="7"/>
  <c r="CD400" i="7"/>
  <c r="BY400" i="7"/>
  <c r="CE400" i="7"/>
  <c r="CH400" i="7"/>
  <c r="CF400" i="7"/>
  <c r="CG400" i="7"/>
  <c r="BG448" i="7"/>
  <c r="BM448" i="7"/>
  <c r="BP448" i="7"/>
  <c r="BL448" i="7"/>
  <c r="BI448" i="7"/>
  <c r="BX441" i="7"/>
  <c r="BY441" i="7" a="1"/>
  <c r="CB441" i="7"/>
  <c r="BI492" i="7"/>
  <c r="BQ492" i="7"/>
  <c r="BK441" i="7"/>
  <c r="BM441" i="7"/>
  <c r="CD409" i="7"/>
  <c r="CF409" i="7"/>
  <c r="CH421" i="7"/>
  <c r="BN493" i="7"/>
  <c r="CI460" i="7"/>
  <c r="BG455" i="7"/>
  <c r="BH440" i="7"/>
  <c r="BQ448" i="7"/>
  <c r="BZ411" i="7"/>
  <c r="CG412" i="7"/>
  <c r="CB408" i="7"/>
  <c r="CE419" i="7"/>
  <c r="CC419" i="7"/>
  <c r="CD429" i="7"/>
  <c r="CI429" i="7"/>
  <c r="CB444" i="7"/>
  <c r="CC444" i="7"/>
  <c r="BZ401" i="7"/>
  <c r="CA274" i="7"/>
  <c r="BM466" i="7"/>
  <c r="CE472" i="7"/>
  <c r="BN483" i="7"/>
  <c r="BL483" i="7"/>
  <c r="CB400" i="7"/>
  <c r="BZ400" i="7"/>
  <c r="CG416" i="7"/>
  <c r="CF399" i="7"/>
  <c r="CE399" i="7"/>
  <c r="CD399" i="7"/>
  <c r="CC399" i="7"/>
  <c r="BZ399" i="7"/>
  <c r="CG399" i="7"/>
  <c r="BX463" i="7"/>
  <c r="BY463" i="7" a="1"/>
  <c r="CE463" i="7"/>
  <c r="BX456" i="7"/>
  <c r="BY456" i="7" a="1"/>
  <c r="CA456" i="7"/>
  <c r="BX443" i="7"/>
  <c r="BY443" i="7" a="1"/>
  <c r="CC443" i="7"/>
  <c r="BX433" i="7"/>
  <c r="BY433" i="7" a="1"/>
  <c r="CA433" i="7"/>
  <c r="BX440" i="7"/>
  <c r="BY440" i="7" a="1"/>
  <c r="BY440" i="7"/>
  <c r="BX464" i="7"/>
  <c r="BY464" i="7" a="1"/>
  <c r="CC464" i="7"/>
  <c r="BX457" i="7"/>
  <c r="BY457" i="7" a="1"/>
  <c r="CI457" i="7"/>
  <c r="BX432" i="7"/>
  <c r="BY432" i="7" a="1"/>
  <c r="CB432" i="7"/>
  <c r="BX469" i="7"/>
  <c r="BY469" i="7" a="1"/>
  <c r="CA469" i="7"/>
  <c r="BX431" i="7"/>
  <c r="BY431" i="7" a="1"/>
  <c r="CB431" i="7"/>
  <c r="BX439" i="7"/>
  <c r="BY439" i="7" a="1"/>
  <c r="CC439" i="7"/>
  <c r="BX482" i="7"/>
  <c r="BY482" i="7" a="1"/>
  <c r="CC482" i="7"/>
  <c r="BX491" i="7"/>
  <c r="BY491" i="7" a="1"/>
  <c r="CB491" i="7"/>
  <c r="BX490" i="7"/>
  <c r="BY490" i="7" a="1"/>
  <c r="BZ490" i="7"/>
  <c r="BX437" i="7"/>
  <c r="BY437" i="7" a="1"/>
  <c r="CI437" i="7"/>
  <c r="BX495" i="7"/>
  <c r="BY495" i="7" a="1"/>
  <c r="CI495" i="7"/>
  <c r="BX492" i="7"/>
  <c r="BY492" i="7" a="1"/>
  <c r="CI492" i="7"/>
  <c r="BX447" i="7"/>
  <c r="BY447" i="7" a="1"/>
  <c r="CE447" i="7"/>
  <c r="BX459" i="7"/>
  <c r="BY459" i="7" a="1"/>
  <c r="CA459" i="7"/>
  <c r="BZ456" i="7"/>
  <c r="CH456" i="7"/>
  <c r="CB467" i="7"/>
  <c r="CC457" i="7"/>
  <c r="CE461" i="7"/>
  <c r="CB461" i="7"/>
  <c r="BZ461" i="7"/>
  <c r="CI441" i="7"/>
  <c r="BY458" i="7"/>
  <c r="CK458" i="7"/>
  <c r="CC458" i="7"/>
  <c r="CG458" i="7"/>
  <c r="CB458" i="7"/>
  <c r="CH458" i="7"/>
  <c r="CE458" i="7"/>
  <c r="BZ458" i="7"/>
  <c r="CF458" i="7"/>
  <c r="CA458" i="7"/>
  <c r="CI458" i="7"/>
  <c r="CD458" i="7"/>
  <c r="BH431" i="7"/>
  <c r="BL431" i="7"/>
  <c r="BP431" i="7"/>
  <c r="BG431" i="7"/>
  <c r="BM431" i="7"/>
  <c r="BK431" i="7"/>
  <c r="BN431" i="7"/>
  <c r="BO431" i="7"/>
  <c r="BQ431" i="7"/>
  <c r="BI431" i="7"/>
  <c r="BJ431" i="7"/>
  <c r="BH376" i="7"/>
  <c r="BL376" i="7"/>
  <c r="BP376" i="7"/>
  <c r="BI376" i="7"/>
  <c r="BN376" i="7"/>
  <c r="BJ376" i="7"/>
  <c r="BQ376" i="7"/>
  <c r="BG376" i="7"/>
  <c r="BO376" i="7"/>
  <c r="BM376" i="7"/>
  <c r="BK376" i="7"/>
  <c r="BH497" i="7"/>
  <c r="BL497" i="7"/>
  <c r="BP497" i="7"/>
  <c r="BJ497" i="7"/>
  <c r="BO497" i="7"/>
  <c r="BK497" i="7"/>
  <c r="BQ497" i="7"/>
  <c r="BN497" i="7"/>
  <c r="BM497" i="7"/>
  <c r="BG497" i="7"/>
  <c r="BI497" i="7"/>
  <c r="CA475" i="7"/>
  <c r="BZ404" i="7"/>
  <c r="CD404" i="7"/>
  <c r="CH404" i="7"/>
  <c r="CC404" i="7"/>
  <c r="CI404" i="7"/>
  <c r="CA404" i="7"/>
  <c r="CG404" i="7"/>
  <c r="CB404" i="7"/>
  <c r="CF404" i="7"/>
  <c r="BY404" i="7"/>
  <c r="CE404" i="7"/>
  <c r="BH471" i="7"/>
  <c r="BL471" i="7"/>
  <c r="BP471" i="7"/>
  <c r="BI471" i="7"/>
  <c r="BN471" i="7"/>
  <c r="BJ471" i="7"/>
  <c r="BO471" i="7"/>
  <c r="BK471" i="7"/>
  <c r="BM471" i="7"/>
  <c r="BQ471" i="7"/>
  <c r="BG471" i="7"/>
  <c r="BY486" i="7"/>
  <c r="CC486" i="7"/>
  <c r="CG486" i="7"/>
  <c r="CB486" i="7"/>
  <c r="CH486" i="7"/>
  <c r="CD486" i="7"/>
  <c r="CI486" i="7"/>
  <c r="CE486" i="7"/>
  <c r="CF486" i="7"/>
  <c r="BZ486" i="7"/>
  <c r="CA486" i="7"/>
  <c r="BJ476" i="7"/>
  <c r="BN476" i="7"/>
  <c r="BG476" i="7"/>
  <c r="BL476" i="7"/>
  <c r="BQ476" i="7"/>
  <c r="BH476" i="7"/>
  <c r="BM476" i="7"/>
  <c r="BO476" i="7"/>
  <c r="BP476" i="7"/>
  <c r="BI476" i="7"/>
  <c r="BK476" i="7"/>
  <c r="CD455" i="7"/>
  <c r="BH481" i="7"/>
  <c r="BL481" i="7"/>
  <c r="BP481" i="7"/>
  <c r="BJ481" i="7"/>
  <c r="BO481" i="7"/>
  <c r="BK481" i="7"/>
  <c r="BQ481" i="7"/>
  <c r="BG481" i="7"/>
  <c r="BI481" i="7"/>
  <c r="BM481" i="7"/>
  <c r="BN481" i="7"/>
  <c r="BZ426" i="7"/>
  <c r="CD426" i="7"/>
  <c r="CH426" i="7"/>
  <c r="CC426" i="7"/>
  <c r="CI426" i="7"/>
  <c r="CA426" i="7"/>
  <c r="CG426" i="7"/>
  <c r="BY426" i="7"/>
  <c r="CB426" i="7"/>
  <c r="CE426" i="7"/>
  <c r="CF426" i="7"/>
  <c r="CD370" i="7"/>
  <c r="CH370" i="7"/>
  <c r="CE370" i="7"/>
  <c r="CB370" i="7"/>
  <c r="CF370" i="7"/>
  <c r="CG370" i="7"/>
  <c r="BY485" i="7"/>
  <c r="CK485" i="7"/>
  <c r="CA453" i="7"/>
  <c r="CD473" i="7"/>
  <c r="CC473" i="7"/>
  <c r="BX449" i="7"/>
  <c r="BY449" i="7" a="1"/>
  <c r="CJ411" i="7"/>
  <c r="BH437" i="7"/>
  <c r="BL437" i="7"/>
  <c r="BP437" i="7"/>
  <c r="BJ437" i="7"/>
  <c r="BO437" i="7"/>
  <c r="BK437" i="7"/>
  <c r="BQ437" i="7"/>
  <c r="BG437" i="7"/>
  <c r="BM437" i="7"/>
  <c r="BI437" i="7"/>
  <c r="BN437" i="7"/>
  <c r="BZ424" i="7"/>
  <c r="CD424" i="7"/>
  <c r="CH424" i="7"/>
  <c r="CC424" i="7"/>
  <c r="CI424" i="7"/>
  <c r="CA424" i="7"/>
  <c r="CG424" i="7"/>
  <c r="BY424" i="7"/>
  <c r="CB424" i="7"/>
  <c r="CE424" i="7"/>
  <c r="CF424" i="7"/>
  <c r="BH489" i="7"/>
  <c r="BL489" i="7"/>
  <c r="BP489" i="7"/>
  <c r="BJ489" i="7"/>
  <c r="BO489" i="7"/>
  <c r="BK489" i="7"/>
  <c r="BQ489" i="7"/>
  <c r="BI489" i="7"/>
  <c r="BG489" i="7"/>
  <c r="BM489" i="7"/>
  <c r="BN489" i="7"/>
  <c r="CB427" i="7"/>
  <c r="CF427" i="7"/>
  <c r="CC427" i="7"/>
  <c r="CH427" i="7"/>
  <c r="BZ427" i="7"/>
  <c r="CG427" i="7"/>
  <c r="BY427" i="7"/>
  <c r="CI427" i="7"/>
  <c r="CA427" i="7"/>
  <c r="CD427" i="7"/>
  <c r="CE427" i="7"/>
  <c r="BH445" i="7"/>
  <c r="BL445" i="7"/>
  <c r="BP445" i="7"/>
  <c r="BJ445" i="7"/>
  <c r="BO445" i="7"/>
  <c r="BK445" i="7"/>
  <c r="BQ445" i="7"/>
  <c r="BM445" i="7"/>
  <c r="BG445" i="7"/>
  <c r="BN445" i="7"/>
  <c r="BI445" i="7"/>
  <c r="CD374" i="7"/>
  <c r="BJ500" i="7"/>
  <c r="BN500" i="7"/>
  <c r="BG500" i="7"/>
  <c r="BL500" i="7"/>
  <c r="BQ500" i="7"/>
  <c r="BH500" i="7"/>
  <c r="BM500" i="7"/>
  <c r="BK500" i="7"/>
  <c r="BI500" i="7"/>
  <c r="BO500" i="7"/>
  <c r="BP500" i="7"/>
  <c r="CA384" i="7"/>
  <c r="BY462" i="7"/>
  <c r="CC462" i="7"/>
  <c r="CG462" i="7"/>
  <c r="BZ462" i="7"/>
  <c r="CE462" i="7"/>
  <c r="CD462" i="7"/>
  <c r="CA462" i="7"/>
  <c r="CH462" i="7"/>
  <c r="CF462" i="7"/>
  <c r="CI462" i="7"/>
  <c r="CB462" i="7"/>
  <c r="BH467" i="7"/>
  <c r="BL467" i="7"/>
  <c r="BP467" i="7"/>
  <c r="BI467" i="7"/>
  <c r="BN467" i="7"/>
  <c r="BM467" i="7"/>
  <c r="BG467" i="7"/>
  <c r="BO467" i="7"/>
  <c r="BJ467" i="7"/>
  <c r="BQ467" i="7"/>
  <c r="BK467" i="7"/>
  <c r="CI368" i="7"/>
  <c r="CA368" i="7"/>
  <c r="BJ484" i="7"/>
  <c r="BN484" i="7"/>
  <c r="BG484" i="7"/>
  <c r="BL484" i="7"/>
  <c r="BQ484" i="7"/>
  <c r="BH484" i="7"/>
  <c r="BM484" i="7"/>
  <c r="BO484" i="7"/>
  <c r="BK484" i="7"/>
  <c r="BP484" i="7"/>
  <c r="BI484" i="7"/>
  <c r="BJ456" i="7"/>
  <c r="BN456" i="7"/>
  <c r="BG456" i="7"/>
  <c r="BL456" i="7"/>
  <c r="BQ456" i="7"/>
  <c r="BM456" i="7"/>
  <c r="BI456" i="7"/>
  <c r="BP456" i="7"/>
  <c r="BH456" i="7"/>
  <c r="BO456" i="7"/>
  <c r="BK456" i="7"/>
  <c r="BH491" i="7"/>
  <c r="BL491" i="7"/>
  <c r="BP491" i="7"/>
  <c r="BK491" i="7"/>
  <c r="BQ491" i="7"/>
  <c r="BG491" i="7"/>
  <c r="BM491" i="7"/>
  <c r="BJ491" i="7"/>
  <c r="BI491" i="7"/>
  <c r="BN491" i="7"/>
  <c r="BO491" i="7"/>
  <c r="BH501" i="7"/>
  <c r="BL501" i="7"/>
  <c r="BP501" i="7"/>
  <c r="BG501" i="7"/>
  <c r="BM501" i="7"/>
  <c r="BI501" i="7"/>
  <c r="BN501" i="7"/>
  <c r="BO501" i="7"/>
  <c r="BK501" i="7"/>
  <c r="BQ501" i="7"/>
  <c r="BJ501" i="7"/>
  <c r="BH443" i="7"/>
  <c r="BL443" i="7"/>
  <c r="BP443" i="7"/>
  <c r="BI443" i="7"/>
  <c r="BN443" i="7"/>
  <c r="BJ443" i="7"/>
  <c r="BO443" i="7"/>
  <c r="BM443" i="7"/>
  <c r="BG443" i="7"/>
  <c r="BQ443" i="7"/>
  <c r="BK443" i="7"/>
  <c r="BH475" i="7"/>
  <c r="BL475" i="7"/>
  <c r="BP475" i="7"/>
  <c r="BK475" i="7"/>
  <c r="BQ475" i="7"/>
  <c r="BG475" i="7"/>
  <c r="BM475" i="7"/>
  <c r="BI475" i="7"/>
  <c r="BJ475" i="7"/>
  <c r="BN475" i="7"/>
  <c r="BO475" i="7"/>
  <c r="CK425" i="7"/>
  <c r="CK399" i="7"/>
  <c r="CB205" i="7"/>
  <c r="BY205" i="7"/>
  <c r="CA205" i="7"/>
  <c r="BH469" i="7"/>
  <c r="BL469" i="7"/>
  <c r="BP469" i="7"/>
  <c r="BG469" i="7"/>
  <c r="BM469" i="7"/>
  <c r="BI469" i="7"/>
  <c r="BN469" i="7"/>
  <c r="BJ469" i="7"/>
  <c r="BQ469" i="7"/>
  <c r="BK469" i="7"/>
  <c r="BO469" i="7"/>
  <c r="BZ428" i="7"/>
  <c r="CD428" i="7"/>
  <c r="CH428" i="7"/>
  <c r="CC428" i="7"/>
  <c r="CI428" i="7"/>
  <c r="CA428" i="7"/>
  <c r="CG428" i="7"/>
  <c r="BY428" i="7"/>
  <c r="CK428" i="7"/>
  <c r="CB428" i="7"/>
  <c r="CE428" i="7"/>
  <c r="CF428" i="7"/>
  <c r="BJ490" i="7"/>
  <c r="BN490" i="7"/>
  <c r="BK490" i="7"/>
  <c r="BP490" i="7"/>
  <c r="BG490" i="7"/>
  <c r="BL490" i="7"/>
  <c r="BQ490" i="7"/>
  <c r="BO490" i="7"/>
  <c r="BM490" i="7"/>
  <c r="BH490" i="7"/>
  <c r="BI490" i="7"/>
  <c r="BX476" i="7"/>
  <c r="BY476" i="7" a="1"/>
  <c r="BH433" i="7"/>
  <c r="BL433" i="7"/>
  <c r="BP433" i="7"/>
  <c r="BI433" i="7"/>
  <c r="BN433" i="7"/>
  <c r="BG433" i="7"/>
  <c r="BO433" i="7"/>
  <c r="BJ433" i="7"/>
  <c r="BQ433" i="7"/>
  <c r="BM433" i="7"/>
  <c r="BK433" i="7"/>
  <c r="BH463" i="7"/>
  <c r="BL463" i="7"/>
  <c r="BP463" i="7"/>
  <c r="BK463" i="7"/>
  <c r="BQ463" i="7"/>
  <c r="BM463" i="7"/>
  <c r="BG463" i="7"/>
  <c r="BN463" i="7"/>
  <c r="BI463" i="7"/>
  <c r="BO463" i="7"/>
  <c r="BJ463" i="7"/>
  <c r="BJ464" i="7"/>
  <c r="BN464" i="7"/>
  <c r="BG464" i="7"/>
  <c r="BL464" i="7"/>
  <c r="BQ464" i="7"/>
  <c r="BH464" i="7"/>
  <c r="BO464" i="7"/>
  <c r="BI464" i="7"/>
  <c r="BP464" i="7"/>
  <c r="BK464" i="7"/>
  <c r="BM464" i="7"/>
  <c r="BY340" i="7"/>
  <c r="BY494" i="7"/>
  <c r="CK494" i="7"/>
  <c r="CC494" i="7"/>
  <c r="CG494" i="7"/>
  <c r="CB494" i="7"/>
  <c r="CH494" i="7"/>
  <c r="CD494" i="7"/>
  <c r="CI494" i="7"/>
  <c r="CF494" i="7"/>
  <c r="CE494" i="7"/>
  <c r="BZ494" i="7"/>
  <c r="CA494" i="7"/>
  <c r="BH439" i="7"/>
  <c r="BL439" i="7"/>
  <c r="BP439" i="7"/>
  <c r="BK439" i="7"/>
  <c r="BQ439" i="7"/>
  <c r="BG439" i="7"/>
  <c r="BM439" i="7"/>
  <c r="BI439" i="7"/>
  <c r="BN439" i="7"/>
  <c r="BJ439" i="7"/>
  <c r="BO439" i="7"/>
  <c r="BY488" i="7"/>
  <c r="CK488" i="7"/>
  <c r="CC488" i="7"/>
  <c r="CG488" i="7"/>
  <c r="CD488" i="7"/>
  <c r="CI488" i="7"/>
  <c r="BZ488" i="7"/>
  <c r="CE488" i="7"/>
  <c r="CH488" i="7"/>
  <c r="CF488" i="7"/>
  <c r="CA488" i="7"/>
  <c r="CB488" i="7"/>
  <c r="BZ422" i="7"/>
  <c r="CD422" i="7"/>
  <c r="CH422" i="7"/>
  <c r="CC422" i="7"/>
  <c r="CI422" i="7"/>
  <c r="CA422" i="7"/>
  <c r="CG422" i="7"/>
  <c r="BY422" i="7"/>
  <c r="CK422" i="7"/>
  <c r="CB422" i="7"/>
  <c r="CF422" i="7"/>
  <c r="CE422" i="7"/>
  <c r="BX438" i="7"/>
  <c r="BY438" i="7" a="1"/>
  <c r="BX430" i="7"/>
  <c r="BY430" i="7" a="1"/>
  <c r="BZ418" i="7"/>
  <c r="CD418" i="7"/>
  <c r="CH418" i="7"/>
  <c r="CC418" i="7"/>
  <c r="CI418" i="7"/>
  <c r="CA418" i="7"/>
  <c r="CG418" i="7"/>
  <c r="BY418" i="7"/>
  <c r="CK418" i="7"/>
  <c r="CB418" i="7"/>
  <c r="CF418" i="7"/>
  <c r="CE418" i="7"/>
  <c r="CJ295" i="7"/>
  <c r="CB502" i="7"/>
  <c r="CA502" i="7"/>
  <c r="BY434" i="7"/>
  <c r="CK434" i="7"/>
  <c r="CC434" i="7"/>
  <c r="CG434" i="7"/>
  <c r="CD434" i="7"/>
  <c r="CI434" i="7"/>
  <c r="CB434" i="7"/>
  <c r="CE434" i="7"/>
  <c r="BZ434" i="7"/>
  <c r="CF434" i="7"/>
  <c r="CA434" i="7"/>
  <c r="CH434" i="7"/>
  <c r="BJ482" i="7"/>
  <c r="BN482" i="7"/>
  <c r="BK482" i="7"/>
  <c r="BP482" i="7"/>
  <c r="BG482" i="7"/>
  <c r="BL482" i="7"/>
  <c r="BQ482" i="7"/>
  <c r="BM482" i="7"/>
  <c r="BO482" i="7"/>
  <c r="BH482" i="7"/>
  <c r="BI482" i="7"/>
  <c r="CB423" i="7"/>
  <c r="CF423" i="7"/>
  <c r="CC423" i="7"/>
  <c r="CH423" i="7"/>
  <c r="BZ423" i="7"/>
  <c r="CG423" i="7"/>
  <c r="BY423" i="7"/>
  <c r="CI423" i="7"/>
  <c r="CA423" i="7"/>
  <c r="CD423" i="7"/>
  <c r="CE423" i="7"/>
  <c r="CB417" i="7"/>
  <c r="CF417" i="7"/>
  <c r="CC417" i="7"/>
  <c r="CH417" i="7"/>
  <c r="BZ417" i="7"/>
  <c r="CG417" i="7"/>
  <c r="BY417" i="7"/>
  <c r="CI417" i="7"/>
  <c r="CA417" i="7"/>
  <c r="CD417" i="7"/>
  <c r="CE417" i="7"/>
  <c r="CB403" i="7"/>
  <c r="CF403" i="7"/>
  <c r="CC403" i="7"/>
  <c r="CH403" i="7"/>
  <c r="BY403" i="7"/>
  <c r="CE403" i="7"/>
  <c r="BZ403" i="7"/>
  <c r="CI403" i="7"/>
  <c r="CA403" i="7"/>
  <c r="CD403" i="7"/>
  <c r="CG403" i="7"/>
  <c r="BX454" i="7"/>
  <c r="BY454" i="7" a="1"/>
  <c r="CJ407" i="7"/>
  <c r="CJ452" i="7"/>
  <c r="CK419" i="7"/>
  <c r="BH477" i="7"/>
  <c r="BL477" i="7"/>
  <c r="BP477" i="7"/>
  <c r="BG477" i="7"/>
  <c r="BM477" i="7"/>
  <c r="BI477" i="7"/>
  <c r="BN477" i="7"/>
  <c r="BQ477" i="7"/>
  <c r="BK477" i="7"/>
  <c r="BJ477" i="7"/>
  <c r="BO477" i="7"/>
  <c r="BZ227" i="7"/>
  <c r="CD227" i="7"/>
  <c r="CH227" i="7"/>
  <c r="CC227" i="7"/>
  <c r="CI227" i="7"/>
  <c r="BY227" i="7"/>
  <c r="CF227" i="7"/>
  <c r="CA227" i="7"/>
  <c r="CB227" i="7"/>
  <c r="CE227" i="7"/>
  <c r="CG227" i="7"/>
  <c r="BY450" i="7"/>
  <c r="CK450" i="7"/>
  <c r="CC450" i="7"/>
  <c r="CG450" i="7"/>
  <c r="CB450" i="7"/>
  <c r="CH450" i="7"/>
  <c r="CD450" i="7"/>
  <c r="CI450" i="7"/>
  <c r="BZ450" i="7"/>
  <c r="CE450" i="7"/>
  <c r="CA450" i="7"/>
  <c r="CF450" i="7"/>
  <c r="BJ498" i="7"/>
  <c r="BN498" i="7"/>
  <c r="BK498" i="7"/>
  <c r="BP498" i="7"/>
  <c r="BG498" i="7"/>
  <c r="BL498" i="7"/>
  <c r="BQ498" i="7"/>
  <c r="BI498" i="7"/>
  <c r="BH498" i="7"/>
  <c r="BM498" i="7"/>
  <c r="BO498" i="7"/>
  <c r="BH479" i="7"/>
  <c r="BL479" i="7"/>
  <c r="BP479" i="7"/>
  <c r="BI479" i="7"/>
  <c r="BN479" i="7"/>
  <c r="BJ479" i="7"/>
  <c r="BO479" i="7"/>
  <c r="BK479" i="7"/>
  <c r="BM479" i="7"/>
  <c r="BQ479" i="7"/>
  <c r="BG479" i="7"/>
  <c r="BH459" i="7"/>
  <c r="BL459" i="7"/>
  <c r="BP459" i="7"/>
  <c r="BI459" i="7"/>
  <c r="BN459" i="7"/>
  <c r="BK459" i="7"/>
  <c r="BG459" i="7"/>
  <c r="BO459" i="7"/>
  <c r="BM459" i="7"/>
  <c r="BJ459" i="7"/>
  <c r="BQ459" i="7"/>
  <c r="BM236" i="7"/>
  <c r="BY470" i="7"/>
  <c r="CK470" i="7"/>
  <c r="CC470" i="7"/>
  <c r="CG470" i="7"/>
  <c r="CB470" i="7"/>
  <c r="CH470" i="7"/>
  <c r="CD470" i="7"/>
  <c r="CI470" i="7"/>
  <c r="CE470" i="7"/>
  <c r="BZ470" i="7"/>
  <c r="CF470" i="7"/>
  <c r="CA470" i="7"/>
  <c r="BY468" i="7"/>
  <c r="CC468" i="7"/>
  <c r="CG468" i="7"/>
  <c r="CD468" i="7"/>
  <c r="CI468" i="7"/>
  <c r="CA468" i="7"/>
  <c r="CH468" i="7"/>
  <c r="CB468" i="7"/>
  <c r="CE468" i="7"/>
  <c r="CF468" i="7"/>
  <c r="BZ468" i="7"/>
  <c r="BH453" i="7"/>
  <c r="BL453" i="7"/>
  <c r="BP453" i="7"/>
  <c r="BJ453" i="7"/>
  <c r="BO453" i="7"/>
  <c r="BK453" i="7"/>
  <c r="BQ453" i="7"/>
  <c r="BM453" i="7"/>
  <c r="BG453" i="7"/>
  <c r="BN453" i="7"/>
  <c r="BI453" i="7"/>
  <c r="CI365" i="7"/>
  <c r="CC365" i="7"/>
  <c r="BZ365" i="7"/>
  <c r="BX484" i="7"/>
  <c r="BY484" i="7" a="1"/>
  <c r="BX481" i="7"/>
  <c r="BY481" i="7" a="1"/>
  <c r="BX451" i="7"/>
  <c r="BY451" i="7" a="1"/>
  <c r="BH487" i="7"/>
  <c r="BL487" i="7"/>
  <c r="BP487" i="7"/>
  <c r="BI487" i="7"/>
  <c r="BN487" i="7"/>
  <c r="BJ487" i="7"/>
  <c r="BO487" i="7"/>
  <c r="BK487" i="7"/>
  <c r="BM487" i="7"/>
  <c r="BQ487" i="7"/>
  <c r="BG487" i="7"/>
  <c r="CB415" i="7"/>
  <c r="CF415" i="7"/>
  <c r="CC415" i="7"/>
  <c r="CH415" i="7"/>
  <c r="BZ415" i="7"/>
  <c r="CG415" i="7"/>
  <c r="BY415" i="7"/>
  <c r="CK415" i="7"/>
  <c r="CI415" i="7"/>
  <c r="CA415" i="7"/>
  <c r="CD415" i="7"/>
  <c r="CE415" i="7"/>
  <c r="BX471" i="7"/>
  <c r="BY471" i="7" a="1"/>
  <c r="BX466" i="7"/>
  <c r="BY466" i="7" a="1"/>
  <c r="BX499" i="7"/>
  <c r="BY499" i="7" a="1"/>
  <c r="BX445" i="7"/>
  <c r="BY445" i="7" a="1"/>
  <c r="BX477" i="7"/>
  <c r="BY477" i="7" a="1"/>
  <c r="BX498" i="7"/>
  <c r="BY498" i="7" a="1"/>
  <c r="BZ375" i="7"/>
  <c r="CD375" i="7"/>
  <c r="CI375" i="7"/>
  <c r="CE375" i="7"/>
  <c r="CG375" i="7"/>
  <c r="CB375" i="7"/>
  <c r="BX500" i="7"/>
  <c r="BY500" i="7" a="1"/>
  <c r="BH499" i="7"/>
  <c r="BL499" i="7"/>
  <c r="BP499" i="7"/>
  <c r="BK499" i="7"/>
  <c r="BQ499" i="7"/>
  <c r="BG499" i="7"/>
  <c r="BM499" i="7"/>
  <c r="BO499" i="7"/>
  <c r="BN499" i="7"/>
  <c r="BI499" i="7"/>
  <c r="BJ499" i="7"/>
  <c r="BY442" i="7"/>
  <c r="CC442" i="7"/>
  <c r="CG442" i="7"/>
  <c r="CB442" i="7"/>
  <c r="CH442" i="7"/>
  <c r="CD442" i="7"/>
  <c r="CI442" i="7"/>
  <c r="CE442" i="7"/>
  <c r="BZ442" i="7"/>
  <c r="CF442" i="7"/>
  <c r="CA442" i="7"/>
  <c r="BH451" i="7"/>
  <c r="BL451" i="7"/>
  <c r="BP451" i="7"/>
  <c r="BI451" i="7"/>
  <c r="BN451" i="7"/>
  <c r="BJ451" i="7"/>
  <c r="BO451" i="7"/>
  <c r="BQ451" i="7"/>
  <c r="BK451" i="7"/>
  <c r="BG451" i="7"/>
  <c r="BM451" i="7"/>
  <c r="BX435" i="7"/>
  <c r="BY435" i="7" a="1"/>
  <c r="BX465" i="7"/>
  <c r="BY465" i="7" a="1"/>
  <c r="BX487" i="7"/>
  <c r="BY487" i="7" a="1"/>
  <c r="BX474" i="7"/>
  <c r="BY474" i="7" a="1"/>
  <c r="BX497" i="7"/>
  <c r="BY497" i="7" a="1"/>
  <c r="BX479" i="7"/>
  <c r="BY479" i="7" a="1"/>
  <c r="CK397" i="7"/>
  <c r="K242" i="10"/>
  <c r="K197" i="10"/>
  <c r="K204" i="10"/>
  <c r="K195" i="10"/>
  <c r="K186" i="10"/>
  <c r="K166" i="10"/>
  <c r="K136" i="10"/>
  <c r="K161" i="10"/>
  <c r="K143" i="10"/>
  <c r="K138" i="10"/>
  <c r="K135" i="10"/>
  <c r="K109" i="10"/>
  <c r="K149" i="10"/>
  <c r="K56" i="10"/>
  <c r="K112" i="10"/>
  <c r="K110" i="10"/>
  <c r="K47" i="10"/>
  <c r="K42" i="10"/>
  <c r="K67" i="10"/>
  <c r="K66" i="10"/>
  <c r="K35" i="10"/>
  <c r="K4" i="10"/>
  <c r="K34" i="10"/>
  <c r="K20" i="10"/>
  <c r="K249" i="10"/>
  <c r="K253" i="10"/>
  <c r="K237" i="10"/>
  <c r="K216" i="10"/>
  <c r="K214" i="10"/>
  <c r="K185" i="10"/>
  <c r="K205" i="10"/>
  <c r="K171" i="10"/>
  <c r="K176" i="10"/>
  <c r="K170" i="10"/>
  <c r="K132" i="10"/>
  <c r="K168" i="10"/>
  <c r="K151" i="10"/>
  <c r="K119" i="10"/>
  <c r="K118" i="10"/>
  <c r="K114" i="10"/>
  <c r="K150" i="10"/>
  <c r="K64" i="10"/>
  <c r="K107" i="10"/>
  <c r="K105" i="10"/>
  <c r="K100" i="10"/>
  <c r="K83" i="10"/>
  <c r="K78" i="10"/>
  <c r="K108" i="10"/>
  <c r="K88" i="10"/>
  <c r="K31" i="10"/>
  <c r="K250" i="10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L5" i="10"/>
  <c r="L12" i="10"/>
  <c r="BG229" i="7" a="1"/>
  <c r="BG92" i="7" a="1"/>
  <c r="BG380" i="7" a="1"/>
  <c r="BG372" i="7" a="1"/>
  <c r="BG235" i="7" a="1"/>
  <c r="BG232" i="7" a="1"/>
  <c r="BG383" i="7" a="1"/>
  <c r="BG27" i="7" a="1"/>
  <c r="BG256" i="7" a="1"/>
  <c r="BG213" i="7" a="1"/>
  <c r="BG354" i="7" a="1"/>
  <c r="BG388" i="7" a="1"/>
  <c r="BG193" i="7" a="1"/>
  <c r="BP236" i="7"/>
  <c r="CI205" i="7"/>
  <c r="CH205" i="7"/>
  <c r="CA364" i="7"/>
  <c r="CJ414" i="7"/>
  <c r="BN236" i="7"/>
  <c r="BK236" i="7"/>
  <c r="CE502" i="7"/>
  <c r="CD502" i="7"/>
  <c r="CC502" i="7"/>
  <c r="CG205" i="7"/>
  <c r="BZ205" i="7"/>
  <c r="CC205" i="7"/>
  <c r="CJ460" i="7"/>
  <c r="CD431" i="7"/>
  <c r="CE296" i="7"/>
  <c r="CE456" i="7"/>
  <c r="CG456" i="7"/>
  <c r="CC199" i="7"/>
  <c r="CD43" i="7"/>
  <c r="CI43" i="7"/>
  <c r="CD364" i="7"/>
  <c r="BY364" i="7"/>
  <c r="CJ364" i="7"/>
  <c r="BZ43" i="7"/>
  <c r="CF502" i="7"/>
  <c r="CI502" i="7"/>
  <c r="CG502" i="7"/>
  <c r="CB199" i="7"/>
  <c r="BY43" i="7"/>
  <c r="CK43" i="7"/>
  <c r="CK413" i="7"/>
  <c r="BL236" i="7"/>
  <c r="BG236" i="7"/>
  <c r="BZ502" i="7"/>
  <c r="CH502" i="7"/>
  <c r="CD205" i="7"/>
  <c r="CE205" i="7"/>
  <c r="CG374" i="7"/>
  <c r="CF431" i="7"/>
  <c r="CD441" i="7"/>
  <c r="CI456" i="7"/>
  <c r="CC456" i="7"/>
  <c r="BY199" i="7"/>
  <c r="CG43" i="7"/>
  <c r="CC43" i="7"/>
  <c r="CE364" i="7"/>
  <c r="CB364" i="7"/>
  <c r="CC364" i="7"/>
  <c r="CI364" i="7"/>
  <c r="CA43" i="7"/>
  <c r="CK295" i="7"/>
  <c r="CK260" i="7"/>
  <c r="CH260" i="7"/>
  <c r="CS260" i="7"/>
  <c r="BZ260" i="7"/>
  <c r="CK227" i="7"/>
  <c r="BX380" i="7"/>
  <c r="BY380" i="7" a="1"/>
  <c r="BY380" i="7"/>
  <c r="BJ229" i="7"/>
  <c r="BP229" i="7"/>
  <c r="BQ229" i="7"/>
  <c r="BK229" i="7"/>
  <c r="BM229" i="7"/>
  <c r="BL229" i="7"/>
  <c r="BN229" i="7"/>
  <c r="BG229" i="7"/>
  <c r="BY229" i="7"/>
  <c r="CJ229" i="7"/>
  <c r="BH229" i="7"/>
  <c r="BO229" i="7"/>
  <c r="BI229" i="7"/>
  <c r="CK405" i="7"/>
  <c r="CN405" i="7"/>
  <c r="CH405" i="7"/>
  <c r="CG405" i="7"/>
  <c r="CT405" i="7"/>
  <c r="CE374" i="7"/>
  <c r="BX372" i="7"/>
  <c r="BY372" i="7" a="1"/>
  <c r="CG372" i="7"/>
  <c r="CC241" i="7"/>
  <c r="CF405" i="7"/>
  <c r="BY375" i="7"/>
  <c r="CK375" i="7"/>
  <c r="CC375" i="7"/>
  <c r="CK480" i="7"/>
  <c r="CO480" i="7"/>
  <c r="CK340" i="7"/>
  <c r="CB368" i="7"/>
  <c r="BZ374" i="7"/>
  <c r="CC374" i="7"/>
  <c r="CF374" i="7"/>
  <c r="CA473" i="7"/>
  <c r="CD475" i="7"/>
  <c r="CH440" i="7"/>
  <c r="CA241" i="7"/>
  <c r="BY241" i="7"/>
  <c r="CC260" i="7"/>
  <c r="CI405" i="7"/>
  <c r="BZ405" i="7"/>
  <c r="CJ246" i="7"/>
  <c r="CN246" i="7"/>
  <c r="CM246" i="7"/>
  <c r="CL246" i="7"/>
  <c r="CB241" i="7"/>
  <c r="CD405" i="7"/>
  <c r="CA374" i="7"/>
  <c r="BY374" i="7"/>
  <c r="CK374" i="7"/>
  <c r="CE241" i="7"/>
  <c r="CD231" i="7"/>
  <c r="CC231" i="7"/>
  <c r="CB405" i="7"/>
  <c r="CA375" i="7"/>
  <c r="CF375" i="7"/>
  <c r="CH374" i="7"/>
  <c r="CI374" i="7"/>
  <c r="CF475" i="7"/>
  <c r="CD432" i="7"/>
  <c r="CG241" i="7"/>
  <c r="CH231" i="7"/>
  <c r="CI241" i="7"/>
  <c r="CE405" i="7"/>
  <c r="CC405" i="7"/>
  <c r="CA405" i="7"/>
  <c r="CB229" i="7"/>
  <c r="BP395" i="7"/>
  <c r="CI231" i="7"/>
  <c r="BP92" i="7"/>
  <c r="BI92" i="7"/>
  <c r="BM92" i="7"/>
  <c r="BQ92" i="7"/>
  <c r="BN92" i="7"/>
  <c r="BO92" i="7"/>
  <c r="BL92" i="7"/>
  <c r="BH92" i="7"/>
  <c r="BJ92" i="7"/>
  <c r="BK92" i="7"/>
  <c r="BG92" i="7"/>
  <c r="CH340" i="7"/>
  <c r="CI384" i="7"/>
  <c r="CF455" i="7"/>
  <c r="BK395" i="7"/>
  <c r="BH395" i="7"/>
  <c r="CH501" i="7"/>
  <c r="BX213" i="7"/>
  <c r="BY213" i="7" a="1"/>
  <c r="CI213" i="7"/>
  <c r="CB295" i="7"/>
  <c r="CM295" i="7"/>
  <c r="CC295" i="7"/>
  <c r="CN295" i="7"/>
  <c r="CL295" i="7"/>
  <c r="CG295" i="7"/>
  <c r="CR295" i="7"/>
  <c r="CF365" i="7"/>
  <c r="BQ236" i="7"/>
  <c r="BJ236" i="7"/>
  <c r="CK410" i="7"/>
  <c r="CN410" i="7"/>
  <c r="CA340" i="7"/>
  <c r="CB340" i="7"/>
  <c r="CR399" i="7"/>
  <c r="CE384" i="7"/>
  <c r="CF384" i="7"/>
  <c r="CK478" i="7"/>
  <c r="CO478" i="7"/>
  <c r="CB453" i="7"/>
  <c r="CH485" i="7"/>
  <c r="CA370" i="7"/>
  <c r="CI370" i="7"/>
  <c r="BZ370" i="7"/>
  <c r="CH455" i="7"/>
  <c r="CE455" i="7"/>
  <c r="BO395" i="7"/>
  <c r="BN395" i="7"/>
  <c r="CC501" i="7"/>
  <c r="BZ439" i="7"/>
  <c r="CA199" i="7"/>
  <c r="CK446" i="7"/>
  <c r="CA208" i="7"/>
  <c r="CG209" i="7"/>
  <c r="CC208" i="7"/>
  <c r="BZ199" i="7"/>
  <c r="CH208" i="7"/>
  <c r="CF295" i="7"/>
  <c r="CQ295" i="7"/>
  <c r="CV295" i="7"/>
  <c r="BZ209" i="7"/>
  <c r="CD365" i="7"/>
  <c r="BI236" i="7"/>
  <c r="BH236" i="7"/>
  <c r="CI340" i="7"/>
  <c r="BX354" i="7"/>
  <c r="BY354" i="7" a="1"/>
  <c r="BY354" i="7"/>
  <c r="BZ384" i="7"/>
  <c r="CB384" i="7"/>
  <c r="CD453" i="7"/>
  <c r="CI485" i="7"/>
  <c r="BY370" i="7"/>
  <c r="CK370" i="7"/>
  <c r="CE489" i="7"/>
  <c r="CG455" i="7"/>
  <c r="CA455" i="7"/>
  <c r="BG395" i="7"/>
  <c r="CI443" i="7"/>
  <c r="CA483" i="7"/>
  <c r="CI482" i="7"/>
  <c r="CH199" i="7"/>
  <c r="CI199" i="7"/>
  <c r="BZ208" i="7"/>
  <c r="CF209" i="7"/>
  <c r="BY208" i="7"/>
  <c r="CJ208" i="7"/>
  <c r="CD208" i="7"/>
  <c r="BP383" i="7"/>
  <c r="BM383" i="7"/>
  <c r="BG383" i="7"/>
  <c r="BH383" i="7"/>
  <c r="BN383" i="7"/>
  <c r="BQ383" i="7"/>
  <c r="BL383" i="7"/>
  <c r="BK383" i="7"/>
  <c r="BJ383" i="7"/>
  <c r="BI383" i="7"/>
  <c r="BO383" i="7"/>
  <c r="BO232" i="7"/>
  <c r="BN232" i="7"/>
  <c r="BM232" i="7"/>
  <c r="BK232" i="7"/>
  <c r="BH232" i="7"/>
  <c r="BQ232" i="7"/>
  <c r="BJ232" i="7"/>
  <c r="BL232" i="7"/>
  <c r="BG232" i="7"/>
  <c r="BP232" i="7"/>
  <c r="BI232" i="7"/>
  <c r="BN235" i="7"/>
  <c r="BH235" i="7"/>
  <c r="BP235" i="7"/>
  <c r="BO235" i="7"/>
  <c r="BK235" i="7"/>
  <c r="BG235" i="7"/>
  <c r="BL235" i="7"/>
  <c r="BJ235" i="7"/>
  <c r="BQ235" i="7"/>
  <c r="BM235" i="7"/>
  <c r="BI235" i="7"/>
  <c r="BK372" i="7"/>
  <c r="BO372" i="7"/>
  <c r="BN372" i="7"/>
  <c r="BI372" i="7"/>
  <c r="BL372" i="7"/>
  <c r="BH372" i="7"/>
  <c r="BG372" i="7"/>
  <c r="BQ372" i="7"/>
  <c r="BP372" i="7"/>
  <c r="BM372" i="7"/>
  <c r="BJ372" i="7"/>
  <c r="BL380" i="7"/>
  <c r="BP380" i="7"/>
  <c r="BN380" i="7"/>
  <c r="BM380" i="7"/>
  <c r="BI380" i="7"/>
  <c r="BJ380" i="7"/>
  <c r="BQ380" i="7"/>
  <c r="BH380" i="7"/>
  <c r="BG380" i="7"/>
  <c r="BO380" i="7"/>
  <c r="BK380" i="7"/>
  <c r="CB473" i="7"/>
  <c r="CF485" i="7"/>
  <c r="CE485" i="7"/>
  <c r="CF296" i="7"/>
  <c r="CA440" i="7"/>
  <c r="CH483" i="7"/>
  <c r="CC369" i="7"/>
  <c r="CD260" i="7"/>
  <c r="CB369" i="7"/>
  <c r="CG340" i="7"/>
  <c r="BZ340" i="7"/>
  <c r="CC340" i="7"/>
  <c r="CG368" i="7"/>
  <c r="CC368" i="7"/>
  <c r="BY368" i="7"/>
  <c r="CC384" i="7"/>
  <c r="CD384" i="7"/>
  <c r="CH473" i="7"/>
  <c r="CF473" i="7"/>
  <c r="CI473" i="7"/>
  <c r="CD485" i="7"/>
  <c r="CG485" i="7"/>
  <c r="CA485" i="7"/>
  <c r="CG489" i="7"/>
  <c r="BY455" i="7"/>
  <c r="CJ455" i="7"/>
  <c r="BZ455" i="7"/>
  <c r="CD296" i="7"/>
  <c r="BY296" i="7"/>
  <c r="CJ296" i="7"/>
  <c r="CG440" i="7"/>
  <c r="BL395" i="7"/>
  <c r="BI395" i="7"/>
  <c r="BJ395" i="7"/>
  <c r="CF441" i="7"/>
  <c r="CD483" i="7"/>
  <c r="CD501" i="7"/>
  <c r="CI501" i="7"/>
  <c r="CH295" i="7"/>
  <c r="CS295" i="7"/>
  <c r="CG369" i="7"/>
  <c r="CE369" i="7"/>
  <c r="CH209" i="7"/>
  <c r="CJ496" i="7"/>
  <c r="CT496" i="7"/>
  <c r="CA295" i="7"/>
  <c r="CA209" i="7"/>
  <c r="CA385" i="7"/>
  <c r="BX383" i="7"/>
  <c r="BY383" i="7" a="1"/>
  <c r="CE383" i="7"/>
  <c r="CJ436" i="7"/>
  <c r="CN436" i="7"/>
  <c r="BZ368" i="7"/>
  <c r="CD368" i="7"/>
  <c r="BY473" i="7"/>
  <c r="CK473" i="7"/>
  <c r="CC485" i="7"/>
  <c r="CC296" i="7"/>
  <c r="CJ199" i="7"/>
  <c r="CA369" i="7"/>
  <c r="CA260" i="7"/>
  <c r="CD340" i="7"/>
  <c r="CE340" i="7"/>
  <c r="CH368" i="7"/>
  <c r="CE368" i="7"/>
  <c r="CG384" i="7"/>
  <c r="CH384" i="7"/>
  <c r="CG473" i="7"/>
  <c r="BZ473" i="7"/>
  <c r="BZ485" i="7"/>
  <c r="CF489" i="7"/>
  <c r="CC455" i="7"/>
  <c r="CB455" i="7"/>
  <c r="CA296" i="7"/>
  <c r="CE440" i="7"/>
  <c r="CA493" i="7"/>
  <c r="BQ395" i="7"/>
  <c r="CG441" i="7"/>
  <c r="CE483" i="7"/>
  <c r="BZ501" i="7"/>
  <c r="CE501" i="7"/>
  <c r="BY369" i="7"/>
  <c r="CJ369" i="7"/>
  <c r="CE295" i="7"/>
  <c r="CP295" i="7"/>
  <c r="CD295" i="7"/>
  <c r="CO295" i="7"/>
  <c r="CF369" i="7"/>
  <c r="BZ369" i="7"/>
  <c r="CI209" i="7"/>
  <c r="CE260" i="7"/>
  <c r="CH369" i="7"/>
  <c r="BZ295" i="7"/>
  <c r="BY209" i="7"/>
  <c r="CK209" i="7"/>
  <c r="CB260" i="7"/>
  <c r="CM260" i="7"/>
  <c r="CD209" i="7"/>
  <c r="CD385" i="7"/>
  <c r="BY365" i="7"/>
  <c r="CK365" i="7"/>
  <c r="CB365" i="7"/>
  <c r="CE365" i="7"/>
  <c r="CG365" i="7"/>
  <c r="CH365" i="7"/>
  <c r="CD199" i="7"/>
  <c r="CG199" i="7"/>
  <c r="CE199" i="7"/>
  <c r="CA75" i="7"/>
  <c r="BZ75" i="7"/>
  <c r="CD75" i="7"/>
  <c r="BY75" i="7"/>
  <c r="CI75" i="7"/>
  <c r="CG75" i="7"/>
  <c r="CF75" i="7"/>
  <c r="CB75" i="7"/>
  <c r="CH75" i="7"/>
  <c r="CE482" i="7"/>
  <c r="CB437" i="7"/>
  <c r="CO246" i="7"/>
  <c r="BY482" i="7"/>
  <c r="CJ482" i="7"/>
  <c r="BX27" i="7"/>
  <c r="BY27" i="7" a="1"/>
  <c r="CD27" i="7"/>
  <c r="CK208" i="7"/>
  <c r="BX92" i="7"/>
  <c r="BY92" i="7" a="1"/>
  <c r="CA92" i="7"/>
  <c r="BK213" i="7"/>
  <c r="BG213" i="7"/>
  <c r="BI213" i="7"/>
  <c r="BN213" i="7"/>
  <c r="BJ213" i="7"/>
  <c r="BP213" i="7"/>
  <c r="BQ213" i="7"/>
  <c r="BO213" i="7"/>
  <c r="BH213" i="7"/>
  <c r="BL213" i="7"/>
  <c r="BM213" i="7"/>
  <c r="BL256" i="7"/>
  <c r="BM256" i="7"/>
  <c r="BK256" i="7"/>
  <c r="BH256" i="7"/>
  <c r="BG256" i="7"/>
  <c r="BI256" i="7"/>
  <c r="BP256" i="7"/>
  <c r="BN256" i="7"/>
  <c r="BJ256" i="7"/>
  <c r="BO256" i="7"/>
  <c r="BQ256" i="7"/>
  <c r="BO27" i="7"/>
  <c r="BH27" i="7"/>
  <c r="BN27" i="7"/>
  <c r="BP27" i="7"/>
  <c r="BK27" i="7"/>
  <c r="BM27" i="7"/>
  <c r="BL27" i="7"/>
  <c r="BJ27" i="7"/>
  <c r="BQ27" i="7"/>
  <c r="BG27" i="7"/>
  <c r="BI27" i="7"/>
  <c r="CK205" i="7"/>
  <c r="CJ205" i="7"/>
  <c r="CP205" i="7"/>
  <c r="CO496" i="7"/>
  <c r="CD459" i="7"/>
  <c r="CG457" i="7"/>
  <c r="CB231" i="7"/>
  <c r="CN397" i="7"/>
  <c r="BX236" i="7"/>
  <c r="BY236" i="7" a="1"/>
  <c r="CD236" i="7"/>
  <c r="CN425" i="7"/>
  <c r="CI431" i="7"/>
  <c r="CH463" i="7"/>
  <c r="BZ489" i="7"/>
  <c r="BY475" i="7"/>
  <c r="CK475" i="7"/>
  <c r="CG475" i="7"/>
  <c r="CI475" i="7"/>
  <c r="BZ446" i="7"/>
  <c r="CB296" i="7"/>
  <c r="BZ296" i="7"/>
  <c r="BZ493" i="7"/>
  <c r="CH441" i="7"/>
  <c r="CE441" i="7"/>
  <c r="CB483" i="7"/>
  <c r="BY495" i="7"/>
  <c r="BZ457" i="7"/>
  <c r="CE457" i="7"/>
  <c r="CF501" i="7"/>
  <c r="CG501" i="7"/>
  <c r="CA501" i="7"/>
  <c r="BX371" i="7"/>
  <c r="BY371" i="7" a="1"/>
  <c r="BY371" i="7"/>
  <c r="CK371" i="7"/>
  <c r="CF231" i="7"/>
  <c r="CE231" i="7"/>
  <c r="CR246" i="7"/>
  <c r="BZ385" i="7"/>
  <c r="BV309" i="7"/>
  <c r="BX309" i="7"/>
  <c r="BY309" i="7" a="1"/>
  <c r="CC475" i="7"/>
  <c r="BZ475" i="7"/>
  <c r="CB446" i="7"/>
  <c r="CD448" i="7"/>
  <c r="BY231" i="7"/>
  <c r="CK231" i="7"/>
  <c r="BZ231" i="7"/>
  <c r="BX232" i="7"/>
  <c r="BY232" i="7" a="1"/>
  <c r="BZ232" i="7"/>
  <c r="BX395" i="7"/>
  <c r="BY395" i="7" a="1"/>
  <c r="BY395" i="7"/>
  <c r="CM405" i="7"/>
  <c r="CK392" i="7"/>
  <c r="CP392" i="7"/>
  <c r="CH489" i="7"/>
  <c r="CI489" i="7"/>
  <c r="CH475" i="7"/>
  <c r="CB475" i="7"/>
  <c r="CI296" i="7"/>
  <c r="CH296" i="7"/>
  <c r="CG493" i="7"/>
  <c r="BY441" i="7"/>
  <c r="CK441" i="7"/>
  <c r="CC441" i="7"/>
  <c r="CA441" i="7"/>
  <c r="CF483" i="7"/>
  <c r="CF457" i="7"/>
  <c r="CA457" i="7"/>
  <c r="BY501" i="7"/>
  <c r="CJ501" i="7"/>
  <c r="CC433" i="7"/>
  <c r="CA231" i="7"/>
  <c r="CG260" i="7"/>
  <c r="CR260" i="7"/>
  <c r="CK420" i="7"/>
  <c r="CT420" i="7"/>
  <c r="CF260" i="7"/>
  <c r="CI260" i="7"/>
  <c r="CT260" i="7"/>
  <c r="CF385" i="7"/>
  <c r="CI385" i="7"/>
  <c r="BX235" i="7"/>
  <c r="BY235" i="7" a="1"/>
  <c r="CG235" i="7"/>
  <c r="BG354" i="7"/>
  <c r="BP354" i="7"/>
  <c r="BH354" i="7"/>
  <c r="BK354" i="7"/>
  <c r="BI354" i="7"/>
  <c r="BL354" i="7"/>
  <c r="BO354" i="7"/>
  <c r="BQ354" i="7"/>
  <c r="BM354" i="7"/>
  <c r="BJ354" i="7"/>
  <c r="BN354" i="7"/>
  <c r="BY431" i="7"/>
  <c r="CK431" i="7"/>
  <c r="CG495" i="7"/>
  <c r="CC431" i="7"/>
  <c r="CE431" i="7"/>
  <c r="CC459" i="7"/>
  <c r="CE495" i="7"/>
  <c r="CI459" i="7"/>
  <c r="CN420" i="7"/>
  <c r="CG453" i="7"/>
  <c r="BY453" i="7"/>
  <c r="CJ453" i="7"/>
  <c r="CC461" i="7"/>
  <c r="CD461" i="7"/>
  <c r="CA461" i="7"/>
  <c r="CE464" i="7"/>
  <c r="CA437" i="7"/>
  <c r="BX256" i="7"/>
  <c r="BY256" i="7" a="1"/>
  <c r="CA256" i="7"/>
  <c r="BX193" i="7"/>
  <c r="BY193" i="7" a="1"/>
  <c r="CH193" i="7"/>
  <c r="CJ418" i="7"/>
  <c r="CP418" i="7"/>
  <c r="CA229" i="7"/>
  <c r="CC453" i="7"/>
  <c r="CF453" i="7"/>
  <c r="CI453" i="7"/>
  <c r="CF443" i="7"/>
  <c r="BZ469" i="7"/>
  <c r="CF461" i="7"/>
  <c r="BY461" i="7"/>
  <c r="CK461" i="7"/>
  <c r="CF464" i="7"/>
  <c r="BX376" i="7"/>
  <c r="BY376" i="7" a="1"/>
  <c r="CE376" i="7"/>
  <c r="CI229" i="7"/>
  <c r="CK274" i="7"/>
  <c r="CM274" i="7"/>
  <c r="CN274" i="7"/>
  <c r="CL274" i="7"/>
  <c r="CM420" i="7"/>
  <c r="CH453" i="7"/>
  <c r="BZ453" i="7"/>
  <c r="CD443" i="7"/>
  <c r="CG461" i="7"/>
  <c r="CH461" i="7"/>
  <c r="BY464" i="7"/>
  <c r="CJ464" i="7"/>
  <c r="CH492" i="7"/>
  <c r="CJ406" i="7"/>
  <c r="CR406" i="7"/>
  <c r="BH193" i="7"/>
  <c r="BJ193" i="7"/>
  <c r="BP193" i="7"/>
  <c r="BN193" i="7"/>
  <c r="BQ193" i="7"/>
  <c r="BO193" i="7"/>
  <c r="BK193" i="7"/>
  <c r="BG193" i="7"/>
  <c r="BM193" i="7"/>
  <c r="BL193" i="7"/>
  <c r="BI193" i="7"/>
  <c r="BN388" i="7"/>
  <c r="BL388" i="7"/>
  <c r="BH388" i="7"/>
  <c r="BG388" i="7"/>
  <c r="BQ388" i="7"/>
  <c r="BK388" i="7"/>
  <c r="BM388" i="7"/>
  <c r="BP388" i="7"/>
  <c r="BI388" i="7"/>
  <c r="BJ388" i="7"/>
  <c r="BO388" i="7"/>
  <c r="CD490" i="7"/>
  <c r="CG490" i="7"/>
  <c r="CG385" i="7"/>
  <c r="BY385" i="7"/>
  <c r="CB385" i="7"/>
  <c r="CC385" i="7"/>
  <c r="CE385" i="7"/>
  <c r="CH229" i="7"/>
  <c r="CD229" i="7"/>
  <c r="CE229" i="7"/>
  <c r="CG229" i="7"/>
  <c r="CK229" i="7"/>
  <c r="CC229" i="7"/>
  <c r="BZ229" i="7"/>
  <c r="BX29" i="7"/>
  <c r="BY29" i="7" a="1"/>
  <c r="CD29" i="7"/>
  <c r="BV388" i="7"/>
  <c r="BX388" i="7"/>
  <c r="BY388" i="7" a="1"/>
  <c r="BV250" i="7"/>
  <c r="BX250" i="7"/>
  <c r="BY250" i="7" a="1"/>
  <c r="BH250" i="7"/>
  <c r="BO250" i="7"/>
  <c r="BQ250" i="7"/>
  <c r="BL250" i="7"/>
  <c r="BM250" i="7"/>
  <c r="BG250" i="7"/>
  <c r="BN250" i="7"/>
  <c r="BK250" i="7"/>
  <c r="BP250" i="7"/>
  <c r="BI250" i="7"/>
  <c r="BJ250" i="7"/>
  <c r="CJ43" i="7"/>
  <c r="CT43" i="7"/>
  <c r="CF372" i="7"/>
  <c r="CE380" i="7"/>
  <c r="CH380" i="7"/>
  <c r="CA380" i="7"/>
  <c r="CI380" i="7"/>
  <c r="CG380" i="7"/>
  <c r="N2" i="10"/>
  <c r="N1" i="10"/>
  <c r="CO405" i="7"/>
  <c r="CS419" i="7"/>
  <c r="CK472" i="7"/>
  <c r="CM472" i="7"/>
  <c r="CJ421" i="7"/>
  <c r="CR421" i="7"/>
  <c r="CD493" i="7"/>
  <c r="CB493" i="7"/>
  <c r="BZ443" i="7"/>
  <c r="BY443" i="7"/>
  <c r="CK443" i="7"/>
  <c r="CE443" i="7"/>
  <c r="CB469" i="7"/>
  <c r="CF459" i="7"/>
  <c r="CB495" i="7"/>
  <c r="CA495" i="7"/>
  <c r="CD464" i="7"/>
  <c r="CA464" i="7"/>
  <c r="BZ437" i="7"/>
  <c r="CH491" i="7"/>
  <c r="CJ444" i="7"/>
  <c r="CO444" i="7"/>
  <c r="BZ447" i="7"/>
  <c r="CQ405" i="7"/>
  <c r="CS405" i="7"/>
  <c r="BY493" i="7"/>
  <c r="CK493" i="7"/>
  <c r="CH493" i="7"/>
  <c r="CI493" i="7"/>
  <c r="CB443" i="7"/>
  <c r="CH443" i="7"/>
  <c r="CA443" i="7"/>
  <c r="BZ464" i="7"/>
  <c r="CI464" i="7"/>
  <c r="CG464" i="7"/>
  <c r="CC447" i="7"/>
  <c r="BY437" i="7"/>
  <c r="CK437" i="7"/>
  <c r="CL405" i="7"/>
  <c r="CF493" i="7"/>
  <c r="CC493" i="7"/>
  <c r="CG443" i="7"/>
  <c r="CH464" i="7"/>
  <c r="CB464" i="7"/>
  <c r="CF447" i="7"/>
  <c r="CG437" i="7"/>
  <c r="CE437" i="7"/>
  <c r="BY27" i="7"/>
  <c r="CG492" i="7"/>
  <c r="CI440" i="7"/>
  <c r="CB459" i="7"/>
  <c r="CH495" i="7"/>
  <c r="CF490" i="7"/>
  <c r="CA492" i="7"/>
  <c r="BZ492" i="7"/>
  <c r="BY492" i="7"/>
  <c r="CK492" i="7"/>
  <c r="CF492" i="7"/>
  <c r="CD492" i="7"/>
  <c r="CC492" i="7"/>
  <c r="CB492" i="7"/>
  <c r="CE492" i="7"/>
  <c r="CI491" i="7"/>
  <c r="CG491" i="7"/>
  <c r="BY491" i="7"/>
  <c r="CK491" i="7"/>
  <c r="BZ491" i="7"/>
  <c r="CD491" i="7"/>
  <c r="CA491" i="7"/>
  <c r="CF491" i="7"/>
  <c r="CC491" i="7"/>
  <c r="CA439" i="7"/>
  <c r="CF439" i="7"/>
  <c r="CH439" i="7"/>
  <c r="CE439" i="7"/>
  <c r="CB439" i="7"/>
  <c r="CD439" i="7"/>
  <c r="CI439" i="7"/>
  <c r="CG439" i="7"/>
  <c r="BY439" i="7"/>
  <c r="CJ439" i="7"/>
  <c r="BY432" i="7"/>
  <c r="CK432" i="7"/>
  <c r="CH432" i="7"/>
  <c r="CE432" i="7"/>
  <c r="CC432" i="7"/>
  <c r="CA432" i="7"/>
  <c r="BZ432" i="7"/>
  <c r="CG432" i="7"/>
  <c r="CI432" i="7"/>
  <c r="CF432" i="7"/>
  <c r="CM399" i="7"/>
  <c r="CT399" i="7"/>
  <c r="CK468" i="7"/>
  <c r="CJ468" i="7"/>
  <c r="CA467" i="7"/>
  <c r="CH467" i="7"/>
  <c r="CD467" i="7"/>
  <c r="CE467" i="7"/>
  <c r="BZ467" i="7"/>
  <c r="BY467" i="7"/>
  <c r="CJ467" i="7"/>
  <c r="CI467" i="7"/>
  <c r="CG467" i="7"/>
  <c r="CF467" i="7"/>
  <c r="CI372" i="7"/>
  <c r="BZ372" i="7"/>
  <c r="CD372" i="7"/>
  <c r="CA372" i="7"/>
  <c r="BY448" i="7"/>
  <c r="CF448" i="7"/>
  <c r="CI448" i="7"/>
  <c r="CC448" i="7"/>
  <c r="CB448" i="7"/>
  <c r="CE448" i="7"/>
  <c r="CG448" i="7"/>
  <c r="CH448" i="7"/>
  <c r="BZ448" i="7"/>
  <c r="CK462" i="7"/>
  <c r="CJ462" i="7"/>
  <c r="CE491" i="7"/>
  <c r="CK364" i="7"/>
  <c r="CM364" i="7"/>
  <c r="CJ380" i="7"/>
  <c r="CK401" i="7"/>
  <c r="CS401" i="7"/>
  <c r="CH431" i="7"/>
  <c r="CG431" i="7"/>
  <c r="CA431" i="7"/>
  <c r="CF463" i="7"/>
  <c r="CB489" i="7"/>
  <c r="CD489" i="7"/>
  <c r="CA489" i="7"/>
  <c r="BZ440" i="7"/>
  <c r="CB440" i="7"/>
  <c r="CC440" i="7"/>
  <c r="CC483" i="7"/>
  <c r="BZ483" i="7"/>
  <c r="CG459" i="7"/>
  <c r="BY459" i="7"/>
  <c r="CJ459" i="7"/>
  <c r="CE459" i="7"/>
  <c r="BZ495" i="7"/>
  <c r="CC495" i="7"/>
  <c r="CD380" i="7"/>
  <c r="BZ380" i="7"/>
  <c r="CC380" i="7"/>
  <c r="BY457" i="7"/>
  <c r="CK457" i="7"/>
  <c r="CB457" i="7"/>
  <c r="CB456" i="7"/>
  <c r="CF456" i="7"/>
  <c r="BY456" i="7"/>
  <c r="CK456" i="7"/>
  <c r="CJ409" i="7"/>
  <c r="CN409" i="7"/>
  <c r="CP402" i="7"/>
  <c r="CO402" i="7"/>
  <c r="CU402" i="7"/>
  <c r="CP405" i="7"/>
  <c r="CJ437" i="7"/>
  <c r="BZ431" i="7"/>
  <c r="CA463" i="7"/>
  <c r="CC489" i="7"/>
  <c r="CD440" i="7"/>
  <c r="CF440" i="7"/>
  <c r="BZ441" i="7"/>
  <c r="BY483" i="7"/>
  <c r="CK483" i="7"/>
  <c r="CG483" i="7"/>
  <c r="BZ459" i="7"/>
  <c r="CH459" i="7"/>
  <c r="CF495" i="7"/>
  <c r="CD495" i="7"/>
  <c r="CB380" i="7"/>
  <c r="CF380" i="7"/>
  <c r="CH457" i="7"/>
  <c r="CD457" i="7"/>
  <c r="BZ433" i="7"/>
  <c r="CD456" i="7"/>
  <c r="CH447" i="7"/>
  <c r="CC437" i="7"/>
  <c r="CD437" i="7"/>
  <c r="CF213" i="7"/>
  <c r="CJ227" i="7"/>
  <c r="CT227" i="7"/>
  <c r="CJ340" i="7"/>
  <c r="CK416" i="7"/>
  <c r="CN416" i="7"/>
  <c r="CJ489" i="7"/>
  <c r="CB463" i="7"/>
  <c r="BZ463" i="7"/>
  <c r="CI446" i="7"/>
  <c r="CF446" i="7"/>
  <c r="CG446" i="7"/>
  <c r="BY469" i="7"/>
  <c r="CJ469" i="7"/>
  <c r="CH469" i="7"/>
  <c r="CI469" i="7"/>
  <c r="CB490" i="7"/>
  <c r="CA490" i="7"/>
  <c r="CC490" i="7"/>
  <c r="CH482" i="7"/>
  <c r="BZ482" i="7"/>
  <c r="BY433" i="7"/>
  <c r="CJ433" i="7"/>
  <c r="CD433" i="7"/>
  <c r="CI433" i="7"/>
  <c r="CD447" i="7"/>
  <c r="CG447" i="7"/>
  <c r="CI447" i="7"/>
  <c r="CC213" i="7"/>
  <c r="CH437" i="7"/>
  <c r="CF437" i="7"/>
  <c r="CJ422" i="7"/>
  <c r="CL422" i="7"/>
  <c r="CN402" i="7"/>
  <c r="CM496" i="7"/>
  <c r="CS496" i="7"/>
  <c r="CK408" i="7"/>
  <c r="CT408" i="7"/>
  <c r="CK199" i="7"/>
  <c r="CD463" i="7"/>
  <c r="CG463" i="7"/>
  <c r="CI463" i="7"/>
  <c r="CD446" i="7"/>
  <c r="CA446" i="7"/>
  <c r="CC446" i="7"/>
  <c r="CK440" i="7"/>
  <c r="CD469" i="7"/>
  <c r="CC469" i="7"/>
  <c r="CE469" i="7"/>
  <c r="CH490" i="7"/>
  <c r="CE490" i="7"/>
  <c r="BY490" i="7"/>
  <c r="CJ490" i="7"/>
  <c r="CD482" i="7"/>
  <c r="CF482" i="7"/>
  <c r="CG482" i="7"/>
  <c r="CF433" i="7"/>
  <c r="CB433" i="7"/>
  <c r="CE433" i="7"/>
  <c r="BY447" i="7"/>
  <c r="CJ447" i="7"/>
  <c r="CB447" i="7"/>
  <c r="CA447" i="7"/>
  <c r="CD213" i="7"/>
  <c r="CB213" i="7"/>
  <c r="CJ429" i="7"/>
  <c r="CK412" i="7"/>
  <c r="CJ412" i="7"/>
  <c r="CK400" i="7"/>
  <c r="CJ400" i="7"/>
  <c r="CP496" i="7"/>
  <c r="CC463" i="7"/>
  <c r="BY463" i="7"/>
  <c r="CK463" i="7"/>
  <c r="CH446" i="7"/>
  <c r="CE446" i="7"/>
  <c r="CF469" i="7"/>
  <c r="CG469" i="7"/>
  <c r="CI490" i="7"/>
  <c r="CB482" i="7"/>
  <c r="CA482" i="7"/>
  <c r="CG433" i="7"/>
  <c r="CH433" i="7"/>
  <c r="CH213" i="7"/>
  <c r="CS402" i="7"/>
  <c r="CS397" i="7"/>
  <c r="CT419" i="7"/>
  <c r="CJ434" i="7"/>
  <c r="CN434" i="7"/>
  <c r="CM397" i="7"/>
  <c r="CQ419" i="7"/>
  <c r="CJ450" i="7"/>
  <c r="CR450" i="7"/>
  <c r="CQ402" i="7"/>
  <c r="CT402" i="7"/>
  <c r="CO397" i="7"/>
  <c r="CM419" i="7"/>
  <c r="CS409" i="7"/>
  <c r="CR402" i="7"/>
  <c r="CL402" i="7"/>
  <c r="CQ397" i="7"/>
  <c r="CR419" i="7"/>
  <c r="CN413" i="7"/>
  <c r="CR413" i="7"/>
  <c r="CM413" i="7"/>
  <c r="CS413" i="7"/>
  <c r="CO413" i="7"/>
  <c r="CQ413" i="7"/>
  <c r="CV413" i="7"/>
  <c r="CT413" i="7"/>
  <c r="CL413" i="7"/>
  <c r="CP413" i="7"/>
  <c r="CA497" i="7"/>
  <c r="CE497" i="7"/>
  <c r="CI497" i="7"/>
  <c r="BY497" i="7"/>
  <c r="CK497" i="7"/>
  <c r="CD497" i="7"/>
  <c r="BZ497" i="7"/>
  <c r="CF497" i="7"/>
  <c r="CH497" i="7"/>
  <c r="CG497" i="7"/>
  <c r="CB497" i="7"/>
  <c r="CC497" i="7"/>
  <c r="CJ375" i="7"/>
  <c r="CA445" i="7"/>
  <c r="CE445" i="7"/>
  <c r="CI445" i="7"/>
  <c r="BY445" i="7"/>
  <c r="CD445" i="7"/>
  <c r="BZ445" i="7"/>
  <c r="CF445" i="7"/>
  <c r="CG445" i="7"/>
  <c r="CB445" i="7"/>
  <c r="CH445" i="7"/>
  <c r="CC445" i="7"/>
  <c r="BY484" i="7"/>
  <c r="CK484" i="7"/>
  <c r="CC484" i="7"/>
  <c r="CG484" i="7"/>
  <c r="CA484" i="7"/>
  <c r="CF484" i="7"/>
  <c r="CB484" i="7"/>
  <c r="CH484" i="7"/>
  <c r="CI484" i="7"/>
  <c r="BZ484" i="7"/>
  <c r="CD484" i="7"/>
  <c r="CE484" i="7"/>
  <c r="CN407" i="7"/>
  <c r="CR407" i="7"/>
  <c r="CM407" i="7"/>
  <c r="CS407" i="7"/>
  <c r="CO407" i="7"/>
  <c r="CP407" i="7"/>
  <c r="CT407" i="7"/>
  <c r="CQ407" i="7"/>
  <c r="CL407" i="7"/>
  <c r="BY438" i="7"/>
  <c r="CC438" i="7"/>
  <c r="CG438" i="7"/>
  <c r="BZ438" i="7"/>
  <c r="CE438" i="7"/>
  <c r="CA438" i="7"/>
  <c r="CF438" i="7"/>
  <c r="CH438" i="7"/>
  <c r="CB438" i="7"/>
  <c r="CI438" i="7"/>
  <c r="CD438" i="7"/>
  <c r="CK455" i="7"/>
  <c r="CP425" i="7"/>
  <c r="CS425" i="7"/>
  <c r="CL414" i="7"/>
  <c r="CP414" i="7"/>
  <c r="CT414" i="7"/>
  <c r="CN414" i="7"/>
  <c r="CS414" i="7"/>
  <c r="CO414" i="7"/>
  <c r="CU414" i="7"/>
  <c r="CR414" i="7"/>
  <c r="CM414" i="7"/>
  <c r="CQ414" i="7"/>
  <c r="BY474" i="7"/>
  <c r="CC474" i="7"/>
  <c r="CG474" i="7"/>
  <c r="BZ474" i="7"/>
  <c r="CE474" i="7"/>
  <c r="CA474" i="7"/>
  <c r="CF474" i="7"/>
  <c r="CH474" i="7"/>
  <c r="CB474" i="7"/>
  <c r="CI474" i="7"/>
  <c r="CD474" i="7"/>
  <c r="CA477" i="7"/>
  <c r="CE477" i="7"/>
  <c r="CI477" i="7"/>
  <c r="CB477" i="7"/>
  <c r="CG477" i="7"/>
  <c r="CC477" i="7"/>
  <c r="CH477" i="7"/>
  <c r="BZ477" i="7"/>
  <c r="CF477" i="7"/>
  <c r="CD477" i="7"/>
  <c r="BY477" i="7"/>
  <c r="CK477" i="7"/>
  <c r="BY466" i="7"/>
  <c r="CC466" i="7"/>
  <c r="CG466" i="7"/>
  <c r="CB466" i="7"/>
  <c r="CH466" i="7"/>
  <c r="BZ466" i="7"/>
  <c r="CF466" i="7"/>
  <c r="CA466" i="7"/>
  <c r="CI466" i="7"/>
  <c r="CD466" i="7"/>
  <c r="CE466" i="7"/>
  <c r="CJ477" i="7"/>
  <c r="CK403" i="7"/>
  <c r="CJ403" i="7"/>
  <c r="CP399" i="7"/>
  <c r="CL399" i="7"/>
  <c r="CN399" i="7"/>
  <c r="CO460" i="7"/>
  <c r="CS460" i="7"/>
  <c r="CN460" i="7"/>
  <c r="CT460" i="7"/>
  <c r="CM460" i="7"/>
  <c r="CP460" i="7"/>
  <c r="CQ460" i="7"/>
  <c r="CL460" i="7"/>
  <c r="CR460" i="7"/>
  <c r="CN411" i="7"/>
  <c r="CR411" i="7"/>
  <c r="CM411" i="7"/>
  <c r="CS411" i="7"/>
  <c r="CO411" i="7"/>
  <c r="CP411" i="7"/>
  <c r="CT411" i="7"/>
  <c r="CQ411" i="7"/>
  <c r="CL411" i="7"/>
  <c r="CK426" i="7"/>
  <c r="CJ426" i="7"/>
  <c r="CK486" i="7"/>
  <c r="CJ486" i="7"/>
  <c r="CT425" i="7"/>
  <c r="CM425" i="7"/>
  <c r="CN392" i="7"/>
  <c r="CK490" i="7"/>
  <c r="CM402" i="7"/>
  <c r="CA487" i="7"/>
  <c r="CE487" i="7"/>
  <c r="CI487" i="7"/>
  <c r="CC487" i="7"/>
  <c r="CH487" i="7"/>
  <c r="BY487" i="7"/>
  <c r="CK487" i="7"/>
  <c r="CD487" i="7"/>
  <c r="CF487" i="7"/>
  <c r="CG487" i="7"/>
  <c r="BZ487" i="7"/>
  <c r="CB487" i="7"/>
  <c r="CA383" i="7"/>
  <c r="CC383" i="7"/>
  <c r="CH383" i="7"/>
  <c r="CD383" i="7"/>
  <c r="BZ383" i="7"/>
  <c r="CE236" i="7"/>
  <c r="CT397" i="7"/>
  <c r="CR397" i="7"/>
  <c r="CN472" i="7"/>
  <c r="CP419" i="7"/>
  <c r="CO419" i="7"/>
  <c r="CN419" i="7"/>
  <c r="CT295" i="7"/>
  <c r="CJ470" i="7"/>
  <c r="CO399" i="7"/>
  <c r="CS399" i="7"/>
  <c r="BY476" i="7"/>
  <c r="CK476" i="7"/>
  <c r="CC476" i="7"/>
  <c r="CG476" i="7"/>
  <c r="CA476" i="7"/>
  <c r="CF476" i="7"/>
  <c r="CB476" i="7"/>
  <c r="CH476" i="7"/>
  <c r="CI476" i="7"/>
  <c r="CD476" i="7"/>
  <c r="BZ476" i="7"/>
  <c r="CE476" i="7"/>
  <c r="CJ443" i="7"/>
  <c r="CT401" i="7"/>
  <c r="CM478" i="7"/>
  <c r="CR478" i="7"/>
  <c r="CP478" i="7"/>
  <c r="CQ478" i="7"/>
  <c r="CV478" i="7"/>
  <c r="CL421" i="7"/>
  <c r="CK404" i="7"/>
  <c r="CJ404" i="7"/>
  <c r="CQ425" i="7"/>
  <c r="CR425" i="7"/>
  <c r="CT392" i="7"/>
  <c r="CJ428" i="7"/>
  <c r="CJ488" i="7"/>
  <c r="CK464" i="7"/>
  <c r="CK501" i="7"/>
  <c r="CK433" i="7"/>
  <c r="CA376" i="7"/>
  <c r="CI376" i="7"/>
  <c r="BY498" i="7"/>
  <c r="CC498" i="7"/>
  <c r="CG498" i="7"/>
  <c r="BZ498" i="7"/>
  <c r="CE498" i="7"/>
  <c r="CA498" i="7"/>
  <c r="CF498" i="7"/>
  <c r="CD498" i="7"/>
  <c r="CB498" i="7"/>
  <c r="CH498" i="7"/>
  <c r="CI498" i="7"/>
  <c r="CA499" i="7"/>
  <c r="CE499" i="7"/>
  <c r="CI499" i="7"/>
  <c r="BZ499" i="7"/>
  <c r="CF499" i="7"/>
  <c r="CB499" i="7"/>
  <c r="CG499" i="7"/>
  <c r="BY499" i="7"/>
  <c r="CK499" i="7"/>
  <c r="CH499" i="7"/>
  <c r="CC499" i="7"/>
  <c r="CD499" i="7"/>
  <c r="BZ193" i="7"/>
  <c r="CB193" i="7"/>
  <c r="CA193" i="7"/>
  <c r="CK424" i="7"/>
  <c r="CJ424" i="7"/>
  <c r="CJ374" i="7"/>
  <c r="CB395" i="7"/>
  <c r="CI395" i="7"/>
  <c r="CN205" i="7"/>
  <c r="CJ485" i="7"/>
  <c r="CS450" i="7"/>
  <c r="CM450" i="7"/>
  <c r="CT450" i="7"/>
  <c r="CP450" i="7"/>
  <c r="CA449" i="7"/>
  <c r="CE449" i="7"/>
  <c r="CI449" i="7"/>
  <c r="CB449" i="7"/>
  <c r="CG449" i="7"/>
  <c r="CC449" i="7"/>
  <c r="CH449" i="7"/>
  <c r="CF449" i="7"/>
  <c r="BZ449" i="7"/>
  <c r="BY449" i="7"/>
  <c r="CD449" i="7"/>
  <c r="CK489" i="7"/>
  <c r="CK469" i="7"/>
  <c r="CS436" i="7"/>
  <c r="CA479" i="7"/>
  <c r="CE479" i="7"/>
  <c r="CI479" i="7"/>
  <c r="CC479" i="7"/>
  <c r="CH479" i="7"/>
  <c r="BY479" i="7"/>
  <c r="CK479" i="7"/>
  <c r="CD479" i="7"/>
  <c r="CF479" i="7"/>
  <c r="CG479" i="7"/>
  <c r="BZ479" i="7"/>
  <c r="CB479" i="7"/>
  <c r="CA465" i="7"/>
  <c r="CE465" i="7"/>
  <c r="CI465" i="7"/>
  <c r="CB465" i="7"/>
  <c r="CG465" i="7"/>
  <c r="CD465" i="7"/>
  <c r="BY465" i="7"/>
  <c r="CF465" i="7"/>
  <c r="BZ465" i="7"/>
  <c r="CH465" i="7"/>
  <c r="CC465" i="7"/>
  <c r="CA435" i="7"/>
  <c r="CE435" i="7"/>
  <c r="CI435" i="7"/>
  <c r="CC435" i="7"/>
  <c r="CH435" i="7"/>
  <c r="BY435" i="7"/>
  <c r="CD435" i="7"/>
  <c r="CF435" i="7"/>
  <c r="BZ435" i="7"/>
  <c r="CG435" i="7"/>
  <c r="CB435" i="7"/>
  <c r="CK442" i="7"/>
  <c r="CJ442" i="7"/>
  <c r="BY500" i="7"/>
  <c r="CK500" i="7"/>
  <c r="CC500" i="7"/>
  <c r="CG500" i="7"/>
  <c r="CA500" i="7"/>
  <c r="CF500" i="7"/>
  <c r="CB500" i="7"/>
  <c r="CH500" i="7"/>
  <c r="CE500" i="7"/>
  <c r="CD500" i="7"/>
  <c r="CI500" i="7"/>
  <c r="BZ500" i="7"/>
  <c r="CA471" i="7"/>
  <c r="CE471" i="7"/>
  <c r="CI471" i="7"/>
  <c r="CC471" i="7"/>
  <c r="CH471" i="7"/>
  <c r="BY471" i="7"/>
  <c r="CK471" i="7"/>
  <c r="CD471" i="7"/>
  <c r="CF471" i="7"/>
  <c r="CG471" i="7"/>
  <c r="BZ471" i="7"/>
  <c r="CB471" i="7"/>
  <c r="CP397" i="7"/>
  <c r="CL397" i="7"/>
  <c r="CA451" i="7"/>
  <c r="CE451" i="7"/>
  <c r="CI451" i="7"/>
  <c r="CC451" i="7"/>
  <c r="CH451" i="7"/>
  <c r="BY451" i="7"/>
  <c r="CD451" i="7"/>
  <c r="BZ451" i="7"/>
  <c r="CF451" i="7"/>
  <c r="CB451" i="7"/>
  <c r="CG451" i="7"/>
  <c r="CA481" i="7"/>
  <c r="CE481" i="7"/>
  <c r="CI481" i="7"/>
  <c r="BY481" i="7"/>
  <c r="CK481" i="7"/>
  <c r="CD481" i="7"/>
  <c r="BZ481" i="7"/>
  <c r="CF481" i="7"/>
  <c r="CB481" i="7"/>
  <c r="CC481" i="7"/>
  <c r="CG481" i="7"/>
  <c r="CH481" i="7"/>
  <c r="CQ472" i="7"/>
  <c r="CT480" i="7"/>
  <c r="CL480" i="7"/>
  <c r="CO452" i="7"/>
  <c r="CS452" i="7"/>
  <c r="CN452" i="7"/>
  <c r="CT452" i="7"/>
  <c r="CP452" i="7"/>
  <c r="CL452" i="7"/>
  <c r="CQ452" i="7"/>
  <c r="CM452" i="7"/>
  <c r="CR452" i="7"/>
  <c r="BY454" i="7"/>
  <c r="CC454" i="7"/>
  <c r="CG454" i="7"/>
  <c r="BZ454" i="7"/>
  <c r="CE454" i="7"/>
  <c r="CB454" i="7"/>
  <c r="CI454" i="7"/>
  <c r="CF454" i="7"/>
  <c r="CD454" i="7"/>
  <c r="CH454" i="7"/>
  <c r="CA454" i="7"/>
  <c r="CL419" i="7"/>
  <c r="CK417" i="7"/>
  <c r="CJ417" i="7"/>
  <c r="CK423" i="7"/>
  <c r="CJ423" i="7"/>
  <c r="CK502" i="7"/>
  <c r="CJ502" i="7"/>
  <c r="BY430" i="7"/>
  <c r="CC430" i="7"/>
  <c r="CG430" i="7"/>
  <c r="CA430" i="7"/>
  <c r="CF430" i="7"/>
  <c r="CD430" i="7"/>
  <c r="CE430" i="7"/>
  <c r="CH430" i="7"/>
  <c r="CI430" i="7"/>
  <c r="BZ430" i="7"/>
  <c r="CB430" i="7"/>
  <c r="CQ399" i="7"/>
  <c r="CV399" i="7"/>
  <c r="CJ415" i="7"/>
  <c r="CJ440" i="7"/>
  <c r="CJ494" i="7"/>
  <c r="CO409" i="7"/>
  <c r="CK384" i="7"/>
  <c r="CJ384" i="7"/>
  <c r="CJ446" i="7"/>
  <c r="CK427" i="7"/>
  <c r="CJ427" i="7"/>
  <c r="CL425" i="7"/>
  <c r="CO425" i="7"/>
  <c r="CJ458" i="7"/>
  <c r="M153" i="10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/>
  <c r="CO472" i="7"/>
  <c r="CO274" i="7"/>
  <c r="CQ480" i="7"/>
  <c r="CR480" i="7"/>
  <c r="CV480" i="7"/>
  <c r="CS480" i="7"/>
  <c r="CW480" i="7"/>
  <c r="CP227" i="7"/>
  <c r="CT478" i="7"/>
  <c r="CS478" i="7"/>
  <c r="CW478" i="7"/>
  <c r="CG354" i="7"/>
  <c r="CJ365" i="7"/>
  <c r="BY213" i="7"/>
  <c r="CS472" i="7"/>
  <c r="CA213" i="7"/>
  <c r="CN260" i="7"/>
  <c r="CB372" i="7"/>
  <c r="BY372" i="7"/>
  <c r="CJ372" i="7"/>
  <c r="CE213" i="7"/>
  <c r="CQ260" i="7"/>
  <c r="BZ213" i="7"/>
  <c r="CP260" i="7"/>
  <c r="CN480" i="7"/>
  <c r="CF354" i="7"/>
  <c r="CL472" i="7"/>
  <c r="CC232" i="7"/>
  <c r="CP472" i="7"/>
  <c r="CM406" i="7"/>
  <c r="CM480" i="7"/>
  <c r="CP480" i="7"/>
  <c r="CU480" i="7"/>
  <c r="CQ436" i="7"/>
  <c r="CL418" i="7"/>
  <c r="CJ483" i="7"/>
  <c r="CL483" i="7"/>
  <c r="CL478" i="7"/>
  <c r="CN478" i="7"/>
  <c r="CH354" i="7"/>
  <c r="CG213" i="7"/>
  <c r="CH372" i="7"/>
  <c r="CC372" i="7"/>
  <c r="CE372" i="7"/>
  <c r="CT437" i="7"/>
  <c r="CO260" i="7"/>
  <c r="CU260" i="7"/>
  <c r="CK241" i="7"/>
  <c r="CJ241" i="7"/>
  <c r="CE371" i="7"/>
  <c r="CG371" i="7"/>
  <c r="CK385" i="7"/>
  <c r="CJ385" i="7"/>
  <c r="CK380" i="7"/>
  <c r="CR380" i="7"/>
  <c r="CW405" i="7"/>
  <c r="CI371" i="7"/>
  <c r="CK447" i="7"/>
  <c r="CP447" i="7"/>
  <c r="CJ370" i="7"/>
  <c r="CP370" i="7"/>
  <c r="CS241" i="7"/>
  <c r="CE193" i="7"/>
  <c r="CO421" i="7"/>
  <c r="CM241" i="7"/>
  <c r="CT241" i="7"/>
  <c r="CA27" i="7"/>
  <c r="CR405" i="7"/>
  <c r="CJ231" i="7"/>
  <c r="CP231" i="7"/>
  <c r="CK395" i="7"/>
  <c r="CP246" i="7"/>
  <c r="CS246" i="7"/>
  <c r="CK354" i="7"/>
  <c r="CJ354" i="7"/>
  <c r="CE354" i="7"/>
  <c r="CP354" i="7"/>
  <c r="CS434" i="7"/>
  <c r="CP241" i="7"/>
  <c r="CT246" i="7"/>
  <c r="CN208" i="7"/>
  <c r="CM410" i="7"/>
  <c r="CF193" i="7"/>
  <c r="CD193" i="7"/>
  <c r="CM418" i="7"/>
  <c r="CM227" i="7"/>
  <c r="CR410" i="7"/>
  <c r="CR241" i="7"/>
  <c r="CC236" i="7"/>
  <c r="CQ392" i="7"/>
  <c r="CT410" i="7"/>
  <c r="CM392" i="7"/>
  <c r="CL392" i="7"/>
  <c r="CM462" i="7"/>
  <c r="CP468" i="7"/>
  <c r="CH27" i="7"/>
  <c r="CS205" i="7"/>
  <c r="CQ246" i="7"/>
  <c r="CJ209" i="7"/>
  <c r="CS209" i="7"/>
  <c r="CP436" i="7"/>
  <c r="CK453" i="7"/>
  <c r="CQ453" i="7"/>
  <c r="CR401" i="7"/>
  <c r="CA354" i="7"/>
  <c r="CC354" i="7"/>
  <c r="CD354" i="7"/>
  <c r="CI232" i="7"/>
  <c r="CR340" i="7"/>
  <c r="CR436" i="7"/>
  <c r="CV436" i="7"/>
  <c r="CT436" i="7"/>
  <c r="CW436" i="7"/>
  <c r="CT205" i="7"/>
  <c r="CC193" i="7"/>
  <c r="BY193" i="7"/>
  <c r="CK193" i="7"/>
  <c r="CS418" i="7"/>
  <c r="CB376" i="7"/>
  <c r="CR392" i="7"/>
  <c r="CN401" i="7"/>
  <c r="CI354" i="7"/>
  <c r="BZ354" i="7"/>
  <c r="CL410" i="7"/>
  <c r="CG383" i="7"/>
  <c r="CF383" i="7"/>
  <c r="CI383" i="7"/>
  <c r="CO392" i="7"/>
  <c r="CU392" i="7"/>
  <c r="BY232" i="7"/>
  <c r="CK232" i="7"/>
  <c r="CM434" i="7"/>
  <c r="CS392" i="7"/>
  <c r="CJ473" i="7"/>
  <c r="CT473" i="7"/>
  <c r="CO410" i="7"/>
  <c r="CP410" i="7"/>
  <c r="CU410" i="7"/>
  <c r="CR496" i="7"/>
  <c r="CN496" i="7"/>
  <c r="CJ27" i="7"/>
  <c r="CQ496" i="7"/>
  <c r="CV246" i="7"/>
  <c r="CT208" i="7"/>
  <c r="CU246" i="7"/>
  <c r="CT209" i="7"/>
  <c r="CM436" i="7"/>
  <c r="CO436" i="7"/>
  <c r="CU436" i="7"/>
  <c r="CQ418" i="7"/>
  <c r="CN422" i="7"/>
  <c r="CK439" i="7"/>
  <c r="CM439" i="7"/>
  <c r="CU496" i="7"/>
  <c r="CL436" i="7"/>
  <c r="CO416" i="7"/>
  <c r="CP416" i="7"/>
  <c r="CU416" i="7"/>
  <c r="CG193" i="7"/>
  <c r="CI193" i="7"/>
  <c r="CN418" i="7"/>
  <c r="BZ376" i="7"/>
  <c r="CJ441" i="7"/>
  <c r="CM441" i="7"/>
  <c r="CQ401" i="7"/>
  <c r="CS416" i="7"/>
  <c r="CB354" i="7"/>
  <c r="CS410" i="7"/>
  <c r="CW410" i="7"/>
  <c r="CB383" i="7"/>
  <c r="BY383" i="7"/>
  <c r="CK383" i="7"/>
  <c r="CK482" i="7"/>
  <c r="CS482" i="7"/>
  <c r="CG232" i="7"/>
  <c r="CH232" i="7"/>
  <c r="CQ434" i="7"/>
  <c r="CQ410" i="7"/>
  <c r="CV410" i="7"/>
  <c r="CL496" i="7"/>
  <c r="CR205" i="7"/>
  <c r="CO209" i="7"/>
  <c r="BZ371" i="7"/>
  <c r="CD371" i="7"/>
  <c r="CA371" i="7"/>
  <c r="CK368" i="7"/>
  <c r="CJ368" i="7"/>
  <c r="CJ463" i="7"/>
  <c r="CQ463" i="7"/>
  <c r="BY376" i="7"/>
  <c r="CK376" i="7"/>
  <c r="CH376" i="7"/>
  <c r="CN421" i="7"/>
  <c r="CJ475" i="7"/>
  <c r="CQ475" i="7"/>
  <c r="CW399" i="7"/>
  <c r="CV397" i="7"/>
  <c r="CK296" i="7"/>
  <c r="CO296" i="7"/>
  <c r="CK459" i="7"/>
  <c r="CQ459" i="7"/>
  <c r="CB371" i="7"/>
  <c r="CC371" i="7"/>
  <c r="CF371" i="7"/>
  <c r="CF27" i="7"/>
  <c r="CE27" i="7"/>
  <c r="CS406" i="7"/>
  <c r="CK369" i="7"/>
  <c r="CP369" i="7"/>
  <c r="CI27" i="7"/>
  <c r="CS420" i="7"/>
  <c r="CW420" i="7"/>
  <c r="CO437" i="7"/>
  <c r="CS408" i="7"/>
  <c r="CW408" i="7"/>
  <c r="CF376" i="7"/>
  <c r="CC376" i="7"/>
  <c r="CJ431" i="7"/>
  <c r="CM431" i="7"/>
  <c r="CF29" i="7"/>
  <c r="CN199" i="7"/>
  <c r="BY29" i="7"/>
  <c r="CK29" i="7"/>
  <c r="CU405" i="7"/>
  <c r="CH371" i="7"/>
  <c r="CG27" i="7"/>
  <c r="CO406" i="7"/>
  <c r="CQ420" i="7"/>
  <c r="CB256" i="7"/>
  <c r="CE256" i="7"/>
  <c r="CF256" i="7"/>
  <c r="CH256" i="7"/>
  <c r="CG256" i="7"/>
  <c r="CI256" i="7"/>
  <c r="CD256" i="7"/>
  <c r="CC256" i="7"/>
  <c r="BZ256" i="7"/>
  <c r="CP208" i="7"/>
  <c r="CR208" i="7"/>
  <c r="CO208" i="7"/>
  <c r="CC27" i="7"/>
  <c r="CM208" i="7"/>
  <c r="CL208" i="7"/>
  <c r="CB27" i="7"/>
  <c r="CS208" i="7"/>
  <c r="CQ208" i="7"/>
  <c r="BZ27" i="7"/>
  <c r="CD235" i="7"/>
  <c r="CI235" i="7"/>
  <c r="CF235" i="7"/>
  <c r="CC235" i="7"/>
  <c r="CH235" i="7"/>
  <c r="CA235" i="7"/>
  <c r="CE235" i="7"/>
  <c r="BY235" i="7"/>
  <c r="CK235" i="7"/>
  <c r="CB235" i="7"/>
  <c r="BY92" i="7"/>
  <c r="CK92" i="7"/>
  <c r="CB92" i="7"/>
  <c r="CF92" i="7"/>
  <c r="BZ92" i="7"/>
  <c r="CI92" i="7"/>
  <c r="CH92" i="7"/>
  <c r="CC92" i="7"/>
  <c r="CE92" i="7"/>
  <c r="CD92" i="7"/>
  <c r="CG92" i="7"/>
  <c r="CK75" i="7"/>
  <c r="CJ75" i="7"/>
  <c r="BZ236" i="7"/>
  <c r="CJ499" i="7"/>
  <c r="CM499" i="7"/>
  <c r="CP434" i="7"/>
  <c r="CT434" i="7"/>
  <c r="CW434" i="7"/>
  <c r="CN444" i="7"/>
  <c r="BZ235" i="7"/>
  <c r="CM209" i="7"/>
  <c r="CN209" i="7"/>
  <c r="CL209" i="7"/>
  <c r="CL434" i="7"/>
  <c r="CO434" i="7"/>
  <c r="CT472" i="7"/>
  <c r="CP420" i="7"/>
  <c r="CL406" i="7"/>
  <c r="CP406" i="7"/>
  <c r="BY256" i="7"/>
  <c r="CK256" i="7"/>
  <c r="CR420" i="7"/>
  <c r="CU399" i="7"/>
  <c r="CU472" i="7"/>
  <c r="CR468" i="7"/>
  <c r="CL420" i="7"/>
  <c r="CO420" i="7"/>
  <c r="CW496" i="7"/>
  <c r="CR501" i="7"/>
  <c r="CB309" i="7"/>
  <c r="CA309" i="7"/>
  <c r="CE309" i="7"/>
  <c r="CI309" i="7"/>
  <c r="BZ309" i="7"/>
  <c r="CH309" i="7"/>
  <c r="CG309" i="7"/>
  <c r="CF309" i="7"/>
  <c r="BY309" i="7"/>
  <c r="CC309" i="7"/>
  <c r="CD309" i="7"/>
  <c r="CF395" i="7"/>
  <c r="CG395" i="7"/>
  <c r="CJ476" i="7"/>
  <c r="CQ476" i="7"/>
  <c r="CW392" i="7"/>
  <c r="CP421" i="7"/>
  <c r="CS421" i="7"/>
  <c r="CP408" i="7"/>
  <c r="CW397" i="7"/>
  <c r="CI236" i="7"/>
  <c r="BY236" i="7"/>
  <c r="CK236" i="7"/>
  <c r="CT468" i="7"/>
  <c r="CS444" i="7"/>
  <c r="CK495" i="7"/>
  <c r="CJ495" i="7"/>
  <c r="CP274" i="7"/>
  <c r="CU274" i="7"/>
  <c r="CO205" i="7"/>
  <c r="CU205" i="7"/>
  <c r="CM205" i="7"/>
  <c r="CL205" i="7"/>
  <c r="CE395" i="7"/>
  <c r="CD395" i="7"/>
  <c r="CC395" i="7"/>
  <c r="CR418" i="7"/>
  <c r="CT418" i="7"/>
  <c r="CT421" i="7"/>
  <c r="CM421" i="7"/>
  <c r="CL401" i="7"/>
  <c r="CO408" i="7"/>
  <c r="CU408" i="7"/>
  <c r="CN241" i="7"/>
  <c r="CL241" i="7"/>
  <c r="CF236" i="7"/>
  <c r="CG236" i="7"/>
  <c r="CH236" i="7"/>
  <c r="CA232" i="7"/>
  <c r="CB232" i="7"/>
  <c r="CD232" i="7"/>
  <c r="CM468" i="7"/>
  <c r="CO468" i="7"/>
  <c r="CU468" i="7"/>
  <c r="CW260" i="7"/>
  <c r="CR444" i="7"/>
  <c r="CR274" i="7"/>
  <c r="CT274" i="7"/>
  <c r="CR408" i="7"/>
  <c r="BZ395" i="7"/>
  <c r="CW419" i="7"/>
  <c r="CQ274" i="7"/>
  <c r="CS274" i="7"/>
  <c r="CQ205" i="7"/>
  <c r="CV205" i="7"/>
  <c r="CA395" i="7"/>
  <c r="CH395" i="7"/>
  <c r="CO418" i="7"/>
  <c r="CU418" i="7"/>
  <c r="CQ421" i="7"/>
  <c r="CV421" i="7"/>
  <c r="CO401" i="7"/>
  <c r="CM401" i="7"/>
  <c r="CJ456" i="7"/>
  <c r="CL456" i="7"/>
  <c r="CB236" i="7"/>
  <c r="CA236" i="7"/>
  <c r="CJ461" i="7"/>
  <c r="CM461" i="7"/>
  <c r="CF232" i="7"/>
  <c r="CE232" i="7"/>
  <c r="CR472" i="7"/>
  <c r="CV472" i="7"/>
  <c r="CQ444" i="7"/>
  <c r="CP444" i="7"/>
  <c r="CU444" i="7"/>
  <c r="CG376" i="7"/>
  <c r="CD376" i="7"/>
  <c r="CP462" i="7"/>
  <c r="CL444" i="7"/>
  <c r="CP43" i="7"/>
  <c r="CO43" i="7"/>
  <c r="CM43" i="7"/>
  <c r="CN43" i="7"/>
  <c r="CQ43" i="7"/>
  <c r="CR43" i="7"/>
  <c r="BZ29" i="7"/>
  <c r="CG29" i="7"/>
  <c r="CC29" i="7"/>
  <c r="CB29" i="7"/>
  <c r="CH29" i="7"/>
  <c r="CI29" i="7"/>
  <c r="CN406" i="7"/>
  <c r="CT406" i="7"/>
  <c r="CQ406" i="7"/>
  <c r="CV406" i="7"/>
  <c r="CV405" i="7"/>
  <c r="CJ493" i="7"/>
  <c r="CP493" i="7"/>
  <c r="CR416" i="7"/>
  <c r="CL437" i="7"/>
  <c r="CL260" i="7"/>
  <c r="CS468" i="7"/>
  <c r="CW468" i="7"/>
  <c r="CV260" i="7"/>
  <c r="CS43" i="7"/>
  <c r="CW43" i="7"/>
  <c r="CJ371" i="7"/>
  <c r="CS371" i="7"/>
  <c r="CJ256" i="7"/>
  <c r="CN256" i="7"/>
  <c r="CE29" i="7"/>
  <c r="CA29" i="7"/>
  <c r="CT364" i="7"/>
  <c r="CR364" i="7"/>
  <c r="CB388" i="7"/>
  <c r="CH388" i="7"/>
  <c r="CG388" i="7"/>
  <c r="BZ388" i="7"/>
  <c r="CA388" i="7"/>
  <c r="CF388" i="7"/>
  <c r="CI388" i="7"/>
  <c r="CE388" i="7"/>
  <c r="CC388" i="7"/>
  <c r="BY388" i="7"/>
  <c r="CK388" i="7"/>
  <c r="CD388" i="7"/>
  <c r="CH250" i="7"/>
  <c r="CG250" i="7"/>
  <c r="CB250" i="7"/>
  <c r="CD250" i="7"/>
  <c r="CI250" i="7"/>
  <c r="CF250" i="7"/>
  <c r="CE250" i="7"/>
  <c r="BY250" i="7"/>
  <c r="CK250" i="7"/>
  <c r="CC250" i="7"/>
  <c r="CA250" i="7"/>
  <c r="BZ250" i="7"/>
  <c r="CO340" i="7"/>
  <c r="CN340" i="7"/>
  <c r="CQ369" i="7"/>
  <c r="CK27" i="7"/>
  <c r="CN231" i="7"/>
  <c r="CQ437" i="7"/>
  <c r="CP340" i="7"/>
  <c r="CU340" i="7"/>
  <c r="CO380" i="7"/>
  <c r="CM444" i="7"/>
  <c r="CT444" i="7"/>
  <c r="CR437" i="7"/>
  <c r="CS340" i="7"/>
  <c r="CJ497" i="7"/>
  <c r="CV392" i="7"/>
  <c r="CO482" i="7"/>
  <c r="CR434" i="7"/>
  <c r="CR199" i="7"/>
  <c r="CL462" i="7"/>
  <c r="CQ409" i="7"/>
  <c r="CN462" i="7"/>
  <c r="CS462" i="7"/>
  <c r="CT453" i="7"/>
  <c r="CO364" i="7"/>
  <c r="CN364" i="7"/>
  <c r="CP482" i="7"/>
  <c r="CU482" i="7"/>
  <c r="CR409" i="7"/>
  <c r="CS437" i="7"/>
  <c r="CP437" i="7"/>
  <c r="CM437" i="7"/>
  <c r="CQ450" i="7"/>
  <c r="CV450" i="7"/>
  <c r="CN450" i="7"/>
  <c r="CP364" i="7"/>
  <c r="CS364" i="7"/>
  <c r="CP409" i="7"/>
  <c r="CU409" i="7"/>
  <c r="CL468" i="7"/>
  <c r="CN468" i="7"/>
  <c r="CM409" i="7"/>
  <c r="CT409" i="7"/>
  <c r="CW409" i="7"/>
  <c r="CL409" i="7"/>
  <c r="CW402" i="7"/>
  <c r="CJ457" i="7"/>
  <c r="CN457" i="7"/>
  <c r="CJ491" i="7"/>
  <c r="CP491" i="7"/>
  <c r="CK467" i="7"/>
  <c r="CQ467" i="7"/>
  <c r="CL364" i="7"/>
  <c r="CS464" i="7"/>
  <c r="CK448" i="7"/>
  <c r="CJ448" i="7"/>
  <c r="CK372" i="7"/>
  <c r="CQ462" i="7"/>
  <c r="CR462" i="7"/>
  <c r="CO462" i="7"/>
  <c r="CQ340" i="7"/>
  <c r="CM340" i="7"/>
  <c r="CO450" i="7"/>
  <c r="CN437" i="7"/>
  <c r="CT462" i="7"/>
  <c r="CJ432" i="7"/>
  <c r="CS432" i="7"/>
  <c r="CT340" i="7"/>
  <c r="CL450" i="7"/>
  <c r="CQ364" i="7"/>
  <c r="CQ422" i="7"/>
  <c r="CP401" i="7"/>
  <c r="CU401" i="7"/>
  <c r="CP473" i="7"/>
  <c r="CQ468" i="7"/>
  <c r="CJ492" i="7"/>
  <c r="CM416" i="7"/>
  <c r="CU397" i="7"/>
  <c r="CR422" i="7"/>
  <c r="CT422" i="7"/>
  <c r="CO227" i="7"/>
  <c r="CU227" i="7"/>
  <c r="CS227" i="7"/>
  <c r="CW227" i="7"/>
  <c r="CQ416" i="7"/>
  <c r="CL459" i="7"/>
  <c r="CT416" i="7"/>
  <c r="CL400" i="7"/>
  <c r="CS400" i="7"/>
  <c r="CQ400" i="7"/>
  <c r="CN400" i="7"/>
  <c r="CO400" i="7"/>
  <c r="CP400" i="7"/>
  <c r="CM400" i="7"/>
  <c r="CT400" i="7"/>
  <c r="CR400" i="7"/>
  <c r="CP429" i="7"/>
  <c r="CT429" i="7"/>
  <c r="CQ429" i="7"/>
  <c r="CN429" i="7"/>
  <c r="CO429" i="7"/>
  <c r="CU429" i="7"/>
  <c r="CS429" i="7"/>
  <c r="CW429" i="7"/>
  <c r="CM429" i="7"/>
  <c r="CR429" i="7"/>
  <c r="CL429" i="7"/>
  <c r="CQ199" i="7"/>
  <c r="CV199" i="7"/>
  <c r="CT199" i="7"/>
  <c r="CM469" i="7"/>
  <c r="CO422" i="7"/>
  <c r="CP422" i="7"/>
  <c r="CQ227" i="7"/>
  <c r="CN227" i="7"/>
  <c r="CL227" i="7"/>
  <c r="CQ457" i="7"/>
  <c r="CV460" i="7"/>
  <c r="CV407" i="7"/>
  <c r="CW407" i="7"/>
  <c r="CK213" i="7"/>
  <c r="CJ213" i="7"/>
  <c r="CL408" i="7"/>
  <c r="CQ408" i="7"/>
  <c r="CJ29" i="7"/>
  <c r="CN408" i="7"/>
  <c r="CM408" i="7"/>
  <c r="CO199" i="7"/>
  <c r="CP199" i="7"/>
  <c r="CQ433" i="7"/>
  <c r="CL490" i="7"/>
  <c r="CW241" i="7"/>
  <c r="CO489" i="7"/>
  <c r="CM422" i="7"/>
  <c r="CS422" i="7"/>
  <c r="CR227" i="7"/>
  <c r="CL416" i="7"/>
  <c r="CJ484" i="7"/>
  <c r="CS484" i="7"/>
  <c r="CP412" i="7"/>
  <c r="CO412" i="7"/>
  <c r="CR412" i="7"/>
  <c r="CT412" i="7"/>
  <c r="CQ412" i="7"/>
  <c r="CS412" i="7"/>
  <c r="CN412" i="7"/>
  <c r="CM412" i="7"/>
  <c r="CL412" i="7"/>
  <c r="CM199" i="7"/>
  <c r="CL199" i="7"/>
  <c r="CS199" i="7"/>
  <c r="CU450" i="7"/>
  <c r="CW425" i="7"/>
  <c r="CP433" i="7"/>
  <c r="CT501" i="7"/>
  <c r="CN489" i="7"/>
  <c r="CQ464" i="7"/>
  <c r="CT490" i="7"/>
  <c r="CP469" i="7"/>
  <c r="CU478" i="7"/>
  <c r="CS433" i="7"/>
  <c r="CL501" i="7"/>
  <c r="CP489" i="7"/>
  <c r="CN464" i="7"/>
  <c r="CO464" i="7"/>
  <c r="CP490" i="7"/>
  <c r="CR469" i="7"/>
  <c r="CV419" i="7"/>
  <c r="CJ471" i="7"/>
  <c r="CN471" i="7"/>
  <c r="CQ380" i="7"/>
  <c r="CU419" i="7"/>
  <c r="CL433" i="7"/>
  <c r="CM433" i="7"/>
  <c r="CU407" i="7"/>
  <c r="CQ489" i="7"/>
  <c r="CT464" i="7"/>
  <c r="CS490" i="7"/>
  <c r="CL469" i="7"/>
  <c r="CT433" i="7"/>
  <c r="CW413" i="7"/>
  <c r="CS489" i="7"/>
  <c r="CM489" i="7"/>
  <c r="CP464" i="7"/>
  <c r="CR490" i="7"/>
  <c r="CO469" i="7"/>
  <c r="CV402" i="7"/>
  <c r="CS447" i="7"/>
  <c r="CO446" i="7"/>
  <c r="CS446" i="7"/>
  <c r="CP446" i="7"/>
  <c r="CL446" i="7"/>
  <c r="CQ446" i="7"/>
  <c r="CM446" i="7"/>
  <c r="CR446" i="7"/>
  <c r="CN446" i="7"/>
  <c r="CT446" i="7"/>
  <c r="CO440" i="7"/>
  <c r="CS440" i="7"/>
  <c r="CL440" i="7"/>
  <c r="CQ440" i="7"/>
  <c r="CM440" i="7"/>
  <c r="CR440" i="7"/>
  <c r="CT440" i="7"/>
  <c r="CN440" i="7"/>
  <c r="CP440" i="7"/>
  <c r="CK435" i="7"/>
  <c r="CJ435" i="7"/>
  <c r="CS476" i="7"/>
  <c r="CR441" i="7"/>
  <c r="CO441" i="7"/>
  <c r="CO488" i="7"/>
  <c r="CS488" i="7"/>
  <c r="CN488" i="7"/>
  <c r="CT488" i="7"/>
  <c r="CP488" i="7"/>
  <c r="CR488" i="7"/>
  <c r="CQ488" i="7"/>
  <c r="CL488" i="7"/>
  <c r="CM488" i="7"/>
  <c r="CK445" i="7"/>
  <c r="CJ445" i="7"/>
  <c r="CN384" i="7"/>
  <c r="CR384" i="7"/>
  <c r="CO384" i="7"/>
  <c r="CT384" i="7"/>
  <c r="CP384" i="7"/>
  <c r="CM384" i="7"/>
  <c r="CQ384" i="7"/>
  <c r="CS384" i="7"/>
  <c r="CN417" i="7"/>
  <c r="CR417" i="7"/>
  <c r="CM417" i="7"/>
  <c r="CS417" i="7"/>
  <c r="CO417" i="7"/>
  <c r="CQ417" i="7"/>
  <c r="CV417" i="7"/>
  <c r="CT417" i="7"/>
  <c r="CP417" i="7"/>
  <c r="CL417" i="7"/>
  <c r="CK449" i="7"/>
  <c r="CJ449" i="7"/>
  <c r="CQ483" i="7"/>
  <c r="CP483" i="7"/>
  <c r="CN483" i="7"/>
  <c r="CO483" i="7"/>
  <c r="CU483" i="7"/>
  <c r="CM497" i="7"/>
  <c r="CQ497" i="7"/>
  <c r="CO497" i="7"/>
  <c r="CT497" i="7"/>
  <c r="CP497" i="7"/>
  <c r="CS497" i="7"/>
  <c r="CR497" i="7"/>
  <c r="CL497" i="7"/>
  <c r="CN497" i="7"/>
  <c r="CM443" i="7"/>
  <c r="CQ443" i="7"/>
  <c r="CN443" i="7"/>
  <c r="CS443" i="7"/>
  <c r="CO443" i="7"/>
  <c r="CT443" i="7"/>
  <c r="CR443" i="7"/>
  <c r="CL443" i="7"/>
  <c r="CP443" i="7"/>
  <c r="CJ479" i="7"/>
  <c r="CO486" i="7"/>
  <c r="CS486" i="7"/>
  <c r="CM486" i="7"/>
  <c r="CR486" i="7"/>
  <c r="CN486" i="7"/>
  <c r="CT486" i="7"/>
  <c r="CP486" i="7"/>
  <c r="CQ486" i="7"/>
  <c r="CV486" i="7"/>
  <c r="CL486" i="7"/>
  <c r="CQ370" i="7"/>
  <c r="CO370" i="7"/>
  <c r="CN427" i="7"/>
  <c r="CR427" i="7"/>
  <c r="CM427" i="7"/>
  <c r="CS427" i="7"/>
  <c r="CO427" i="7"/>
  <c r="CQ427" i="7"/>
  <c r="CV427" i="7"/>
  <c r="CT427" i="7"/>
  <c r="CL427" i="7"/>
  <c r="CP427" i="7"/>
  <c r="CN415" i="7"/>
  <c r="CR415" i="7"/>
  <c r="CM415" i="7"/>
  <c r="CS415" i="7"/>
  <c r="CO415" i="7"/>
  <c r="CQ415" i="7"/>
  <c r="CV415" i="7"/>
  <c r="CT415" i="7"/>
  <c r="CL415" i="7"/>
  <c r="CP415" i="7"/>
  <c r="CO439" i="7"/>
  <c r="CK430" i="7"/>
  <c r="CJ430" i="7"/>
  <c r="CN423" i="7"/>
  <c r="CR423" i="7"/>
  <c r="CM423" i="7"/>
  <c r="CS423" i="7"/>
  <c r="CO423" i="7"/>
  <c r="CQ423" i="7"/>
  <c r="CV423" i="7"/>
  <c r="CT423" i="7"/>
  <c r="CL423" i="7"/>
  <c r="CP423" i="7"/>
  <c r="CK454" i="7"/>
  <c r="CJ454" i="7"/>
  <c r="CV452" i="7"/>
  <c r="CK451" i="7"/>
  <c r="CJ451" i="7"/>
  <c r="CK465" i="7"/>
  <c r="CJ465" i="7"/>
  <c r="CN499" i="7"/>
  <c r="CJ92" i="7"/>
  <c r="CL424" i="7"/>
  <c r="CP424" i="7"/>
  <c r="CT424" i="7"/>
  <c r="CN424" i="7"/>
  <c r="CS424" i="7"/>
  <c r="CO424" i="7"/>
  <c r="CU424" i="7"/>
  <c r="CR424" i="7"/>
  <c r="CM424" i="7"/>
  <c r="CQ424" i="7"/>
  <c r="CJ193" i="7"/>
  <c r="CJ487" i="7"/>
  <c r="CW401" i="7"/>
  <c r="CM475" i="7"/>
  <c r="CT475" i="7"/>
  <c r="CU411" i="7"/>
  <c r="CW460" i="7"/>
  <c r="CP296" i="7"/>
  <c r="CN296" i="7"/>
  <c r="CQ296" i="7"/>
  <c r="CR296" i="7"/>
  <c r="CJ481" i="7"/>
  <c r="CJ500" i="7"/>
  <c r="CO433" i="7"/>
  <c r="CN433" i="7"/>
  <c r="CO501" i="7"/>
  <c r="CN501" i="7"/>
  <c r="CM501" i="7"/>
  <c r="CK438" i="7"/>
  <c r="CJ438" i="7"/>
  <c r="CR489" i="7"/>
  <c r="CT489" i="7"/>
  <c r="CM464" i="7"/>
  <c r="CL464" i="7"/>
  <c r="CN490" i="7"/>
  <c r="CQ490" i="7"/>
  <c r="CO490" i="7"/>
  <c r="CS469" i="7"/>
  <c r="CQ469" i="7"/>
  <c r="CM463" i="7"/>
  <c r="CL463" i="7"/>
  <c r="CU452" i="7"/>
  <c r="CW450" i="7"/>
  <c r="CK498" i="7"/>
  <c r="CJ498" i="7"/>
  <c r="CP431" i="7"/>
  <c r="CO470" i="7"/>
  <c r="CS470" i="7"/>
  <c r="CM470" i="7"/>
  <c r="CR470" i="7"/>
  <c r="CN470" i="7"/>
  <c r="CT470" i="7"/>
  <c r="CP470" i="7"/>
  <c r="CQ470" i="7"/>
  <c r="CV470" i="7"/>
  <c r="CL470" i="7"/>
  <c r="CN229" i="7"/>
  <c r="CR229" i="7"/>
  <c r="CO229" i="7"/>
  <c r="CT229" i="7"/>
  <c r="CM229" i="7"/>
  <c r="CL229" i="7"/>
  <c r="CQ229" i="7"/>
  <c r="CV229" i="7"/>
  <c r="CS229" i="7"/>
  <c r="CP229" i="7"/>
  <c r="CM455" i="7"/>
  <c r="CQ455" i="7"/>
  <c r="CP455" i="7"/>
  <c r="CL455" i="7"/>
  <c r="CS455" i="7"/>
  <c r="CN455" i="7"/>
  <c r="CT455" i="7"/>
  <c r="CO455" i="7"/>
  <c r="CR455" i="7"/>
  <c r="CP375" i="7"/>
  <c r="CT375" i="7"/>
  <c r="CN375" i="7"/>
  <c r="CS375" i="7"/>
  <c r="CR375" i="7"/>
  <c r="CO375" i="7"/>
  <c r="CM375" i="7"/>
  <c r="CL375" i="7"/>
  <c r="CQ375" i="7"/>
  <c r="CU413" i="7"/>
  <c r="CO442" i="7"/>
  <c r="CS442" i="7"/>
  <c r="CM442" i="7"/>
  <c r="CR442" i="7"/>
  <c r="CN442" i="7"/>
  <c r="CT442" i="7"/>
  <c r="CP442" i="7"/>
  <c r="CQ442" i="7"/>
  <c r="CV442" i="7"/>
  <c r="CL442" i="7"/>
  <c r="CN374" i="7"/>
  <c r="CR374" i="7"/>
  <c r="CO374" i="7"/>
  <c r="CT374" i="7"/>
  <c r="CQ374" i="7"/>
  <c r="CS374" i="7"/>
  <c r="CM374" i="7"/>
  <c r="CP374" i="7"/>
  <c r="CL428" i="7"/>
  <c r="CP428" i="7"/>
  <c r="CT428" i="7"/>
  <c r="CN428" i="7"/>
  <c r="CS428" i="7"/>
  <c r="CO428" i="7"/>
  <c r="CU428" i="7"/>
  <c r="CR428" i="7"/>
  <c r="CM428" i="7"/>
  <c r="CQ428" i="7"/>
  <c r="CM365" i="7"/>
  <c r="CQ365" i="7"/>
  <c r="CN365" i="7"/>
  <c r="CS365" i="7"/>
  <c r="CP365" i="7"/>
  <c r="CO365" i="7"/>
  <c r="CR365" i="7"/>
  <c r="CT365" i="7"/>
  <c r="CN403" i="7"/>
  <c r="CR403" i="7"/>
  <c r="CM403" i="7"/>
  <c r="CS403" i="7"/>
  <c r="CL403" i="7"/>
  <c r="CT403" i="7"/>
  <c r="CQ403" i="7"/>
  <c r="CP403" i="7"/>
  <c r="CO403" i="7"/>
  <c r="CM477" i="7"/>
  <c r="CQ477" i="7"/>
  <c r="CL477" i="7"/>
  <c r="CR477" i="7"/>
  <c r="CN477" i="7"/>
  <c r="CS477" i="7"/>
  <c r="CP477" i="7"/>
  <c r="CO477" i="7"/>
  <c r="CT477" i="7"/>
  <c r="CK466" i="7"/>
  <c r="CJ466" i="7"/>
  <c r="CS501" i="7"/>
  <c r="CQ501" i="7"/>
  <c r="CO458" i="7"/>
  <c r="CS458" i="7"/>
  <c r="CM458" i="7"/>
  <c r="CR458" i="7"/>
  <c r="CL458" i="7"/>
  <c r="CT458" i="7"/>
  <c r="CN458" i="7"/>
  <c r="CP458" i="7"/>
  <c r="CQ458" i="7"/>
  <c r="CU425" i="7"/>
  <c r="CO494" i="7"/>
  <c r="CS494" i="7"/>
  <c r="CM494" i="7"/>
  <c r="CR494" i="7"/>
  <c r="CN494" i="7"/>
  <c r="CT494" i="7"/>
  <c r="CQ494" i="7"/>
  <c r="CP494" i="7"/>
  <c r="CL494" i="7"/>
  <c r="CO502" i="7"/>
  <c r="CS502" i="7"/>
  <c r="CM502" i="7"/>
  <c r="CR502" i="7"/>
  <c r="CN502" i="7"/>
  <c r="CT502" i="7"/>
  <c r="CL502" i="7"/>
  <c r="CP502" i="7"/>
  <c r="CQ502" i="7"/>
  <c r="CW452" i="7"/>
  <c r="CM485" i="7"/>
  <c r="CQ485" i="7"/>
  <c r="CL485" i="7"/>
  <c r="CR485" i="7"/>
  <c r="CN485" i="7"/>
  <c r="CS485" i="7"/>
  <c r="CO485" i="7"/>
  <c r="CP485" i="7"/>
  <c r="CT485" i="7"/>
  <c r="CV425" i="7"/>
  <c r="CL404" i="7"/>
  <c r="CP404" i="7"/>
  <c r="CT404" i="7"/>
  <c r="CN404" i="7"/>
  <c r="CS404" i="7"/>
  <c r="CO404" i="7"/>
  <c r="CU404" i="7"/>
  <c r="CQ404" i="7"/>
  <c r="CM404" i="7"/>
  <c r="CR404" i="7"/>
  <c r="CN380" i="7"/>
  <c r="CW295" i="7"/>
  <c r="CU295" i="7"/>
  <c r="CS461" i="7"/>
  <c r="CL426" i="7"/>
  <c r="CP426" i="7"/>
  <c r="CT426" i="7"/>
  <c r="CN426" i="7"/>
  <c r="CS426" i="7"/>
  <c r="CO426" i="7"/>
  <c r="CU426" i="7"/>
  <c r="CR426" i="7"/>
  <c r="CQ426" i="7"/>
  <c r="CM426" i="7"/>
  <c r="CV411" i="7"/>
  <c r="CW411" i="7"/>
  <c r="CU460" i="7"/>
  <c r="CK474" i="7"/>
  <c r="CJ474" i="7"/>
  <c r="CV414" i="7"/>
  <c r="CW414" i="7"/>
  <c r="CR433" i="7"/>
  <c r="CP501" i="7"/>
  <c r="CL489" i="7"/>
  <c r="CJ395" i="7"/>
  <c r="CR464" i="7"/>
  <c r="CM490" i="7"/>
  <c r="CT469" i="7"/>
  <c r="CN469" i="7"/>
  <c r="P2" i="10"/>
  <c r="P1" i="10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CO431" i="7"/>
  <c r="CM370" i="7"/>
  <c r="CT476" i="7"/>
  <c r="CW476" i="7"/>
  <c r="CS231" i="7"/>
  <c r="CT231" i="7"/>
  <c r="CW231" i="7"/>
  <c r="CV496" i="7"/>
  <c r="CT380" i="7"/>
  <c r="CP467" i="7"/>
  <c r="CR431" i="7"/>
  <c r="CS380" i="7"/>
  <c r="CL439" i="7"/>
  <c r="CN370" i="7"/>
  <c r="CL370" i="7"/>
  <c r="CS370" i="7"/>
  <c r="CT483" i="7"/>
  <c r="CR483" i="7"/>
  <c r="CV483" i="7"/>
  <c r="CM483" i="7"/>
  <c r="CR476" i="7"/>
  <c r="CQ447" i="7"/>
  <c r="CM380" i="7"/>
  <c r="CN482" i="7"/>
  <c r="CS493" i="7"/>
  <c r="CW437" i="7"/>
  <c r="CR231" i="7"/>
  <c r="CQ231" i="7"/>
  <c r="CV231" i="7"/>
  <c r="CU421" i="7"/>
  <c r="CW472" i="7"/>
  <c r="CO231" i="7"/>
  <c r="CU231" i="7"/>
  <c r="CV401" i="7"/>
  <c r="CM385" i="7"/>
  <c r="CS439" i="7"/>
  <c r="CT370" i="7"/>
  <c r="CT482" i="7"/>
  <c r="CW482" i="7"/>
  <c r="CT354" i="7"/>
  <c r="CW418" i="7"/>
  <c r="CW246" i="7"/>
  <c r="CL431" i="7"/>
  <c r="CP380" i="7"/>
  <c r="CT371" i="7"/>
  <c r="CP439" i="7"/>
  <c r="CR370" i="7"/>
  <c r="CS483" i="7"/>
  <c r="CL476" i="7"/>
  <c r="CM231" i="7"/>
  <c r="CW406" i="7"/>
  <c r="CJ232" i="7"/>
  <c r="CO232" i="7"/>
  <c r="CJ250" i="7"/>
  <c r="CO241" i="7"/>
  <c r="CU241" i="7"/>
  <c r="CQ241" i="7"/>
  <c r="CV241" i="7"/>
  <c r="CW205" i="7"/>
  <c r="CT385" i="7"/>
  <c r="CN385" i="7"/>
  <c r="CQ385" i="7"/>
  <c r="CR371" i="7"/>
  <c r="CP385" i="7"/>
  <c r="CR385" i="7"/>
  <c r="CO385" i="7"/>
  <c r="CS385" i="7"/>
  <c r="CS499" i="7"/>
  <c r="CP441" i="7"/>
  <c r="CU441" i="7"/>
  <c r="CL441" i="7"/>
  <c r="CO447" i="7"/>
  <c r="CU447" i="7"/>
  <c r="CV490" i="7"/>
  <c r="CO371" i="7"/>
  <c r="CL499" i="7"/>
  <c r="CN439" i="7"/>
  <c r="CQ439" i="7"/>
  <c r="CR439" i="7"/>
  <c r="CV439" i="7"/>
  <c r="CS441" i="7"/>
  <c r="CT441" i="7"/>
  <c r="CW441" i="7"/>
  <c r="CQ441" i="7"/>
  <c r="CO432" i="7"/>
  <c r="CT447" i="7"/>
  <c r="CW447" i="7"/>
  <c r="CL447" i="7"/>
  <c r="CT491" i="7"/>
  <c r="CR482" i="7"/>
  <c r="CU406" i="7"/>
  <c r="CQ371" i="7"/>
  <c r="CW209" i="7"/>
  <c r="CR447" i="7"/>
  <c r="CM447" i="7"/>
  <c r="CS456" i="7"/>
  <c r="CP499" i="7"/>
  <c r="CT439" i="7"/>
  <c r="CN441" i="7"/>
  <c r="CN447" i="7"/>
  <c r="CW464" i="7"/>
  <c r="CL457" i="7"/>
  <c r="CV468" i="7"/>
  <c r="CQ482" i="7"/>
  <c r="CV482" i="7"/>
  <c r="CW364" i="7"/>
  <c r="CO453" i="7"/>
  <c r="CN453" i="7"/>
  <c r="CV420" i="7"/>
  <c r="CU434" i="7"/>
  <c r="CM75" i="7"/>
  <c r="CN75" i="7"/>
  <c r="CL75" i="7"/>
  <c r="CU208" i="7"/>
  <c r="CM368" i="7"/>
  <c r="CN368" i="7"/>
  <c r="CL368" i="7"/>
  <c r="CR209" i="7"/>
  <c r="CP209" i="7"/>
  <c r="CU209" i="7"/>
  <c r="CQ209" i="7"/>
  <c r="CV340" i="7"/>
  <c r="CT456" i="7"/>
  <c r="CO456" i="7"/>
  <c r="CP456" i="7"/>
  <c r="CU456" i="7"/>
  <c r="CS457" i="7"/>
  <c r="CL473" i="7"/>
  <c r="CV434" i="7"/>
  <c r="CO27" i="7"/>
  <c r="CN369" i="7"/>
  <c r="CV501" i="7"/>
  <c r="CR456" i="7"/>
  <c r="CT431" i="7"/>
  <c r="CQ431" i="7"/>
  <c r="CT463" i="7"/>
  <c r="CM296" i="7"/>
  <c r="CS296" i="7"/>
  <c r="CR475" i="7"/>
  <c r="CV475" i="7"/>
  <c r="CN371" i="7"/>
  <c r="CM371" i="7"/>
  <c r="CL371" i="7"/>
  <c r="CT499" i="7"/>
  <c r="CQ499" i="7"/>
  <c r="CP459" i="7"/>
  <c r="CN493" i="7"/>
  <c r="CR453" i="7"/>
  <c r="CV453" i="7"/>
  <c r="CR473" i="7"/>
  <c r="CO354" i="7"/>
  <c r="CM473" i="7"/>
  <c r="CP453" i="7"/>
  <c r="CM369" i="7"/>
  <c r="CW208" i="7"/>
  <c r="CM482" i="7"/>
  <c r="CS463" i="7"/>
  <c r="CO475" i="7"/>
  <c r="CP457" i="7"/>
  <c r="CR459" i="7"/>
  <c r="CS473" i="7"/>
  <c r="CW473" i="7"/>
  <c r="CL453" i="7"/>
  <c r="CO473" i="7"/>
  <c r="CS453" i="7"/>
  <c r="CW453" i="7"/>
  <c r="CN459" i="7"/>
  <c r="CV385" i="7"/>
  <c r="CV43" i="7"/>
  <c r="CM453" i="7"/>
  <c r="CN456" i="7"/>
  <c r="CS431" i="7"/>
  <c r="CW431" i="7"/>
  <c r="CN431" i="7"/>
  <c r="CN463" i="7"/>
  <c r="CT296" i="7"/>
  <c r="CL475" i="7"/>
  <c r="CP371" i="7"/>
  <c r="CO499" i="7"/>
  <c r="CR499" i="7"/>
  <c r="CW422" i="7"/>
  <c r="CO459" i="7"/>
  <c r="CW416" i="7"/>
  <c r="CT493" i="7"/>
  <c r="CW493" i="7"/>
  <c r="CJ383" i="7"/>
  <c r="CM383" i="7"/>
  <c r="CQ493" i="7"/>
  <c r="CU437" i="7"/>
  <c r="CQ473" i="7"/>
  <c r="CT256" i="7"/>
  <c r="CL385" i="7"/>
  <c r="CN473" i="7"/>
  <c r="CV274" i="7"/>
  <c r="CV418" i="7"/>
  <c r="CU420" i="7"/>
  <c r="CV208" i="7"/>
  <c r="CL482" i="7"/>
  <c r="CN491" i="7"/>
  <c r="CV459" i="7"/>
  <c r="CM456" i="7"/>
  <c r="CQ456" i="7"/>
  <c r="CO463" i="7"/>
  <c r="CP463" i="7"/>
  <c r="CL491" i="7"/>
  <c r="CS475" i="7"/>
  <c r="CW475" i="7"/>
  <c r="CP475" i="7"/>
  <c r="CN354" i="7"/>
  <c r="CQ491" i="7"/>
  <c r="CO457" i="7"/>
  <c r="CV364" i="7"/>
  <c r="CU462" i="7"/>
  <c r="CT459" i="7"/>
  <c r="CR369" i="7"/>
  <c r="CV369" i="7"/>
  <c r="CS369" i="7"/>
  <c r="CT368" i="7"/>
  <c r="CQ368" i="7"/>
  <c r="CR368" i="7"/>
  <c r="CS368" i="7"/>
  <c r="CO368" i="7"/>
  <c r="CP368" i="7"/>
  <c r="CR491" i="7"/>
  <c r="CJ376" i="7"/>
  <c r="CS376" i="7"/>
  <c r="CR463" i="7"/>
  <c r="CS491" i="7"/>
  <c r="CW491" i="7"/>
  <c r="CU433" i="7"/>
  <c r="CU380" i="7"/>
  <c r="CN475" i="7"/>
  <c r="CQ354" i="7"/>
  <c r="CO491" i="7"/>
  <c r="CU491" i="7"/>
  <c r="CM491" i="7"/>
  <c r="CS459" i="7"/>
  <c r="CM459" i="7"/>
  <c r="CO256" i="7"/>
  <c r="CO369" i="7"/>
  <c r="CU369" i="7"/>
  <c r="CT369" i="7"/>
  <c r="CJ235" i="7"/>
  <c r="CP235" i="7"/>
  <c r="CJ236" i="7"/>
  <c r="CO236" i="7"/>
  <c r="CS75" i="7"/>
  <c r="CT75" i="7"/>
  <c r="CQ75" i="7"/>
  <c r="CO75" i="7"/>
  <c r="CP75" i="7"/>
  <c r="CR75" i="7"/>
  <c r="CK309" i="7"/>
  <c r="CJ309" i="7"/>
  <c r="CT309" i="7"/>
  <c r="CV437" i="7"/>
  <c r="CV444" i="7"/>
  <c r="CW421" i="7"/>
  <c r="CM27" i="7"/>
  <c r="CW274" i="7"/>
  <c r="CU473" i="7"/>
  <c r="CT461" i="7"/>
  <c r="CW461" i="7"/>
  <c r="CL231" i="7"/>
  <c r="CV408" i="7"/>
  <c r="CP484" i="7"/>
  <c r="CL461" i="7"/>
  <c r="CQ461" i="7"/>
  <c r="CV489" i="7"/>
  <c r="CR467" i="7"/>
  <c r="CV467" i="7"/>
  <c r="CU370" i="7"/>
  <c r="CS354" i="7"/>
  <c r="CW354" i="7"/>
  <c r="CR354" i="7"/>
  <c r="CP476" i="7"/>
  <c r="CM476" i="7"/>
  <c r="CO476" i="7"/>
  <c r="CN432" i="7"/>
  <c r="CL340" i="7"/>
  <c r="CQ495" i="7"/>
  <c r="CT495" i="7"/>
  <c r="CS495" i="7"/>
  <c r="CN495" i="7"/>
  <c r="CR495" i="7"/>
  <c r="CL495" i="7"/>
  <c r="CM495" i="7"/>
  <c r="CO495" i="7"/>
  <c r="CP495" i="7"/>
  <c r="CR461" i="7"/>
  <c r="CO461" i="7"/>
  <c r="CV416" i="7"/>
  <c r="CW444" i="7"/>
  <c r="CN461" i="7"/>
  <c r="CP461" i="7"/>
  <c r="CM354" i="7"/>
  <c r="CN476" i="7"/>
  <c r="CP432" i="7"/>
  <c r="CO467" i="7"/>
  <c r="CJ388" i="7"/>
  <c r="CT388" i="7"/>
  <c r="CL374" i="7"/>
  <c r="CW229" i="7"/>
  <c r="CO493" i="7"/>
  <c r="CU493" i="7"/>
  <c r="CU43" i="7"/>
  <c r="CL43" i="7"/>
  <c r="CL384" i="7"/>
  <c r="CR493" i="7"/>
  <c r="CV493" i="7"/>
  <c r="CL493" i="7"/>
  <c r="CM493" i="7"/>
  <c r="CU400" i="7"/>
  <c r="CL369" i="7"/>
  <c r="CL365" i="7"/>
  <c r="CL296" i="7"/>
  <c r="CU439" i="7"/>
  <c r="CL380" i="7"/>
  <c r="CT232" i="7"/>
  <c r="CR232" i="7"/>
  <c r="CP232" i="7"/>
  <c r="CN232" i="7"/>
  <c r="CM232" i="7"/>
  <c r="CS256" i="7"/>
  <c r="CQ256" i="7"/>
  <c r="CM256" i="7"/>
  <c r="CL256" i="7"/>
  <c r="CR256" i="7"/>
  <c r="CP256" i="7"/>
  <c r="CN250" i="7"/>
  <c r="CQ250" i="7"/>
  <c r="CT250" i="7"/>
  <c r="CR250" i="7"/>
  <c r="CO250" i="7"/>
  <c r="CM250" i="7"/>
  <c r="CP250" i="7"/>
  <c r="CS250" i="7"/>
  <c r="CW340" i="7"/>
  <c r="CS232" i="7"/>
  <c r="CW232" i="7"/>
  <c r="CQ232" i="7"/>
  <c r="CS27" i="7"/>
  <c r="CT27" i="7"/>
  <c r="CR27" i="7"/>
  <c r="CP27" i="7"/>
  <c r="CQ27" i="7"/>
  <c r="CN27" i="7"/>
  <c r="CL27" i="7"/>
  <c r="CM484" i="7"/>
  <c r="CW490" i="7"/>
  <c r="CW199" i="7"/>
  <c r="CO484" i="7"/>
  <c r="CW501" i="7"/>
  <c r="CT471" i="7"/>
  <c r="CW488" i="7"/>
  <c r="CV422" i="7"/>
  <c r="CW462" i="7"/>
  <c r="CU364" i="7"/>
  <c r="CU455" i="7"/>
  <c r="CV380" i="7"/>
  <c r="CT432" i="7"/>
  <c r="CW432" i="7"/>
  <c r="CR432" i="7"/>
  <c r="CS467" i="7"/>
  <c r="CL467" i="7"/>
  <c r="CT484" i="7"/>
  <c r="CW484" i="7"/>
  <c r="CL484" i="7"/>
  <c r="CW497" i="7"/>
  <c r="CV497" i="7"/>
  <c r="CU354" i="7"/>
  <c r="CW417" i="7"/>
  <c r="CW384" i="7"/>
  <c r="CL432" i="7"/>
  <c r="CM432" i="7"/>
  <c r="CT467" i="7"/>
  <c r="CU489" i="7"/>
  <c r="CU459" i="7"/>
  <c r="CV400" i="7"/>
  <c r="CP372" i="7"/>
  <c r="CR372" i="7"/>
  <c r="CO372" i="7"/>
  <c r="CS372" i="7"/>
  <c r="CN372" i="7"/>
  <c r="CQ372" i="7"/>
  <c r="CT372" i="7"/>
  <c r="CM372" i="7"/>
  <c r="CV409" i="7"/>
  <c r="CQ492" i="7"/>
  <c r="CP492" i="7"/>
  <c r="CS492" i="7"/>
  <c r="CR492" i="7"/>
  <c r="CO492" i="7"/>
  <c r="CM492" i="7"/>
  <c r="CT492" i="7"/>
  <c r="CL492" i="7"/>
  <c r="CN492" i="7"/>
  <c r="CL448" i="7"/>
  <c r="CN448" i="7"/>
  <c r="CQ448" i="7"/>
  <c r="CT448" i="7"/>
  <c r="CM448" i="7"/>
  <c r="CO448" i="7"/>
  <c r="CP448" i="7"/>
  <c r="CS448" i="7"/>
  <c r="CW448" i="7"/>
  <c r="CR448" i="7"/>
  <c r="CN484" i="7"/>
  <c r="CQ484" i="7"/>
  <c r="CQ471" i="7"/>
  <c r="CM467" i="7"/>
  <c r="CV462" i="7"/>
  <c r="CV433" i="7"/>
  <c r="CR484" i="7"/>
  <c r="CU490" i="7"/>
  <c r="CN467" i="7"/>
  <c r="CP376" i="7"/>
  <c r="CQ432" i="7"/>
  <c r="CW412" i="7"/>
  <c r="CM457" i="7"/>
  <c r="CT457" i="7"/>
  <c r="CR457" i="7"/>
  <c r="CV457" i="7"/>
  <c r="CL471" i="7"/>
  <c r="CO471" i="7"/>
  <c r="CM471" i="7"/>
  <c r="CV469" i="7"/>
  <c r="CU412" i="7"/>
  <c r="CU199" i="7"/>
  <c r="CO29" i="7"/>
  <c r="CP29" i="7"/>
  <c r="CQ29" i="7"/>
  <c r="CS29" i="7"/>
  <c r="CT29" i="7"/>
  <c r="CR29" i="7"/>
  <c r="CM29" i="7"/>
  <c r="CN29" i="7"/>
  <c r="CM213" i="7"/>
  <c r="CO213" i="7"/>
  <c r="CT213" i="7"/>
  <c r="CQ213" i="7"/>
  <c r="CN213" i="7"/>
  <c r="CL213" i="7"/>
  <c r="CR213" i="7"/>
  <c r="CP213" i="7"/>
  <c r="CS213" i="7"/>
  <c r="CV227" i="7"/>
  <c r="CW400" i="7"/>
  <c r="CR471" i="7"/>
  <c r="CS471" i="7"/>
  <c r="CW489" i="7"/>
  <c r="CU469" i="7"/>
  <c r="CV412" i="7"/>
  <c r="CV365" i="7"/>
  <c r="CP471" i="7"/>
  <c r="CU374" i="7"/>
  <c r="CU442" i="7"/>
  <c r="CW455" i="7"/>
  <c r="CV424" i="7"/>
  <c r="CW424" i="7"/>
  <c r="CW439" i="7"/>
  <c r="CV443" i="7"/>
  <c r="CW483" i="7"/>
  <c r="CU464" i="7"/>
  <c r="CW433" i="7"/>
  <c r="CU422" i="7"/>
  <c r="CV429" i="7"/>
  <c r="CU443" i="7"/>
  <c r="CV494" i="7"/>
  <c r="CW365" i="7"/>
  <c r="CV374" i="7"/>
  <c r="CV375" i="7"/>
  <c r="CU486" i="7"/>
  <c r="CW443" i="7"/>
  <c r="CV384" i="7"/>
  <c r="CV464" i="7"/>
  <c r="CV426" i="7"/>
  <c r="CW404" i="7"/>
  <c r="CV502" i="7"/>
  <c r="CU502" i="7"/>
  <c r="CV458" i="7"/>
  <c r="CU458" i="7"/>
  <c r="CU365" i="7"/>
  <c r="CV428" i="7"/>
  <c r="CW428" i="7"/>
  <c r="CV455" i="7"/>
  <c r="CU229" i="7"/>
  <c r="CU470" i="7"/>
  <c r="CV431" i="7"/>
  <c r="CW469" i="7"/>
  <c r="CU296" i="7"/>
  <c r="CW499" i="7"/>
  <c r="CV370" i="7"/>
  <c r="CU494" i="7"/>
  <c r="CU477" i="7"/>
  <c r="CU403" i="7"/>
  <c r="CU375" i="7"/>
  <c r="CU501" i="7"/>
  <c r="CW423" i="7"/>
  <c r="CW415" i="7"/>
  <c r="CW427" i="7"/>
  <c r="CV488" i="7"/>
  <c r="CW494" i="7"/>
  <c r="CW380" i="7"/>
  <c r="CU427" i="7"/>
  <c r="CM449" i="7"/>
  <c r="CQ449" i="7"/>
  <c r="CL449" i="7"/>
  <c r="CR449" i="7"/>
  <c r="CN449" i="7"/>
  <c r="CS449" i="7"/>
  <c r="CP449" i="7"/>
  <c r="CT449" i="7"/>
  <c r="CO449" i="7"/>
  <c r="CO395" i="7"/>
  <c r="CS395" i="7"/>
  <c r="CM395" i="7"/>
  <c r="CR395" i="7"/>
  <c r="CQ395" i="7"/>
  <c r="CT395" i="7"/>
  <c r="CN395" i="7"/>
  <c r="CL395" i="7"/>
  <c r="CP395" i="7"/>
  <c r="CO438" i="7"/>
  <c r="CS438" i="7"/>
  <c r="CP438" i="7"/>
  <c r="CL438" i="7"/>
  <c r="CQ438" i="7"/>
  <c r="CR438" i="7"/>
  <c r="CM438" i="7"/>
  <c r="CT438" i="7"/>
  <c r="CN438" i="7"/>
  <c r="CP193" i="7"/>
  <c r="CT193" i="7"/>
  <c r="CO193" i="7"/>
  <c r="CQ193" i="7"/>
  <c r="CM193" i="7"/>
  <c r="CN193" i="7"/>
  <c r="CS193" i="7"/>
  <c r="CR193" i="7"/>
  <c r="CW370" i="7"/>
  <c r="CV404" i="7"/>
  <c r="CW485" i="7"/>
  <c r="CV485" i="7"/>
  <c r="CO466" i="7"/>
  <c r="CS466" i="7"/>
  <c r="CM466" i="7"/>
  <c r="CR466" i="7"/>
  <c r="CN466" i="7"/>
  <c r="CP466" i="7"/>
  <c r="CQ466" i="7"/>
  <c r="CL466" i="7"/>
  <c r="CT466" i="7"/>
  <c r="CW403" i="7"/>
  <c r="CO498" i="7"/>
  <c r="CS498" i="7"/>
  <c r="CP498" i="7"/>
  <c r="CL498" i="7"/>
  <c r="CQ498" i="7"/>
  <c r="CN498" i="7"/>
  <c r="CM498" i="7"/>
  <c r="CR498" i="7"/>
  <c r="CT498" i="7"/>
  <c r="CT236" i="7"/>
  <c r="CQ236" i="7"/>
  <c r="CU499" i="7"/>
  <c r="CM451" i="7"/>
  <c r="CQ451" i="7"/>
  <c r="CN451" i="7"/>
  <c r="CS451" i="7"/>
  <c r="CO451" i="7"/>
  <c r="CT451" i="7"/>
  <c r="CP451" i="7"/>
  <c r="CL451" i="7"/>
  <c r="CR451" i="7"/>
  <c r="CO454" i="7"/>
  <c r="CS454" i="7"/>
  <c r="CP454" i="7"/>
  <c r="CQ454" i="7"/>
  <c r="CM454" i="7"/>
  <c r="CL454" i="7"/>
  <c r="CR454" i="7"/>
  <c r="CT454" i="7"/>
  <c r="CN454" i="7"/>
  <c r="CM479" i="7"/>
  <c r="CQ479" i="7"/>
  <c r="CN479" i="7"/>
  <c r="CS479" i="7"/>
  <c r="CO479" i="7"/>
  <c r="CT479" i="7"/>
  <c r="CP479" i="7"/>
  <c r="CR479" i="7"/>
  <c r="CL479" i="7"/>
  <c r="CU384" i="7"/>
  <c r="CU488" i="7"/>
  <c r="CV441" i="7"/>
  <c r="CV476" i="7"/>
  <c r="CM435" i="7"/>
  <c r="CQ435" i="7"/>
  <c r="CN435" i="7"/>
  <c r="CS435" i="7"/>
  <c r="CO435" i="7"/>
  <c r="CT435" i="7"/>
  <c r="CP435" i="7"/>
  <c r="CR435" i="7"/>
  <c r="CL435" i="7"/>
  <c r="CU440" i="7"/>
  <c r="CW446" i="7"/>
  <c r="CW442" i="7"/>
  <c r="CO500" i="7"/>
  <c r="CS500" i="7"/>
  <c r="CL500" i="7"/>
  <c r="CQ500" i="7"/>
  <c r="CM500" i="7"/>
  <c r="CR500" i="7"/>
  <c r="CP500" i="7"/>
  <c r="CN500" i="7"/>
  <c r="CT500" i="7"/>
  <c r="CM487" i="7"/>
  <c r="CQ487" i="7"/>
  <c r="CN487" i="7"/>
  <c r="CS487" i="7"/>
  <c r="CO487" i="7"/>
  <c r="CT487" i="7"/>
  <c r="CP487" i="7"/>
  <c r="CL487" i="7"/>
  <c r="CR487" i="7"/>
  <c r="CM92" i="7"/>
  <c r="CQ92" i="7"/>
  <c r="CR92" i="7"/>
  <c r="CP92" i="7"/>
  <c r="CT92" i="7"/>
  <c r="CN92" i="7"/>
  <c r="CO92" i="7"/>
  <c r="CS92" i="7"/>
  <c r="CU423" i="7"/>
  <c r="CU415" i="7"/>
  <c r="CW486" i="7"/>
  <c r="CO474" i="7"/>
  <c r="CS474" i="7"/>
  <c r="CP474" i="7"/>
  <c r="CL474" i="7"/>
  <c r="CQ474" i="7"/>
  <c r="CR474" i="7"/>
  <c r="CT474" i="7"/>
  <c r="CM474" i="7"/>
  <c r="CN474" i="7"/>
  <c r="CV461" i="7"/>
  <c r="CU485" i="7"/>
  <c r="CW374" i="7"/>
  <c r="CV463" i="7"/>
  <c r="CV296" i="7"/>
  <c r="CO430" i="7"/>
  <c r="CS430" i="7"/>
  <c r="CL430" i="7"/>
  <c r="CQ430" i="7"/>
  <c r="CR430" i="7"/>
  <c r="CM430" i="7"/>
  <c r="CT430" i="7"/>
  <c r="CN430" i="7"/>
  <c r="CP430" i="7"/>
  <c r="CW440" i="7"/>
  <c r="CW426" i="7"/>
  <c r="CW502" i="7"/>
  <c r="CW458" i="7"/>
  <c r="CW477" i="7"/>
  <c r="CV477" i="7"/>
  <c r="CV403" i="7"/>
  <c r="CW375" i="7"/>
  <c r="CW470" i="7"/>
  <c r="CU431" i="7"/>
  <c r="CM481" i="7"/>
  <c r="CQ481" i="7"/>
  <c r="CO481" i="7"/>
  <c r="CT481" i="7"/>
  <c r="CP481" i="7"/>
  <c r="CL481" i="7"/>
  <c r="CN481" i="7"/>
  <c r="CR481" i="7"/>
  <c r="CS481" i="7"/>
  <c r="CW371" i="7"/>
  <c r="CM465" i="7"/>
  <c r="CQ465" i="7"/>
  <c r="CL465" i="7"/>
  <c r="CR465" i="7"/>
  <c r="CS465" i="7"/>
  <c r="CN465" i="7"/>
  <c r="CT465" i="7"/>
  <c r="CO465" i="7"/>
  <c r="CP465" i="7"/>
  <c r="CU497" i="7"/>
  <c r="CU417" i="7"/>
  <c r="CM445" i="7"/>
  <c r="CQ445" i="7"/>
  <c r="CO445" i="7"/>
  <c r="CT445" i="7"/>
  <c r="CP445" i="7"/>
  <c r="CR445" i="7"/>
  <c r="CL445" i="7"/>
  <c r="CS445" i="7"/>
  <c r="CW445" i="7"/>
  <c r="CN445" i="7"/>
  <c r="CV440" i="7"/>
  <c r="CV446" i="7"/>
  <c r="CU446" i="7"/>
  <c r="CV447" i="7"/>
  <c r="O33" i="10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/>
  <c r="CR236" i="7"/>
  <c r="CP236" i="7"/>
  <c r="CU256" i="7"/>
  <c r="CU467" i="7"/>
  <c r="CQ383" i="7"/>
  <c r="CV473" i="7"/>
  <c r="CU453" i="7"/>
  <c r="CM236" i="7"/>
  <c r="CN236" i="7"/>
  <c r="CL236" i="7"/>
  <c r="CT235" i="7"/>
  <c r="CV354" i="7"/>
  <c r="CW456" i="7"/>
  <c r="CU432" i="7"/>
  <c r="CW385" i="7"/>
  <c r="CO383" i="7"/>
  <c r="CP383" i="7"/>
  <c r="CU383" i="7"/>
  <c r="CS236" i="7"/>
  <c r="CW236" i="7"/>
  <c r="CS383" i="7"/>
  <c r="CW459" i="7"/>
  <c r="CW463" i="7"/>
  <c r="CU385" i="7"/>
  <c r="CU232" i="7"/>
  <c r="CV371" i="7"/>
  <c r="CU371" i="7"/>
  <c r="CN309" i="7"/>
  <c r="CU457" i="7"/>
  <c r="CV456" i="7"/>
  <c r="CU475" i="7"/>
  <c r="CV499" i="7"/>
  <c r="CL354" i="7"/>
  <c r="CR309" i="7"/>
  <c r="CV75" i="7"/>
  <c r="CW368" i="7"/>
  <c r="CV368" i="7"/>
  <c r="CW296" i="7"/>
  <c r="CV209" i="7"/>
  <c r="CT383" i="7"/>
  <c r="CQ235" i="7"/>
  <c r="CV491" i="7"/>
  <c r="CN388" i="7"/>
  <c r="CQ309" i="7"/>
  <c r="CU461" i="7"/>
  <c r="CW457" i="7"/>
  <c r="CN383" i="7"/>
  <c r="CL383" i="7"/>
  <c r="CT376" i="7"/>
  <c r="CW376" i="7"/>
  <c r="CU27" i="7"/>
  <c r="CW256" i="7"/>
  <c r="CS309" i="7"/>
  <c r="CW309" i="7"/>
  <c r="CR383" i="7"/>
  <c r="CV383" i="7"/>
  <c r="CM376" i="7"/>
  <c r="CN376" i="7"/>
  <c r="CL376" i="7"/>
  <c r="CS235" i="7"/>
  <c r="CW235" i="7"/>
  <c r="CW471" i="7"/>
  <c r="CV432" i="7"/>
  <c r="CR376" i="7"/>
  <c r="CU484" i="7"/>
  <c r="CO376" i="7"/>
  <c r="CU376" i="7"/>
  <c r="CR235" i="7"/>
  <c r="CV235" i="7"/>
  <c r="CP309" i="7"/>
  <c r="CO309" i="7"/>
  <c r="CW369" i="7"/>
  <c r="CQ376" i="7"/>
  <c r="CV376" i="7"/>
  <c r="CS388" i="7"/>
  <c r="CW388" i="7"/>
  <c r="CM235" i="7"/>
  <c r="CN235" i="7"/>
  <c r="CM309" i="7"/>
  <c r="CU368" i="7"/>
  <c r="CU463" i="7"/>
  <c r="CO235" i="7"/>
  <c r="CU235" i="7"/>
  <c r="CU75" i="7"/>
  <c r="CW75" i="7"/>
  <c r="CU476" i="7"/>
  <c r="CV232" i="7"/>
  <c r="CL309" i="7"/>
  <c r="CL29" i="7"/>
  <c r="CU448" i="7"/>
  <c r="CP388" i="7"/>
  <c r="CR388" i="7"/>
  <c r="CV495" i="7"/>
  <c r="CM388" i="7"/>
  <c r="CQ388" i="7"/>
  <c r="CU495" i="7"/>
  <c r="CO388" i="7"/>
  <c r="CW495" i="7"/>
  <c r="CL388" i="7"/>
  <c r="CL250" i="7"/>
  <c r="CV250" i="7"/>
  <c r="CL232" i="7"/>
  <c r="CV492" i="7"/>
  <c r="CW481" i="7"/>
  <c r="CL92" i="7"/>
  <c r="CL193" i="7"/>
  <c r="CL372" i="7"/>
  <c r="CL235" i="7"/>
  <c r="CV27" i="7"/>
  <c r="CW27" i="7"/>
  <c r="CV256" i="7"/>
  <c r="CU250" i="7"/>
  <c r="CW250" i="7"/>
  <c r="CW383" i="7"/>
  <c r="CU471" i="7"/>
  <c r="CW492" i="7"/>
  <c r="CW467" i="7"/>
  <c r="CW213" i="7"/>
  <c r="CU492" i="7"/>
  <c r="CW372" i="7"/>
  <c r="CW465" i="7"/>
  <c r="CV481" i="7"/>
  <c r="CV395" i="7"/>
  <c r="CV471" i="7"/>
  <c r="CV213" i="7"/>
  <c r="CU29" i="7"/>
  <c r="CV484" i="7"/>
  <c r="CV448" i="7"/>
  <c r="CV372" i="7"/>
  <c r="CU372" i="7"/>
  <c r="CW29" i="7"/>
  <c r="CV430" i="7"/>
  <c r="CV438" i="7"/>
  <c r="CU213" i="7"/>
  <c r="CV29" i="7"/>
  <c r="CU474" i="7"/>
  <c r="CV487" i="7"/>
  <c r="CV479" i="7"/>
  <c r="CU454" i="7"/>
  <c r="CV465" i="7"/>
  <c r="CU481" i="7"/>
  <c r="CW474" i="7"/>
  <c r="CV92" i="7"/>
  <c r="CV500" i="7"/>
  <c r="CW435" i="7"/>
  <c r="CW454" i="7"/>
  <c r="CU438" i="7"/>
  <c r="CV451" i="7"/>
  <c r="CU445" i="7"/>
  <c r="CU465" i="7"/>
  <c r="CW430" i="7"/>
  <c r="CU92" i="7"/>
  <c r="CU487" i="7"/>
  <c r="CW500" i="7"/>
  <c r="CV435" i="7"/>
  <c r="CU479" i="7"/>
  <c r="CV454" i="7"/>
  <c r="CU451" i="7"/>
  <c r="CU236" i="7"/>
  <c r="CW498" i="7"/>
  <c r="CW466" i="7"/>
  <c r="CV193" i="7"/>
  <c r="CU395" i="7"/>
  <c r="CW449" i="7"/>
  <c r="CV449" i="7"/>
  <c r="CV474" i="7"/>
  <c r="CW92" i="7"/>
  <c r="CV466" i="7"/>
  <c r="CW395" i="7"/>
  <c r="CV445" i="7"/>
  <c r="CU430" i="7"/>
  <c r="CW487" i="7"/>
  <c r="CU500" i="7"/>
  <c r="CU435" i="7"/>
  <c r="CW479" i="7"/>
  <c r="CW451" i="7"/>
  <c r="CV236" i="7"/>
  <c r="CV498" i="7"/>
  <c r="CU498" i="7"/>
  <c r="CU466" i="7"/>
  <c r="CW193" i="7"/>
  <c r="CU193" i="7"/>
  <c r="CW438" i="7"/>
  <c r="CU449" i="7"/>
  <c r="R2" i="10"/>
  <c r="R1" i="10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CV309" i="7"/>
  <c r="CU309" i="7"/>
  <c r="CU388" i="7"/>
  <c r="CV388" i="7"/>
  <c r="S2" i="10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/>
  <c r="V2" i="10"/>
  <c r="V1" i="10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/>
  <c r="W1" i="10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/>
  <c r="X1" i="10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/>
  <c r="Z2" i="10"/>
  <c r="Z1" i="10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/>
  <c r="Z199" i="10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/>
  <c r="AC2" i="10"/>
  <c r="AC1" i="10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/>
  <c r="AC153" i="10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/>
  <c r="AF2" i="10"/>
  <c r="AF1" i="10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/>
  <c r="AH2" i="10"/>
  <c r="AH1" i="10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/>
  <c r="AI1" i="10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/>
  <c r="AJ1" i="10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/>
  <c r="AL2" i="10"/>
  <c r="AL1" i="10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/>
  <c r="AM1" i="10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" i="6"/>
  <c r="G252" i="6"/>
  <c r="H251" i="6"/>
  <c r="Q3" i="6"/>
  <c r="S3" i="6"/>
  <c r="R3" i="6"/>
  <c r="H2" i="6"/>
  <c r="T2" i="6"/>
  <c r="D2" i="8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Q4" i="6"/>
  <c r="DA2" i="7"/>
  <c r="R4" i="6"/>
  <c r="S4" i="6"/>
  <c r="T3" i="6"/>
  <c r="Q5" i="6"/>
  <c r="DB1" i="7"/>
  <c r="CZ1" i="7"/>
  <c r="CX1" i="7"/>
  <c r="T4" i="6"/>
  <c r="Q6" i="6"/>
  <c r="R5" i="6"/>
  <c r="S5" i="6"/>
  <c r="T5" i="6"/>
  <c r="D3" i="8"/>
  <c r="CZ2" i="7"/>
  <c r="DB2" i="7"/>
  <c r="L334" i="7"/>
  <c r="M334" i="7"/>
  <c r="N334" i="7"/>
  <c r="O334" i="7"/>
  <c r="P334" i="7"/>
  <c r="L100" i="7"/>
  <c r="M100" i="7"/>
  <c r="N100" i="7"/>
  <c r="O100" i="7"/>
  <c r="P100" i="7"/>
  <c r="L107" i="7"/>
  <c r="M107" i="7"/>
  <c r="N107" i="7"/>
  <c r="O107" i="7"/>
  <c r="P107" i="7"/>
  <c r="L244" i="7"/>
  <c r="M244" i="7"/>
  <c r="N244" i="7"/>
  <c r="O244" i="7"/>
  <c r="P244" i="7"/>
  <c r="L45" i="7"/>
  <c r="M45" i="7"/>
  <c r="N45" i="7"/>
  <c r="O45" i="7"/>
  <c r="P45" i="7"/>
  <c r="L91" i="7"/>
  <c r="M91" i="7"/>
  <c r="N91" i="7"/>
  <c r="O91" i="7"/>
  <c r="P91" i="7"/>
  <c r="L248" i="7"/>
  <c r="M248" i="7"/>
  <c r="N248" i="7"/>
  <c r="O248" i="7"/>
  <c r="P248" i="7"/>
  <c r="L185" i="7"/>
  <c r="M185" i="7"/>
  <c r="N185" i="7"/>
  <c r="O185" i="7"/>
  <c r="P185" i="7"/>
  <c r="L38" i="7"/>
  <c r="M38" i="7"/>
  <c r="N38" i="7"/>
  <c r="O38" i="7"/>
  <c r="P38" i="7"/>
  <c r="L186" i="7"/>
  <c r="M186" i="7"/>
  <c r="N186" i="7"/>
  <c r="O186" i="7"/>
  <c r="P186" i="7"/>
  <c r="L157" i="7"/>
  <c r="M157" i="7"/>
  <c r="N157" i="7"/>
  <c r="O157" i="7"/>
  <c r="P157" i="7"/>
  <c r="L314" i="7"/>
  <c r="M314" i="7"/>
  <c r="N314" i="7"/>
  <c r="O314" i="7"/>
  <c r="P314" i="7"/>
  <c r="L202" i="7"/>
  <c r="M202" i="7"/>
  <c r="N202" i="7"/>
  <c r="O202" i="7"/>
  <c r="P202" i="7"/>
  <c r="L154" i="7"/>
  <c r="M154" i="7"/>
  <c r="N154" i="7"/>
  <c r="O154" i="7"/>
  <c r="P154" i="7"/>
  <c r="L175" i="7"/>
  <c r="M175" i="7"/>
  <c r="N175" i="7"/>
  <c r="O175" i="7"/>
  <c r="P175" i="7"/>
  <c r="L20" i="7"/>
  <c r="M20" i="7"/>
  <c r="N20" i="7"/>
  <c r="O20" i="7"/>
  <c r="P20" i="7"/>
  <c r="L155" i="7"/>
  <c r="M155" i="7"/>
  <c r="N155" i="7"/>
  <c r="O155" i="7"/>
  <c r="P155" i="7"/>
  <c r="L277" i="7"/>
  <c r="M277" i="7"/>
  <c r="N277" i="7"/>
  <c r="O277" i="7"/>
  <c r="P277" i="7"/>
  <c r="L15" i="7"/>
  <c r="M15" i="7"/>
  <c r="N15" i="7"/>
  <c r="O15" i="7"/>
  <c r="P15" i="7"/>
  <c r="L305" i="7"/>
  <c r="M305" i="7"/>
  <c r="N305" i="7"/>
  <c r="O305" i="7"/>
  <c r="P305" i="7"/>
  <c r="L151" i="7"/>
  <c r="M151" i="7"/>
  <c r="N151" i="7"/>
  <c r="O151" i="7"/>
  <c r="P151" i="7"/>
  <c r="L156" i="7"/>
  <c r="M156" i="7"/>
  <c r="N156" i="7"/>
  <c r="O156" i="7"/>
  <c r="P156" i="7"/>
  <c r="L13" i="7"/>
  <c r="M13" i="7"/>
  <c r="N13" i="7"/>
  <c r="O13" i="7"/>
  <c r="P13" i="7"/>
  <c r="L342" i="7"/>
  <c r="M342" i="7"/>
  <c r="N342" i="7"/>
  <c r="O342" i="7"/>
  <c r="P342" i="7"/>
  <c r="L102" i="7"/>
  <c r="M102" i="7"/>
  <c r="N102" i="7"/>
  <c r="O102" i="7"/>
  <c r="P102" i="7"/>
  <c r="L210" i="7"/>
  <c r="M210" i="7"/>
  <c r="N210" i="7"/>
  <c r="O210" i="7"/>
  <c r="P210" i="7"/>
  <c r="L290" i="7"/>
  <c r="M290" i="7"/>
  <c r="N290" i="7"/>
  <c r="O290" i="7"/>
  <c r="P290" i="7"/>
  <c r="L336" i="7"/>
  <c r="M336" i="7"/>
  <c r="N336" i="7"/>
  <c r="O336" i="7"/>
  <c r="P336" i="7"/>
  <c r="L73" i="7"/>
  <c r="M73" i="7"/>
  <c r="N73" i="7"/>
  <c r="O73" i="7"/>
  <c r="P73" i="7"/>
  <c r="L378" i="7"/>
  <c r="M378" i="7"/>
  <c r="N378" i="7"/>
  <c r="O378" i="7"/>
  <c r="P378" i="7"/>
  <c r="L124" i="7"/>
  <c r="M124" i="7"/>
  <c r="N124" i="7"/>
  <c r="O124" i="7"/>
  <c r="P124" i="7"/>
  <c r="L61" i="7"/>
  <c r="M61" i="7"/>
  <c r="N61" i="7"/>
  <c r="O61" i="7"/>
  <c r="P61" i="7"/>
  <c r="L333" i="7"/>
  <c r="M333" i="7"/>
  <c r="N333" i="7"/>
  <c r="O333" i="7"/>
  <c r="P333" i="7"/>
  <c r="L108" i="7"/>
  <c r="M108" i="7"/>
  <c r="N108" i="7"/>
  <c r="O108" i="7"/>
  <c r="P108" i="7"/>
  <c r="L308" i="7"/>
  <c r="M308" i="7"/>
  <c r="N308" i="7"/>
  <c r="O308" i="7"/>
  <c r="P308" i="7"/>
  <c r="L265" i="7"/>
  <c r="M265" i="7"/>
  <c r="N265" i="7"/>
  <c r="O265" i="7"/>
  <c r="P265" i="7"/>
  <c r="L312" i="7"/>
  <c r="M312" i="7"/>
  <c r="N312" i="7"/>
  <c r="O312" i="7"/>
  <c r="P312" i="7"/>
  <c r="L99" i="7"/>
  <c r="M99" i="7"/>
  <c r="N99" i="7"/>
  <c r="O99" i="7"/>
  <c r="P99" i="7"/>
  <c r="L357" i="7"/>
  <c r="M357" i="7"/>
  <c r="N357" i="7"/>
  <c r="O357" i="7"/>
  <c r="P357" i="7"/>
  <c r="L37" i="7"/>
  <c r="M37" i="7"/>
  <c r="N37" i="7"/>
  <c r="O37" i="7"/>
  <c r="P37" i="7"/>
  <c r="L98" i="7"/>
  <c r="M98" i="7"/>
  <c r="N98" i="7"/>
  <c r="O98" i="7"/>
  <c r="P98" i="7"/>
  <c r="L55" i="7"/>
  <c r="M55" i="7"/>
  <c r="N55" i="7"/>
  <c r="O55" i="7"/>
  <c r="P55" i="7"/>
  <c r="L105" i="7"/>
  <c r="M105" i="7"/>
  <c r="N105" i="7"/>
  <c r="O105" i="7"/>
  <c r="P105" i="7"/>
  <c r="L76" i="7"/>
  <c r="M76" i="7"/>
  <c r="N76" i="7"/>
  <c r="O76" i="7"/>
  <c r="P76" i="7"/>
  <c r="L104" i="7"/>
  <c r="M104" i="7"/>
  <c r="N104" i="7"/>
  <c r="O104" i="7"/>
  <c r="P104" i="7"/>
  <c r="L62" i="7"/>
  <c r="M62" i="7"/>
  <c r="N62" i="7"/>
  <c r="O62" i="7"/>
  <c r="P62" i="7"/>
  <c r="L79" i="7"/>
  <c r="M79" i="7"/>
  <c r="N79" i="7"/>
  <c r="O79" i="7"/>
  <c r="P79" i="7"/>
  <c r="L344" i="7"/>
  <c r="M344" i="7"/>
  <c r="N344" i="7"/>
  <c r="O344" i="7"/>
  <c r="P344" i="7"/>
  <c r="L77" i="7"/>
  <c r="M77" i="7"/>
  <c r="N77" i="7"/>
  <c r="O77" i="7"/>
  <c r="P77" i="7"/>
  <c r="L283" i="7"/>
  <c r="M283" i="7"/>
  <c r="N283" i="7"/>
  <c r="O283" i="7"/>
  <c r="P283" i="7"/>
  <c r="L93" i="7"/>
  <c r="M93" i="7"/>
  <c r="N93" i="7"/>
  <c r="O93" i="7"/>
  <c r="P93" i="7"/>
  <c r="L94" i="7"/>
  <c r="M94" i="7"/>
  <c r="N94" i="7"/>
  <c r="O94" i="7"/>
  <c r="P94" i="7"/>
  <c r="L19" i="7"/>
  <c r="M19" i="7"/>
  <c r="N19" i="7"/>
  <c r="O19" i="7"/>
  <c r="P19" i="7"/>
  <c r="L33" i="7"/>
  <c r="M33" i="7"/>
  <c r="N33" i="7"/>
  <c r="O33" i="7"/>
  <c r="P33" i="7"/>
  <c r="L346" i="7"/>
  <c r="M346" i="7"/>
  <c r="N346" i="7"/>
  <c r="O346" i="7"/>
  <c r="P346" i="7"/>
  <c r="L72" i="7"/>
  <c r="M72" i="7"/>
  <c r="N72" i="7"/>
  <c r="O72" i="7"/>
  <c r="P72" i="7"/>
  <c r="L195" i="7"/>
  <c r="M195" i="7"/>
  <c r="N195" i="7"/>
  <c r="O195" i="7"/>
  <c r="P195" i="7"/>
  <c r="L74" i="7"/>
  <c r="M74" i="7"/>
  <c r="N74" i="7"/>
  <c r="O74" i="7"/>
  <c r="P74" i="7"/>
  <c r="L64" i="7"/>
  <c r="M64" i="7"/>
  <c r="N64" i="7"/>
  <c r="O64" i="7"/>
  <c r="P64" i="7"/>
  <c r="L332" i="7"/>
  <c r="M332" i="7"/>
  <c r="N332" i="7"/>
  <c r="O332" i="7"/>
  <c r="P332" i="7"/>
  <c r="L95" i="7"/>
  <c r="M95" i="7"/>
  <c r="N95" i="7"/>
  <c r="O95" i="7"/>
  <c r="P95" i="7"/>
  <c r="L85" i="7"/>
  <c r="M85" i="7"/>
  <c r="N85" i="7"/>
  <c r="O85" i="7"/>
  <c r="P85" i="7"/>
  <c r="L252" i="7"/>
  <c r="M252" i="7"/>
  <c r="N252" i="7"/>
  <c r="O252" i="7"/>
  <c r="P252" i="7"/>
  <c r="L96" i="7"/>
  <c r="M96" i="7"/>
  <c r="N96" i="7"/>
  <c r="O96" i="7"/>
  <c r="P96" i="7"/>
  <c r="L60" i="7"/>
  <c r="M60" i="7"/>
  <c r="N60" i="7"/>
  <c r="O60" i="7"/>
  <c r="P60" i="7"/>
  <c r="L143" i="7"/>
  <c r="M143" i="7"/>
  <c r="N143" i="7"/>
  <c r="O143" i="7"/>
  <c r="P143" i="7"/>
  <c r="L281" i="7"/>
  <c r="M281" i="7"/>
  <c r="N281" i="7"/>
  <c r="O281" i="7"/>
  <c r="P281" i="7"/>
  <c r="L49" i="7"/>
  <c r="M49" i="7"/>
  <c r="N49" i="7"/>
  <c r="O49" i="7"/>
  <c r="P49" i="7"/>
  <c r="L257" i="7"/>
  <c r="M257" i="7"/>
  <c r="N257" i="7"/>
  <c r="O257" i="7"/>
  <c r="P257" i="7"/>
  <c r="L348" i="7"/>
  <c r="M348" i="7"/>
  <c r="N348" i="7"/>
  <c r="O348" i="7"/>
  <c r="P348" i="7"/>
  <c r="L166" i="7"/>
  <c r="M166" i="7"/>
  <c r="N166" i="7"/>
  <c r="O166" i="7"/>
  <c r="P166" i="7"/>
  <c r="L311" i="7"/>
  <c r="M311" i="7"/>
  <c r="N311" i="7"/>
  <c r="O311" i="7"/>
  <c r="P311" i="7"/>
  <c r="L70" i="7"/>
  <c r="M70" i="7"/>
  <c r="N70" i="7"/>
  <c r="O70" i="7"/>
  <c r="P70" i="7"/>
  <c r="L343" i="7"/>
  <c r="M343" i="7"/>
  <c r="N343" i="7"/>
  <c r="O343" i="7"/>
  <c r="P343" i="7"/>
  <c r="L69" i="7"/>
  <c r="M69" i="7"/>
  <c r="N69" i="7"/>
  <c r="O69" i="7"/>
  <c r="P69" i="7"/>
  <c r="L46" i="7"/>
  <c r="M46" i="7"/>
  <c r="N46" i="7"/>
  <c r="O46" i="7"/>
  <c r="P46" i="7"/>
  <c r="L273" i="7"/>
  <c r="M273" i="7"/>
  <c r="N273" i="7"/>
  <c r="O273" i="7"/>
  <c r="P273" i="7"/>
  <c r="L330" i="7"/>
  <c r="M330" i="7"/>
  <c r="N330" i="7"/>
  <c r="O330" i="7"/>
  <c r="P330" i="7"/>
  <c r="L41" i="7"/>
  <c r="M41" i="7"/>
  <c r="N41" i="7"/>
  <c r="O41" i="7"/>
  <c r="P41" i="7"/>
  <c r="L26" i="7"/>
  <c r="M26" i="7"/>
  <c r="N26" i="7"/>
  <c r="O26" i="7"/>
  <c r="P26" i="7"/>
  <c r="L367" i="7"/>
  <c r="M367" i="7"/>
  <c r="N367" i="7"/>
  <c r="O367" i="7"/>
  <c r="P367" i="7"/>
  <c r="L379" i="7"/>
  <c r="M379" i="7"/>
  <c r="N379" i="7"/>
  <c r="O379" i="7"/>
  <c r="P379" i="7"/>
  <c r="L197" i="7"/>
  <c r="M197" i="7"/>
  <c r="N197" i="7"/>
  <c r="O197" i="7"/>
  <c r="P197" i="7"/>
  <c r="L275" i="7"/>
  <c r="M275" i="7"/>
  <c r="N275" i="7"/>
  <c r="O275" i="7"/>
  <c r="P275" i="7"/>
  <c r="L391" i="7"/>
  <c r="M391" i="7"/>
  <c r="N391" i="7"/>
  <c r="O391" i="7"/>
  <c r="P391" i="7"/>
  <c r="L14" i="7"/>
  <c r="M14" i="7"/>
  <c r="N14" i="7"/>
  <c r="O14" i="7"/>
  <c r="P14" i="7"/>
  <c r="L349" i="7"/>
  <c r="M349" i="7"/>
  <c r="N349" i="7"/>
  <c r="O349" i="7"/>
  <c r="P349" i="7"/>
  <c r="L359" i="7"/>
  <c r="M359" i="7"/>
  <c r="N359" i="7"/>
  <c r="O359" i="7"/>
  <c r="P359" i="7"/>
  <c r="L373" i="7"/>
  <c r="M373" i="7"/>
  <c r="N373" i="7"/>
  <c r="O373" i="7"/>
  <c r="P373" i="7"/>
  <c r="L234" i="7"/>
  <c r="M234" i="7"/>
  <c r="N234" i="7"/>
  <c r="O234" i="7"/>
  <c r="P234" i="7"/>
  <c r="L204" i="7"/>
  <c r="M204" i="7"/>
  <c r="N204" i="7"/>
  <c r="O204" i="7"/>
  <c r="P204" i="7"/>
  <c r="L237" i="7"/>
  <c r="M237" i="7"/>
  <c r="N237" i="7"/>
  <c r="O237" i="7"/>
  <c r="P237" i="7"/>
  <c r="L30" i="7"/>
  <c r="M30" i="7"/>
  <c r="N30" i="7"/>
  <c r="O30" i="7"/>
  <c r="P30" i="7"/>
  <c r="L396" i="7"/>
  <c r="M396" i="7"/>
  <c r="N396" i="7"/>
  <c r="O396" i="7"/>
  <c r="P396" i="7"/>
  <c r="L242" i="7"/>
  <c r="M242" i="7"/>
  <c r="N242" i="7"/>
  <c r="O242" i="7"/>
  <c r="P242" i="7"/>
  <c r="L239" i="7"/>
  <c r="M239" i="7"/>
  <c r="N239" i="7"/>
  <c r="O239" i="7"/>
  <c r="P239" i="7"/>
  <c r="L363" i="7"/>
  <c r="M363" i="7"/>
  <c r="N363" i="7"/>
  <c r="O363" i="7"/>
  <c r="P363" i="7"/>
  <c r="L362" i="7"/>
  <c r="M362" i="7"/>
  <c r="N362" i="7"/>
  <c r="O362" i="7"/>
  <c r="P362" i="7"/>
  <c r="L194" i="7"/>
  <c r="M194" i="7"/>
  <c r="N194" i="7"/>
  <c r="O194" i="7"/>
  <c r="P194" i="7"/>
  <c r="L249" i="7"/>
  <c r="M249" i="7"/>
  <c r="N249" i="7"/>
  <c r="O249" i="7"/>
  <c r="P249" i="7"/>
  <c r="L200" i="7"/>
  <c r="M200" i="7"/>
  <c r="N200" i="7"/>
  <c r="O200" i="7"/>
  <c r="P200" i="7"/>
  <c r="L226" i="7"/>
  <c r="M226" i="7"/>
  <c r="N226" i="7"/>
  <c r="O226" i="7"/>
  <c r="P226" i="7"/>
  <c r="L387" i="7"/>
  <c r="M387" i="7"/>
  <c r="N387" i="7"/>
  <c r="O387" i="7"/>
  <c r="P387" i="7"/>
  <c r="L253" i="7"/>
  <c r="M253" i="7"/>
  <c r="N253" i="7"/>
  <c r="O253" i="7"/>
  <c r="P253" i="7"/>
  <c r="L331" i="7"/>
  <c r="M331" i="7"/>
  <c r="N331" i="7"/>
  <c r="O331" i="7"/>
  <c r="P331" i="7"/>
  <c r="L192" i="7"/>
  <c r="M192" i="7"/>
  <c r="N192" i="7"/>
  <c r="O192" i="7"/>
  <c r="P192" i="7"/>
  <c r="L198" i="7"/>
  <c r="M198" i="7"/>
  <c r="N198" i="7"/>
  <c r="O198" i="7"/>
  <c r="P198" i="7"/>
  <c r="L206" i="7"/>
  <c r="M206" i="7"/>
  <c r="N206" i="7"/>
  <c r="O206" i="7"/>
  <c r="P206" i="7"/>
  <c r="L382" i="7"/>
  <c r="M382" i="7"/>
  <c r="N382" i="7"/>
  <c r="O382" i="7"/>
  <c r="P382" i="7"/>
  <c r="L238" i="7"/>
  <c r="M238" i="7"/>
  <c r="N238" i="7"/>
  <c r="O238" i="7"/>
  <c r="P238" i="7"/>
  <c r="L293" i="7"/>
  <c r="M293" i="7"/>
  <c r="N293" i="7"/>
  <c r="O293" i="7"/>
  <c r="P293" i="7"/>
  <c r="L230" i="7"/>
  <c r="M230" i="7"/>
  <c r="N230" i="7"/>
  <c r="O230" i="7"/>
  <c r="P230" i="7"/>
  <c r="L243" i="7"/>
  <c r="M243" i="7"/>
  <c r="N243" i="7"/>
  <c r="O243" i="7"/>
  <c r="P243" i="7"/>
  <c r="L42" i="7"/>
  <c r="M42" i="7"/>
  <c r="N42" i="7"/>
  <c r="O42" i="7"/>
  <c r="P42" i="7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L10" i="7"/>
  <c r="M10" i="7"/>
  <c r="N10" i="7"/>
  <c r="O10" i="7"/>
  <c r="P10" i="7"/>
  <c r="L11" i="7"/>
  <c r="M11" i="7"/>
  <c r="N11" i="7"/>
  <c r="O11" i="7"/>
  <c r="P11" i="7"/>
  <c r="L12" i="7"/>
  <c r="M12" i="7"/>
  <c r="N12" i="7"/>
  <c r="O12" i="7"/>
  <c r="P12" i="7"/>
  <c r="L313" i="7"/>
  <c r="M313" i="7"/>
  <c r="N313" i="7"/>
  <c r="O313" i="7"/>
  <c r="P313" i="7"/>
  <c r="L22" i="7"/>
  <c r="M22" i="7"/>
  <c r="N22" i="7"/>
  <c r="O22" i="7"/>
  <c r="P22" i="7"/>
  <c r="L278" i="7"/>
  <c r="M278" i="7"/>
  <c r="N278" i="7"/>
  <c r="O278" i="7"/>
  <c r="P278" i="7"/>
  <c r="L337" i="7"/>
  <c r="M337" i="7"/>
  <c r="N337" i="7"/>
  <c r="O337" i="7"/>
  <c r="P337" i="7"/>
  <c r="L324" i="7"/>
  <c r="M324" i="7"/>
  <c r="N324" i="7"/>
  <c r="O324" i="7"/>
  <c r="P324" i="7"/>
  <c r="L28" i="7"/>
  <c r="M28" i="7"/>
  <c r="N28" i="7"/>
  <c r="O28" i="7"/>
  <c r="P28" i="7"/>
  <c r="L285" i="7"/>
  <c r="M285" i="7"/>
  <c r="N285" i="7"/>
  <c r="O285" i="7"/>
  <c r="P285" i="7"/>
  <c r="L294" i="7"/>
  <c r="M294" i="7"/>
  <c r="N294" i="7"/>
  <c r="O294" i="7"/>
  <c r="P294" i="7"/>
  <c r="L36" i="7"/>
  <c r="M36" i="7"/>
  <c r="N36" i="7"/>
  <c r="O36" i="7"/>
  <c r="P36" i="7"/>
  <c r="L44" i="7"/>
  <c r="M44" i="7"/>
  <c r="N44" i="7"/>
  <c r="O44" i="7"/>
  <c r="P44" i="7"/>
  <c r="L325" i="7"/>
  <c r="M325" i="7"/>
  <c r="N325" i="7"/>
  <c r="O325" i="7"/>
  <c r="P325" i="7"/>
  <c r="L317" i="7"/>
  <c r="M317" i="7"/>
  <c r="N317" i="7"/>
  <c r="O317" i="7"/>
  <c r="P317" i="7"/>
  <c r="L347" i="7"/>
  <c r="M347" i="7"/>
  <c r="N347" i="7"/>
  <c r="O347" i="7"/>
  <c r="P347" i="7"/>
  <c r="L47" i="7"/>
  <c r="M47" i="7"/>
  <c r="N47" i="7"/>
  <c r="O47" i="7"/>
  <c r="P47" i="7"/>
  <c r="L352" i="7"/>
  <c r="M352" i="7"/>
  <c r="N352" i="7"/>
  <c r="O352" i="7"/>
  <c r="P352" i="7"/>
  <c r="L302" i="7"/>
  <c r="M302" i="7"/>
  <c r="N302" i="7"/>
  <c r="O302" i="7"/>
  <c r="P302" i="7"/>
  <c r="L34" i="7"/>
  <c r="M34" i="7"/>
  <c r="N34" i="7"/>
  <c r="O34" i="7"/>
  <c r="P34" i="7"/>
  <c r="L303" i="7"/>
  <c r="M303" i="7"/>
  <c r="N303" i="7"/>
  <c r="O303" i="7"/>
  <c r="P303" i="7"/>
  <c r="L48" i="7"/>
  <c r="M48" i="7"/>
  <c r="N48" i="7"/>
  <c r="O48" i="7"/>
  <c r="P48" i="7"/>
  <c r="L304" i="7"/>
  <c r="M304" i="7"/>
  <c r="N304" i="7"/>
  <c r="O304" i="7"/>
  <c r="P304" i="7"/>
  <c r="L228" i="7"/>
  <c r="M228" i="7"/>
  <c r="N228" i="7"/>
  <c r="O228" i="7"/>
  <c r="P228" i="7"/>
  <c r="L50" i="7"/>
  <c r="M50" i="7"/>
  <c r="N50" i="7"/>
  <c r="O50" i="7"/>
  <c r="P50" i="7"/>
  <c r="L51" i="7"/>
  <c r="M51" i="7"/>
  <c r="N51" i="7"/>
  <c r="O51" i="7"/>
  <c r="P51" i="7"/>
  <c r="L52" i="7"/>
  <c r="M52" i="7"/>
  <c r="N52" i="7"/>
  <c r="O52" i="7"/>
  <c r="P52" i="7"/>
  <c r="L53" i="7"/>
  <c r="M53" i="7"/>
  <c r="N53" i="7"/>
  <c r="O53" i="7"/>
  <c r="P53" i="7"/>
  <c r="L54" i="7"/>
  <c r="M54" i="7"/>
  <c r="N54" i="7"/>
  <c r="O54" i="7"/>
  <c r="P54" i="7"/>
  <c r="L56" i="7"/>
  <c r="M56" i="7"/>
  <c r="N56" i="7"/>
  <c r="O56" i="7"/>
  <c r="P56" i="7"/>
  <c r="L57" i="7"/>
  <c r="M57" i="7"/>
  <c r="N57" i="7"/>
  <c r="O57" i="7"/>
  <c r="P57" i="7"/>
  <c r="L58" i="7"/>
  <c r="M58" i="7"/>
  <c r="N58" i="7"/>
  <c r="O58" i="7"/>
  <c r="P58" i="7"/>
  <c r="L59" i="7"/>
  <c r="M59" i="7"/>
  <c r="N59" i="7"/>
  <c r="O59" i="7"/>
  <c r="P59" i="7"/>
  <c r="L63" i="7"/>
  <c r="M63" i="7"/>
  <c r="N63" i="7"/>
  <c r="O63" i="7"/>
  <c r="P63" i="7"/>
  <c r="L65" i="7"/>
  <c r="M65" i="7"/>
  <c r="N65" i="7"/>
  <c r="O65" i="7"/>
  <c r="P65" i="7"/>
  <c r="L31" i="7"/>
  <c r="M31" i="7"/>
  <c r="N31" i="7"/>
  <c r="O31" i="7"/>
  <c r="P31" i="7"/>
  <c r="L67" i="7"/>
  <c r="M67" i="7"/>
  <c r="N67" i="7"/>
  <c r="O67" i="7"/>
  <c r="P67" i="7"/>
  <c r="L68" i="7"/>
  <c r="M68" i="7"/>
  <c r="N68" i="7"/>
  <c r="O68" i="7"/>
  <c r="P68" i="7"/>
  <c r="L266" i="7"/>
  <c r="M266" i="7"/>
  <c r="N266" i="7"/>
  <c r="O266" i="7"/>
  <c r="P266" i="7"/>
  <c r="L254" i="7"/>
  <c r="M254" i="7"/>
  <c r="N254" i="7"/>
  <c r="O254" i="7"/>
  <c r="P254" i="7"/>
  <c r="L267" i="7"/>
  <c r="M267" i="7"/>
  <c r="N267" i="7"/>
  <c r="O267" i="7"/>
  <c r="P267" i="7"/>
  <c r="L71" i="7"/>
  <c r="M71" i="7"/>
  <c r="N71" i="7"/>
  <c r="O71" i="7"/>
  <c r="P71" i="7"/>
  <c r="L78" i="7"/>
  <c r="M78" i="7"/>
  <c r="N78" i="7"/>
  <c r="O78" i="7"/>
  <c r="P78" i="7"/>
  <c r="L81" i="7"/>
  <c r="M81" i="7"/>
  <c r="N81" i="7"/>
  <c r="O81" i="7"/>
  <c r="P81" i="7"/>
  <c r="L82" i="7"/>
  <c r="M82" i="7"/>
  <c r="N82" i="7"/>
  <c r="O82" i="7"/>
  <c r="P82" i="7"/>
  <c r="L83" i="7"/>
  <c r="M83" i="7"/>
  <c r="N83" i="7"/>
  <c r="O83" i="7"/>
  <c r="P83" i="7"/>
  <c r="L84" i="7"/>
  <c r="M84" i="7"/>
  <c r="N84" i="7"/>
  <c r="O84" i="7"/>
  <c r="P84" i="7"/>
  <c r="L86" i="7"/>
  <c r="M86" i="7"/>
  <c r="N86" i="7"/>
  <c r="O86" i="7"/>
  <c r="P86" i="7"/>
  <c r="L87" i="7"/>
  <c r="M87" i="7"/>
  <c r="N87" i="7"/>
  <c r="O87" i="7"/>
  <c r="P87" i="7"/>
  <c r="L88" i="7"/>
  <c r="M88" i="7"/>
  <c r="N88" i="7"/>
  <c r="O88" i="7"/>
  <c r="P88" i="7"/>
  <c r="L89" i="7"/>
  <c r="M89" i="7"/>
  <c r="N89" i="7"/>
  <c r="O89" i="7"/>
  <c r="P89" i="7"/>
  <c r="L90" i="7"/>
  <c r="M90" i="7"/>
  <c r="N90" i="7"/>
  <c r="O90" i="7"/>
  <c r="P90" i="7"/>
  <c r="L97" i="7"/>
  <c r="M97" i="7"/>
  <c r="N97" i="7"/>
  <c r="O97" i="7"/>
  <c r="P97" i="7"/>
  <c r="L109" i="7"/>
  <c r="M109" i="7"/>
  <c r="N109" i="7"/>
  <c r="O109" i="7"/>
  <c r="P109" i="7"/>
  <c r="L110" i="7"/>
  <c r="M110" i="7"/>
  <c r="N110" i="7"/>
  <c r="O110" i="7"/>
  <c r="P110" i="7"/>
  <c r="L111" i="7"/>
  <c r="M111" i="7"/>
  <c r="N111" i="7"/>
  <c r="O111" i="7"/>
  <c r="P111" i="7"/>
  <c r="L80" i="7"/>
  <c r="M80" i="7"/>
  <c r="N80" i="7"/>
  <c r="O80" i="7"/>
  <c r="P80" i="7"/>
  <c r="L112" i="7"/>
  <c r="M112" i="7"/>
  <c r="N112" i="7"/>
  <c r="O112" i="7"/>
  <c r="P112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8" i="7"/>
  <c r="M128" i="7"/>
  <c r="N128" i="7"/>
  <c r="O128" i="7"/>
  <c r="P128" i="7"/>
  <c r="L129" i="7"/>
  <c r="M129" i="7"/>
  <c r="N129" i="7"/>
  <c r="O129" i="7"/>
  <c r="P129" i="7"/>
  <c r="L130" i="7"/>
  <c r="M130" i="7"/>
  <c r="N130" i="7"/>
  <c r="O130" i="7"/>
  <c r="P130" i="7"/>
  <c r="L215" i="7"/>
  <c r="M215" i="7"/>
  <c r="N215" i="7"/>
  <c r="O215" i="7"/>
  <c r="P215" i="7"/>
  <c r="L132" i="7"/>
  <c r="M132" i="7"/>
  <c r="N132" i="7"/>
  <c r="O132" i="7"/>
  <c r="P132" i="7"/>
  <c r="L217" i="7"/>
  <c r="M217" i="7"/>
  <c r="N217" i="7"/>
  <c r="O217" i="7"/>
  <c r="P217" i="7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L218" i="7"/>
  <c r="M218" i="7"/>
  <c r="N218" i="7"/>
  <c r="O218" i="7"/>
  <c r="P218" i="7"/>
  <c r="L142" i="7"/>
  <c r="M142" i="7"/>
  <c r="N142" i="7"/>
  <c r="O142" i="7"/>
  <c r="P142" i="7"/>
  <c r="L144" i="7"/>
  <c r="M144" i="7"/>
  <c r="N144" i="7"/>
  <c r="O144" i="7"/>
  <c r="P144" i="7"/>
  <c r="L219" i="7"/>
  <c r="M219" i="7"/>
  <c r="N219" i="7"/>
  <c r="O219" i="7"/>
  <c r="P219" i="7"/>
  <c r="L145" i="7"/>
  <c r="M145" i="7"/>
  <c r="N145" i="7"/>
  <c r="O145" i="7"/>
  <c r="P145" i="7"/>
  <c r="L146" i="7"/>
  <c r="M146" i="7"/>
  <c r="N146" i="7"/>
  <c r="O146" i="7"/>
  <c r="P146" i="7"/>
  <c r="L214" i="7"/>
  <c r="M214" i="7"/>
  <c r="N214" i="7"/>
  <c r="O214" i="7"/>
  <c r="P214" i="7"/>
  <c r="L147" i="7"/>
  <c r="M147" i="7"/>
  <c r="N147" i="7"/>
  <c r="O147" i="7"/>
  <c r="P147" i="7"/>
  <c r="L148" i="7"/>
  <c r="M148" i="7"/>
  <c r="N148" i="7"/>
  <c r="O148" i="7"/>
  <c r="P148" i="7"/>
  <c r="L150" i="7"/>
  <c r="M150" i="7"/>
  <c r="N150" i="7"/>
  <c r="O150" i="7"/>
  <c r="P150" i="7"/>
  <c r="L152" i="7"/>
  <c r="M152" i="7"/>
  <c r="N152" i="7"/>
  <c r="O152" i="7"/>
  <c r="P152" i="7"/>
  <c r="L207" i="7"/>
  <c r="M207" i="7"/>
  <c r="N207" i="7"/>
  <c r="O207" i="7"/>
  <c r="P207" i="7"/>
  <c r="L158" i="7"/>
  <c r="M158" i="7"/>
  <c r="N158" i="7"/>
  <c r="O158" i="7"/>
  <c r="P158" i="7"/>
  <c r="L159" i="7"/>
  <c r="M159" i="7"/>
  <c r="N159" i="7"/>
  <c r="O159" i="7"/>
  <c r="P159" i="7"/>
  <c r="L160" i="7"/>
  <c r="M160" i="7"/>
  <c r="N160" i="7"/>
  <c r="O160" i="7"/>
  <c r="P160" i="7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L167" i="7"/>
  <c r="M167" i="7"/>
  <c r="N167" i="7"/>
  <c r="O167" i="7"/>
  <c r="P167" i="7"/>
  <c r="L245" i="7"/>
  <c r="M245" i="7"/>
  <c r="N245" i="7"/>
  <c r="O245" i="7"/>
  <c r="P245" i="7"/>
  <c r="L168" i="7"/>
  <c r="M168" i="7"/>
  <c r="N168" i="7"/>
  <c r="O168" i="7"/>
  <c r="P168" i="7"/>
  <c r="L169" i="7"/>
  <c r="M169" i="7"/>
  <c r="N169" i="7"/>
  <c r="O169" i="7"/>
  <c r="P169" i="7"/>
  <c r="L170" i="7"/>
  <c r="M170" i="7"/>
  <c r="N170" i="7"/>
  <c r="O170" i="7"/>
  <c r="P170" i="7"/>
  <c r="L171" i="7"/>
  <c r="M171" i="7"/>
  <c r="N171" i="7"/>
  <c r="O171" i="7"/>
  <c r="P171" i="7"/>
  <c r="L180" i="7"/>
  <c r="M180" i="7"/>
  <c r="N180" i="7"/>
  <c r="O180" i="7"/>
  <c r="P180" i="7"/>
  <c r="L173" i="7"/>
  <c r="M173" i="7"/>
  <c r="N173" i="7"/>
  <c r="O173" i="7"/>
  <c r="P173" i="7"/>
  <c r="L212" i="7"/>
  <c r="M212" i="7"/>
  <c r="N212" i="7"/>
  <c r="O212" i="7"/>
  <c r="P212" i="7"/>
  <c r="L361" i="7"/>
  <c r="M361" i="7"/>
  <c r="N361" i="7"/>
  <c r="O361" i="7"/>
  <c r="P361" i="7"/>
  <c r="L203" i="7"/>
  <c r="M203" i="7"/>
  <c r="N203" i="7"/>
  <c r="O203" i="7"/>
  <c r="P203" i="7"/>
  <c r="L221" i="7"/>
  <c r="M221" i="7"/>
  <c r="N221" i="7"/>
  <c r="O221" i="7"/>
  <c r="P221" i="7"/>
  <c r="L271" i="7"/>
  <c r="M271" i="7"/>
  <c r="N271" i="7"/>
  <c r="O271" i="7"/>
  <c r="P271" i="7"/>
  <c r="L222" i="7"/>
  <c r="M222" i="7"/>
  <c r="N222" i="7"/>
  <c r="O222" i="7"/>
  <c r="P222" i="7"/>
  <c r="L224" i="7"/>
  <c r="M224" i="7"/>
  <c r="N224" i="7"/>
  <c r="O224" i="7"/>
  <c r="P224" i="7"/>
  <c r="L225" i="7"/>
  <c r="M225" i="7"/>
  <c r="N225" i="7"/>
  <c r="O225" i="7"/>
  <c r="P225" i="7"/>
  <c r="L172" i="7"/>
  <c r="M172" i="7"/>
  <c r="N172" i="7"/>
  <c r="O172" i="7"/>
  <c r="P172" i="7"/>
  <c r="L174" i="7"/>
  <c r="M174" i="7"/>
  <c r="N174" i="7"/>
  <c r="O174" i="7"/>
  <c r="P174" i="7"/>
  <c r="L176" i="7"/>
  <c r="M176" i="7"/>
  <c r="N176" i="7"/>
  <c r="O176" i="7"/>
  <c r="P176" i="7"/>
  <c r="L177" i="7"/>
  <c r="M177" i="7"/>
  <c r="N177" i="7"/>
  <c r="O177" i="7"/>
  <c r="P177" i="7"/>
  <c r="L178" i="7"/>
  <c r="M178" i="7"/>
  <c r="N178" i="7"/>
  <c r="O178" i="7"/>
  <c r="P178" i="7"/>
  <c r="L179" i="7"/>
  <c r="M179" i="7"/>
  <c r="N179" i="7"/>
  <c r="O179" i="7"/>
  <c r="P179" i="7"/>
  <c r="L181" i="7"/>
  <c r="M181" i="7"/>
  <c r="N181" i="7"/>
  <c r="O181" i="7"/>
  <c r="P181" i="7"/>
  <c r="L182" i="7"/>
  <c r="M182" i="7"/>
  <c r="N182" i="7"/>
  <c r="O182" i="7"/>
  <c r="P182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394" i="7"/>
  <c r="M394" i="7"/>
  <c r="N394" i="7"/>
  <c r="O394" i="7"/>
  <c r="P394" i="7"/>
  <c r="L66" i="7"/>
  <c r="M66" i="7"/>
  <c r="N66" i="7"/>
  <c r="O66" i="7"/>
  <c r="P66" i="7"/>
  <c r="L23" i="7"/>
  <c r="M23" i="7"/>
  <c r="N23" i="7"/>
  <c r="O23" i="7"/>
  <c r="P23" i="7"/>
  <c r="L322" i="7"/>
  <c r="M322" i="7"/>
  <c r="N322" i="7"/>
  <c r="O322" i="7"/>
  <c r="P322" i="7"/>
  <c r="L299" i="7"/>
  <c r="M299" i="7"/>
  <c r="N299" i="7"/>
  <c r="O299" i="7"/>
  <c r="P299" i="7"/>
  <c r="L276" i="7"/>
  <c r="M276" i="7"/>
  <c r="N276" i="7"/>
  <c r="O276" i="7"/>
  <c r="P276" i="7"/>
  <c r="L196" i="7"/>
  <c r="M196" i="7"/>
  <c r="N196" i="7"/>
  <c r="O196" i="7"/>
  <c r="P196" i="7"/>
  <c r="L247" i="7"/>
  <c r="M247" i="7"/>
  <c r="N247" i="7"/>
  <c r="O247" i="7"/>
  <c r="P247" i="7"/>
  <c r="L315" i="7"/>
  <c r="M315" i="7"/>
  <c r="N315" i="7"/>
  <c r="O315" i="7"/>
  <c r="P315" i="7"/>
  <c r="L233" i="7"/>
  <c r="M233" i="7"/>
  <c r="N233" i="7"/>
  <c r="O233" i="7"/>
  <c r="P233" i="7"/>
  <c r="L300" i="7"/>
  <c r="M300" i="7"/>
  <c r="N300" i="7"/>
  <c r="O300" i="7"/>
  <c r="P300" i="7"/>
  <c r="L133" i="7"/>
  <c r="M133" i="7"/>
  <c r="N133" i="7"/>
  <c r="O133" i="7"/>
  <c r="P133" i="7"/>
  <c r="L377" i="7"/>
  <c r="M377" i="7"/>
  <c r="N377" i="7"/>
  <c r="O377" i="7"/>
  <c r="P377" i="7"/>
  <c r="L310" i="7"/>
  <c r="M310" i="7"/>
  <c r="N310" i="7"/>
  <c r="O310" i="7"/>
  <c r="P310" i="7"/>
  <c r="L240" i="7"/>
  <c r="M240" i="7"/>
  <c r="N240" i="7"/>
  <c r="O240" i="7"/>
  <c r="P240" i="7"/>
  <c r="L335" i="7"/>
  <c r="M335" i="7"/>
  <c r="N335" i="7"/>
  <c r="O335" i="7"/>
  <c r="P335" i="7"/>
  <c r="L17" i="7"/>
  <c r="M17" i="7"/>
  <c r="N17" i="7"/>
  <c r="O17" i="7"/>
  <c r="P17" i="7"/>
  <c r="L270" i="7"/>
  <c r="M270" i="7"/>
  <c r="N270" i="7"/>
  <c r="O270" i="7"/>
  <c r="P270" i="7"/>
  <c r="L381" i="7"/>
  <c r="M381" i="7"/>
  <c r="N381" i="7"/>
  <c r="O381" i="7"/>
  <c r="P381" i="7"/>
  <c r="L32" i="7"/>
  <c r="M32" i="7"/>
  <c r="N32" i="7"/>
  <c r="O32" i="7"/>
  <c r="P32" i="7"/>
  <c r="L306" i="7"/>
  <c r="M306" i="7"/>
  <c r="N306" i="7"/>
  <c r="O306" i="7"/>
  <c r="P306" i="7"/>
  <c r="L327" i="7"/>
  <c r="M327" i="7"/>
  <c r="N327" i="7"/>
  <c r="O327" i="7"/>
  <c r="P327" i="7"/>
  <c r="L328" i="7"/>
  <c r="M328" i="7"/>
  <c r="N328" i="7"/>
  <c r="O328" i="7"/>
  <c r="P328" i="7"/>
  <c r="L351" i="7"/>
  <c r="M351" i="7"/>
  <c r="N351" i="7"/>
  <c r="O351" i="7"/>
  <c r="P351" i="7"/>
  <c r="L356" i="7"/>
  <c r="M356" i="7"/>
  <c r="N356" i="7"/>
  <c r="O356" i="7"/>
  <c r="P356" i="7"/>
  <c r="L318" i="7"/>
  <c r="M318" i="7"/>
  <c r="N318" i="7"/>
  <c r="O318" i="7"/>
  <c r="P318" i="7"/>
  <c r="L35" i="7"/>
  <c r="M35" i="7"/>
  <c r="N35" i="7"/>
  <c r="O35" i="7"/>
  <c r="P35" i="7"/>
  <c r="L117" i="7"/>
  <c r="M117" i="7"/>
  <c r="N117" i="7"/>
  <c r="O117" i="7"/>
  <c r="P117" i="7"/>
  <c r="L255" i="7"/>
  <c r="M255" i="7"/>
  <c r="N255" i="7"/>
  <c r="O255" i="7"/>
  <c r="P255" i="7"/>
  <c r="L360" i="7"/>
  <c r="M360" i="7"/>
  <c r="N360" i="7"/>
  <c r="O360" i="7"/>
  <c r="P360" i="7"/>
  <c r="L223" i="7"/>
  <c r="M223" i="7"/>
  <c r="N223" i="7"/>
  <c r="O223" i="7"/>
  <c r="P223" i="7"/>
  <c r="L287" i="7"/>
  <c r="M287" i="7"/>
  <c r="N287" i="7"/>
  <c r="O287" i="7"/>
  <c r="P287" i="7"/>
  <c r="L319" i="7"/>
  <c r="M319" i="7"/>
  <c r="N319" i="7"/>
  <c r="O319" i="7"/>
  <c r="P319" i="7"/>
  <c r="L272" i="7"/>
  <c r="M272" i="7"/>
  <c r="N272" i="7"/>
  <c r="O272" i="7"/>
  <c r="P272" i="7"/>
  <c r="L149" i="7"/>
  <c r="M149" i="7"/>
  <c r="N149" i="7"/>
  <c r="O149" i="7"/>
  <c r="P149" i="7"/>
  <c r="L259" i="7"/>
  <c r="M259" i="7"/>
  <c r="N259" i="7"/>
  <c r="O259" i="7"/>
  <c r="P259" i="7"/>
  <c r="L339" i="7"/>
  <c r="M339" i="7"/>
  <c r="N339" i="7"/>
  <c r="O339" i="7"/>
  <c r="P339" i="7"/>
  <c r="L268" i="7"/>
  <c r="M268" i="7"/>
  <c r="N268" i="7"/>
  <c r="O268" i="7"/>
  <c r="P268" i="7"/>
  <c r="L301" i="7"/>
  <c r="M301" i="7"/>
  <c r="N301" i="7"/>
  <c r="O301" i="7"/>
  <c r="P301" i="7"/>
  <c r="L264" i="7"/>
  <c r="M264" i="7"/>
  <c r="N264" i="7"/>
  <c r="O264" i="7"/>
  <c r="P264" i="7"/>
  <c r="L390" i="7"/>
  <c r="M390" i="7"/>
  <c r="N390" i="7"/>
  <c r="O390" i="7"/>
  <c r="P390" i="7"/>
  <c r="L358" i="7"/>
  <c r="M358" i="7"/>
  <c r="N358" i="7"/>
  <c r="O358" i="7"/>
  <c r="P358" i="7"/>
  <c r="L258" i="7"/>
  <c r="M258" i="7"/>
  <c r="N258" i="7"/>
  <c r="O258" i="7"/>
  <c r="P258" i="7"/>
  <c r="L113" i="7"/>
  <c r="M113" i="7"/>
  <c r="N113" i="7"/>
  <c r="O113" i="7"/>
  <c r="P113" i="7"/>
  <c r="L393" i="7"/>
  <c r="M393" i="7"/>
  <c r="N393" i="7"/>
  <c r="O393" i="7"/>
  <c r="P393" i="7"/>
  <c r="L292" i="7"/>
  <c r="M292" i="7"/>
  <c r="N292" i="7"/>
  <c r="O292" i="7"/>
  <c r="P292" i="7"/>
  <c r="L211" i="7"/>
  <c r="M211" i="7"/>
  <c r="N211" i="7"/>
  <c r="O211" i="7"/>
  <c r="P211" i="7"/>
  <c r="L323" i="7"/>
  <c r="M323" i="7"/>
  <c r="N323" i="7"/>
  <c r="O323" i="7"/>
  <c r="P323" i="7"/>
  <c r="L284" i="7"/>
  <c r="M284" i="7"/>
  <c r="N284" i="7"/>
  <c r="O284" i="7"/>
  <c r="P284" i="7"/>
  <c r="L307" i="7"/>
  <c r="M307" i="7"/>
  <c r="N307" i="7"/>
  <c r="O307" i="7"/>
  <c r="P307" i="7"/>
  <c r="L288" i="7"/>
  <c r="M288" i="7"/>
  <c r="N288" i="7"/>
  <c r="O288" i="7"/>
  <c r="P288" i="7"/>
  <c r="L345" i="7"/>
  <c r="M345" i="7"/>
  <c r="N345" i="7"/>
  <c r="O345" i="7"/>
  <c r="P345" i="7"/>
  <c r="L282" i="7"/>
  <c r="M282" i="7"/>
  <c r="N282" i="7"/>
  <c r="O282" i="7"/>
  <c r="P282" i="7"/>
  <c r="L269" i="7"/>
  <c r="M269" i="7"/>
  <c r="N269" i="7"/>
  <c r="O269" i="7"/>
  <c r="P269" i="7"/>
  <c r="L251" i="7"/>
  <c r="M251" i="7"/>
  <c r="N251" i="7"/>
  <c r="O251" i="7"/>
  <c r="P251" i="7"/>
  <c r="L131" i="7"/>
  <c r="M131" i="7"/>
  <c r="N131" i="7"/>
  <c r="O131" i="7"/>
  <c r="P131" i="7"/>
  <c r="L289" i="7"/>
  <c r="M289" i="7"/>
  <c r="N289" i="7"/>
  <c r="O289" i="7"/>
  <c r="P289" i="7"/>
  <c r="L101" i="7"/>
  <c r="M101" i="7"/>
  <c r="N101" i="7"/>
  <c r="O101" i="7"/>
  <c r="P101" i="7"/>
  <c r="L24" i="7"/>
  <c r="M24" i="7"/>
  <c r="N24" i="7"/>
  <c r="O24" i="7"/>
  <c r="P24" i="7"/>
  <c r="L126" i="7"/>
  <c r="M126" i="7"/>
  <c r="N126" i="7"/>
  <c r="O126" i="7"/>
  <c r="P126" i="7"/>
  <c r="L25" i="7"/>
  <c r="M25" i="7"/>
  <c r="N25" i="7"/>
  <c r="O25" i="7"/>
  <c r="P25" i="7"/>
  <c r="L153" i="7"/>
  <c r="M153" i="7"/>
  <c r="N153" i="7"/>
  <c r="O153" i="7"/>
  <c r="P153" i="7"/>
  <c r="L291" i="7"/>
  <c r="M291" i="7"/>
  <c r="N291" i="7"/>
  <c r="O291" i="7"/>
  <c r="P291" i="7"/>
  <c r="L286" i="7"/>
  <c r="M286" i="7"/>
  <c r="N286" i="7"/>
  <c r="O286" i="7"/>
  <c r="P286" i="7"/>
  <c r="L39" i="7"/>
  <c r="M39" i="7"/>
  <c r="N39" i="7"/>
  <c r="O39" i="7"/>
  <c r="P39" i="7"/>
  <c r="L326" i="7"/>
  <c r="M326" i="7"/>
  <c r="N326" i="7"/>
  <c r="O326" i="7"/>
  <c r="P326" i="7"/>
  <c r="L220" i="7"/>
  <c r="M220" i="7"/>
  <c r="N220" i="7"/>
  <c r="O220" i="7"/>
  <c r="P220" i="7"/>
  <c r="L18" i="7"/>
  <c r="M18" i="7"/>
  <c r="N18" i="7"/>
  <c r="O18" i="7"/>
  <c r="P18" i="7"/>
  <c r="L16" i="7"/>
  <c r="M16" i="7"/>
  <c r="N16" i="7"/>
  <c r="O16" i="7"/>
  <c r="P16" i="7"/>
  <c r="L261" i="7"/>
  <c r="M261" i="7"/>
  <c r="N261" i="7"/>
  <c r="O261" i="7"/>
  <c r="P261" i="7"/>
  <c r="L40" i="7"/>
  <c r="M40" i="7"/>
  <c r="N40" i="7"/>
  <c r="O40" i="7"/>
  <c r="P40" i="7"/>
  <c r="L201" i="7"/>
  <c r="M201" i="7"/>
  <c r="N201" i="7"/>
  <c r="O201" i="7"/>
  <c r="P201" i="7"/>
  <c r="L353" i="7"/>
  <c r="M353" i="7"/>
  <c r="N353" i="7"/>
  <c r="O353" i="7"/>
  <c r="P353" i="7"/>
  <c r="L329" i="7"/>
  <c r="M329" i="7"/>
  <c r="N329" i="7"/>
  <c r="O329" i="7"/>
  <c r="P329" i="7"/>
  <c r="L184" i="7"/>
  <c r="M184" i="7"/>
  <c r="N184" i="7"/>
  <c r="O184" i="7"/>
  <c r="P184" i="7"/>
  <c r="L21" i="7"/>
  <c r="M21" i="7"/>
  <c r="N21" i="7"/>
  <c r="O21" i="7"/>
  <c r="P21" i="7"/>
  <c r="L341" i="7"/>
  <c r="M341" i="7"/>
  <c r="N341" i="7"/>
  <c r="O341" i="7"/>
  <c r="P341" i="7"/>
  <c r="L316" i="7"/>
  <c r="M316" i="7"/>
  <c r="N316" i="7"/>
  <c r="O316" i="7"/>
  <c r="P316" i="7"/>
  <c r="L338" i="7"/>
  <c r="M338" i="7"/>
  <c r="N338" i="7"/>
  <c r="O338" i="7"/>
  <c r="P338" i="7"/>
  <c r="L386" i="7"/>
  <c r="M386" i="7"/>
  <c r="N386" i="7"/>
  <c r="O386" i="7"/>
  <c r="P386" i="7"/>
  <c r="L103" i="7"/>
  <c r="M103" i="7"/>
  <c r="N103" i="7"/>
  <c r="O103" i="7"/>
  <c r="P103" i="7"/>
  <c r="L355" i="7"/>
  <c r="M355" i="7"/>
  <c r="N355" i="7"/>
  <c r="O355" i="7"/>
  <c r="P355" i="7"/>
  <c r="L321" i="7"/>
  <c r="M321" i="7"/>
  <c r="N321" i="7"/>
  <c r="O321" i="7"/>
  <c r="P321" i="7"/>
  <c r="L398" i="7"/>
  <c r="M398" i="7"/>
  <c r="N398" i="7"/>
  <c r="O398" i="7"/>
  <c r="P398" i="7"/>
  <c r="L320" i="7"/>
  <c r="M320" i="7"/>
  <c r="N320" i="7"/>
  <c r="O320" i="7"/>
  <c r="P320" i="7"/>
  <c r="L366" i="7"/>
  <c r="M366" i="7"/>
  <c r="N366" i="7"/>
  <c r="O366" i="7"/>
  <c r="P366" i="7"/>
  <c r="L263" i="7"/>
  <c r="M263" i="7"/>
  <c r="N263" i="7"/>
  <c r="O263" i="7"/>
  <c r="P263" i="7"/>
  <c r="L298" i="7"/>
  <c r="M298" i="7"/>
  <c r="N298" i="7"/>
  <c r="O298" i="7"/>
  <c r="P298" i="7"/>
  <c r="L297" i="7"/>
  <c r="M297" i="7"/>
  <c r="N297" i="7"/>
  <c r="O297" i="7"/>
  <c r="P297" i="7"/>
  <c r="L280" i="7"/>
  <c r="M280" i="7"/>
  <c r="N280" i="7"/>
  <c r="O280" i="7"/>
  <c r="P280" i="7"/>
  <c r="L125" i="7"/>
  <c r="M125" i="7"/>
  <c r="N125" i="7"/>
  <c r="O125" i="7"/>
  <c r="P125" i="7"/>
  <c r="L216" i="7"/>
  <c r="M216" i="7"/>
  <c r="N216" i="7"/>
  <c r="O216" i="7"/>
  <c r="P216" i="7"/>
  <c r="L183" i="7"/>
  <c r="M183" i="7"/>
  <c r="N183" i="7"/>
  <c r="O183" i="7"/>
  <c r="P183" i="7"/>
  <c r="L191" i="7"/>
  <c r="M191" i="7"/>
  <c r="N191" i="7"/>
  <c r="O191" i="7"/>
  <c r="P191" i="7"/>
  <c r="L262" i="7"/>
  <c r="M262" i="7"/>
  <c r="N262" i="7"/>
  <c r="O262" i="7"/>
  <c r="P262" i="7"/>
  <c r="L389" i="7"/>
  <c r="M389" i="7"/>
  <c r="N389" i="7"/>
  <c r="O389" i="7"/>
  <c r="P389" i="7"/>
  <c r="L350" i="7"/>
  <c r="M350" i="7"/>
  <c r="N350" i="7"/>
  <c r="O350" i="7"/>
  <c r="P350" i="7"/>
  <c r="L127" i="7"/>
  <c r="M127" i="7"/>
  <c r="N127" i="7"/>
  <c r="O127" i="7"/>
  <c r="P127" i="7"/>
  <c r="L279" i="7"/>
  <c r="M279" i="7"/>
  <c r="N279" i="7"/>
  <c r="O279" i="7"/>
  <c r="P279" i="7"/>
  <c r="L106" i="7"/>
  <c r="M106" i="7"/>
  <c r="N106" i="7"/>
  <c r="O106" i="7"/>
  <c r="P106" i="7"/>
  <c r="P3" i="7"/>
  <c r="O3" i="7"/>
  <c r="N3" i="7"/>
  <c r="M3" i="7"/>
  <c r="AH280" i="7"/>
  <c r="AH316" i="7"/>
  <c r="AH329" i="7"/>
  <c r="AH261" i="7"/>
  <c r="AZ261" i="7"/>
  <c r="AH101" i="7"/>
  <c r="AH361" i="7"/>
  <c r="AZ361" i="7"/>
  <c r="AH171" i="7"/>
  <c r="AZ171" i="7"/>
  <c r="AH245" i="7"/>
  <c r="AZ245" i="7"/>
  <c r="AH139" i="7"/>
  <c r="AH135" i="7"/>
  <c r="AH215" i="7"/>
  <c r="AH52" i="7"/>
  <c r="AZ52" i="7"/>
  <c r="AH387" i="7"/>
  <c r="AZ387" i="7"/>
  <c r="AH175" i="7"/>
  <c r="AH3" i="7"/>
  <c r="AZ3" i="7"/>
  <c r="AH103" i="7"/>
  <c r="AZ103" i="7"/>
  <c r="AH353" i="7"/>
  <c r="AH25" i="7"/>
  <c r="AZ25" i="7"/>
  <c r="AH212" i="7"/>
  <c r="AH167" i="7"/>
  <c r="AZ167" i="7"/>
  <c r="AH158" i="7"/>
  <c r="AH145" i="7"/>
  <c r="AH68" i="7"/>
  <c r="AH48" i="7"/>
  <c r="AZ48" i="7"/>
  <c r="AH278" i="7"/>
  <c r="AH154" i="7"/>
  <c r="AH216" i="7"/>
  <c r="AH398" i="7"/>
  <c r="AZ398" i="7"/>
  <c r="AH201" i="7"/>
  <c r="AH18" i="7"/>
  <c r="AH126" i="7"/>
  <c r="AH131" i="7"/>
  <c r="AZ131" i="7"/>
  <c r="AH177" i="7"/>
  <c r="AH173" i="7"/>
  <c r="AH165" i="7"/>
  <c r="AH161" i="7"/>
  <c r="AZ161" i="7"/>
  <c r="AH207" i="7"/>
  <c r="AH219" i="7"/>
  <c r="AH129" i="7"/>
  <c r="AZ129" i="7"/>
  <c r="AH97" i="7"/>
  <c r="AZ97" i="7"/>
  <c r="AH87" i="7"/>
  <c r="AH59" i="7"/>
  <c r="AH54" i="7"/>
  <c r="AH50" i="7"/>
  <c r="AZ50" i="7"/>
  <c r="AH10" i="7"/>
  <c r="AH45" i="7"/>
  <c r="AH321" i="7"/>
  <c r="AH338" i="7"/>
  <c r="AZ338" i="7"/>
  <c r="AH184" i="7"/>
  <c r="AH40" i="7"/>
  <c r="AH220" i="7"/>
  <c r="AZ220" i="7"/>
  <c r="AH24" i="7"/>
  <c r="AZ24" i="7"/>
  <c r="AH288" i="7"/>
  <c r="AZ288" i="7"/>
  <c r="AH203" i="7"/>
  <c r="AH168" i="7"/>
  <c r="AZ168" i="7"/>
  <c r="AH144" i="7"/>
  <c r="AZ144" i="7"/>
  <c r="AH86" i="7"/>
  <c r="AH34" i="7"/>
  <c r="AZ34" i="7"/>
  <c r="AH9" i="7"/>
  <c r="R6" i="6"/>
  <c r="F2" i="8"/>
  <c r="C3" i="8"/>
  <c r="G3" i="8"/>
  <c r="F3" i="8"/>
  <c r="C2" i="8"/>
  <c r="G2" i="8"/>
  <c r="Q7" i="6"/>
  <c r="S6" i="6"/>
  <c r="AH194" i="7"/>
  <c r="AH30" i="7"/>
  <c r="AH363" i="7"/>
  <c r="AH149" i="7"/>
  <c r="AH225" i="7"/>
  <c r="Q373" i="7"/>
  <c r="U373" i="7"/>
  <c r="Q194" i="7"/>
  <c r="U194" i="7"/>
  <c r="AH396" i="7"/>
  <c r="AH204" i="7"/>
  <c r="AH134" i="7"/>
  <c r="Q204" i="7"/>
  <c r="U204" i="7"/>
  <c r="Q14" i="7"/>
  <c r="U14" i="7"/>
  <c r="AH211" i="7"/>
  <c r="AH301" i="7"/>
  <c r="AH223" i="7"/>
  <c r="AH172" i="7"/>
  <c r="AH57" i="7"/>
  <c r="AH317" i="7"/>
  <c r="Q363" i="7"/>
  <c r="U363" i="7"/>
  <c r="AH373" i="7"/>
  <c r="AH14" i="7"/>
  <c r="AH389" i="7"/>
  <c r="AH263" i="7"/>
  <c r="AH366" i="7"/>
  <c r="AH153" i="7"/>
  <c r="AH159" i="7"/>
  <c r="AH71" i="7"/>
  <c r="AH298" i="7"/>
  <c r="AH386" i="7"/>
  <c r="AH178" i="7"/>
  <c r="AH162" i="7"/>
  <c r="AH65" i="7"/>
  <c r="AH314" i="7"/>
  <c r="AH102" i="7"/>
  <c r="AH106" i="7"/>
  <c r="AH179" i="7"/>
  <c r="AH163" i="7"/>
  <c r="AH217" i="7"/>
  <c r="AH81" i="7"/>
  <c r="AH226" i="7"/>
  <c r="Q396" i="7"/>
  <c r="U396" i="7"/>
  <c r="Q30" i="7"/>
  <c r="U30" i="7"/>
  <c r="AH275" i="7"/>
  <c r="AH355" i="7"/>
  <c r="AH125" i="7"/>
  <c r="AH286" i="7"/>
  <c r="AH251" i="7"/>
  <c r="AH160" i="7"/>
  <c r="AH147" i="7"/>
  <c r="AH214" i="7"/>
  <c r="AH146" i="7"/>
  <c r="AH218" i="7"/>
  <c r="AH141" i="7"/>
  <c r="AH83" i="7"/>
  <c r="AH304" i="7"/>
  <c r="AH337" i="7"/>
  <c r="AH197" i="7"/>
  <c r="AH290" i="7"/>
  <c r="AH107" i="7"/>
  <c r="AH39" i="7"/>
  <c r="AH326" i="7"/>
  <c r="AH258" i="7"/>
  <c r="AH222" i="7"/>
  <c r="AH271" i="7"/>
  <c r="AH169" i="7"/>
  <c r="AH142" i="7"/>
  <c r="AH136" i="7"/>
  <c r="AH254" i="7"/>
  <c r="AH352" i="7"/>
  <c r="AH47" i="7"/>
  <c r="Q226" i="7"/>
  <c r="U226" i="7"/>
  <c r="Q275" i="7"/>
  <c r="U275" i="7"/>
  <c r="Q197" i="7"/>
  <c r="U197" i="7"/>
  <c r="AH265" i="7"/>
  <c r="AH20" i="7"/>
  <c r="AH185" i="7"/>
  <c r="AH90" i="7"/>
  <c r="AH347" i="7"/>
  <c r="AH28" i="7"/>
  <c r="AH186" i="7"/>
  <c r="AH191" i="7"/>
  <c r="AH297" i="7"/>
  <c r="AH289" i="7"/>
  <c r="AH282" i="7"/>
  <c r="AH390" i="7"/>
  <c r="AH176" i="7"/>
  <c r="AH170" i="7"/>
  <c r="AH140" i="7"/>
  <c r="AH137" i="7"/>
  <c r="AZ68" i="7"/>
  <c r="AH21" i="7"/>
  <c r="AH284" i="7"/>
  <c r="AH319" i="7"/>
  <c r="AH224" i="7"/>
  <c r="AH148" i="7"/>
  <c r="AZ86" i="7"/>
  <c r="Q249" i="7"/>
  <c r="U249" i="7"/>
  <c r="AH249" i="7"/>
  <c r="AH127" i="7"/>
  <c r="AH320" i="7"/>
  <c r="AH341" i="7"/>
  <c r="AH16" i="7"/>
  <c r="AH291" i="7"/>
  <c r="AH174" i="7"/>
  <c r="AH221" i="7"/>
  <c r="AH164" i="7"/>
  <c r="AH150" i="7"/>
  <c r="AH138" i="7"/>
  <c r="AH22" i="7"/>
  <c r="AH393" i="7"/>
  <c r="AH339" i="7"/>
  <c r="AH255" i="7"/>
  <c r="AH130" i="7"/>
  <c r="AH88" i="7"/>
  <c r="AH303" i="7"/>
  <c r="Q200" i="7"/>
  <c r="U200" i="7"/>
  <c r="AH200" i="7"/>
  <c r="AH73" i="7"/>
  <c r="AH302" i="7"/>
  <c r="AH324" i="7"/>
  <c r="Q239" i="7"/>
  <c r="U239" i="7"/>
  <c r="AH239" i="7"/>
  <c r="Q391" i="7"/>
  <c r="U391" i="7"/>
  <c r="AH391" i="7"/>
  <c r="AH108" i="7"/>
  <c r="AH180" i="7"/>
  <c r="AH152" i="7"/>
  <c r="AH132" i="7"/>
  <c r="Q234" i="7"/>
  <c r="U234" i="7"/>
  <c r="AH234" i="7"/>
  <c r="Q349" i="7"/>
  <c r="U349" i="7"/>
  <c r="AH349" i="7"/>
  <c r="AH61" i="7"/>
  <c r="AH362" i="7"/>
  <c r="Q362" i="7"/>
  <c r="U362" i="7"/>
  <c r="Q242" i="7"/>
  <c r="U242" i="7"/>
  <c r="AH237" i="7"/>
  <c r="Q237" i="7"/>
  <c r="U237" i="7"/>
  <c r="AH359" i="7"/>
  <c r="Q359" i="7"/>
  <c r="U359" i="7"/>
  <c r="AH242" i="7"/>
  <c r="AH99" i="7"/>
  <c r="AH13" i="7"/>
  <c r="AZ154" i="7"/>
  <c r="AH244" i="7"/>
  <c r="AI387" i="7"/>
  <c r="AM387" i="7"/>
  <c r="Q387" i="7"/>
  <c r="U387" i="7"/>
  <c r="Q243" i="7"/>
  <c r="U243" i="7"/>
  <c r="AH243" i="7"/>
  <c r="Q293" i="7"/>
  <c r="U293" i="7"/>
  <c r="AH293" i="7"/>
  <c r="Q382" i="7"/>
  <c r="U382" i="7"/>
  <c r="AH382" i="7"/>
  <c r="Q198" i="7"/>
  <c r="U198" i="7"/>
  <c r="AH198" i="7"/>
  <c r="Q331" i="7"/>
  <c r="U331" i="7"/>
  <c r="AH331" i="7"/>
  <c r="Q379" i="7"/>
  <c r="U379" i="7"/>
  <c r="AH379" i="7"/>
  <c r="Q42" i="7"/>
  <c r="U42" i="7"/>
  <c r="Q230" i="7"/>
  <c r="U230" i="7"/>
  <c r="Q238" i="7"/>
  <c r="U238" i="7"/>
  <c r="Q206" i="7"/>
  <c r="U206" i="7"/>
  <c r="Q192" i="7"/>
  <c r="U192" i="7"/>
  <c r="Q253" i="7"/>
  <c r="U253" i="7"/>
  <c r="AH42" i="7"/>
  <c r="AH230" i="7"/>
  <c r="AH238" i="7"/>
  <c r="AH206" i="7"/>
  <c r="AH192" i="7"/>
  <c r="AH253" i="7"/>
  <c r="Q26" i="7"/>
  <c r="U26" i="7"/>
  <c r="AH26" i="7"/>
  <c r="Q330" i="7"/>
  <c r="U330" i="7"/>
  <c r="AH330" i="7"/>
  <c r="AH46" i="7"/>
  <c r="AH343" i="7"/>
  <c r="AH311" i="7"/>
  <c r="AH348" i="7"/>
  <c r="AH49" i="7"/>
  <c r="AH281" i="7"/>
  <c r="AH367" i="7"/>
  <c r="Q367" i="7"/>
  <c r="U367" i="7"/>
  <c r="AH252" i="7"/>
  <c r="AH60" i="7"/>
  <c r="Q41" i="7"/>
  <c r="U41" i="7"/>
  <c r="Q273" i="7"/>
  <c r="U273" i="7"/>
  <c r="AH79" i="7"/>
  <c r="AH143" i="7"/>
  <c r="AH96" i="7"/>
  <c r="AH85" i="7"/>
  <c r="AH41" i="7"/>
  <c r="AH273" i="7"/>
  <c r="AH69" i="7"/>
  <c r="AH70" i="7"/>
  <c r="AH166" i="7"/>
  <c r="AH257" i="7"/>
  <c r="AH332" i="7"/>
  <c r="AH74" i="7"/>
  <c r="AH72" i="7"/>
  <c r="AH33" i="7"/>
  <c r="AH94" i="7"/>
  <c r="AH283" i="7"/>
  <c r="AH344" i="7"/>
  <c r="AH378" i="7"/>
  <c r="AH62" i="7"/>
  <c r="AH104" i="7"/>
  <c r="AH105" i="7"/>
  <c r="AH98" i="7"/>
  <c r="AH124" i="7"/>
  <c r="AH95" i="7"/>
  <c r="AH64" i="7"/>
  <c r="AH195" i="7"/>
  <c r="AH346" i="7"/>
  <c r="AH19" i="7"/>
  <c r="AH93" i="7"/>
  <c r="AH77" i="7"/>
  <c r="AH357" i="7"/>
  <c r="AH76" i="7"/>
  <c r="AH55" i="7"/>
  <c r="AH37" i="7"/>
  <c r="AH312" i="7"/>
  <c r="AH308" i="7"/>
  <c r="AH333" i="7"/>
  <c r="AH156" i="7"/>
  <c r="AH202" i="7"/>
  <c r="AH336" i="7"/>
  <c r="AH210" i="7"/>
  <c r="AH342" i="7"/>
  <c r="AZ175" i="7"/>
  <c r="AH151" i="7"/>
  <c r="AH15" i="7"/>
  <c r="AH155" i="7"/>
  <c r="AH305" i="7"/>
  <c r="AH277" i="7"/>
  <c r="AH157" i="7"/>
  <c r="AH38" i="7"/>
  <c r="AH248" i="7"/>
  <c r="AH91" i="7"/>
  <c r="AH100" i="7"/>
  <c r="AH334" i="7"/>
  <c r="AZ216" i="7"/>
  <c r="AZ280" i="7"/>
  <c r="AZ316" i="7"/>
  <c r="AZ201" i="7"/>
  <c r="AZ126" i="7"/>
  <c r="AH345" i="7"/>
  <c r="AH279" i="7"/>
  <c r="AH350" i="7"/>
  <c r="AH262" i="7"/>
  <c r="AH269" i="7"/>
  <c r="AH307" i="7"/>
  <c r="AH323" i="7"/>
  <c r="AH292" i="7"/>
  <c r="AH113" i="7"/>
  <c r="AH358" i="7"/>
  <c r="AH264" i="7"/>
  <c r="AH268" i="7"/>
  <c r="AH259" i="7"/>
  <c r="AH272" i="7"/>
  <c r="AH287" i="7"/>
  <c r="AH360" i="7"/>
  <c r="AH117" i="7"/>
  <c r="AZ207" i="7"/>
  <c r="AZ101" i="7"/>
  <c r="AZ173" i="7"/>
  <c r="AH183" i="7"/>
  <c r="AZ184" i="7"/>
  <c r="AZ353" i="7"/>
  <c r="AH35" i="7"/>
  <c r="AH356" i="7"/>
  <c r="AH328" i="7"/>
  <c r="AH306" i="7"/>
  <c r="AZ165" i="7"/>
  <c r="AH318" i="7"/>
  <c r="AH351" i="7"/>
  <c r="AH327" i="7"/>
  <c r="AH381" i="7"/>
  <c r="AH17" i="7"/>
  <c r="AH240" i="7"/>
  <c r="AH377" i="7"/>
  <c r="AH300" i="7"/>
  <c r="AH315" i="7"/>
  <c r="AH196" i="7"/>
  <c r="AH299" i="7"/>
  <c r="AH23" i="7"/>
  <c r="AH394" i="7"/>
  <c r="AH189" i="7"/>
  <c r="AH187" i="7"/>
  <c r="AH181" i="7"/>
  <c r="AH32" i="7"/>
  <c r="AH270" i="7"/>
  <c r="AH335" i="7"/>
  <c r="AH310" i="7"/>
  <c r="AH133" i="7"/>
  <c r="AH233" i="7"/>
  <c r="AH247" i="7"/>
  <c r="AH276" i="7"/>
  <c r="AH322" i="7"/>
  <c r="AH66" i="7"/>
  <c r="AH190" i="7"/>
  <c r="AH188" i="7"/>
  <c r="AH182" i="7"/>
  <c r="AZ177" i="7"/>
  <c r="AZ135" i="7"/>
  <c r="AH119" i="7"/>
  <c r="AH114" i="7"/>
  <c r="AH110" i="7"/>
  <c r="AZ203" i="7"/>
  <c r="AZ212" i="7"/>
  <c r="AZ158" i="7"/>
  <c r="AZ145" i="7"/>
  <c r="AZ219" i="7"/>
  <c r="AZ139" i="7"/>
  <c r="AZ215" i="7"/>
  <c r="AH121" i="7"/>
  <c r="AH116" i="7"/>
  <c r="AH80" i="7"/>
  <c r="AH128" i="7"/>
  <c r="AH266" i="7"/>
  <c r="AH123" i="7"/>
  <c r="AH89" i="7"/>
  <c r="AZ87" i="7"/>
  <c r="AH84" i="7"/>
  <c r="AH267" i="7"/>
  <c r="AH78" i="7"/>
  <c r="AH122" i="7"/>
  <c r="AH120" i="7"/>
  <c r="AH118" i="7"/>
  <c r="AH115" i="7"/>
  <c r="AH112" i="7"/>
  <c r="AH111" i="7"/>
  <c r="AH109" i="7"/>
  <c r="AH82" i="7"/>
  <c r="AH67" i="7"/>
  <c r="AH31" i="7"/>
  <c r="AH63" i="7"/>
  <c r="AH58" i="7"/>
  <c r="AZ54" i="7"/>
  <c r="AH36" i="7"/>
  <c r="AH285" i="7"/>
  <c r="AH56" i="7"/>
  <c r="AH53" i="7"/>
  <c r="AH51" i="7"/>
  <c r="AH228" i="7"/>
  <c r="AH325" i="7"/>
  <c r="AH44" i="7"/>
  <c r="AH294" i="7"/>
  <c r="AH313" i="7"/>
  <c r="AH11" i="7"/>
  <c r="AZ278" i="7"/>
  <c r="AH7" i="7"/>
  <c r="AZ9" i="7"/>
  <c r="AH12" i="7"/>
  <c r="AH5" i="7"/>
  <c r="AH8" i="7"/>
  <c r="AH6" i="7"/>
  <c r="AH4" i="7"/>
  <c r="R230" i="7"/>
  <c r="S242" i="7"/>
  <c r="T230" i="7"/>
  <c r="R239" i="7"/>
  <c r="S230" i="7"/>
  <c r="R396" i="7"/>
  <c r="T396" i="7"/>
  <c r="R249" i="7"/>
  <c r="T249" i="7"/>
  <c r="R198" i="7"/>
  <c r="T198" i="7"/>
  <c r="R226" i="7"/>
  <c r="T226" i="7"/>
  <c r="S249" i="7"/>
  <c r="S200" i="7"/>
  <c r="R238" i="7"/>
  <c r="T238" i="7"/>
  <c r="R42" i="7"/>
  <c r="S42" i="7"/>
  <c r="S243" i="7"/>
  <c r="R243" i="7"/>
  <c r="T243" i="7"/>
  <c r="V243" i="7"/>
  <c r="R293" i="7"/>
  <c r="T293" i="7"/>
  <c r="S293" i="7"/>
  <c r="S238" i="7"/>
  <c r="V238" i="7"/>
  <c r="R382" i="7"/>
  <c r="T382" i="7"/>
  <c r="S382" i="7"/>
  <c r="R206" i="7"/>
  <c r="T206" i="7"/>
  <c r="S206" i="7"/>
  <c r="S198" i="7"/>
  <c r="T192" i="7"/>
  <c r="R192" i="7"/>
  <c r="S192" i="7"/>
  <c r="R331" i="7"/>
  <c r="T331" i="7"/>
  <c r="S331" i="7"/>
  <c r="R253" i="7"/>
  <c r="T253" i="7"/>
  <c r="S253" i="7"/>
  <c r="R387" i="7"/>
  <c r="T387" i="7"/>
  <c r="S387" i="7"/>
  <c r="S226" i="7"/>
  <c r="V226" i="7"/>
  <c r="R200" i="7"/>
  <c r="T200" i="7"/>
  <c r="T194" i="7"/>
  <c r="R194" i="7"/>
  <c r="S194" i="7"/>
  <c r="R362" i="7"/>
  <c r="T362" i="7"/>
  <c r="S362" i="7"/>
  <c r="R363" i="7"/>
  <c r="T363" i="7"/>
  <c r="S363" i="7"/>
  <c r="S239" i="7"/>
  <c r="T239" i="7"/>
  <c r="R242" i="7"/>
  <c r="S396" i="7"/>
  <c r="V396" i="7"/>
  <c r="R30" i="7"/>
  <c r="T30" i="7"/>
  <c r="S30" i="7"/>
  <c r="V30" i="7"/>
  <c r="R237" i="7"/>
  <c r="T237" i="7"/>
  <c r="S237" i="7"/>
  <c r="R204" i="7"/>
  <c r="T204" i="7"/>
  <c r="S204" i="7"/>
  <c r="T6" i="6"/>
  <c r="T14" i="7"/>
  <c r="R234" i="7"/>
  <c r="T234" i="7"/>
  <c r="S234" i="7"/>
  <c r="R14" i="7"/>
  <c r="R273" i="7"/>
  <c r="S197" i="7"/>
  <c r="R373" i="7"/>
  <c r="T373" i="7"/>
  <c r="S373" i="7"/>
  <c r="S359" i="7"/>
  <c r="R359" i="7"/>
  <c r="T359" i="7"/>
  <c r="S349" i="7"/>
  <c r="R349" i="7"/>
  <c r="T349" i="7"/>
  <c r="S14" i="7"/>
  <c r="R391" i="7"/>
  <c r="T391" i="7"/>
  <c r="S391" i="7"/>
  <c r="R275" i="7"/>
  <c r="T275" i="7"/>
  <c r="S275" i="7"/>
  <c r="R197" i="7"/>
  <c r="T197" i="7"/>
  <c r="R379" i="7"/>
  <c r="T379" i="7"/>
  <c r="S379" i="7"/>
  <c r="R367" i="7"/>
  <c r="T367" i="7"/>
  <c r="S367" i="7"/>
  <c r="R26" i="7"/>
  <c r="S26" i="7"/>
  <c r="T26" i="7"/>
  <c r="R41" i="7"/>
  <c r="T41" i="7"/>
  <c r="S41" i="7"/>
  <c r="R330" i="7"/>
  <c r="T330" i="7"/>
  <c r="S330" i="7"/>
  <c r="S273" i="7"/>
  <c r="T273" i="7"/>
  <c r="AJ387" i="7"/>
  <c r="AL387" i="7"/>
  <c r="AK387" i="7"/>
  <c r="AZ321" i="7"/>
  <c r="BR321" i="7"/>
  <c r="AZ329" i="7"/>
  <c r="BR329" i="7"/>
  <c r="AZ40" i="7"/>
  <c r="BR40" i="7"/>
  <c r="AZ18" i="7"/>
  <c r="BR18" i="7"/>
  <c r="AZ45" i="7"/>
  <c r="BR45" i="7"/>
  <c r="AZ244" i="7"/>
  <c r="BR244" i="7"/>
  <c r="AI242" i="7"/>
  <c r="AM242" i="7"/>
  <c r="AI349" i="7"/>
  <c r="AM349" i="7"/>
  <c r="AZ180" i="7"/>
  <c r="BR180" i="7"/>
  <c r="AZ164" i="7"/>
  <c r="BR164" i="7"/>
  <c r="AZ291" i="7"/>
  <c r="BR291" i="7"/>
  <c r="AZ127" i="7"/>
  <c r="BR127" i="7"/>
  <c r="BR86" i="7"/>
  <c r="AZ140" i="7"/>
  <c r="BR140" i="7"/>
  <c r="AZ282" i="7"/>
  <c r="BR282" i="7"/>
  <c r="AZ352" i="7"/>
  <c r="BR352" i="7"/>
  <c r="AZ169" i="7"/>
  <c r="BR169" i="7"/>
  <c r="AZ214" i="7"/>
  <c r="BR214" i="7"/>
  <c r="AZ286" i="7"/>
  <c r="BR286" i="7"/>
  <c r="AZ275" i="7"/>
  <c r="BR275" i="7"/>
  <c r="AZ226" i="7"/>
  <c r="BA226" i="7"/>
  <c r="BE226" i="7"/>
  <c r="AZ178" i="7"/>
  <c r="BR178" i="7"/>
  <c r="AZ159" i="7"/>
  <c r="BR159" i="7"/>
  <c r="AZ389" i="7"/>
  <c r="BR389" i="7"/>
  <c r="AZ149" i="7"/>
  <c r="AZ13" i="7"/>
  <c r="BR13" i="7"/>
  <c r="AZ132" i="7"/>
  <c r="BR132" i="7"/>
  <c r="AZ391" i="7"/>
  <c r="BA391" i="7"/>
  <c r="BE391" i="7"/>
  <c r="AZ239" i="7"/>
  <c r="BR239" i="7"/>
  <c r="AZ138" i="7"/>
  <c r="BR138" i="7"/>
  <c r="AZ174" i="7"/>
  <c r="BR174" i="7"/>
  <c r="AZ341" i="7"/>
  <c r="BR341" i="7"/>
  <c r="AZ224" i="7"/>
  <c r="BR224" i="7"/>
  <c r="BR68" i="7"/>
  <c r="AZ176" i="7"/>
  <c r="BR176" i="7"/>
  <c r="AZ297" i="7"/>
  <c r="BR297" i="7"/>
  <c r="AZ347" i="7"/>
  <c r="BR347" i="7"/>
  <c r="AZ265" i="7"/>
  <c r="BR265" i="7"/>
  <c r="AZ136" i="7"/>
  <c r="BR136" i="7"/>
  <c r="AZ222" i="7"/>
  <c r="BR222" i="7"/>
  <c r="AZ218" i="7"/>
  <c r="BR218" i="7"/>
  <c r="AZ160" i="7"/>
  <c r="BR160" i="7"/>
  <c r="AZ217" i="7"/>
  <c r="BR217" i="7"/>
  <c r="AZ102" i="7"/>
  <c r="BR102" i="7"/>
  <c r="AZ65" i="7"/>
  <c r="AZ298" i="7"/>
  <c r="BR298" i="7"/>
  <c r="AZ366" i="7"/>
  <c r="BR366" i="7"/>
  <c r="AZ57" i="7"/>
  <c r="AZ211" i="7"/>
  <c r="AZ134" i="7"/>
  <c r="BR134" i="7"/>
  <c r="AZ99" i="7"/>
  <c r="BR99" i="7"/>
  <c r="AZ359" i="7"/>
  <c r="BR359" i="7"/>
  <c r="AZ152" i="7"/>
  <c r="BR152" i="7"/>
  <c r="AZ150" i="7"/>
  <c r="BR150" i="7"/>
  <c r="AZ320" i="7"/>
  <c r="BR320" i="7"/>
  <c r="AZ137" i="7"/>
  <c r="BR137" i="7"/>
  <c r="AZ191" i="7"/>
  <c r="BR191" i="7"/>
  <c r="AZ47" i="7"/>
  <c r="BR47" i="7"/>
  <c r="AZ258" i="7"/>
  <c r="AZ290" i="7"/>
  <c r="BR290" i="7"/>
  <c r="AZ314" i="7"/>
  <c r="AZ162" i="7"/>
  <c r="BR162" i="7"/>
  <c r="AZ263" i="7"/>
  <c r="BR263" i="7"/>
  <c r="AZ172" i="7"/>
  <c r="BR172" i="7"/>
  <c r="AZ225" i="7"/>
  <c r="BR225" i="7"/>
  <c r="AZ237" i="7"/>
  <c r="BR237" i="7"/>
  <c r="AZ108" i="7"/>
  <c r="BR108" i="7"/>
  <c r="AZ324" i="7"/>
  <c r="BR324" i="7"/>
  <c r="AZ22" i="7"/>
  <c r="BR22" i="7"/>
  <c r="AZ148" i="7"/>
  <c r="BR148" i="7"/>
  <c r="AZ21" i="7"/>
  <c r="BR21" i="7"/>
  <c r="AZ170" i="7"/>
  <c r="BR170" i="7"/>
  <c r="AZ28" i="7"/>
  <c r="BR28" i="7"/>
  <c r="AZ20" i="7"/>
  <c r="AZ271" i="7"/>
  <c r="BR271" i="7"/>
  <c r="AZ39" i="7"/>
  <c r="BR39" i="7"/>
  <c r="AZ141" i="7"/>
  <c r="BR141" i="7"/>
  <c r="AZ147" i="7"/>
  <c r="BR147" i="7"/>
  <c r="AZ125" i="7"/>
  <c r="BR125" i="7"/>
  <c r="AZ106" i="7"/>
  <c r="BR106" i="7"/>
  <c r="AZ386" i="7"/>
  <c r="BR386" i="7"/>
  <c r="AZ317" i="7"/>
  <c r="BR317" i="7"/>
  <c r="AZ59" i="7"/>
  <c r="AZ10" i="7"/>
  <c r="AZ30" i="7"/>
  <c r="BR30" i="7"/>
  <c r="AI30" i="7"/>
  <c r="AM30" i="7"/>
  <c r="I3" i="8"/>
  <c r="H3" i="8"/>
  <c r="I2" i="8"/>
  <c r="H2" i="8"/>
  <c r="AI14" i="7"/>
  <c r="AM14" i="7"/>
  <c r="J3" i="8"/>
  <c r="J2" i="8"/>
  <c r="AI396" i="7"/>
  <c r="AM396" i="7"/>
  <c r="AZ194" i="7"/>
  <c r="BA194" i="7"/>
  <c r="BE194" i="7"/>
  <c r="AI194" i="7"/>
  <c r="AM194" i="7"/>
  <c r="Q8" i="6"/>
  <c r="S7" i="6"/>
  <c r="R7" i="6"/>
  <c r="AI226" i="7"/>
  <c r="AM226" i="7"/>
  <c r="AZ363" i="7"/>
  <c r="AI363" i="7"/>
  <c r="AM363" i="7"/>
  <c r="AI373" i="7"/>
  <c r="AM373" i="7"/>
  <c r="AI234" i="7"/>
  <c r="AM234" i="7"/>
  <c r="AZ373" i="7"/>
  <c r="BR373" i="7"/>
  <c r="AZ234" i="7"/>
  <c r="AZ14" i="7"/>
  <c r="AZ396" i="7"/>
  <c r="BA396" i="7"/>
  <c r="BE396" i="7"/>
  <c r="AI249" i="7"/>
  <c r="AM249" i="7"/>
  <c r="AZ142" i="7"/>
  <c r="BR142" i="7"/>
  <c r="AZ179" i="7"/>
  <c r="AZ223" i="7"/>
  <c r="AZ337" i="7"/>
  <c r="AZ163" i="7"/>
  <c r="AZ221" i="7"/>
  <c r="AZ204" i="7"/>
  <c r="BR204" i="7"/>
  <c r="AI204" i="7"/>
  <c r="AM204" i="7"/>
  <c r="AZ130" i="7"/>
  <c r="AZ153" i="7"/>
  <c r="BR154" i="7"/>
  <c r="AZ349" i="7"/>
  <c r="AI362" i="7"/>
  <c r="AM362" i="7"/>
  <c r="AI237" i="7"/>
  <c r="AM237" i="7"/>
  <c r="AZ71" i="7"/>
  <c r="AZ326" i="7"/>
  <c r="AZ61" i="7"/>
  <c r="AI200" i="7"/>
  <c r="AM200" i="7"/>
  <c r="AZ249" i="7"/>
  <c r="AZ73" i="7"/>
  <c r="AZ362" i="7"/>
  <c r="AZ301" i="7"/>
  <c r="AZ304" i="7"/>
  <c r="AZ251" i="7"/>
  <c r="AZ81" i="7"/>
  <c r="AZ146" i="7"/>
  <c r="AZ355" i="7"/>
  <c r="AI239" i="7"/>
  <c r="AM239" i="7"/>
  <c r="AI197" i="7"/>
  <c r="AM197" i="7"/>
  <c r="AZ107" i="7"/>
  <c r="AZ83" i="7"/>
  <c r="AZ16" i="7"/>
  <c r="AZ197" i="7"/>
  <c r="AZ200" i="7"/>
  <c r="AI275" i="7"/>
  <c r="AM275" i="7"/>
  <c r="AZ254" i="7"/>
  <c r="AZ185" i="7"/>
  <c r="AZ242" i="7"/>
  <c r="AI391" i="7"/>
  <c r="AM391" i="7"/>
  <c r="AI359" i="7"/>
  <c r="AM359" i="7"/>
  <c r="AZ303" i="7"/>
  <c r="AZ255" i="7"/>
  <c r="AZ339" i="7"/>
  <c r="AZ393" i="7"/>
  <c r="BR24" i="7"/>
  <c r="AZ319" i="7"/>
  <c r="AZ302" i="7"/>
  <c r="AZ88" i="7"/>
  <c r="AZ284" i="7"/>
  <c r="AZ390" i="7"/>
  <c r="AZ289" i="7"/>
  <c r="AZ186" i="7"/>
  <c r="AZ90" i="7"/>
  <c r="AZ308" i="7"/>
  <c r="AZ37" i="7"/>
  <c r="AZ93" i="7"/>
  <c r="AZ64" i="7"/>
  <c r="AZ94" i="7"/>
  <c r="AZ332" i="7"/>
  <c r="AZ70" i="7"/>
  <c r="AZ85" i="7"/>
  <c r="AZ79" i="7"/>
  <c r="AZ343" i="7"/>
  <c r="AI26" i="7"/>
  <c r="AM26" i="7"/>
  <c r="AZ26" i="7"/>
  <c r="AI206" i="7"/>
  <c r="AM206" i="7"/>
  <c r="AZ206" i="7"/>
  <c r="AZ293" i="7"/>
  <c r="AI293" i="7"/>
  <c r="AM293" i="7"/>
  <c r="BR387" i="7"/>
  <c r="BA387" i="7"/>
  <c r="BE387" i="7"/>
  <c r="AZ157" i="7"/>
  <c r="AZ155" i="7"/>
  <c r="BR175" i="7"/>
  <c r="AZ342" i="7"/>
  <c r="AZ336" i="7"/>
  <c r="AZ333" i="7"/>
  <c r="AZ55" i="7"/>
  <c r="AZ357" i="7"/>
  <c r="AZ19" i="7"/>
  <c r="AZ95" i="7"/>
  <c r="AZ98" i="7"/>
  <c r="AZ62" i="7"/>
  <c r="AZ378" i="7"/>
  <c r="AZ33" i="7"/>
  <c r="AZ69" i="7"/>
  <c r="AZ96" i="7"/>
  <c r="AZ252" i="7"/>
  <c r="AZ49" i="7"/>
  <c r="AZ46" i="7"/>
  <c r="AI238" i="7"/>
  <c r="AM238" i="7"/>
  <c r="AZ238" i="7"/>
  <c r="AZ331" i="7"/>
  <c r="AI331" i="7"/>
  <c r="AM331" i="7"/>
  <c r="AZ243" i="7"/>
  <c r="AI243" i="7"/>
  <c r="AM243" i="7"/>
  <c r="AZ100" i="7"/>
  <c r="AZ91" i="7"/>
  <c r="AZ277" i="7"/>
  <c r="AZ15" i="7"/>
  <c r="AZ202" i="7"/>
  <c r="AZ76" i="7"/>
  <c r="AZ346" i="7"/>
  <c r="AZ105" i="7"/>
  <c r="AZ344" i="7"/>
  <c r="AZ72" i="7"/>
  <c r="AZ257" i="7"/>
  <c r="AI273" i="7"/>
  <c r="AM273" i="7"/>
  <c r="AZ273" i="7"/>
  <c r="AZ143" i="7"/>
  <c r="AZ367" i="7"/>
  <c r="AI367" i="7"/>
  <c r="AM367" i="7"/>
  <c r="AZ348" i="7"/>
  <c r="AZ330" i="7"/>
  <c r="AI330" i="7"/>
  <c r="AM330" i="7"/>
  <c r="AI253" i="7"/>
  <c r="AM253" i="7"/>
  <c r="AZ253" i="7"/>
  <c r="AI230" i="7"/>
  <c r="AM230" i="7"/>
  <c r="AZ230" i="7"/>
  <c r="AZ198" i="7"/>
  <c r="AI198" i="7"/>
  <c r="AM198" i="7"/>
  <c r="AZ334" i="7"/>
  <c r="AZ248" i="7"/>
  <c r="AZ38" i="7"/>
  <c r="AZ305" i="7"/>
  <c r="AZ151" i="7"/>
  <c r="AZ210" i="7"/>
  <c r="AZ156" i="7"/>
  <c r="AZ312" i="7"/>
  <c r="AZ77" i="7"/>
  <c r="AZ195" i="7"/>
  <c r="AZ124" i="7"/>
  <c r="AZ104" i="7"/>
  <c r="AZ283" i="7"/>
  <c r="AZ74" i="7"/>
  <c r="AZ166" i="7"/>
  <c r="AI41" i="7"/>
  <c r="AM41" i="7"/>
  <c r="AZ41" i="7"/>
  <c r="AZ60" i="7"/>
  <c r="AZ281" i="7"/>
  <c r="AZ311" i="7"/>
  <c r="AI192" i="7"/>
  <c r="AM192" i="7"/>
  <c r="AZ192" i="7"/>
  <c r="AI42" i="7"/>
  <c r="AM42" i="7"/>
  <c r="AZ42" i="7"/>
  <c r="AI379" i="7"/>
  <c r="AM379" i="7"/>
  <c r="AZ379" i="7"/>
  <c r="AZ382" i="7"/>
  <c r="AI382" i="7"/>
  <c r="AM382" i="7"/>
  <c r="AZ110" i="7"/>
  <c r="BR171" i="7"/>
  <c r="AZ190" i="7"/>
  <c r="AZ247" i="7"/>
  <c r="AZ335" i="7"/>
  <c r="BR161" i="7"/>
  <c r="AZ318" i="7"/>
  <c r="BR165" i="7"/>
  <c r="AZ35" i="7"/>
  <c r="AZ5" i="7"/>
  <c r="BR9" i="7"/>
  <c r="AZ294" i="7"/>
  <c r="AZ53" i="7"/>
  <c r="BR34" i="7"/>
  <c r="BR48" i="7"/>
  <c r="AZ63" i="7"/>
  <c r="AZ112" i="7"/>
  <c r="AZ122" i="7"/>
  <c r="AZ78" i="7"/>
  <c r="AZ84" i="7"/>
  <c r="BR168" i="7"/>
  <c r="AZ114" i="7"/>
  <c r="BR25" i="7"/>
  <c r="AZ183" i="7"/>
  <c r="AZ117" i="7"/>
  <c r="AZ259" i="7"/>
  <c r="AZ113" i="7"/>
  <c r="AZ262" i="7"/>
  <c r="AZ279" i="7"/>
  <c r="BR398" i="7"/>
  <c r="BR216" i="7"/>
  <c r="BR353" i="7"/>
  <c r="BR103" i="7"/>
  <c r="BR207" i="7"/>
  <c r="AZ272" i="7"/>
  <c r="AZ358" i="7"/>
  <c r="AZ307" i="7"/>
  <c r="BR201" i="7"/>
  <c r="BR280" i="7"/>
  <c r="AZ80" i="7"/>
  <c r="AZ66" i="7"/>
  <c r="AZ233" i="7"/>
  <c r="AZ270" i="7"/>
  <c r="BR361" i="7"/>
  <c r="AZ187" i="7"/>
  <c r="AZ394" i="7"/>
  <c r="AZ299" i="7"/>
  <c r="AZ315" i="7"/>
  <c r="AZ377" i="7"/>
  <c r="AZ17" i="7"/>
  <c r="AZ351" i="7"/>
  <c r="AZ356" i="7"/>
  <c r="AZ7" i="7"/>
  <c r="BR278" i="7"/>
  <c r="AZ313" i="7"/>
  <c r="AZ44" i="7"/>
  <c r="AZ119" i="7"/>
  <c r="BR135" i="7"/>
  <c r="BR316" i="7"/>
  <c r="AZ6" i="7"/>
  <c r="AZ11" i="7"/>
  <c r="AZ325" i="7"/>
  <c r="AZ51" i="7"/>
  <c r="AZ36" i="7"/>
  <c r="AZ31" i="7"/>
  <c r="BR50" i="7"/>
  <c r="AZ82" i="7"/>
  <c r="AZ111" i="7"/>
  <c r="AZ120" i="7"/>
  <c r="AZ267" i="7"/>
  <c r="AZ123" i="7"/>
  <c r="AZ128" i="7"/>
  <c r="BR215" i="7"/>
  <c r="BR203" i="7"/>
  <c r="AZ56" i="7"/>
  <c r="BR52" i="7"/>
  <c r="BR54" i="7"/>
  <c r="AZ58" i="7"/>
  <c r="AZ115" i="7"/>
  <c r="AZ266" i="7"/>
  <c r="AZ116" i="7"/>
  <c r="BR139" i="7"/>
  <c r="AZ182" i="7"/>
  <c r="AZ322" i="7"/>
  <c r="AZ133" i="7"/>
  <c r="AZ32" i="7"/>
  <c r="BR129" i="7"/>
  <c r="AZ327" i="7"/>
  <c r="AZ328" i="7"/>
  <c r="BR220" i="7"/>
  <c r="BR184" i="7"/>
  <c r="BR338" i="7"/>
  <c r="BR173" i="7"/>
  <c r="BR131" i="7"/>
  <c r="BR101" i="7"/>
  <c r="AZ360" i="7"/>
  <c r="AZ268" i="7"/>
  <c r="AZ292" i="7"/>
  <c r="BR126" i="7"/>
  <c r="AZ4" i="7"/>
  <c r="AZ8" i="7"/>
  <c r="AZ12" i="7"/>
  <c r="AZ228" i="7"/>
  <c r="AZ285" i="7"/>
  <c r="AZ67" i="7"/>
  <c r="AZ109" i="7"/>
  <c r="AZ118" i="7"/>
  <c r="BR97" i="7"/>
  <c r="BR87" i="7"/>
  <c r="AZ89" i="7"/>
  <c r="AZ121" i="7"/>
  <c r="BR219" i="7"/>
  <c r="BR145" i="7"/>
  <c r="BR158" i="7"/>
  <c r="BR167" i="7"/>
  <c r="BR212" i="7"/>
  <c r="BR144" i="7"/>
  <c r="BR177" i="7"/>
  <c r="AZ188" i="7"/>
  <c r="AZ276" i="7"/>
  <c r="AZ310" i="7"/>
  <c r="BR245" i="7"/>
  <c r="AZ181" i="7"/>
  <c r="AZ189" i="7"/>
  <c r="AZ23" i="7"/>
  <c r="AZ196" i="7"/>
  <c r="AZ300" i="7"/>
  <c r="AZ240" i="7"/>
  <c r="AZ381" i="7"/>
  <c r="AZ306" i="7"/>
  <c r="BR288" i="7"/>
  <c r="AZ287" i="7"/>
  <c r="AZ264" i="7"/>
  <c r="AZ323" i="7"/>
  <c r="AZ269" i="7"/>
  <c r="AZ350" i="7"/>
  <c r="AZ345" i="7"/>
  <c r="BR261" i="7"/>
  <c r="BR3" i="7"/>
  <c r="W243" i="7" a="1"/>
  <c r="W238" i="7" a="1"/>
  <c r="W226" i="7" a="1"/>
  <c r="W396" i="7" a="1"/>
  <c r="W30" i="7" a="1"/>
  <c r="V363" i="7"/>
  <c r="T242" i="7"/>
  <c r="V242" i="7"/>
  <c r="V249" i="7"/>
  <c r="V194" i="7"/>
  <c r="V206" i="7"/>
  <c r="W206" i="7" a="1"/>
  <c r="AD206" i="7"/>
  <c r="V204" i="7"/>
  <c r="T42" i="7"/>
  <c r="V42" i="7"/>
  <c r="V14" i="7"/>
  <c r="V200" i="7"/>
  <c r="V230" i="7"/>
  <c r="W230" i="7" a="1"/>
  <c r="AG230" i="7"/>
  <c r="V293" i="7"/>
  <c r="BR226" i="7"/>
  <c r="BS226" i="7"/>
  <c r="BW226" i="7"/>
  <c r="V331" i="7"/>
  <c r="V26" i="7"/>
  <c r="V237" i="7"/>
  <c r="V192" i="7"/>
  <c r="V382" i="7"/>
  <c r="V239" i="7"/>
  <c r="W239" i="7" a="1"/>
  <c r="Y239" i="7"/>
  <c r="V362" i="7"/>
  <c r="V373" i="7"/>
  <c r="V387" i="7"/>
  <c r="BA239" i="7"/>
  <c r="BE239" i="7"/>
  <c r="V198" i="7"/>
  <c r="W198" i="7" a="1"/>
  <c r="AD198" i="7"/>
  <c r="AJ30" i="7"/>
  <c r="AL30" i="7"/>
  <c r="AJ396" i="7"/>
  <c r="AL396" i="7"/>
  <c r="AJ249" i="7"/>
  <c r="AL249" i="7"/>
  <c r="AJ200" i="7"/>
  <c r="AL200" i="7"/>
  <c r="V253" i="7"/>
  <c r="AK230" i="7"/>
  <c r="AJ293" i="7"/>
  <c r="AL293" i="7"/>
  <c r="AK363" i="7"/>
  <c r="AJ253" i="7"/>
  <c r="AL253" i="7"/>
  <c r="AK331" i="7"/>
  <c r="AJ42" i="7"/>
  <c r="AL42" i="7"/>
  <c r="AK42" i="7"/>
  <c r="AK243" i="7"/>
  <c r="AJ243" i="7"/>
  <c r="AL243" i="7"/>
  <c r="AJ230" i="7"/>
  <c r="AL230" i="7"/>
  <c r="AK293" i="7"/>
  <c r="AJ238" i="7"/>
  <c r="AL238" i="7"/>
  <c r="AK238" i="7"/>
  <c r="AK382" i="7"/>
  <c r="AJ382" i="7"/>
  <c r="AL382" i="7"/>
  <c r="AK206" i="7"/>
  <c r="AJ206" i="7"/>
  <c r="AL206" i="7"/>
  <c r="AK198" i="7"/>
  <c r="AJ198" i="7"/>
  <c r="AL198" i="7"/>
  <c r="AJ192" i="7"/>
  <c r="AL192" i="7"/>
  <c r="AK192" i="7"/>
  <c r="AJ331" i="7"/>
  <c r="AL331" i="7"/>
  <c r="AK253" i="7"/>
  <c r="BB387" i="7"/>
  <c r="BD387" i="7"/>
  <c r="BC387" i="7"/>
  <c r="AJ226" i="7"/>
  <c r="AL226" i="7"/>
  <c r="AK226" i="7"/>
  <c r="AK200" i="7"/>
  <c r="AK249" i="7"/>
  <c r="AJ194" i="7"/>
  <c r="AL194" i="7"/>
  <c r="AK194" i="7"/>
  <c r="AJ362" i="7"/>
  <c r="AL362" i="7"/>
  <c r="AK362" i="7"/>
  <c r="AJ363" i="7"/>
  <c r="AL363" i="7"/>
  <c r="AJ239" i="7"/>
  <c r="AL239" i="7"/>
  <c r="AK239" i="7"/>
  <c r="AK242" i="7"/>
  <c r="AJ242" i="7"/>
  <c r="AL242" i="7"/>
  <c r="Z396" i="7"/>
  <c r="AK396" i="7"/>
  <c r="BR396" i="7"/>
  <c r="BS396" i="7"/>
  <c r="BW396" i="7"/>
  <c r="AC30" i="7"/>
  <c r="AK30" i="7"/>
  <c r="AJ237" i="7"/>
  <c r="AL237" i="7"/>
  <c r="AK237" i="7"/>
  <c r="AK204" i="7"/>
  <c r="AJ204" i="7"/>
  <c r="AL204" i="7"/>
  <c r="V391" i="7"/>
  <c r="V275" i="7"/>
  <c r="V349" i="7"/>
  <c r="W349" i="7" a="1"/>
  <c r="Z349" i="7"/>
  <c r="V197" i="7"/>
  <c r="V379" i="7"/>
  <c r="V359" i="7"/>
  <c r="BA373" i="7"/>
  <c r="BE373" i="7"/>
  <c r="V330" i="7"/>
  <c r="V41" i="7"/>
  <c r="V273" i="7"/>
  <c r="V234" i="7"/>
  <c r="V367" i="7"/>
  <c r="AN387" i="7"/>
  <c r="AO387" i="7" a="1"/>
  <c r="AV387" i="7"/>
  <c r="AK234" i="7"/>
  <c r="AJ234" i="7"/>
  <c r="AL234" i="7"/>
  <c r="AJ391" i="7"/>
  <c r="AL391" i="7"/>
  <c r="AK41" i="7"/>
  <c r="AJ273" i="7"/>
  <c r="AL273" i="7"/>
  <c r="AK273" i="7"/>
  <c r="AK373" i="7"/>
  <c r="AJ373" i="7"/>
  <c r="AL373" i="7"/>
  <c r="AJ359" i="7"/>
  <c r="AL359" i="7"/>
  <c r="AK359" i="7"/>
  <c r="AJ349" i="7"/>
  <c r="AL349" i="7"/>
  <c r="AK349" i="7"/>
  <c r="AJ14" i="7"/>
  <c r="AL14" i="7"/>
  <c r="AK14" i="7"/>
  <c r="AK391" i="7"/>
  <c r="AK275" i="7"/>
  <c r="AJ275" i="7"/>
  <c r="AL275" i="7"/>
  <c r="AJ197" i="7"/>
  <c r="AL197" i="7"/>
  <c r="AK197" i="7"/>
  <c r="AJ379" i="7"/>
  <c r="AL379" i="7"/>
  <c r="AK379" i="7"/>
  <c r="AK367" i="7"/>
  <c r="AJ367" i="7"/>
  <c r="AL367" i="7"/>
  <c r="AJ26" i="7"/>
  <c r="AL26" i="7"/>
  <c r="AK26" i="7"/>
  <c r="AJ41" i="7"/>
  <c r="AL41" i="7"/>
  <c r="AK330" i="7"/>
  <c r="AJ330" i="7"/>
  <c r="AL330" i="7"/>
  <c r="BA237" i="7"/>
  <c r="BE237" i="7"/>
  <c r="BA275" i="7"/>
  <c r="BE275" i="7"/>
  <c r="BA359" i="7"/>
  <c r="BE359" i="7"/>
  <c r="BR391" i="7"/>
  <c r="BA30" i="7"/>
  <c r="BE30" i="7"/>
  <c r="AF30" i="7"/>
  <c r="BR194" i="7"/>
  <c r="BS194" i="7"/>
  <c r="BW194" i="7"/>
  <c r="BB396" i="7"/>
  <c r="BD396" i="7"/>
  <c r="BC396" i="7"/>
  <c r="BB226" i="7"/>
  <c r="BD226" i="7"/>
  <c r="BC226" i="7"/>
  <c r="BC194" i="7"/>
  <c r="BB194" i="7"/>
  <c r="BD194" i="7"/>
  <c r="BC391" i="7"/>
  <c r="BB391" i="7"/>
  <c r="BC373" i="7"/>
  <c r="BB373" i="7"/>
  <c r="BR362" i="7"/>
  <c r="BS362" i="7"/>
  <c r="BW362" i="7"/>
  <c r="BR130" i="7"/>
  <c r="BR221" i="7"/>
  <c r="BR10" i="7"/>
  <c r="BR73" i="7"/>
  <c r="BR163" i="7"/>
  <c r="BR59" i="7"/>
  <c r="BR16" i="7"/>
  <c r="BR355" i="7"/>
  <c r="BR61" i="7"/>
  <c r="BR337" i="7"/>
  <c r="BR179" i="7"/>
  <c r="BA14" i="7"/>
  <c r="BE14" i="7"/>
  <c r="BR200" i="7"/>
  <c r="BS200" i="7"/>
  <c r="BW200" i="7"/>
  <c r="BR146" i="7"/>
  <c r="BA249" i="7"/>
  <c r="BE249" i="7"/>
  <c r="BR326" i="7"/>
  <c r="BR349" i="7"/>
  <c r="BR153" i="7"/>
  <c r="BA234" i="7"/>
  <c r="BE234" i="7"/>
  <c r="BR20" i="7"/>
  <c r="BR314" i="7"/>
  <c r="BR65" i="7"/>
  <c r="BR258" i="7"/>
  <c r="BR57" i="7"/>
  <c r="BR149" i="7"/>
  <c r="BR211" i="7"/>
  <c r="BA363" i="7"/>
  <c r="BE363" i="7"/>
  <c r="T7" i="6"/>
  <c r="R8" i="6"/>
  <c r="S8" i="6"/>
  <c r="Q9" i="6"/>
  <c r="W30" i="7"/>
  <c r="AA30" i="7"/>
  <c r="Z30" i="7"/>
  <c r="AD30" i="7"/>
  <c r="Y30" i="7"/>
  <c r="AE30" i="7"/>
  <c r="BR14" i="7"/>
  <c r="BA200" i="7"/>
  <c r="BE200" i="7"/>
  <c r="X30" i="7"/>
  <c r="AB30" i="7"/>
  <c r="AG30" i="7"/>
  <c r="BR197" i="7"/>
  <c r="BR234" i="7"/>
  <c r="BR249" i="7"/>
  <c r="BA242" i="7"/>
  <c r="BE242" i="7"/>
  <c r="BA204" i="7"/>
  <c r="BE204" i="7"/>
  <c r="BA349" i="7"/>
  <c r="BE349" i="7"/>
  <c r="BA197" i="7"/>
  <c r="BE197" i="7"/>
  <c r="BA362" i="7"/>
  <c r="BE362" i="7"/>
  <c r="BR363" i="7"/>
  <c r="AA396" i="7"/>
  <c r="AC396" i="7"/>
  <c r="AG396" i="7"/>
  <c r="X396" i="7"/>
  <c r="AD396" i="7"/>
  <c r="AE396" i="7"/>
  <c r="W396" i="7"/>
  <c r="AF396" i="7"/>
  <c r="Y396" i="7"/>
  <c r="AB396" i="7"/>
  <c r="Y243" i="7"/>
  <c r="AE243" i="7"/>
  <c r="AG243" i="7"/>
  <c r="AB243" i="7"/>
  <c r="W243" i="7"/>
  <c r="AC243" i="7"/>
  <c r="AF243" i="7"/>
  <c r="X243" i="7"/>
  <c r="Z243" i="7"/>
  <c r="AA243" i="7"/>
  <c r="AD243" i="7"/>
  <c r="AD238" i="7"/>
  <c r="Z238" i="7"/>
  <c r="AF238" i="7"/>
  <c r="AA238" i="7"/>
  <c r="AG238" i="7"/>
  <c r="AB238" i="7"/>
  <c r="W238" i="7"/>
  <c r="AC238" i="7"/>
  <c r="X238" i="7"/>
  <c r="Y238" i="7"/>
  <c r="AE238" i="7"/>
  <c r="AF206" i="7"/>
  <c r="W206" i="7"/>
  <c r="AC230" i="7"/>
  <c r="Z226" i="7"/>
  <c r="AD226" i="7"/>
  <c r="AC226" i="7"/>
  <c r="X226" i="7"/>
  <c r="Y226" i="7"/>
  <c r="AE226" i="7"/>
  <c r="AF226" i="7"/>
  <c r="AA226" i="7"/>
  <c r="AG226" i="7"/>
  <c r="AB226" i="7"/>
  <c r="W226" i="7"/>
  <c r="BR223" i="7"/>
  <c r="BR301" i="7"/>
  <c r="BR71" i="7"/>
  <c r="BR254" i="7"/>
  <c r="BR304" i="7"/>
  <c r="BR185" i="7"/>
  <c r="BR251" i="7"/>
  <c r="BR107" i="7"/>
  <c r="BR83" i="7"/>
  <c r="BR81" i="7"/>
  <c r="BR242" i="7"/>
  <c r="BR319" i="7"/>
  <c r="BR393" i="7"/>
  <c r="BR303" i="7"/>
  <c r="BR90" i="7"/>
  <c r="BR390" i="7"/>
  <c r="BR284" i="7"/>
  <c r="BR302" i="7"/>
  <c r="BR255" i="7"/>
  <c r="BR186" i="7"/>
  <c r="BR289" i="7"/>
  <c r="BR88" i="7"/>
  <c r="BR339" i="7"/>
  <c r="BA379" i="7"/>
  <c r="BE379" i="7"/>
  <c r="BR379" i="7"/>
  <c r="BA42" i="7"/>
  <c r="BE42" i="7"/>
  <c r="BR42" i="7"/>
  <c r="BR311" i="7"/>
  <c r="BR156" i="7"/>
  <c r="BR210" i="7"/>
  <c r="BR38" i="7"/>
  <c r="BR334" i="7"/>
  <c r="BA253" i="7"/>
  <c r="BE253" i="7"/>
  <c r="BR253" i="7"/>
  <c r="BR330" i="7"/>
  <c r="BA330" i="7"/>
  <c r="BE330" i="7"/>
  <c r="BA273" i="7"/>
  <c r="BE273" i="7"/>
  <c r="BR273" i="7"/>
  <c r="BR202" i="7"/>
  <c r="BS239" i="7"/>
  <c r="BW239" i="7"/>
  <c r="BS237" i="7"/>
  <c r="BW237" i="7"/>
  <c r="BA238" i="7"/>
  <c r="BE238" i="7"/>
  <c r="BR238" i="7"/>
  <c r="BR49" i="7"/>
  <c r="BR252" i="7"/>
  <c r="BS387" i="7"/>
  <c r="BW387" i="7"/>
  <c r="BR26" i="7"/>
  <c r="BA26" i="7"/>
  <c r="BE26" i="7"/>
  <c r="BA192" i="7"/>
  <c r="BE192" i="7"/>
  <c r="BR192" i="7"/>
  <c r="BS204" i="7"/>
  <c r="BW204" i="7"/>
  <c r="BA41" i="7"/>
  <c r="BE41" i="7"/>
  <c r="BR41" i="7"/>
  <c r="BR283" i="7"/>
  <c r="BR124" i="7"/>
  <c r="BR195" i="7"/>
  <c r="BR305" i="7"/>
  <c r="BR248" i="7"/>
  <c r="BR257" i="7"/>
  <c r="BR344" i="7"/>
  <c r="BR76" i="7"/>
  <c r="BR15" i="7"/>
  <c r="BR91" i="7"/>
  <c r="BR378" i="7"/>
  <c r="BR62" i="7"/>
  <c r="BR55" i="7"/>
  <c r="BS359" i="7"/>
  <c r="BW359" i="7"/>
  <c r="BR293" i="7"/>
  <c r="BA293" i="7"/>
  <c r="BE293" i="7"/>
  <c r="BR343" i="7"/>
  <c r="BR85" i="7"/>
  <c r="BR64" i="7"/>
  <c r="BR166" i="7"/>
  <c r="BR77" i="7"/>
  <c r="BR312" i="7"/>
  <c r="BR198" i="7"/>
  <c r="BA198" i="7"/>
  <c r="BE198" i="7"/>
  <c r="BR348" i="7"/>
  <c r="BR143" i="7"/>
  <c r="BR105" i="7"/>
  <c r="BR277" i="7"/>
  <c r="BR243" i="7"/>
  <c r="BA243" i="7"/>
  <c r="BE243" i="7"/>
  <c r="BR69" i="7"/>
  <c r="BR98" i="7"/>
  <c r="BR95" i="7"/>
  <c r="BR333" i="7"/>
  <c r="BR336" i="7"/>
  <c r="BR155" i="7"/>
  <c r="BR157" i="7"/>
  <c r="BA206" i="7"/>
  <c r="BE206" i="7"/>
  <c r="BR206" i="7"/>
  <c r="BR79" i="7"/>
  <c r="BR70" i="7"/>
  <c r="BR93" i="7"/>
  <c r="BR308" i="7"/>
  <c r="BR382" i="7"/>
  <c r="BA382" i="7"/>
  <c r="BE382" i="7"/>
  <c r="BS275" i="7"/>
  <c r="BW275" i="7"/>
  <c r="BR281" i="7"/>
  <c r="BR60" i="7"/>
  <c r="BR74" i="7"/>
  <c r="BR104" i="7"/>
  <c r="BR151" i="7"/>
  <c r="BA230" i="7"/>
  <c r="BE230" i="7"/>
  <c r="BR230" i="7"/>
  <c r="BA367" i="7"/>
  <c r="BE367" i="7"/>
  <c r="BR367" i="7"/>
  <c r="BR72" i="7"/>
  <c r="BR346" i="7"/>
  <c r="BR100" i="7"/>
  <c r="BR331" i="7"/>
  <c r="BA331" i="7"/>
  <c r="BE331" i="7"/>
  <c r="BR46" i="7"/>
  <c r="BS30" i="7"/>
  <c r="BW30" i="7"/>
  <c r="BS373" i="7"/>
  <c r="BW373" i="7"/>
  <c r="BR96" i="7"/>
  <c r="BR33" i="7"/>
  <c r="BR19" i="7"/>
  <c r="BR357" i="7"/>
  <c r="BR342" i="7"/>
  <c r="BR332" i="7"/>
  <c r="BR94" i="7"/>
  <c r="BR37" i="7"/>
  <c r="BR269" i="7"/>
  <c r="BR240" i="7"/>
  <c r="BR189" i="7"/>
  <c r="BR310" i="7"/>
  <c r="BR8" i="7"/>
  <c r="BR4" i="7"/>
  <c r="BR268" i="7"/>
  <c r="BR328" i="7"/>
  <c r="BR116" i="7"/>
  <c r="BR115" i="7"/>
  <c r="BR128" i="7"/>
  <c r="BR111" i="7"/>
  <c r="BR31" i="7"/>
  <c r="BR11" i="7"/>
  <c r="BR356" i="7"/>
  <c r="BR351" i="7"/>
  <c r="BR377" i="7"/>
  <c r="BR187" i="7"/>
  <c r="BR270" i="7"/>
  <c r="BR272" i="7"/>
  <c r="BR262" i="7"/>
  <c r="BR259" i="7"/>
  <c r="BR323" i="7"/>
  <c r="BR381" i="7"/>
  <c r="BR23" i="7"/>
  <c r="BR276" i="7"/>
  <c r="BR89" i="7"/>
  <c r="BR292" i="7"/>
  <c r="BR32" i="7"/>
  <c r="BR133" i="7"/>
  <c r="BR36" i="7"/>
  <c r="BR325" i="7"/>
  <c r="BR119" i="7"/>
  <c r="BR313" i="7"/>
  <c r="BR17" i="7"/>
  <c r="BR394" i="7"/>
  <c r="BR233" i="7"/>
  <c r="BR307" i="7"/>
  <c r="BR117" i="7"/>
  <c r="BR121" i="7"/>
  <c r="BR345" i="7"/>
  <c r="BR264" i="7"/>
  <c r="BR196" i="7"/>
  <c r="BR188" i="7"/>
  <c r="BR118" i="7"/>
  <c r="BR67" i="7"/>
  <c r="BR285" i="7"/>
  <c r="BR327" i="7"/>
  <c r="BR322" i="7"/>
  <c r="BR266" i="7"/>
  <c r="BR56" i="7"/>
  <c r="BR82" i="7"/>
  <c r="BR51" i="7"/>
  <c r="BR7" i="7"/>
  <c r="BR299" i="7"/>
  <c r="BR66" i="7"/>
  <c r="BR80" i="7"/>
  <c r="BR350" i="7"/>
  <c r="BR287" i="7"/>
  <c r="BR306" i="7"/>
  <c r="BR300" i="7"/>
  <c r="BR181" i="7"/>
  <c r="BR109" i="7"/>
  <c r="BR228" i="7"/>
  <c r="BR12" i="7"/>
  <c r="BR360" i="7"/>
  <c r="BR182" i="7"/>
  <c r="BR58" i="7"/>
  <c r="BR123" i="7"/>
  <c r="BR267" i="7"/>
  <c r="BR120" i="7"/>
  <c r="BR6" i="7"/>
  <c r="BR44" i="7"/>
  <c r="BR315" i="7"/>
  <c r="BR279" i="7"/>
  <c r="BR183" i="7"/>
  <c r="BR78" i="7"/>
  <c r="BR112" i="7"/>
  <c r="BR63" i="7"/>
  <c r="BR294" i="7"/>
  <c r="BR5" i="7"/>
  <c r="BR335" i="7"/>
  <c r="BR84" i="7"/>
  <c r="BR53" i="7"/>
  <c r="BR247" i="7"/>
  <c r="BR110" i="7"/>
  <c r="BR114" i="7"/>
  <c r="BR122" i="7"/>
  <c r="BR318" i="7"/>
  <c r="BR190" i="7"/>
  <c r="BR358" i="7"/>
  <c r="BR113" i="7"/>
  <c r="BR35" i="7"/>
  <c r="W363" i="7" a="1"/>
  <c r="W242" i="7" a="1"/>
  <c r="W249" i="7" a="1"/>
  <c r="W194" i="7" a="1"/>
  <c r="W204" i="7" a="1"/>
  <c r="W42" i="7" a="1"/>
  <c r="W14" i="7" a="1"/>
  <c r="W200" i="7" a="1"/>
  <c r="W293" i="7" a="1"/>
  <c r="W331" i="7" a="1"/>
  <c r="W26" i="7" a="1"/>
  <c r="W237" i="7" a="1"/>
  <c r="W192" i="7" a="1"/>
  <c r="W382" i="7" a="1"/>
  <c r="W362" i="7" a="1"/>
  <c r="W373" i="7" a="1"/>
  <c r="W387" i="7" a="1"/>
  <c r="W253" i="7" a="1"/>
  <c r="W367" i="7" a="1"/>
  <c r="W379" i="7" a="1"/>
  <c r="W275" i="7" a="1"/>
  <c r="W391" i="7" a="1"/>
  <c r="W41" i="7" a="1"/>
  <c r="W197" i="7" a="1"/>
  <c r="W330" i="7" a="1"/>
  <c r="W234" i="7" a="1"/>
  <c r="W273" i="7" a="1"/>
  <c r="W359" i="7" a="1"/>
  <c r="W198" i="7"/>
  <c r="AE206" i="7"/>
  <c r="Z206" i="7"/>
  <c r="X206" i="7"/>
  <c r="Y206" i="7"/>
  <c r="AG363" i="7"/>
  <c r="AA363" i="7"/>
  <c r="AD363" i="7"/>
  <c r="Y363" i="7"/>
  <c r="W363" i="7"/>
  <c r="Z363" i="7"/>
  <c r="AE363" i="7"/>
  <c r="AF363" i="7"/>
  <c r="AB363" i="7"/>
  <c r="AC363" i="7"/>
  <c r="X363" i="7"/>
  <c r="AN192" i="7"/>
  <c r="AO192" i="7" a="1"/>
  <c r="AR192" i="7"/>
  <c r="AF198" i="7"/>
  <c r="AN30" i="7"/>
  <c r="AO30" i="7" a="1"/>
  <c r="AP30" i="7"/>
  <c r="AN204" i="7"/>
  <c r="AO204" i="7" a="1"/>
  <c r="AS204" i="7"/>
  <c r="AN382" i="7"/>
  <c r="AO382" i="7" a="1"/>
  <c r="AX382" i="7"/>
  <c r="AN253" i="7"/>
  <c r="AO253" i="7" a="1"/>
  <c r="AN362" i="7"/>
  <c r="AO362" i="7" a="1"/>
  <c r="AQ362" i="7"/>
  <c r="AA242" i="7"/>
  <c r="AC242" i="7"/>
  <c r="AE242" i="7"/>
  <c r="AB242" i="7"/>
  <c r="Z242" i="7"/>
  <c r="AF242" i="7"/>
  <c r="Y242" i="7"/>
  <c r="AG242" i="7"/>
  <c r="X242" i="7"/>
  <c r="AD242" i="7"/>
  <c r="W242" i="7"/>
  <c r="W249" i="7"/>
  <c r="X249" i="7"/>
  <c r="AC249" i="7"/>
  <c r="AG249" i="7"/>
  <c r="AE249" i="7"/>
  <c r="AA249" i="7"/>
  <c r="Y249" i="7"/>
  <c r="Z249" i="7"/>
  <c r="AB249" i="7"/>
  <c r="AF249" i="7"/>
  <c r="AD249" i="7"/>
  <c r="AC239" i="7"/>
  <c r="AE230" i="7"/>
  <c r="AA230" i="7"/>
  <c r="AB206" i="7"/>
  <c r="AC206" i="7"/>
  <c r="AG206" i="7"/>
  <c r="W230" i="7"/>
  <c r="AN249" i="7"/>
  <c r="AO249" i="7" a="1"/>
  <c r="AV249" i="7"/>
  <c r="AN206" i="7"/>
  <c r="AO206" i="7" a="1"/>
  <c r="AX206" i="7"/>
  <c r="Y230" i="7"/>
  <c r="AF230" i="7"/>
  <c r="AA206" i="7"/>
  <c r="AN226" i="7"/>
  <c r="AO226" i="7" a="1"/>
  <c r="AU226" i="7"/>
  <c r="AE204" i="7"/>
  <c r="AB204" i="7"/>
  <c r="Z204" i="7"/>
  <c r="AF204" i="7"/>
  <c r="W204" i="7"/>
  <c r="AD204" i="7"/>
  <c r="AA204" i="7"/>
  <c r="AC204" i="7"/>
  <c r="Y204" i="7"/>
  <c r="AG204" i="7"/>
  <c r="X204" i="7"/>
  <c r="AF194" i="7"/>
  <c r="AA194" i="7"/>
  <c r="AD194" i="7"/>
  <c r="W194" i="7"/>
  <c r="AG194" i="7"/>
  <c r="X194" i="7"/>
  <c r="Z194" i="7"/>
  <c r="AE194" i="7"/>
  <c r="Y194" i="7"/>
  <c r="AB194" i="7"/>
  <c r="AC194" i="7"/>
  <c r="Z198" i="7"/>
  <c r="AB198" i="7"/>
  <c r="AE198" i="7"/>
  <c r="BC30" i="7"/>
  <c r="AN242" i="7"/>
  <c r="AO242" i="7" a="1"/>
  <c r="AQ242" i="7"/>
  <c r="AN198" i="7"/>
  <c r="AO198" i="7" a="1"/>
  <c r="AB239" i="7"/>
  <c r="X198" i="7"/>
  <c r="AG198" i="7"/>
  <c r="Y198" i="7"/>
  <c r="Z230" i="7"/>
  <c r="AB230" i="7"/>
  <c r="AN194" i="7"/>
  <c r="AO194" i="7" a="1"/>
  <c r="AQ194" i="7"/>
  <c r="BC239" i="7"/>
  <c r="AC198" i="7"/>
  <c r="AA198" i="7"/>
  <c r="AD230" i="7"/>
  <c r="X230" i="7"/>
  <c r="AN200" i="7"/>
  <c r="AO200" i="7" a="1"/>
  <c r="AU200" i="7"/>
  <c r="AN363" i="7"/>
  <c r="AO363" i="7" a="1"/>
  <c r="AQ363" i="7"/>
  <c r="AN293" i="7"/>
  <c r="AO293" i="7" a="1"/>
  <c r="AX293" i="7"/>
  <c r="Z42" i="7"/>
  <c r="W42" i="7"/>
  <c r="AD42" i="7"/>
  <c r="Y42" i="7"/>
  <c r="X42" i="7"/>
  <c r="AE42" i="7"/>
  <c r="AB42" i="7"/>
  <c r="AC42" i="7"/>
  <c r="AA42" i="7"/>
  <c r="AG42" i="7"/>
  <c r="AF42" i="7"/>
  <c r="Z14" i="7"/>
  <c r="AE14" i="7"/>
  <c r="AB14" i="7"/>
  <c r="AF14" i="7"/>
  <c r="AA14" i="7"/>
  <c r="AC14" i="7"/>
  <c r="Y14" i="7"/>
  <c r="X14" i="7"/>
  <c r="W14" i="7"/>
  <c r="AG14" i="7"/>
  <c r="AD14" i="7"/>
  <c r="AN239" i="7"/>
  <c r="AO239" i="7" a="1"/>
  <c r="AQ239" i="7"/>
  <c r="AC200" i="7"/>
  <c r="AB200" i="7"/>
  <c r="AD200" i="7"/>
  <c r="X200" i="7"/>
  <c r="AE200" i="7"/>
  <c r="Y200" i="7"/>
  <c r="AF200" i="7"/>
  <c r="AG200" i="7"/>
  <c r="Z200" i="7"/>
  <c r="AA200" i="7"/>
  <c r="W200" i="7"/>
  <c r="BF387" i="7"/>
  <c r="AN238" i="7"/>
  <c r="AO238" i="7" a="1"/>
  <c r="AQ238" i="7"/>
  <c r="AF349" i="7"/>
  <c r="AC349" i="7"/>
  <c r="W349" i="7"/>
  <c r="AE349" i="7"/>
  <c r="AD349" i="7"/>
  <c r="AB349" i="7"/>
  <c r="Y349" i="7"/>
  <c r="AG349" i="7"/>
  <c r="X349" i="7"/>
  <c r="W331" i="7"/>
  <c r="Z331" i="7"/>
  <c r="AC331" i="7"/>
  <c r="AG331" i="7"/>
  <c r="AE331" i="7"/>
  <c r="AD331" i="7"/>
  <c r="Y331" i="7"/>
  <c r="X331" i="7"/>
  <c r="AB331" i="7"/>
  <c r="AF331" i="7"/>
  <c r="AA331" i="7"/>
  <c r="AG293" i="7"/>
  <c r="X293" i="7"/>
  <c r="AF293" i="7"/>
  <c r="W293" i="7"/>
  <c r="Y293" i="7"/>
  <c r="AD293" i="7"/>
  <c r="AB293" i="7"/>
  <c r="Z293" i="7"/>
  <c r="AA293" i="7"/>
  <c r="AC293" i="7"/>
  <c r="AE293" i="7"/>
  <c r="AN230" i="7"/>
  <c r="AO230" i="7" a="1"/>
  <c r="AX230" i="7"/>
  <c r="AA239" i="7"/>
  <c r="BC237" i="7"/>
  <c r="AN42" i="7"/>
  <c r="AO42" i="7" a="1"/>
  <c r="AO42" i="7"/>
  <c r="AN243" i="7"/>
  <c r="AO243" i="7" a="1"/>
  <c r="AR243" i="7"/>
  <c r="AF239" i="7"/>
  <c r="X239" i="7"/>
  <c r="AE239" i="7"/>
  <c r="AN237" i="7"/>
  <c r="AO237" i="7" a="1"/>
  <c r="AP237" i="7"/>
  <c r="BB237" i="7"/>
  <c r="BD237" i="7"/>
  <c r="AD239" i="7"/>
  <c r="AG239" i="7"/>
  <c r="BB239" i="7"/>
  <c r="BD239" i="7"/>
  <c r="AN331" i="7"/>
  <c r="AO331" i="7" a="1"/>
  <c r="AV331" i="7"/>
  <c r="Z239" i="7"/>
  <c r="W239" i="7"/>
  <c r="AN396" i="7"/>
  <c r="AO396" i="7" a="1"/>
  <c r="AY396" i="7"/>
  <c r="AF382" i="7"/>
  <c r="Y382" i="7"/>
  <c r="AE382" i="7"/>
  <c r="AA382" i="7"/>
  <c r="Z382" i="7"/>
  <c r="AG382" i="7"/>
  <c r="AC382" i="7"/>
  <c r="AD382" i="7"/>
  <c r="W382" i="7"/>
  <c r="X382" i="7"/>
  <c r="AB382" i="7"/>
  <c r="Y192" i="7"/>
  <c r="AG192" i="7"/>
  <c r="X192" i="7"/>
  <c r="AE192" i="7"/>
  <c r="AB192" i="7"/>
  <c r="AD192" i="7"/>
  <c r="AF192" i="7"/>
  <c r="W192" i="7"/>
  <c r="Z192" i="7"/>
  <c r="AA192" i="7"/>
  <c r="AC192" i="7"/>
  <c r="W237" i="7"/>
  <c r="AD237" i="7"/>
  <c r="AB237" i="7"/>
  <c r="Y237" i="7"/>
  <c r="AF237" i="7"/>
  <c r="Z237" i="7"/>
  <c r="X237" i="7"/>
  <c r="AE237" i="7"/>
  <c r="AG237" i="7"/>
  <c r="AC237" i="7"/>
  <c r="AA237" i="7"/>
  <c r="AF26" i="7"/>
  <c r="AE26" i="7"/>
  <c r="Z26" i="7"/>
  <c r="AA26" i="7"/>
  <c r="W26" i="7"/>
  <c r="X26" i="7"/>
  <c r="Y26" i="7"/>
  <c r="AC26" i="7"/>
  <c r="AG26" i="7"/>
  <c r="AB26" i="7"/>
  <c r="AD26" i="7"/>
  <c r="Z387" i="7"/>
  <c r="AA387" i="7"/>
  <c r="AD387" i="7"/>
  <c r="Y387" i="7"/>
  <c r="AG387" i="7"/>
  <c r="AC387" i="7"/>
  <c r="AE387" i="7"/>
  <c r="AB387" i="7"/>
  <c r="X387" i="7"/>
  <c r="AF387" i="7"/>
  <c r="W387" i="7"/>
  <c r="W373" i="7"/>
  <c r="Z373" i="7"/>
  <c r="X373" i="7"/>
  <c r="Y373" i="7"/>
  <c r="AC373" i="7"/>
  <c r="AG373" i="7"/>
  <c r="AE373" i="7"/>
  <c r="AD373" i="7"/>
  <c r="AB373" i="7"/>
  <c r="AA373" i="7"/>
  <c r="AF373" i="7"/>
  <c r="Z362" i="7"/>
  <c r="AC362" i="7"/>
  <c r="AF362" i="7"/>
  <c r="AG362" i="7"/>
  <c r="X362" i="7"/>
  <c r="AA362" i="7"/>
  <c r="AB362" i="7"/>
  <c r="Y362" i="7"/>
  <c r="AD362" i="7"/>
  <c r="W362" i="7"/>
  <c r="AE362" i="7"/>
  <c r="Y253" i="7"/>
  <c r="W253" i="7"/>
  <c r="AD253" i="7"/>
  <c r="AE253" i="7"/>
  <c r="AC253" i="7"/>
  <c r="X253" i="7"/>
  <c r="AG253" i="7"/>
  <c r="Z253" i="7"/>
  <c r="AA253" i="7"/>
  <c r="AB253" i="7"/>
  <c r="AF253" i="7"/>
  <c r="BB230" i="7"/>
  <c r="BD230" i="7"/>
  <c r="BC206" i="7"/>
  <c r="AN359" i="7"/>
  <c r="AO359" i="7" a="1"/>
  <c r="AR359" i="7"/>
  <c r="BU387" i="7"/>
  <c r="BB206" i="7"/>
  <c r="BD206" i="7"/>
  <c r="BC382" i="7"/>
  <c r="BC42" i="7"/>
  <c r="BB42" i="7"/>
  <c r="BD42" i="7"/>
  <c r="BF42" i="7"/>
  <c r="BT30" i="7"/>
  <c r="BV30" i="7"/>
  <c r="BB249" i="7"/>
  <c r="BD249" i="7"/>
  <c r="BT396" i="7"/>
  <c r="BV396" i="7"/>
  <c r="BB243" i="7"/>
  <c r="BD243" i="7"/>
  <c r="BC243" i="7"/>
  <c r="BC230" i="7"/>
  <c r="BB293" i="7"/>
  <c r="BD293" i="7"/>
  <c r="BC293" i="7"/>
  <c r="BB238" i="7"/>
  <c r="BD238" i="7"/>
  <c r="BC238" i="7"/>
  <c r="BB382" i="7"/>
  <c r="BD382" i="7"/>
  <c r="BB198" i="7"/>
  <c r="BD198" i="7"/>
  <c r="BC198" i="7"/>
  <c r="BB192" i="7"/>
  <c r="BD192" i="7"/>
  <c r="BC192" i="7"/>
  <c r="BF192" i="7"/>
  <c r="BB331" i="7"/>
  <c r="BD331" i="7"/>
  <c r="BC331" i="7"/>
  <c r="BB253" i="7"/>
  <c r="BD253" i="7"/>
  <c r="BC253" i="7"/>
  <c r="BF253" i="7"/>
  <c r="BT387" i="7"/>
  <c r="BV387" i="7"/>
  <c r="BT226" i="7"/>
  <c r="BV226" i="7"/>
  <c r="BU226" i="7"/>
  <c r="BC200" i="7"/>
  <c r="BB200" i="7"/>
  <c r="BD200" i="7"/>
  <c r="BC249" i="7"/>
  <c r="BB362" i="7"/>
  <c r="BD362" i="7"/>
  <c r="BC362" i="7"/>
  <c r="BF362" i="7"/>
  <c r="BC363" i="7"/>
  <c r="BB363" i="7"/>
  <c r="BD363" i="7"/>
  <c r="BT239" i="7"/>
  <c r="BV239" i="7"/>
  <c r="BU239" i="7"/>
  <c r="BX239" i="7"/>
  <c r="BY239" i="7" a="1"/>
  <c r="BB242" i="7"/>
  <c r="BD242" i="7"/>
  <c r="BC242" i="7"/>
  <c r="BU396" i="7"/>
  <c r="BU30" i="7"/>
  <c r="BB30" i="7"/>
  <c r="BD30" i="7"/>
  <c r="BT237" i="7"/>
  <c r="BV237" i="7"/>
  <c r="BU237" i="7"/>
  <c r="BT204" i="7"/>
  <c r="BV204" i="7"/>
  <c r="BU204" i="7"/>
  <c r="BB204" i="7"/>
  <c r="BD204" i="7"/>
  <c r="BC204" i="7"/>
  <c r="AC367" i="7"/>
  <c r="Z275" i="7"/>
  <c r="AF391" i="7"/>
  <c r="Z391" i="7"/>
  <c r="AB391" i="7"/>
  <c r="Y391" i="7"/>
  <c r="AA391" i="7"/>
  <c r="AC391" i="7"/>
  <c r="AD391" i="7"/>
  <c r="X391" i="7"/>
  <c r="W391" i="7"/>
  <c r="AG391" i="7"/>
  <c r="AE391" i="7"/>
  <c r="AA349" i="7"/>
  <c r="AE367" i="7"/>
  <c r="AA367" i="7"/>
  <c r="AG367" i="7"/>
  <c r="AG275" i="7"/>
  <c r="AF275" i="7"/>
  <c r="W275" i="7"/>
  <c r="AA275" i="7"/>
  <c r="AC275" i="7"/>
  <c r="AB275" i="7"/>
  <c r="Y275" i="7"/>
  <c r="AD275" i="7"/>
  <c r="X275" i="7"/>
  <c r="AE275" i="7"/>
  <c r="AS387" i="7"/>
  <c r="AP387" i="7"/>
  <c r="AX387" i="7"/>
  <c r="AU387" i="7"/>
  <c r="AT387" i="7"/>
  <c r="AQ387" i="7"/>
  <c r="AY387" i="7"/>
  <c r="AO387" i="7"/>
  <c r="AR387" i="7"/>
  <c r="AW387" i="7"/>
  <c r="AN367" i="7"/>
  <c r="AO367" i="7" a="1"/>
  <c r="AT367" i="7"/>
  <c r="AC197" i="7"/>
  <c r="W197" i="7"/>
  <c r="AF197" i="7"/>
  <c r="AE197" i="7"/>
  <c r="X197" i="7"/>
  <c r="Y197" i="7"/>
  <c r="AA197" i="7"/>
  <c r="AB197" i="7"/>
  <c r="AD197" i="7"/>
  <c r="AG197" i="7"/>
  <c r="Z197" i="7"/>
  <c r="AF379" i="7"/>
  <c r="AB379" i="7"/>
  <c r="AC379" i="7"/>
  <c r="AD379" i="7"/>
  <c r="AA379" i="7"/>
  <c r="AE379" i="7"/>
  <c r="Z379" i="7"/>
  <c r="X379" i="7"/>
  <c r="Y379" i="7"/>
  <c r="W379" i="7"/>
  <c r="AG379" i="7"/>
  <c r="AN349" i="7"/>
  <c r="AO349" i="7" a="1"/>
  <c r="AX349" i="7"/>
  <c r="X367" i="7"/>
  <c r="W367" i="7"/>
  <c r="Z367" i="7"/>
  <c r="AN41" i="7"/>
  <c r="AO41" i="7" a="1"/>
  <c r="AS41" i="7"/>
  <c r="Y367" i="7"/>
  <c r="AB367" i="7"/>
  <c r="AD367" i="7"/>
  <c r="AT30" i="7"/>
  <c r="AN391" i="7"/>
  <c r="AO391" i="7" a="1"/>
  <c r="AP391" i="7"/>
  <c r="AF367" i="7"/>
  <c r="AN197" i="7"/>
  <c r="AO197" i="7" a="1"/>
  <c r="AV197" i="7"/>
  <c r="AX30" i="7"/>
  <c r="AB359" i="7"/>
  <c r="AF359" i="7"/>
  <c r="Y359" i="7"/>
  <c r="W359" i="7"/>
  <c r="AD359" i="7"/>
  <c r="AE359" i="7"/>
  <c r="AC359" i="7"/>
  <c r="X359" i="7"/>
  <c r="AG359" i="7"/>
  <c r="Z359" i="7"/>
  <c r="AA359" i="7"/>
  <c r="AN379" i="7"/>
  <c r="AO379" i="7" a="1"/>
  <c r="AY379" i="7"/>
  <c r="AN373" i="7"/>
  <c r="AO373" i="7" a="1"/>
  <c r="AY373" i="7"/>
  <c r="AN14" i="7"/>
  <c r="AO14" i="7" a="1"/>
  <c r="AW14" i="7"/>
  <c r="AN234" i="7"/>
  <c r="AO234" i="7" a="1"/>
  <c r="AX234" i="7"/>
  <c r="Y234" i="7"/>
  <c r="AG234" i="7"/>
  <c r="X234" i="7"/>
  <c r="Z234" i="7"/>
  <c r="AF234" i="7"/>
  <c r="W234" i="7"/>
  <c r="AE234" i="7"/>
  <c r="AB234" i="7"/>
  <c r="AD234" i="7"/>
  <c r="AA234" i="7"/>
  <c r="AC234" i="7"/>
  <c r="X273" i="7"/>
  <c r="Y273" i="7"/>
  <c r="AC273" i="7"/>
  <c r="AD273" i="7"/>
  <c r="AF273" i="7"/>
  <c r="AE273" i="7"/>
  <c r="AG273" i="7"/>
  <c r="AB273" i="7"/>
  <c r="Z273" i="7"/>
  <c r="AA273" i="7"/>
  <c r="W273" i="7"/>
  <c r="Y41" i="7"/>
  <c r="AG41" i="7"/>
  <c r="W41" i="7"/>
  <c r="AF41" i="7"/>
  <c r="AD41" i="7"/>
  <c r="AB41" i="7"/>
  <c r="Z41" i="7"/>
  <c r="AC41" i="7"/>
  <c r="AA41" i="7"/>
  <c r="X41" i="7"/>
  <c r="AE41" i="7"/>
  <c r="AB330" i="7"/>
  <c r="AA330" i="7"/>
  <c r="Y330" i="7"/>
  <c r="AE330" i="7"/>
  <c r="AG330" i="7"/>
  <c r="W330" i="7"/>
  <c r="Z330" i="7"/>
  <c r="X330" i="7"/>
  <c r="AD330" i="7"/>
  <c r="AC330" i="7"/>
  <c r="AF330" i="7"/>
  <c r="AN275" i="7"/>
  <c r="AO275" i="7" a="1"/>
  <c r="AX275" i="7"/>
  <c r="AN26" i="7"/>
  <c r="AO26" i="7" a="1"/>
  <c r="AX26" i="7"/>
  <c r="AN273" i="7"/>
  <c r="AO273" i="7" a="1"/>
  <c r="AV273" i="7"/>
  <c r="AN330" i="7"/>
  <c r="AO330" i="7" a="1"/>
  <c r="AP330" i="7"/>
  <c r="BC359" i="7"/>
  <c r="BT359" i="7"/>
  <c r="BV359" i="7"/>
  <c r="BC234" i="7"/>
  <c r="BB234" i="7"/>
  <c r="BD234" i="7"/>
  <c r="BC273" i="7"/>
  <c r="BB14" i="7"/>
  <c r="BD14" i="7"/>
  <c r="BB330" i="7"/>
  <c r="BD330" i="7"/>
  <c r="BB367" i="7"/>
  <c r="BD367" i="7"/>
  <c r="BU359" i="7"/>
  <c r="BT373" i="7"/>
  <c r="BV373" i="7"/>
  <c r="BU373" i="7"/>
  <c r="BB359" i="7"/>
  <c r="BD359" i="7"/>
  <c r="BC349" i="7"/>
  <c r="BB349" i="7"/>
  <c r="BD349" i="7"/>
  <c r="BC14" i="7"/>
  <c r="BU275" i="7"/>
  <c r="BC275" i="7"/>
  <c r="BB275" i="7"/>
  <c r="BD275" i="7"/>
  <c r="BT275" i="7"/>
  <c r="BV275" i="7"/>
  <c r="BC197" i="7"/>
  <c r="BB197" i="7"/>
  <c r="BD197" i="7"/>
  <c r="BC379" i="7"/>
  <c r="BB379" i="7"/>
  <c r="BD379" i="7"/>
  <c r="BC367" i="7"/>
  <c r="BC26" i="7"/>
  <c r="BB26" i="7"/>
  <c r="BD26" i="7"/>
  <c r="BB41" i="7"/>
  <c r="BD41" i="7"/>
  <c r="BC41" i="7"/>
  <c r="BC330" i="7"/>
  <c r="BB273" i="7"/>
  <c r="BD273" i="7"/>
  <c r="BU194" i="7"/>
  <c r="AX249" i="7"/>
  <c r="BS391" i="7"/>
  <c r="BW391" i="7"/>
  <c r="BT194" i="7"/>
  <c r="BV194" i="7"/>
  <c r="BF226" i="7"/>
  <c r="BF194" i="7"/>
  <c r="BD391" i="7"/>
  <c r="BF391" i="7"/>
  <c r="AR234" i="7"/>
  <c r="BF239" i="7"/>
  <c r="BF396" i="7"/>
  <c r="AU234" i="7"/>
  <c r="BU362" i="7"/>
  <c r="BT362" i="7"/>
  <c r="BV362" i="7"/>
  <c r="BU200" i="7"/>
  <c r="BT200" i="7"/>
  <c r="BV200" i="7"/>
  <c r="BD373" i="7"/>
  <c r="BF373" i="7"/>
  <c r="BS349" i="7"/>
  <c r="BW349" i="7"/>
  <c r="BS197" i="7"/>
  <c r="BW197" i="7"/>
  <c r="BS14" i="7"/>
  <c r="BW14" i="7"/>
  <c r="AO396" i="7"/>
  <c r="T8" i="6"/>
  <c r="S9" i="6"/>
  <c r="Q10" i="6"/>
  <c r="R9" i="6"/>
  <c r="BS249" i="7"/>
  <c r="BW249" i="7"/>
  <c r="BS363" i="7"/>
  <c r="BW363" i="7"/>
  <c r="AR363" i="7"/>
  <c r="AX226" i="7"/>
  <c r="BS234" i="7"/>
  <c r="BW234" i="7"/>
  <c r="AT226" i="7"/>
  <c r="BS242" i="7"/>
  <c r="BW242" i="7"/>
  <c r="AR226" i="7"/>
  <c r="AX242" i="7"/>
  <c r="AQ293" i="7"/>
  <c r="AP293" i="7"/>
  <c r="AW192" i="7"/>
  <c r="AQ192" i="7"/>
  <c r="AX192" i="7"/>
  <c r="AX198" i="7"/>
  <c r="AV198" i="7"/>
  <c r="AR198" i="7"/>
  <c r="AQ198" i="7"/>
  <c r="AT198" i="7"/>
  <c r="AW198" i="7"/>
  <c r="AY198" i="7"/>
  <c r="AP198" i="7"/>
  <c r="AS198" i="7"/>
  <c r="AU198" i="7"/>
  <c r="AO198" i="7"/>
  <c r="AP331" i="7"/>
  <c r="AY331" i="7"/>
  <c r="AQ331" i="7"/>
  <c r="AR206" i="7"/>
  <c r="AP206" i="7"/>
  <c r="AT206" i="7"/>
  <c r="AT273" i="7"/>
  <c r="AP200" i="7"/>
  <c r="AQ200" i="7"/>
  <c r="AO200" i="7"/>
  <c r="AT200" i="7"/>
  <c r="AR230" i="7"/>
  <c r="AT230" i="7"/>
  <c r="AY330" i="7"/>
  <c r="AW330" i="7"/>
  <c r="AV330" i="7"/>
  <c r="AV253" i="7"/>
  <c r="AP253" i="7"/>
  <c r="AU253" i="7"/>
  <c r="AR253" i="7"/>
  <c r="AQ253" i="7"/>
  <c r="AX253" i="7"/>
  <c r="AS253" i="7"/>
  <c r="AO253" i="7"/>
  <c r="AT253" i="7"/>
  <c r="AY253" i="7"/>
  <c r="AW253" i="7"/>
  <c r="AT362" i="7"/>
  <c r="AO362" i="7"/>
  <c r="AU362" i="7"/>
  <c r="AW362" i="7"/>
  <c r="AS362" i="7"/>
  <c r="AV362" i="7"/>
  <c r="BS230" i="7"/>
  <c r="BW230" i="7"/>
  <c r="BS293" i="7"/>
  <c r="BW293" i="7"/>
  <c r="BS42" i="7"/>
  <c r="BW42" i="7"/>
  <c r="BS367" i="7"/>
  <c r="BW367" i="7"/>
  <c r="BS382" i="7"/>
  <c r="BW382" i="7"/>
  <c r="BS206" i="7"/>
  <c r="BW206" i="7"/>
  <c r="BS243" i="7"/>
  <c r="BW243" i="7"/>
  <c r="BS192" i="7"/>
  <c r="BW192" i="7"/>
  <c r="BS238" i="7"/>
  <c r="BW238" i="7"/>
  <c r="BS273" i="7"/>
  <c r="BW273" i="7"/>
  <c r="BS253" i="7"/>
  <c r="BW253" i="7"/>
  <c r="BS331" i="7"/>
  <c r="BW331" i="7"/>
  <c r="BS198" i="7"/>
  <c r="BW198" i="7"/>
  <c r="BS41" i="7"/>
  <c r="BW41" i="7"/>
  <c r="BS26" i="7"/>
  <c r="BW26" i="7"/>
  <c r="BX237" i="7"/>
  <c r="BY237" i="7" a="1"/>
  <c r="BS330" i="7"/>
  <c r="BW330" i="7"/>
  <c r="BS379" i="7"/>
  <c r="BW379" i="7"/>
  <c r="BG387" i="7" a="1"/>
  <c r="BG42" i="7" a="1"/>
  <c r="BG192" i="7" a="1"/>
  <c r="BG253" i="7" a="1"/>
  <c r="BG226" i="7" a="1"/>
  <c r="BG194" i="7" a="1"/>
  <c r="BG362" i="7" a="1"/>
  <c r="BG239" i="7" a="1"/>
  <c r="BG396" i="7" a="1"/>
  <c r="BG391" i="7" a="1"/>
  <c r="BG373" i="7" a="1"/>
  <c r="AP362" i="7"/>
  <c r="AX362" i="7"/>
  <c r="AY362" i="7"/>
  <c r="AV200" i="7"/>
  <c r="AX200" i="7"/>
  <c r="AW30" i="7"/>
  <c r="AU30" i="7"/>
  <c r="AR362" i="7"/>
  <c r="AW200" i="7"/>
  <c r="AR200" i="7"/>
  <c r="AS30" i="7"/>
  <c r="AS243" i="7"/>
  <c r="AP243" i="7"/>
  <c r="AO204" i="7"/>
  <c r="AY204" i="7"/>
  <c r="AT204" i="7"/>
  <c r="AV204" i="7"/>
  <c r="AW204" i="7"/>
  <c r="AR204" i="7"/>
  <c r="AQ204" i="7"/>
  <c r="AR382" i="7"/>
  <c r="AV30" i="7"/>
  <c r="AY30" i="7"/>
  <c r="AO30" i="7"/>
  <c r="AR30" i="7"/>
  <c r="AQ30" i="7"/>
  <c r="AQ382" i="7"/>
  <c r="AO382" i="7"/>
  <c r="AP382" i="7"/>
  <c r="AY359" i="7"/>
  <c r="AS192" i="7"/>
  <c r="AO192" i="7"/>
  <c r="AT192" i="7"/>
  <c r="AY249" i="7"/>
  <c r="AV382" i="7"/>
  <c r="AW382" i="7"/>
  <c r="AU382" i="7"/>
  <c r="AY200" i="7"/>
  <c r="AS200" i="7"/>
  <c r="AS42" i="7"/>
  <c r="AT359" i="7"/>
  <c r="AU192" i="7"/>
  <c r="AP192" i="7"/>
  <c r="AY192" i="7"/>
  <c r="AP204" i="7"/>
  <c r="AX204" i="7"/>
  <c r="AU204" i="7"/>
  <c r="AV239" i="7"/>
  <c r="AU239" i="7"/>
  <c r="AX363" i="7"/>
  <c r="BF30" i="7"/>
  <c r="AT249" i="7"/>
  <c r="BF237" i="7"/>
  <c r="AY382" i="7"/>
  <c r="AW363" i="7"/>
  <c r="AS382" i="7"/>
  <c r="AT382" i="7"/>
  <c r="AV359" i="7"/>
  <c r="AV192" i="7"/>
  <c r="AW239" i="7"/>
  <c r="AO239" i="7"/>
  <c r="AV363" i="7"/>
  <c r="AU363" i="7"/>
  <c r="AW242" i="7"/>
  <c r="AU242" i="7"/>
  <c r="AV379" i="7"/>
  <c r="AQ249" i="7"/>
  <c r="AW249" i="7"/>
  <c r="AR249" i="7"/>
  <c r="AW194" i="7"/>
  <c r="AO194" i="7"/>
  <c r="AY194" i="7"/>
  <c r="AO230" i="7"/>
  <c r="AY243" i="7"/>
  <c r="AU243" i="7"/>
  <c r="AO206" i="7"/>
  <c r="AV206" i="7"/>
  <c r="AT293" i="7"/>
  <c r="AS293" i="7"/>
  <c r="AR293" i="7"/>
  <c r="AP242" i="7"/>
  <c r="AR242" i="7"/>
  <c r="AV242" i="7"/>
  <c r="AO226" i="7"/>
  <c r="AU237" i="7"/>
  <c r="AR237" i="7"/>
  <c r="AV237" i="7"/>
  <c r="AV194" i="7"/>
  <c r="AS194" i="7"/>
  <c r="AV396" i="7"/>
  <c r="AP230" i="7"/>
  <c r="AT243" i="7"/>
  <c r="AP42" i="7"/>
  <c r="AY206" i="7"/>
  <c r="AS206" i="7"/>
  <c r="AQ206" i="7"/>
  <c r="AX359" i="7"/>
  <c r="AU293" i="7"/>
  <c r="AY293" i="7"/>
  <c r="AV293" i="7"/>
  <c r="AO242" i="7"/>
  <c r="AY242" i="7"/>
  <c r="AS242" i="7"/>
  <c r="AP239" i="7"/>
  <c r="AV226" i="7"/>
  <c r="AY237" i="7"/>
  <c r="AS226" i="7"/>
  <c r="AP226" i="7"/>
  <c r="AP363" i="7"/>
  <c r="AS363" i="7"/>
  <c r="AT363" i="7"/>
  <c r="AX194" i="7"/>
  <c r="AU194" i="7"/>
  <c r="AP396" i="7"/>
  <c r="AT194" i="7"/>
  <c r="AU249" i="7"/>
  <c r="BX30" i="7"/>
  <c r="BY30" i="7" a="1"/>
  <c r="CH30" i="7"/>
  <c r="AV230" i="7"/>
  <c r="AQ243" i="7"/>
  <c r="AV42" i="7"/>
  <c r="AW206" i="7"/>
  <c r="AU206" i="7"/>
  <c r="AO359" i="7"/>
  <c r="AU359" i="7"/>
  <c r="AO293" i="7"/>
  <c r="AW293" i="7"/>
  <c r="AT242" i="7"/>
  <c r="AW226" i="7"/>
  <c r="AT237" i="7"/>
  <c r="AY226" i="7"/>
  <c r="AS237" i="7"/>
  <c r="AQ226" i="7"/>
  <c r="AY363" i="7"/>
  <c r="AO363" i="7"/>
  <c r="AP194" i="7"/>
  <c r="AR194" i="7"/>
  <c r="AX396" i="7"/>
  <c r="AP249" i="7"/>
  <c r="AS249" i="7"/>
  <c r="AO249" i="7"/>
  <c r="AX238" i="7"/>
  <c r="AO238" i="7"/>
  <c r="AS238" i="7"/>
  <c r="AR238" i="7"/>
  <c r="AP238" i="7"/>
  <c r="AV238" i="7"/>
  <c r="AT238" i="7"/>
  <c r="AW238" i="7"/>
  <c r="AY238" i="7"/>
  <c r="AU238" i="7"/>
  <c r="AQ42" i="7"/>
  <c r="AY42" i="7"/>
  <c r="BX204" i="7"/>
  <c r="BY204" i="7" a="1"/>
  <c r="CD204" i="7"/>
  <c r="AT42" i="7"/>
  <c r="AR42" i="7"/>
  <c r="AW42" i="7"/>
  <c r="AS359" i="7"/>
  <c r="AQ359" i="7"/>
  <c r="AP359" i="7"/>
  <c r="AS239" i="7"/>
  <c r="AY239" i="7"/>
  <c r="AX239" i="7"/>
  <c r="AT239" i="7"/>
  <c r="AR239" i="7"/>
  <c r="BF382" i="7"/>
  <c r="AX42" i="7"/>
  <c r="AU42" i="7"/>
  <c r="AW359" i="7"/>
  <c r="BP387" i="7"/>
  <c r="BM387" i="7"/>
  <c r="BQ387" i="7"/>
  <c r="BI387" i="7"/>
  <c r="BJ387" i="7"/>
  <c r="BH387" i="7"/>
  <c r="BN387" i="7"/>
  <c r="BL387" i="7"/>
  <c r="BK387" i="7"/>
  <c r="BG387" i="7"/>
  <c r="BO387" i="7"/>
  <c r="BF238" i="7"/>
  <c r="BX226" i="7"/>
  <c r="BY226" i="7" a="1"/>
  <c r="BF230" i="7"/>
  <c r="AT331" i="7"/>
  <c r="AW331" i="7"/>
  <c r="AU331" i="7"/>
  <c r="BF363" i="7"/>
  <c r="AW230" i="7"/>
  <c r="AS230" i="7"/>
  <c r="AQ230" i="7"/>
  <c r="AW243" i="7"/>
  <c r="AO243" i="7"/>
  <c r="AX243" i="7"/>
  <c r="AW273" i="7"/>
  <c r="AO331" i="7"/>
  <c r="AR331" i="7"/>
  <c r="AX331" i="7"/>
  <c r="BF204" i="7"/>
  <c r="BG204" i="7" a="1"/>
  <c r="BI204" i="7"/>
  <c r="AX237" i="7"/>
  <c r="AO237" i="7"/>
  <c r="AQ396" i="7"/>
  <c r="AT396" i="7"/>
  <c r="BF249" i="7"/>
  <c r="BF206" i="7"/>
  <c r="AY230" i="7"/>
  <c r="AU230" i="7"/>
  <c r="AV243" i="7"/>
  <c r="AY273" i="7"/>
  <c r="AS331" i="7"/>
  <c r="BF200" i="7"/>
  <c r="AQ237" i="7"/>
  <c r="AW237" i="7"/>
  <c r="BF242" i="7"/>
  <c r="AU396" i="7"/>
  <c r="AS396" i="7"/>
  <c r="AR396" i="7"/>
  <c r="BX396" i="7"/>
  <c r="BY396" i="7" a="1"/>
  <c r="CA396" i="7"/>
  <c r="AW396" i="7"/>
  <c r="BF293" i="7"/>
  <c r="BF331" i="7"/>
  <c r="BF243" i="7"/>
  <c r="BX387" i="7"/>
  <c r="BF198" i="7"/>
  <c r="BF234" i="7"/>
  <c r="BT293" i="7"/>
  <c r="BV293" i="7"/>
  <c r="BT243" i="7"/>
  <c r="BV243" i="7"/>
  <c r="BU382" i="7"/>
  <c r="BU238" i="7"/>
  <c r="BT238" i="7"/>
  <c r="BV238" i="7"/>
  <c r="BX238" i="7"/>
  <c r="BY238" i="7" a="1"/>
  <c r="BU230" i="7"/>
  <c r="BT42" i="7"/>
  <c r="BV42" i="7"/>
  <c r="BU42" i="7"/>
  <c r="BU243" i="7"/>
  <c r="BT230" i="7"/>
  <c r="BV230" i="7"/>
  <c r="BU293" i="7"/>
  <c r="BT382" i="7"/>
  <c r="BV382" i="7"/>
  <c r="BU206" i="7"/>
  <c r="BT206" i="7"/>
  <c r="BV206" i="7"/>
  <c r="BU198" i="7"/>
  <c r="BT198" i="7"/>
  <c r="BV198" i="7"/>
  <c r="BU192" i="7"/>
  <c r="BT192" i="7"/>
  <c r="BV192" i="7"/>
  <c r="BX192" i="7"/>
  <c r="BU331" i="7"/>
  <c r="BT331" i="7"/>
  <c r="BV331" i="7"/>
  <c r="BT253" i="7"/>
  <c r="BV253" i="7"/>
  <c r="BU253" i="7"/>
  <c r="BI226" i="7"/>
  <c r="BT249" i="7"/>
  <c r="BV249" i="7"/>
  <c r="BU249" i="7"/>
  <c r="BL194" i="7"/>
  <c r="BM362" i="7"/>
  <c r="BT363" i="7"/>
  <c r="BV363" i="7"/>
  <c r="BU363" i="7"/>
  <c r="BP239" i="7"/>
  <c r="BT242" i="7"/>
  <c r="BV242" i="7"/>
  <c r="BU242" i="7"/>
  <c r="BP396" i="7"/>
  <c r="AR379" i="7"/>
  <c r="AX367" i="7"/>
  <c r="AQ367" i="7"/>
  <c r="AW379" i="7"/>
  <c r="AT41" i="7"/>
  <c r="AS197" i="7"/>
  <c r="AT197" i="7"/>
  <c r="AU349" i="7"/>
  <c r="AP349" i="7"/>
  <c r="AW197" i="7"/>
  <c r="BF330" i="7"/>
  <c r="AP197" i="7"/>
  <c r="AY197" i="7"/>
  <c r="AU197" i="7"/>
  <c r="AX273" i="7"/>
  <c r="AP273" i="7"/>
  <c r="AR349" i="7"/>
  <c r="AV349" i="7"/>
  <c r="AO197" i="7"/>
  <c r="AQ197" i="7"/>
  <c r="AR273" i="7"/>
  <c r="AU273" i="7"/>
  <c r="AQ273" i="7"/>
  <c r="AW349" i="7"/>
  <c r="AO349" i="7"/>
  <c r="AS349" i="7"/>
  <c r="BH239" i="7"/>
  <c r="AX197" i="7"/>
  <c r="AR197" i="7"/>
  <c r="AO273" i="7"/>
  <c r="AS273" i="7"/>
  <c r="AT349" i="7"/>
  <c r="AQ349" i="7"/>
  <c r="AQ14" i="7"/>
  <c r="D4" i="8"/>
  <c r="F4" i="8"/>
  <c r="C4" i="8"/>
  <c r="AS330" i="7"/>
  <c r="AT330" i="7"/>
  <c r="AR330" i="7"/>
  <c r="AS379" i="7"/>
  <c r="AX379" i="7"/>
  <c r="AT379" i="7"/>
  <c r="AS234" i="7"/>
  <c r="AP234" i="7"/>
  <c r="AV234" i="7"/>
  <c r="BF197" i="7"/>
  <c r="AO330" i="7"/>
  <c r="AX330" i="7"/>
  <c r="AO379" i="7"/>
  <c r="AP379" i="7"/>
  <c r="AT234" i="7"/>
  <c r="AW234" i="7"/>
  <c r="AU330" i="7"/>
  <c r="AQ330" i="7"/>
  <c r="AU379" i="7"/>
  <c r="AQ379" i="7"/>
  <c r="AQ234" i="7"/>
  <c r="AY234" i="7"/>
  <c r="AO234" i="7"/>
  <c r="AR367" i="7"/>
  <c r="AU367" i="7"/>
  <c r="AV367" i="7"/>
  <c r="AQ41" i="7"/>
  <c r="AT26" i="7"/>
  <c r="AS14" i="7"/>
  <c r="AT14" i="7"/>
  <c r="AO367" i="7"/>
  <c r="AS367" i="7"/>
  <c r="AY367" i="7"/>
  <c r="AP26" i="7"/>
  <c r="AW367" i="7"/>
  <c r="AP367" i="7"/>
  <c r="AR26" i="7"/>
  <c r="AX391" i="7"/>
  <c r="BH396" i="7"/>
  <c r="AO275" i="7"/>
  <c r="AQ391" i="7"/>
  <c r="BF26" i="7"/>
  <c r="BX359" i="7"/>
  <c r="BY359" i="7" a="1"/>
  <c r="CA359" i="7"/>
  <c r="AV391" i="7"/>
  <c r="BQ194" i="7"/>
  <c r="AW391" i="7"/>
  <c r="AT391" i="7"/>
  <c r="AX41" i="7"/>
  <c r="AW41" i="7"/>
  <c r="AU41" i="7"/>
  <c r="AO26" i="7"/>
  <c r="AV26" i="7"/>
  <c r="AU14" i="7"/>
  <c r="AP14" i="7"/>
  <c r="AR14" i="7"/>
  <c r="AP41" i="7"/>
  <c r="AR41" i="7"/>
  <c r="AV41" i="7"/>
  <c r="AP275" i="7"/>
  <c r="AY26" i="7"/>
  <c r="AS26" i="7"/>
  <c r="AQ26" i="7"/>
  <c r="AR391" i="7"/>
  <c r="AU391" i="7"/>
  <c r="AY391" i="7"/>
  <c r="AS373" i="7"/>
  <c r="AX14" i="7"/>
  <c r="AO14" i="7"/>
  <c r="AV14" i="7"/>
  <c r="BL396" i="7"/>
  <c r="AO41" i="7"/>
  <c r="AY41" i="7"/>
  <c r="AR275" i="7"/>
  <c r="AW26" i="7"/>
  <c r="AU26" i="7"/>
  <c r="AO391" i="7"/>
  <c r="AS391" i="7"/>
  <c r="AY14" i="7"/>
  <c r="AY349" i="7"/>
  <c r="AW373" i="7"/>
  <c r="AX373" i="7"/>
  <c r="AV373" i="7"/>
  <c r="AR373" i="7"/>
  <c r="AO373" i="7"/>
  <c r="AQ373" i="7"/>
  <c r="AP373" i="7"/>
  <c r="AT373" i="7"/>
  <c r="AU373" i="7"/>
  <c r="AS275" i="7"/>
  <c r="AV275" i="7"/>
  <c r="AU275" i="7"/>
  <c r="AY275" i="7"/>
  <c r="AQ275" i="7"/>
  <c r="AT275" i="7"/>
  <c r="AW275" i="7"/>
  <c r="BF275" i="7"/>
  <c r="BG275" i="7" a="1"/>
  <c r="BM275" i="7"/>
  <c r="BG226" i="7"/>
  <c r="BF379" i="7"/>
  <c r="BJ226" i="7"/>
  <c r="BF349" i="7"/>
  <c r="BX373" i="7"/>
  <c r="BY373" i="7" a="1"/>
  <c r="BY373" i="7"/>
  <c r="BF273" i="7"/>
  <c r="BO226" i="7"/>
  <c r="BF41" i="7"/>
  <c r="BG41" i="7" a="1"/>
  <c r="BF367" i="7"/>
  <c r="BX275" i="7"/>
  <c r="BY275" i="7" a="1"/>
  <c r="CD275" i="7"/>
  <c r="BH226" i="7"/>
  <c r="BL226" i="7"/>
  <c r="BP226" i="7"/>
  <c r="BT234" i="7"/>
  <c r="BV234" i="7"/>
  <c r="BF14" i="7"/>
  <c r="BT14" i="7"/>
  <c r="BV14" i="7"/>
  <c r="BU234" i="7"/>
  <c r="BT367" i="7"/>
  <c r="BV367" i="7"/>
  <c r="BT273" i="7"/>
  <c r="BV273" i="7"/>
  <c r="BF359" i="7"/>
  <c r="BG359" i="7" a="1"/>
  <c r="BP359" i="7"/>
  <c r="BT349" i="7"/>
  <c r="BV349" i="7"/>
  <c r="BU349" i="7"/>
  <c r="BU14" i="7"/>
  <c r="BT391" i="7"/>
  <c r="BU391" i="7"/>
  <c r="BT197" i="7"/>
  <c r="BV197" i="7"/>
  <c r="BU197" i="7"/>
  <c r="BT379" i="7"/>
  <c r="BV379" i="7"/>
  <c r="BU379" i="7"/>
  <c r="BU367" i="7"/>
  <c r="BT26" i="7"/>
  <c r="BV26" i="7"/>
  <c r="BU26" i="7"/>
  <c r="BT41" i="7"/>
  <c r="BV41" i="7"/>
  <c r="BU41" i="7"/>
  <c r="BT330" i="7"/>
  <c r="BV330" i="7"/>
  <c r="BU330" i="7"/>
  <c r="BU273" i="7"/>
  <c r="BI194" i="7"/>
  <c r="BM194" i="7"/>
  <c r="BP194" i="7"/>
  <c r="BO194" i="7"/>
  <c r="BN194" i="7"/>
  <c r="BH194" i="7"/>
  <c r="BG194" i="7"/>
  <c r="BX194" i="7"/>
  <c r="BY194" i="7" a="1"/>
  <c r="BJ194" i="7"/>
  <c r="BK194" i="7"/>
  <c r="BL239" i="7"/>
  <c r="BK226" i="7"/>
  <c r="BN226" i="7"/>
  <c r="BM226" i="7"/>
  <c r="BQ396" i="7"/>
  <c r="BJ396" i="7"/>
  <c r="BI396" i="7"/>
  <c r="BN239" i="7"/>
  <c r="BK396" i="7"/>
  <c r="BG396" i="7"/>
  <c r="BN396" i="7"/>
  <c r="BQ226" i="7"/>
  <c r="BO396" i="7"/>
  <c r="BM396" i="7"/>
  <c r="BL391" i="7"/>
  <c r="BQ391" i="7"/>
  <c r="BP391" i="7"/>
  <c r="BH391" i="7"/>
  <c r="BJ391" i="7"/>
  <c r="BN391" i="7"/>
  <c r="BG391" i="7"/>
  <c r="BQ239" i="7"/>
  <c r="BM239" i="7"/>
  <c r="BI391" i="7"/>
  <c r="BG239" i="7"/>
  <c r="BJ239" i="7"/>
  <c r="BX200" i="7"/>
  <c r="BY200" i="7" a="1"/>
  <c r="CA200" i="7"/>
  <c r="BX362" i="7"/>
  <c r="BY362" i="7" a="1"/>
  <c r="BZ362" i="7"/>
  <c r="BO391" i="7"/>
  <c r="BK239" i="7"/>
  <c r="BK391" i="7"/>
  <c r="BM391" i="7"/>
  <c r="BO239" i="7"/>
  <c r="BI239" i="7"/>
  <c r="BL373" i="7"/>
  <c r="BK373" i="7"/>
  <c r="BP373" i="7"/>
  <c r="BO373" i="7"/>
  <c r="BN373" i="7"/>
  <c r="BM373" i="7"/>
  <c r="BJ373" i="7"/>
  <c r="BG373" i="7"/>
  <c r="BQ373" i="7"/>
  <c r="BH373" i="7"/>
  <c r="BI373" i="7"/>
  <c r="R10" i="6"/>
  <c r="Q11" i="6"/>
  <c r="S10" i="6"/>
  <c r="T9" i="6"/>
  <c r="BN362" i="7"/>
  <c r="BH362" i="7"/>
  <c r="BI362" i="7"/>
  <c r="BG362" i="7"/>
  <c r="BO362" i="7"/>
  <c r="BP362" i="7"/>
  <c r="BK362" i="7"/>
  <c r="BJ362" i="7"/>
  <c r="BQ362" i="7"/>
  <c r="BL362" i="7"/>
  <c r="BK204" i="7"/>
  <c r="BN253" i="7"/>
  <c r="BJ253" i="7"/>
  <c r="BH253" i="7"/>
  <c r="BP253" i="7"/>
  <c r="BM253" i="7"/>
  <c r="BL253" i="7"/>
  <c r="BO253" i="7"/>
  <c r="BI253" i="7"/>
  <c r="BK253" i="7"/>
  <c r="BG253" i="7"/>
  <c r="BQ253" i="7"/>
  <c r="CI226" i="7"/>
  <c r="CD226" i="7"/>
  <c r="BY226" i="7"/>
  <c r="CE226" i="7"/>
  <c r="BZ226" i="7"/>
  <c r="CF226" i="7"/>
  <c r="CC226" i="7"/>
  <c r="CB226" i="7"/>
  <c r="CA226" i="7"/>
  <c r="CG226" i="7"/>
  <c r="CH226" i="7"/>
  <c r="CC204" i="7"/>
  <c r="BY387" i="7" a="1"/>
  <c r="BJ192" i="7"/>
  <c r="BP192" i="7"/>
  <c r="BI192" i="7"/>
  <c r="BN192" i="7"/>
  <c r="BH192" i="7"/>
  <c r="BM192" i="7"/>
  <c r="BK192" i="7"/>
  <c r="BG192" i="7"/>
  <c r="BL192" i="7"/>
  <c r="BQ192" i="7"/>
  <c r="BO192" i="7"/>
  <c r="BZ30" i="7"/>
  <c r="CF237" i="7"/>
  <c r="CB237" i="7"/>
  <c r="CH237" i="7"/>
  <c r="CC237" i="7"/>
  <c r="CD237" i="7"/>
  <c r="CI237" i="7"/>
  <c r="BY237" i="7"/>
  <c r="CA237" i="7"/>
  <c r="CE237" i="7"/>
  <c r="BZ237" i="7"/>
  <c r="CG237" i="7"/>
  <c r="CC396" i="7"/>
  <c r="BN42" i="7"/>
  <c r="BH42" i="7"/>
  <c r="BM42" i="7"/>
  <c r="BJ42" i="7"/>
  <c r="BP42" i="7"/>
  <c r="BI42" i="7"/>
  <c r="BL42" i="7"/>
  <c r="BO42" i="7"/>
  <c r="BQ42" i="7"/>
  <c r="BK42" i="7"/>
  <c r="BG42" i="7"/>
  <c r="CB239" i="7"/>
  <c r="CF239" i="7"/>
  <c r="CI239" i="7"/>
  <c r="CD239" i="7"/>
  <c r="BY239" i="7"/>
  <c r="CE239" i="7"/>
  <c r="CC239" i="7"/>
  <c r="BZ239" i="7"/>
  <c r="CH239" i="7"/>
  <c r="CA239" i="7"/>
  <c r="CG239" i="7"/>
  <c r="BX293" i="7"/>
  <c r="BY293" i="7" a="1"/>
  <c r="BG237" i="7" a="1"/>
  <c r="BG30" i="7" a="1"/>
  <c r="BG197" i="7" a="1"/>
  <c r="BG382" i="7" a="1"/>
  <c r="BG238" i="7" a="1"/>
  <c r="BG242" i="7" a="1"/>
  <c r="BG230" i="7" a="1"/>
  <c r="BG363" i="7" a="1"/>
  <c r="BG249" i="7" a="1"/>
  <c r="BG206" i="7" a="1"/>
  <c r="BG200" i="7" a="1"/>
  <c r="BG293" i="7" a="1"/>
  <c r="BG331" i="7" a="1"/>
  <c r="BG234" i="7" a="1"/>
  <c r="BG243" i="7" a="1"/>
  <c r="BG198" i="7" a="1"/>
  <c r="BG367" i="7" a="1"/>
  <c r="BG379" i="7" a="1"/>
  <c r="BG349" i="7" a="1"/>
  <c r="BG330" i="7" a="1"/>
  <c r="BG26" i="7" a="1"/>
  <c r="BG14" i="7" a="1"/>
  <c r="BG273" i="7" a="1"/>
  <c r="BX42" i="7"/>
  <c r="BY42" i="7" a="1"/>
  <c r="CI396" i="7"/>
  <c r="CG204" i="7"/>
  <c r="BZ204" i="7"/>
  <c r="BN204" i="7"/>
  <c r="CI204" i="7"/>
  <c r="BL204" i="7"/>
  <c r="CA204" i="7"/>
  <c r="CB204" i="7"/>
  <c r="CH204" i="7"/>
  <c r="BM204" i="7"/>
  <c r="BG204" i="7"/>
  <c r="CF204" i="7"/>
  <c r="BY204" i="7"/>
  <c r="BP204" i="7"/>
  <c r="CE204" i="7"/>
  <c r="BJ204" i="7"/>
  <c r="BO204" i="7"/>
  <c r="BH204" i="7"/>
  <c r="BQ204" i="7"/>
  <c r="CG30" i="7"/>
  <c r="CI30" i="7"/>
  <c r="CC30" i="7"/>
  <c r="BY30" i="7"/>
  <c r="CE30" i="7"/>
  <c r="CF30" i="7"/>
  <c r="CB30" i="7"/>
  <c r="CA30" i="7"/>
  <c r="CD30" i="7"/>
  <c r="BN30" i="7"/>
  <c r="BK30" i="7"/>
  <c r="BI30" i="7"/>
  <c r="BG30" i="7"/>
  <c r="BQ30" i="7"/>
  <c r="BL30" i="7"/>
  <c r="BH30" i="7"/>
  <c r="BO30" i="7"/>
  <c r="BM30" i="7"/>
  <c r="BP30" i="7"/>
  <c r="BJ30" i="7"/>
  <c r="BM237" i="7"/>
  <c r="BG237" i="7"/>
  <c r="BJ237" i="7"/>
  <c r="BL237" i="7"/>
  <c r="BN237" i="7"/>
  <c r="BI237" i="7"/>
  <c r="BO237" i="7"/>
  <c r="BQ237" i="7"/>
  <c r="BH237" i="7"/>
  <c r="BP237" i="7"/>
  <c r="BK237" i="7"/>
  <c r="BX363" i="7"/>
  <c r="BY363" i="7" a="1"/>
  <c r="CF363" i="7"/>
  <c r="BX206" i="7"/>
  <c r="BY206" i="7" a="1"/>
  <c r="CC206" i="7"/>
  <c r="BX242" i="7"/>
  <c r="BY242" i="7" a="1"/>
  <c r="CI242" i="7"/>
  <c r="BX253" i="7"/>
  <c r="BZ396" i="7"/>
  <c r="CB396" i="7"/>
  <c r="CH396" i="7"/>
  <c r="BX230" i="7"/>
  <c r="BY230" i="7" a="1"/>
  <c r="CD230" i="7"/>
  <c r="BY396" i="7"/>
  <c r="CK396" i="7"/>
  <c r="CE396" i="7"/>
  <c r="CG396" i="7"/>
  <c r="CD396" i="7"/>
  <c r="CF396" i="7"/>
  <c r="BX249" i="7"/>
  <c r="BY249" i="7" a="1"/>
  <c r="CE249" i="7"/>
  <c r="CK226" i="7"/>
  <c r="BL197" i="7"/>
  <c r="BG197" i="7"/>
  <c r="BO197" i="7"/>
  <c r="BI197" i="7"/>
  <c r="BJ197" i="7"/>
  <c r="BM197" i="7"/>
  <c r="BH197" i="7"/>
  <c r="BK197" i="7"/>
  <c r="BO382" i="7"/>
  <c r="BK382" i="7"/>
  <c r="BP382" i="7"/>
  <c r="BM382" i="7"/>
  <c r="BL382" i="7"/>
  <c r="BI382" i="7"/>
  <c r="BQ382" i="7"/>
  <c r="BJ382" i="7"/>
  <c r="BN382" i="7"/>
  <c r="BH382" i="7"/>
  <c r="BG382" i="7"/>
  <c r="BX243" i="7"/>
  <c r="BY243" i="7" a="1"/>
  <c r="CI243" i="7"/>
  <c r="BJ200" i="7"/>
  <c r="BN200" i="7"/>
  <c r="BP200" i="7"/>
  <c r="BH200" i="7"/>
  <c r="BG200" i="7"/>
  <c r="BQ200" i="7"/>
  <c r="BL200" i="7"/>
  <c r="BI200" i="7"/>
  <c r="BO200" i="7"/>
  <c r="BK200" i="7"/>
  <c r="BM200" i="7"/>
  <c r="BM206" i="7"/>
  <c r="BI206" i="7"/>
  <c r="BN206" i="7"/>
  <c r="BJ206" i="7"/>
  <c r="BG206" i="7"/>
  <c r="BH206" i="7"/>
  <c r="BO206" i="7"/>
  <c r="BK206" i="7"/>
  <c r="BP206" i="7"/>
  <c r="BQ206" i="7"/>
  <c r="BL206" i="7"/>
  <c r="BI249" i="7"/>
  <c r="BG249" i="7"/>
  <c r="BP249" i="7"/>
  <c r="BK249" i="7"/>
  <c r="BN249" i="7"/>
  <c r="BL249" i="7"/>
  <c r="BM249" i="7"/>
  <c r="BJ249" i="7"/>
  <c r="BO249" i="7"/>
  <c r="BQ249" i="7"/>
  <c r="BH249" i="7"/>
  <c r="BL363" i="7"/>
  <c r="BO363" i="7"/>
  <c r="BN363" i="7"/>
  <c r="BG363" i="7"/>
  <c r="BP363" i="7"/>
  <c r="BM363" i="7"/>
  <c r="BK363" i="7"/>
  <c r="BJ363" i="7"/>
  <c r="BQ363" i="7"/>
  <c r="BI363" i="7"/>
  <c r="BH363" i="7"/>
  <c r="BP230" i="7"/>
  <c r="BI230" i="7"/>
  <c r="BQ230" i="7"/>
  <c r="BM230" i="7"/>
  <c r="BK230" i="7"/>
  <c r="BO230" i="7"/>
  <c r="BJ230" i="7"/>
  <c r="BL230" i="7"/>
  <c r="BN230" i="7"/>
  <c r="BH230" i="7"/>
  <c r="BG230" i="7"/>
  <c r="BP242" i="7"/>
  <c r="BL242" i="7"/>
  <c r="BN242" i="7"/>
  <c r="BI242" i="7"/>
  <c r="BM242" i="7"/>
  <c r="BJ242" i="7"/>
  <c r="BK242" i="7"/>
  <c r="BQ242" i="7"/>
  <c r="BG242" i="7"/>
  <c r="BO242" i="7"/>
  <c r="BH242" i="7"/>
  <c r="BI238" i="7"/>
  <c r="BJ238" i="7"/>
  <c r="BQ238" i="7"/>
  <c r="BN238" i="7"/>
  <c r="BG238" i="7"/>
  <c r="BK238" i="7"/>
  <c r="BH238" i="7"/>
  <c r="BL238" i="7"/>
  <c r="BP238" i="7"/>
  <c r="BM238" i="7"/>
  <c r="BO238" i="7"/>
  <c r="BX331" i="7"/>
  <c r="BY331" i="7" a="1"/>
  <c r="CD331" i="7"/>
  <c r="BK359" i="7"/>
  <c r="BX14" i="7"/>
  <c r="BY14" i="7" a="1"/>
  <c r="CC14" i="7"/>
  <c r="BX198" i="7"/>
  <c r="BY198" i="7" a="1"/>
  <c r="BY198" i="7"/>
  <c r="BX382" i="7"/>
  <c r="BY382" i="7" a="1"/>
  <c r="CG382" i="7"/>
  <c r="BO293" i="7"/>
  <c r="BM293" i="7"/>
  <c r="BN293" i="7"/>
  <c r="BK293" i="7"/>
  <c r="BJ293" i="7"/>
  <c r="BI293" i="7"/>
  <c r="BG293" i="7"/>
  <c r="BH293" i="7"/>
  <c r="BP293" i="7"/>
  <c r="BQ293" i="7"/>
  <c r="BL293" i="7"/>
  <c r="BP198" i="7"/>
  <c r="BK198" i="7"/>
  <c r="BQ198" i="7"/>
  <c r="BN198" i="7"/>
  <c r="BG198" i="7"/>
  <c r="BO198" i="7"/>
  <c r="BI198" i="7"/>
  <c r="BL198" i="7"/>
  <c r="BM198" i="7"/>
  <c r="BJ198" i="7"/>
  <c r="BH198" i="7"/>
  <c r="BN243" i="7"/>
  <c r="BM243" i="7"/>
  <c r="BQ243" i="7"/>
  <c r="BG243" i="7"/>
  <c r="BH243" i="7"/>
  <c r="BL243" i="7"/>
  <c r="BI243" i="7"/>
  <c r="BO243" i="7"/>
  <c r="BK243" i="7"/>
  <c r="BP243" i="7"/>
  <c r="BJ243" i="7"/>
  <c r="BL234" i="7"/>
  <c r="BK234" i="7"/>
  <c r="BP234" i="7"/>
  <c r="BG234" i="7"/>
  <c r="BI234" i="7"/>
  <c r="BH234" i="7"/>
  <c r="BN234" i="7"/>
  <c r="BO234" i="7"/>
  <c r="BJ234" i="7"/>
  <c r="BQ234" i="7"/>
  <c r="BM234" i="7"/>
  <c r="BG331" i="7"/>
  <c r="BO331" i="7"/>
  <c r="BN331" i="7"/>
  <c r="BI331" i="7"/>
  <c r="BJ331" i="7"/>
  <c r="BQ331" i="7"/>
  <c r="BP331" i="7"/>
  <c r="BH331" i="7"/>
  <c r="BL331" i="7"/>
  <c r="BM331" i="7"/>
  <c r="BK331" i="7"/>
  <c r="BX330" i="7"/>
  <c r="BY330" i="7" a="1"/>
  <c r="CB330" i="7"/>
  <c r="BX26" i="7"/>
  <c r="BY26" i="7" a="1"/>
  <c r="CG26" i="7"/>
  <c r="CB359" i="7"/>
  <c r="CC359" i="7"/>
  <c r="BX234" i="7"/>
  <c r="BY234" i="7" a="1"/>
  <c r="CH234" i="7"/>
  <c r="BH379" i="7"/>
  <c r="BQ197" i="7"/>
  <c r="BN197" i="7"/>
  <c r="BP197" i="7"/>
  <c r="BJ330" i="7"/>
  <c r="BG330" i="7"/>
  <c r="BN330" i="7"/>
  <c r="BI330" i="7"/>
  <c r="BL330" i="7"/>
  <c r="BK330" i="7"/>
  <c r="BM330" i="7"/>
  <c r="BP330" i="7"/>
  <c r="BQ330" i="7"/>
  <c r="BH330" i="7"/>
  <c r="BO330" i="7"/>
  <c r="BY359" i="7"/>
  <c r="G4" i="8"/>
  <c r="J4" i="8"/>
  <c r="BX379" i="7"/>
  <c r="BY379" i="7" a="1"/>
  <c r="CB379" i="7"/>
  <c r="CH359" i="7"/>
  <c r="CF359" i="7"/>
  <c r="BG379" i="7"/>
  <c r="CD359" i="7"/>
  <c r="CI359" i="7"/>
  <c r="CG359" i="7"/>
  <c r="BI379" i="7"/>
  <c r="BZ359" i="7"/>
  <c r="CE359" i="7"/>
  <c r="BM26" i="7"/>
  <c r="BI26" i="7"/>
  <c r="BK26" i="7"/>
  <c r="BP26" i="7"/>
  <c r="BJ26" i="7"/>
  <c r="BL26" i="7"/>
  <c r="BG26" i="7"/>
  <c r="BN26" i="7"/>
  <c r="BQ26" i="7"/>
  <c r="BH26" i="7"/>
  <c r="BO26" i="7"/>
  <c r="BO379" i="7"/>
  <c r="BN379" i="7"/>
  <c r="BL379" i="7"/>
  <c r="BJ379" i="7"/>
  <c r="BK379" i="7"/>
  <c r="BP379" i="7"/>
  <c r="BM379" i="7"/>
  <c r="BQ379" i="7"/>
  <c r="BX349" i="7"/>
  <c r="BY349" i="7" a="1"/>
  <c r="CA349" i="7"/>
  <c r="CC373" i="7"/>
  <c r="CE373" i="7"/>
  <c r="CF373" i="7"/>
  <c r="CG373" i="7"/>
  <c r="CB373" i="7"/>
  <c r="CD373" i="7"/>
  <c r="CA373" i="7"/>
  <c r="CH373" i="7"/>
  <c r="CI373" i="7"/>
  <c r="BZ373" i="7"/>
  <c r="BX41" i="7"/>
  <c r="BY41" i="7" a="1"/>
  <c r="BX367" i="7"/>
  <c r="BY367" i="7" a="1"/>
  <c r="CA367" i="7"/>
  <c r="BJ359" i="7"/>
  <c r="BZ275" i="7"/>
  <c r="BJ275" i="7"/>
  <c r="BN275" i="7"/>
  <c r="CC275" i="7"/>
  <c r="BH275" i="7"/>
  <c r="BP275" i="7"/>
  <c r="CI275" i="7"/>
  <c r="BL275" i="7"/>
  <c r="BO275" i="7"/>
  <c r="BK275" i="7"/>
  <c r="BQ275" i="7"/>
  <c r="BG275" i="7"/>
  <c r="BI275" i="7"/>
  <c r="CG275" i="7"/>
  <c r="CE275" i="7"/>
  <c r="CB275" i="7"/>
  <c r="CA275" i="7"/>
  <c r="BY275" i="7"/>
  <c r="CF275" i="7"/>
  <c r="BX273" i="7"/>
  <c r="BY273" i="7" a="1"/>
  <c r="CH273" i="7"/>
  <c r="CH275" i="7"/>
  <c r="BG273" i="7"/>
  <c r="BM273" i="7"/>
  <c r="BN273" i="7"/>
  <c r="BI273" i="7"/>
  <c r="BO273" i="7"/>
  <c r="BQ273" i="7"/>
  <c r="BL273" i="7"/>
  <c r="BJ273" i="7"/>
  <c r="BK273" i="7"/>
  <c r="BP273" i="7"/>
  <c r="BH273" i="7"/>
  <c r="BP349" i="7"/>
  <c r="BI349" i="7"/>
  <c r="BK349" i="7"/>
  <c r="BN349" i="7"/>
  <c r="BG349" i="7"/>
  <c r="BH349" i="7"/>
  <c r="BJ349" i="7"/>
  <c r="BL349" i="7"/>
  <c r="BQ349" i="7"/>
  <c r="BM349" i="7"/>
  <c r="BO349" i="7"/>
  <c r="BP367" i="7"/>
  <c r="BJ367" i="7"/>
  <c r="BQ367" i="7"/>
  <c r="BM367" i="7"/>
  <c r="BH367" i="7"/>
  <c r="BG367" i="7"/>
  <c r="BL367" i="7"/>
  <c r="BK367" i="7"/>
  <c r="BI367" i="7"/>
  <c r="BO367" i="7"/>
  <c r="BN367" i="7"/>
  <c r="BN41" i="7"/>
  <c r="BM41" i="7"/>
  <c r="BH41" i="7"/>
  <c r="BI41" i="7"/>
  <c r="BK41" i="7"/>
  <c r="BL41" i="7"/>
  <c r="BO41" i="7"/>
  <c r="BG41" i="7"/>
  <c r="BP41" i="7"/>
  <c r="BQ41" i="7"/>
  <c r="BJ41" i="7"/>
  <c r="BN359" i="7"/>
  <c r="BX197" i="7"/>
  <c r="BY197" i="7" a="1"/>
  <c r="CB197" i="7"/>
  <c r="BH359" i="7"/>
  <c r="BG359" i="7"/>
  <c r="BM359" i="7"/>
  <c r="BJ14" i="7"/>
  <c r="BQ14" i="7"/>
  <c r="BO14" i="7"/>
  <c r="BK14" i="7"/>
  <c r="BP14" i="7"/>
  <c r="BH14" i="7"/>
  <c r="BI14" i="7"/>
  <c r="BG14" i="7"/>
  <c r="BM14" i="7"/>
  <c r="BL14" i="7"/>
  <c r="BN14" i="7"/>
  <c r="BQ359" i="7"/>
  <c r="BI359" i="7"/>
  <c r="BL359" i="7"/>
  <c r="BO359" i="7"/>
  <c r="BV391" i="7"/>
  <c r="BX391" i="7"/>
  <c r="BY391" i="7" a="1"/>
  <c r="CE200" i="7"/>
  <c r="CC200" i="7"/>
  <c r="CJ373" i="7"/>
  <c r="BZ200" i="7"/>
  <c r="CB200" i="7"/>
  <c r="CF362" i="7"/>
  <c r="CD200" i="7"/>
  <c r="CF200" i="7"/>
  <c r="CI362" i="7"/>
  <c r="CI200" i="7"/>
  <c r="CG200" i="7"/>
  <c r="CK237" i="7"/>
  <c r="BY200" i="7"/>
  <c r="CK200" i="7"/>
  <c r="CH200" i="7"/>
  <c r="CH362" i="7"/>
  <c r="CB362" i="7"/>
  <c r="CD362" i="7"/>
  <c r="CA362" i="7"/>
  <c r="CG362" i="7"/>
  <c r="CE362" i="7"/>
  <c r="CB234" i="7"/>
  <c r="CC362" i="7"/>
  <c r="BY362" i="7"/>
  <c r="CK362" i="7"/>
  <c r="CJ239" i="7"/>
  <c r="T10" i="6"/>
  <c r="CA242" i="7"/>
  <c r="CE242" i="7"/>
  <c r="BY242" i="7"/>
  <c r="CJ242" i="7"/>
  <c r="CB242" i="7"/>
  <c r="CG242" i="7"/>
  <c r="BZ242" i="7"/>
  <c r="S11" i="6"/>
  <c r="R11" i="6"/>
  <c r="Q12" i="6"/>
  <c r="CJ204" i="7"/>
  <c r="CK373" i="7"/>
  <c r="CK239" i="7"/>
  <c r="CJ237" i="7"/>
  <c r="CJ226" i="7"/>
  <c r="CJ30" i="7"/>
  <c r="BZ363" i="7"/>
  <c r="CF230" i="7"/>
  <c r="CI230" i="7"/>
  <c r="CE230" i="7"/>
  <c r="CH230" i="7"/>
  <c r="CA230" i="7"/>
  <c r="CG230" i="7"/>
  <c r="CJ359" i="7"/>
  <c r="CE293" i="7"/>
  <c r="BZ293" i="7"/>
  <c r="CF293" i="7"/>
  <c r="CA293" i="7"/>
  <c r="CG293" i="7"/>
  <c r="CB293" i="7"/>
  <c r="BY293" i="7"/>
  <c r="CK293" i="7"/>
  <c r="CI293" i="7"/>
  <c r="CH293" i="7"/>
  <c r="CC293" i="7"/>
  <c r="CD293" i="7"/>
  <c r="CH194" i="7"/>
  <c r="CC194" i="7"/>
  <c r="CE194" i="7"/>
  <c r="BZ194" i="7"/>
  <c r="CF194" i="7"/>
  <c r="CD194" i="7"/>
  <c r="CG194" i="7"/>
  <c r="CI194" i="7"/>
  <c r="BY194" i="7"/>
  <c r="CA194" i="7"/>
  <c r="CB194" i="7"/>
  <c r="BY192" i="7" a="1"/>
  <c r="BY253" i="7" a="1"/>
  <c r="CA238" i="7"/>
  <c r="CG238" i="7"/>
  <c r="CH238" i="7"/>
  <c r="CC238" i="7"/>
  <c r="CE238" i="7"/>
  <c r="BZ238" i="7"/>
  <c r="CI238" i="7"/>
  <c r="CD238" i="7"/>
  <c r="BY238" i="7"/>
  <c r="CB238" i="7"/>
  <c r="CF238" i="7"/>
  <c r="CH387" i="7"/>
  <c r="CC387" i="7"/>
  <c r="CI387" i="7"/>
  <c r="CD387" i="7"/>
  <c r="CA387" i="7"/>
  <c r="BY387" i="7"/>
  <c r="CB387" i="7"/>
  <c r="CE387" i="7"/>
  <c r="BZ387" i="7"/>
  <c r="CF387" i="7"/>
  <c r="CG387" i="7"/>
  <c r="CE42" i="7"/>
  <c r="BZ42" i="7"/>
  <c r="CG42" i="7"/>
  <c r="CD42" i="7"/>
  <c r="CA42" i="7"/>
  <c r="CB42" i="7"/>
  <c r="CH42" i="7"/>
  <c r="CC42" i="7"/>
  <c r="CF42" i="7"/>
  <c r="CI42" i="7"/>
  <c r="BY42" i="7"/>
  <c r="CK42" i="7"/>
  <c r="CI330" i="7"/>
  <c r="CC363" i="7"/>
  <c r="CA234" i="7"/>
  <c r="CB273" i="7"/>
  <c r="CC230" i="7"/>
  <c r="BY230" i="7"/>
  <c r="CB230" i="7"/>
  <c r="BY363" i="7"/>
  <c r="CJ363" i="7"/>
  <c r="CK204" i="7"/>
  <c r="CR204" i="7"/>
  <c r="CH330" i="7"/>
  <c r="CG330" i="7"/>
  <c r="CD330" i="7"/>
  <c r="CF330" i="7"/>
  <c r="CG273" i="7"/>
  <c r="BZ230" i="7"/>
  <c r="CH363" i="7"/>
  <c r="CD363" i="7"/>
  <c r="CD234" i="7"/>
  <c r="CH206" i="7"/>
  <c r="CA206" i="7"/>
  <c r="BZ206" i="7"/>
  <c r="BZ243" i="7"/>
  <c r="CF243" i="7"/>
  <c r="CC243" i="7"/>
  <c r="CB382" i="7"/>
  <c r="CA382" i="7"/>
  <c r="BY382" i="7"/>
  <c r="CJ382" i="7"/>
  <c r="CF382" i="7"/>
  <c r="CK30" i="7"/>
  <c r="CO30" i="7"/>
  <c r="BZ382" i="7"/>
  <c r="CH382" i="7"/>
  <c r="CE206" i="7"/>
  <c r="CD206" i="7"/>
  <c r="CB206" i="7"/>
  <c r="CG206" i="7"/>
  <c r="CI206" i="7"/>
  <c r="CF206" i="7"/>
  <c r="CD382" i="7"/>
  <c r="CC382" i="7"/>
  <c r="CE330" i="7"/>
  <c r="BZ330" i="7"/>
  <c r="CA330" i="7"/>
  <c r="BY331" i="7"/>
  <c r="CJ331" i="7"/>
  <c r="CG363" i="7"/>
  <c r="CB363" i="7"/>
  <c r="CI363" i="7"/>
  <c r="CJ396" i="7"/>
  <c r="CQ396" i="7"/>
  <c r="CE234" i="7"/>
  <c r="BY234" i="7"/>
  <c r="CK234" i="7"/>
  <c r="CI234" i="7"/>
  <c r="CK198" i="7"/>
  <c r="BY206" i="7"/>
  <c r="CE382" i="7"/>
  <c r="CI382" i="7"/>
  <c r="BY330" i="7"/>
  <c r="CK330" i="7"/>
  <c r="CC330" i="7"/>
  <c r="BY273" i="7"/>
  <c r="CA363" i="7"/>
  <c r="CE363" i="7"/>
  <c r="CG234" i="7"/>
  <c r="BZ234" i="7"/>
  <c r="CD242" i="7"/>
  <c r="CC242" i="7"/>
  <c r="CF242" i="7"/>
  <c r="CH242" i="7"/>
  <c r="CH249" i="7"/>
  <c r="CB249" i="7"/>
  <c r="BZ249" i="7"/>
  <c r="CD249" i="7"/>
  <c r="CC249" i="7"/>
  <c r="CB198" i="7"/>
  <c r="BZ198" i="7"/>
  <c r="CD198" i="7"/>
  <c r="CG198" i="7"/>
  <c r="CF198" i="7"/>
  <c r="CA198" i="7"/>
  <c r="CE198" i="7"/>
  <c r="CI198" i="7"/>
  <c r="CH198" i="7"/>
  <c r="CC198" i="7"/>
  <c r="BY26" i="7"/>
  <c r="CK26" i="7"/>
  <c r="CB26" i="7"/>
  <c r="CE243" i="7"/>
  <c r="BY243" i="7"/>
  <c r="CK243" i="7"/>
  <c r="CE26" i="7"/>
  <c r="CA14" i="7"/>
  <c r="CG243" i="7"/>
  <c r="CH243" i="7"/>
  <c r="CD243" i="7"/>
  <c r="CC26" i="7"/>
  <c r="CB14" i="7"/>
  <c r="CG249" i="7"/>
  <c r="CF249" i="7"/>
  <c r="CA243" i="7"/>
  <c r="CB243" i="7"/>
  <c r="CK230" i="7"/>
  <c r="BZ26" i="7"/>
  <c r="CA26" i="7"/>
  <c r="CI249" i="7"/>
  <c r="CA249" i="7"/>
  <c r="BY249" i="7"/>
  <c r="CJ249" i="7"/>
  <c r="CJ234" i="7"/>
  <c r="CH331" i="7"/>
  <c r="CG331" i="7"/>
  <c r="CC331" i="7"/>
  <c r="CI331" i="7"/>
  <c r="CA331" i="7"/>
  <c r="BZ331" i="7"/>
  <c r="CF331" i="7"/>
  <c r="CB331" i="7"/>
  <c r="CE331" i="7"/>
  <c r="CF234" i="7"/>
  <c r="CC234" i="7"/>
  <c r="CF14" i="7"/>
  <c r="CD14" i="7"/>
  <c r="CJ206" i="7"/>
  <c r="CD26" i="7"/>
  <c r="CH26" i="7"/>
  <c r="CF26" i="7"/>
  <c r="CG14" i="7"/>
  <c r="BY14" i="7"/>
  <c r="CK14" i="7"/>
  <c r="CE14" i="7"/>
  <c r="CH14" i="7"/>
  <c r="CI26" i="7"/>
  <c r="CI14" i="7"/>
  <c r="BZ14" i="7"/>
  <c r="BZ367" i="7"/>
  <c r="BY379" i="7"/>
  <c r="CK379" i="7"/>
  <c r="CH379" i="7"/>
  <c r="CA379" i="7"/>
  <c r="CF379" i="7"/>
  <c r="CI379" i="7"/>
  <c r="CE379" i="7"/>
  <c r="CD379" i="7"/>
  <c r="BZ379" i="7"/>
  <c r="CC379" i="7"/>
  <c r="CG379" i="7"/>
  <c r="CD273" i="7"/>
  <c r="BZ273" i="7"/>
  <c r="CA273" i="7"/>
  <c r="CI273" i="7"/>
  <c r="CC273" i="7"/>
  <c r="CF273" i="7"/>
  <c r="CJ275" i="7"/>
  <c r="CE273" i="7"/>
  <c r="CK359" i="7"/>
  <c r="CS359" i="7"/>
  <c r="I4" i="8"/>
  <c r="H4" i="8"/>
  <c r="CK273" i="7"/>
  <c r="CI367" i="7"/>
  <c r="CB367" i="7"/>
  <c r="CK275" i="7"/>
  <c r="CT275" i="7"/>
  <c r="CC367" i="7"/>
  <c r="BY367" i="7"/>
  <c r="CJ367" i="7"/>
  <c r="CE367" i="7"/>
  <c r="CI349" i="7"/>
  <c r="CH367" i="7"/>
  <c r="CG367" i="7"/>
  <c r="CF367" i="7"/>
  <c r="CH349" i="7"/>
  <c r="CD367" i="7"/>
  <c r="CF349" i="7"/>
  <c r="BZ349" i="7"/>
  <c r="CB349" i="7"/>
  <c r="BY349" i="7"/>
  <c r="CK349" i="7"/>
  <c r="CC349" i="7"/>
  <c r="CG349" i="7"/>
  <c r="CD349" i="7"/>
  <c r="CE349" i="7"/>
  <c r="BZ197" i="7"/>
  <c r="BY197" i="7"/>
  <c r="CK197" i="7"/>
  <c r="CI197" i="7"/>
  <c r="CG197" i="7"/>
  <c r="CE197" i="7"/>
  <c r="CC197" i="7"/>
  <c r="CD197" i="7"/>
  <c r="CF197" i="7"/>
  <c r="CH197" i="7"/>
  <c r="CA197" i="7"/>
  <c r="CD391" i="7"/>
  <c r="CB391" i="7"/>
  <c r="CI391" i="7"/>
  <c r="BY391" i="7"/>
  <c r="CC391" i="7"/>
  <c r="CF391" i="7"/>
  <c r="CE391" i="7"/>
  <c r="CA391" i="7"/>
  <c r="CH391" i="7"/>
  <c r="BZ391" i="7"/>
  <c r="CG391" i="7"/>
  <c r="CR373" i="7"/>
  <c r="CJ200" i="7"/>
  <c r="CJ362" i="7"/>
  <c r="CS239" i="7"/>
  <c r="CP239" i="7"/>
  <c r="CK242" i="7"/>
  <c r="CO242" i="7"/>
  <c r="CS237" i="7"/>
  <c r="CM226" i="7"/>
  <c r="CJ14" i="7"/>
  <c r="T11" i="6"/>
  <c r="CS204" i="7"/>
  <c r="CJ197" i="7"/>
  <c r="Q13" i="6"/>
  <c r="S12" i="6"/>
  <c r="R12" i="6"/>
  <c r="CP204" i="7"/>
  <c r="CJ230" i="7"/>
  <c r="CR230" i="7"/>
  <c r="CT237" i="7"/>
  <c r="CM237" i="7"/>
  <c r="CJ379" i="7"/>
  <c r="CJ273" i="7"/>
  <c r="CJ198" i="7"/>
  <c r="CP198" i="7"/>
  <c r="CS30" i="7"/>
  <c r="CR30" i="7"/>
  <c r="CO239" i="7"/>
  <c r="CM239" i="7"/>
  <c r="CN239" i="7"/>
  <c r="CR239" i="7"/>
  <c r="CO373" i="7"/>
  <c r="CQ373" i="7"/>
  <c r="CM373" i="7"/>
  <c r="CN373" i="7"/>
  <c r="CS373" i="7"/>
  <c r="CP373" i="7"/>
  <c r="CT373" i="7"/>
  <c r="CO237" i="7"/>
  <c r="CJ26" i="7"/>
  <c r="CR237" i="7"/>
  <c r="CN237" i="7"/>
  <c r="CP237" i="7"/>
  <c r="CP396" i="7"/>
  <c r="CQ237" i="7"/>
  <c r="CQ239" i="7"/>
  <c r="CT239" i="7"/>
  <c r="CN226" i="7"/>
  <c r="CS226" i="7"/>
  <c r="CJ42" i="7"/>
  <c r="CT226" i="7"/>
  <c r="CO226" i="7"/>
  <c r="CR226" i="7"/>
  <c r="CQ226" i="7"/>
  <c r="CJ243" i="7"/>
  <c r="CJ293" i="7"/>
  <c r="CP226" i="7"/>
  <c r="CK206" i="7"/>
  <c r="CJ387" i="7"/>
  <c r="CK387" i="7"/>
  <c r="CF253" i="7"/>
  <c r="CB253" i="7"/>
  <c r="CA253" i="7"/>
  <c r="CG253" i="7"/>
  <c r="CH253" i="7"/>
  <c r="CC253" i="7"/>
  <c r="BZ253" i="7"/>
  <c r="CI253" i="7"/>
  <c r="CD253" i="7"/>
  <c r="BY253" i="7"/>
  <c r="CE253" i="7"/>
  <c r="CE41" i="7"/>
  <c r="BZ41" i="7"/>
  <c r="CF41" i="7"/>
  <c r="CH41" i="7"/>
  <c r="CC41" i="7"/>
  <c r="CA41" i="7"/>
  <c r="CB41" i="7"/>
  <c r="CD41" i="7"/>
  <c r="CG41" i="7"/>
  <c r="CI41" i="7"/>
  <c r="BY41" i="7"/>
  <c r="CK194" i="7"/>
  <c r="CJ194" i="7"/>
  <c r="CK363" i="7"/>
  <c r="CJ238" i="7"/>
  <c r="CK238" i="7"/>
  <c r="CH192" i="7"/>
  <c r="CC192" i="7"/>
  <c r="CF192" i="7"/>
  <c r="CD192" i="7"/>
  <c r="CB192" i="7"/>
  <c r="CI192" i="7"/>
  <c r="BY192" i="7"/>
  <c r="CA192" i="7"/>
  <c r="CE192" i="7"/>
  <c r="BZ192" i="7"/>
  <c r="CG192" i="7"/>
  <c r="CJ330" i="7"/>
  <c r="CJ349" i="7"/>
  <c r="CP30" i="7"/>
  <c r="CM30" i="7"/>
  <c r="CT204" i="7"/>
  <c r="CW204" i="7"/>
  <c r="CT30" i="7"/>
  <c r="CW30" i="7"/>
  <c r="CM204" i="7"/>
  <c r="CQ204" i="7"/>
  <c r="CQ14" i="7"/>
  <c r="CK249" i="7"/>
  <c r="CS249" i="7"/>
  <c r="CN204" i="7"/>
  <c r="CQ30" i="7"/>
  <c r="CN30" i="7"/>
  <c r="CO204" i="7"/>
  <c r="CU204" i="7"/>
  <c r="CK382" i="7"/>
  <c r="CQ382" i="7"/>
  <c r="CO396" i="7"/>
  <c r="CM396" i="7"/>
  <c r="CS396" i="7"/>
  <c r="CK331" i="7"/>
  <c r="CO331" i="7"/>
  <c r="CR396" i="7"/>
  <c r="CN396" i="7"/>
  <c r="CT396" i="7"/>
  <c r="CR206" i="7"/>
  <c r="CL226" i="7"/>
  <c r="CQ359" i="7"/>
  <c r="CP359" i="7"/>
  <c r="CR359" i="7"/>
  <c r="CL237" i="7"/>
  <c r="CL204" i="7"/>
  <c r="CM359" i="7"/>
  <c r="CN359" i="7"/>
  <c r="CO359" i="7"/>
  <c r="CT359" i="7"/>
  <c r="CL239" i="7"/>
  <c r="CL396" i="7"/>
  <c r="CL30" i="7"/>
  <c r="CO379" i="7"/>
  <c r="CM200" i="7"/>
  <c r="CW239" i="7"/>
  <c r="CO275" i="7"/>
  <c r="CP275" i="7"/>
  <c r="CQ275" i="7"/>
  <c r="CR275" i="7"/>
  <c r="CV275" i="7"/>
  <c r="D5" i="8"/>
  <c r="C5" i="8"/>
  <c r="F5" i="8"/>
  <c r="CM275" i="7"/>
  <c r="CN275" i="7"/>
  <c r="CS275" i="7"/>
  <c r="CW275" i="7"/>
  <c r="CK367" i="7"/>
  <c r="CT367" i="7"/>
  <c r="CV373" i="7"/>
  <c r="CK391" i="7"/>
  <c r="CJ391" i="7"/>
  <c r="CO200" i="7"/>
  <c r="CR200" i="7"/>
  <c r="CN200" i="7"/>
  <c r="CQ200" i="7"/>
  <c r="CP200" i="7"/>
  <c r="CM242" i="7"/>
  <c r="CT200" i="7"/>
  <c r="CS200" i="7"/>
  <c r="CL373" i="7"/>
  <c r="CM234" i="7"/>
  <c r="CQ234" i="7"/>
  <c r="CO234" i="7"/>
  <c r="CP234" i="7"/>
  <c r="CS234" i="7"/>
  <c r="CN234" i="7"/>
  <c r="CT234" i="7"/>
  <c r="CR234" i="7"/>
  <c r="CO14" i="7"/>
  <c r="CP362" i="7"/>
  <c r="CM362" i="7"/>
  <c r="CN362" i="7"/>
  <c r="CL362" i="7"/>
  <c r="CT362" i="7"/>
  <c r="CO362" i="7"/>
  <c r="CU362" i="7"/>
  <c r="CQ362" i="7"/>
  <c r="CR362" i="7"/>
  <c r="CS362" i="7"/>
  <c r="CU239" i="7"/>
  <c r="CP242" i="7"/>
  <c r="CU242" i="7"/>
  <c r="CN242" i="7"/>
  <c r="CW237" i="7"/>
  <c r="CR242" i="7"/>
  <c r="CT242" i="7"/>
  <c r="CN14" i="7"/>
  <c r="CS242" i="7"/>
  <c r="CQ242" i="7"/>
  <c r="CW359" i="7"/>
  <c r="CM249" i="7"/>
  <c r="CM379" i="7"/>
  <c r="CM14" i="7"/>
  <c r="CP14" i="7"/>
  <c r="CR14" i="7"/>
  <c r="CV30" i="7"/>
  <c r="CT14" i="7"/>
  <c r="CT382" i="7"/>
  <c r="CP379" i="7"/>
  <c r="CP230" i="7"/>
  <c r="CO230" i="7"/>
  <c r="CM230" i="7"/>
  <c r="CN379" i="7"/>
  <c r="CS379" i="7"/>
  <c r="CN230" i="7"/>
  <c r="CQ379" i="7"/>
  <c r="CP273" i="7"/>
  <c r="CS14" i="7"/>
  <c r="CT330" i="7"/>
  <c r="CS293" i="7"/>
  <c r="CT243" i="7"/>
  <c r="CR26" i="7"/>
  <c r="CT198" i="7"/>
  <c r="CT379" i="7"/>
  <c r="CS230" i="7"/>
  <c r="CR42" i="7"/>
  <c r="CR197" i="7"/>
  <c r="CS197" i="7"/>
  <c r="CM197" i="7"/>
  <c r="CQ197" i="7"/>
  <c r="CN197" i="7"/>
  <c r="CT197" i="7"/>
  <c r="CO197" i="7"/>
  <c r="CP197" i="7"/>
  <c r="CN198" i="7"/>
  <c r="CR379" i="7"/>
  <c r="CT230" i="7"/>
  <c r="CQ230" i="7"/>
  <c r="CV230" i="7"/>
  <c r="R13" i="6"/>
  <c r="CP243" i="7"/>
  <c r="T12" i="6"/>
  <c r="Q14" i="6"/>
  <c r="S13" i="6"/>
  <c r="CV204" i="7"/>
  <c r="CS382" i="7"/>
  <c r="CP382" i="7"/>
  <c r="CR382" i="7"/>
  <c r="CV382" i="7"/>
  <c r="CO382" i="7"/>
  <c r="CN382" i="7"/>
  <c r="CM382" i="7"/>
  <c r="CT273" i="7"/>
  <c r="CO273" i="7"/>
  <c r="CM273" i="7"/>
  <c r="CS273" i="7"/>
  <c r="CR273" i="7"/>
  <c r="CN273" i="7"/>
  <c r="CQ273" i="7"/>
  <c r="CW373" i="7"/>
  <c r="CP293" i="7"/>
  <c r="CT293" i="7"/>
  <c r="CV239" i="7"/>
  <c r="CU373" i="7"/>
  <c r="CU30" i="7"/>
  <c r="CS198" i="7"/>
  <c r="CQ198" i="7"/>
  <c r="CM198" i="7"/>
  <c r="CO198" i="7"/>
  <c r="CU198" i="7"/>
  <c r="CR198" i="7"/>
  <c r="CQ293" i="7"/>
  <c r="CO26" i="7"/>
  <c r="CT26" i="7"/>
  <c r="CP330" i="7"/>
  <c r="CS26" i="7"/>
  <c r="CN293" i="7"/>
  <c r="CQ42" i="7"/>
  <c r="CP42" i="7"/>
  <c r="CS42" i="7"/>
  <c r="CN26" i="7"/>
  <c r="CQ26" i="7"/>
  <c r="CR293" i="7"/>
  <c r="CM293" i="7"/>
  <c r="CU226" i="7"/>
  <c r="CU237" i="7"/>
  <c r="CN42" i="7"/>
  <c r="CM26" i="7"/>
  <c r="CO293" i="7"/>
  <c r="CP26" i="7"/>
  <c r="CV237" i="7"/>
  <c r="CV226" i="7"/>
  <c r="CU396" i="7"/>
  <c r="CN243" i="7"/>
  <c r="CS243" i="7"/>
  <c r="CQ243" i="7"/>
  <c r="CO243" i="7"/>
  <c r="CM243" i="7"/>
  <c r="CM331" i="7"/>
  <c r="CV396" i="7"/>
  <c r="CW226" i="7"/>
  <c r="CR243" i="7"/>
  <c r="CO206" i="7"/>
  <c r="CM42" i="7"/>
  <c r="CO42" i="7"/>
  <c r="CN330" i="7"/>
  <c r="CT42" i="7"/>
  <c r="CP206" i="7"/>
  <c r="CS330" i="7"/>
  <c r="CQ330" i="7"/>
  <c r="CQ206" i="7"/>
  <c r="CV206" i="7"/>
  <c r="CN206" i="7"/>
  <c r="CO330" i="7"/>
  <c r="CS206" i="7"/>
  <c r="CT206" i="7"/>
  <c r="CM363" i="7"/>
  <c r="CM330" i="7"/>
  <c r="CR330" i="7"/>
  <c r="CM206" i="7"/>
  <c r="CK41" i="7"/>
  <c r="CJ41" i="7"/>
  <c r="CK253" i="7"/>
  <c r="CJ253" i="7"/>
  <c r="CM349" i="7"/>
  <c r="CR363" i="7"/>
  <c r="CT363" i="7"/>
  <c r="CS363" i="7"/>
  <c r="CN363" i="7"/>
  <c r="CQ363" i="7"/>
  <c r="CP363" i="7"/>
  <c r="CO363" i="7"/>
  <c r="CT349" i="7"/>
  <c r="CQ349" i="7"/>
  <c r="CR349" i="7"/>
  <c r="CP349" i="7"/>
  <c r="CS349" i="7"/>
  <c r="CN349" i="7"/>
  <c r="CO349" i="7"/>
  <c r="CR194" i="7"/>
  <c r="CQ194" i="7"/>
  <c r="CO194" i="7"/>
  <c r="CT194" i="7"/>
  <c r="CN194" i="7"/>
  <c r="CM194" i="7"/>
  <c r="CP194" i="7"/>
  <c r="CS194" i="7"/>
  <c r="CJ192" i="7"/>
  <c r="CK192" i="7"/>
  <c r="CO238" i="7"/>
  <c r="CM238" i="7"/>
  <c r="CS238" i="7"/>
  <c r="CQ238" i="7"/>
  <c r="CR238" i="7"/>
  <c r="CT238" i="7"/>
  <c r="CN238" i="7"/>
  <c r="CP238" i="7"/>
  <c r="CO387" i="7"/>
  <c r="CP387" i="7"/>
  <c r="CS387" i="7"/>
  <c r="CT387" i="7"/>
  <c r="CQ387" i="7"/>
  <c r="CR387" i="7"/>
  <c r="CN387" i="7"/>
  <c r="CM387" i="7"/>
  <c r="CU379" i="7"/>
  <c r="CT249" i="7"/>
  <c r="CW249" i="7"/>
  <c r="CW396" i="7"/>
  <c r="CR249" i="7"/>
  <c r="CQ249" i="7"/>
  <c r="CV249" i="7"/>
  <c r="CV14" i="7"/>
  <c r="CO249" i="7"/>
  <c r="CP249" i="7"/>
  <c r="CU249" i="7"/>
  <c r="CN249" i="7"/>
  <c r="CR331" i="7"/>
  <c r="CS331" i="7"/>
  <c r="CP331" i="7"/>
  <c r="CU331" i="7"/>
  <c r="CT331" i="7"/>
  <c r="CN331" i="7"/>
  <c r="CQ331" i="7"/>
  <c r="CV331" i="7"/>
  <c r="CL230" i="7"/>
  <c r="CL359" i="7"/>
  <c r="CV359" i="7"/>
  <c r="CL379" i="7"/>
  <c r="CU234" i="7"/>
  <c r="CU359" i="7"/>
  <c r="CL238" i="7"/>
  <c r="CL331" i="7"/>
  <c r="CL198" i="7"/>
  <c r="CL249" i="7"/>
  <c r="CL382" i="7"/>
  <c r="CL194" i="7"/>
  <c r="CL42" i="7"/>
  <c r="CU275" i="7"/>
  <c r="CL243" i="7"/>
  <c r="CU200" i="7"/>
  <c r="CL200" i="7"/>
  <c r="CL363" i="7"/>
  <c r="CL293" i="7"/>
  <c r="CL387" i="7"/>
  <c r="CL206" i="7"/>
  <c r="CL242" i="7"/>
  <c r="CL275" i="7"/>
  <c r="CS367" i="7"/>
  <c r="CW367" i="7"/>
  <c r="CM367" i="7"/>
  <c r="CQ367" i="7"/>
  <c r="CP367" i="7"/>
  <c r="CO367" i="7"/>
  <c r="CR367" i="7"/>
  <c r="CN367" i="7"/>
  <c r="G5" i="8"/>
  <c r="J5" i="8"/>
  <c r="CW200" i="7"/>
  <c r="CV200" i="7"/>
  <c r="CV242" i="7"/>
  <c r="CQ391" i="7"/>
  <c r="CO391" i="7"/>
  <c r="CV362" i="7"/>
  <c r="CP391" i="7"/>
  <c r="CR391" i="7"/>
  <c r="CS391" i="7"/>
  <c r="CN391" i="7"/>
  <c r="CM391" i="7"/>
  <c r="CT391" i="7"/>
  <c r="CV234" i="7"/>
  <c r="CW362" i="7"/>
  <c r="CL197" i="7"/>
  <c r="CL349" i="7"/>
  <c r="CL273" i="7"/>
  <c r="CL14" i="7"/>
  <c r="CW234" i="7"/>
  <c r="CL234" i="7"/>
  <c r="CL26" i="7"/>
  <c r="CU14" i="7"/>
  <c r="CL330" i="7"/>
  <c r="CW242" i="7"/>
  <c r="CW198" i="7"/>
  <c r="CW382" i="7"/>
  <c r="CV197" i="7"/>
  <c r="CW379" i="7"/>
  <c r="CW230" i="7"/>
  <c r="CV379" i="7"/>
  <c r="CW197" i="7"/>
  <c r="CV26" i="7"/>
  <c r="CU26" i="7"/>
  <c r="CW14" i="7"/>
  <c r="CU230" i="7"/>
  <c r="CW330" i="7"/>
  <c r="CU42" i="7"/>
  <c r="CU243" i="7"/>
  <c r="CW243" i="7"/>
  <c r="CV42" i="7"/>
  <c r="CW293" i="7"/>
  <c r="CU273" i="7"/>
  <c r="CU197" i="7"/>
  <c r="T13" i="6"/>
  <c r="CW349" i="7"/>
  <c r="CW26" i="7"/>
  <c r="R14" i="6"/>
  <c r="S14" i="6"/>
  <c r="Q15" i="6"/>
  <c r="CV243" i="7"/>
  <c r="CV363" i="7"/>
  <c r="CU293" i="7"/>
  <c r="CW42" i="7"/>
  <c r="CU382" i="7"/>
  <c r="CW194" i="7"/>
  <c r="CV293" i="7"/>
  <c r="CW273" i="7"/>
  <c r="CV273" i="7"/>
  <c r="CV198" i="7"/>
  <c r="CU330" i="7"/>
  <c r="CU206" i="7"/>
  <c r="CW206" i="7"/>
  <c r="CV330" i="7"/>
  <c r="CU349" i="7"/>
  <c r="CV238" i="7"/>
  <c r="CS192" i="7"/>
  <c r="CV194" i="7"/>
  <c r="CN253" i="7"/>
  <c r="CQ253" i="7"/>
  <c r="CP253" i="7"/>
  <c r="CR253" i="7"/>
  <c r="CS253" i="7"/>
  <c r="CM253" i="7"/>
  <c r="CT253" i="7"/>
  <c r="CO253" i="7"/>
  <c r="CV387" i="7"/>
  <c r="CU387" i="7"/>
  <c r="CU238" i="7"/>
  <c r="CU194" i="7"/>
  <c r="CV349" i="7"/>
  <c r="CM41" i="7"/>
  <c r="CS41" i="7"/>
  <c r="CT41" i="7"/>
  <c r="CO41" i="7"/>
  <c r="CN41" i="7"/>
  <c r="CR41" i="7"/>
  <c r="CQ41" i="7"/>
  <c r="CW387" i="7"/>
  <c r="CW238" i="7"/>
  <c r="CM192" i="7"/>
  <c r="CR192" i="7"/>
  <c r="CN192" i="7"/>
  <c r="CO192" i="7"/>
  <c r="CT192" i="7"/>
  <c r="CW192" i="7"/>
  <c r="CQ192" i="7"/>
  <c r="CP192" i="7"/>
  <c r="CU363" i="7"/>
  <c r="CW363" i="7"/>
  <c r="CP41" i="7"/>
  <c r="CW331" i="7"/>
  <c r="CV391" i="7"/>
  <c r="CL367" i="7"/>
  <c r="CL253" i="7"/>
  <c r="CL391" i="7"/>
  <c r="CV367" i="7"/>
  <c r="CL192" i="7"/>
  <c r="CU367" i="7"/>
  <c r="I5" i="8"/>
  <c r="H5" i="8"/>
  <c r="CU391" i="7"/>
  <c r="CW391" i="7"/>
  <c r="CL41" i="7"/>
  <c r="CV192" i="7"/>
  <c r="T14" i="6"/>
  <c r="R15" i="6"/>
  <c r="S15" i="6"/>
  <c r="Q16" i="6"/>
  <c r="CV41" i="7"/>
  <c r="CU253" i="7"/>
  <c r="CU192" i="7"/>
  <c r="CW41" i="7"/>
  <c r="CV253" i="7"/>
  <c r="CU41" i="7"/>
  <c r="CW253" i="7"/>
  <c r="D6" i="8"/>
  <c r="C6" i="8"/>
  <c r="F6" i="8"/>
  <c r="R16" i="6"/>
  <c r="Q17" i="6"/>
  <c r="S16" i="6"/>
  <c r="T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20" i="7"/>
  <c r="D67" i="4"/>
  <c r="AI320" i="7"/>
  <c r="D68" i="4"/>
  <c r="BA320" i="7"/>
  <c r="D69" i="4"/>
  <c r="BS320" i="7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G6" i="8"/>
  <c r="J6" i="8"/>
  <c r="BU320" i="7"/>
  <c r="BT320" i="7"/>
  <c r="BC320" i="7"/>
  <c r="BB320" i="7"/>
  <c r="BD320" i="7"/>
  <c r="AK320" i="7"/>
  <c r="AJ320" i="7"/>
  <c r="AL320" i="7"/>
  <c r="S320" i="7"/>
  <c r="R320" i="7"/>
  <c r="T320" i="7"/>
  <c r="T16" i="6"/>
  <c r="R17" i="6"/>
  <c r="S17" i="6"/>
  <c r="Q18" i="6"/>
  <c r="BA258" i="7"/>
  <c r="BA13" i="7"/>
  <c r="BA24" i="7"/>
  <c r="BA147" i="7"/>
  <c r="BA161" i="7"/>
  <c r="BA221" i="7"/>
  <c r="BA134" i="7"/>
  <c r="BA341" i="7"/>
  <c r="BA149" i="7"/>
  <c r="BA171" i="7"/>
  <c r="BA130" i="7"/>
  <c r="BA168" i="7"/>
  <c r="BA286" i="7"/>
  <c r="BA282" i="7"/>
  <c r="BA137" i="7"/>
  <c r="BA217" i="7"/>
  <c r="BA176" i="7"/>
  <c r="BA18" i="7"/>
  <c r="BA129" i="7"/>
  <c r="BA178" i="7"/>
  <c r="BA225" i="7"/>
  <c r="BA126" i="7"/>
  <c r="BA148" i="7"/>
  <c r="BA271" i="7"/>
  <c r="BA222" i="7"/>
  <c r="BA164" i="7"/>
  <c r="BA173" i="7"/>
  <c r="BA144" i="7"/>
  <c r="BA212" i="7"/>
  <c r="BA153" i="7"/>
  <c r="BA135" i="7"/>
  <c r="BA138" i="7"/>
  <c r="BA140" i="7"/>
  <c r="BA150" i="7"/>
  <c r="BA177" i="7"/>
  <c r="BA125" i="7"/>
  <c r="BA316" i="7"/>
  <c r="BA214" i="7"/>
  <c r="BA141" i="7"/>
  <c r="BA219" i="7"/>
  <c r="BA261" i="7"/>
  <c r="BA3" i="7"/>
  <c r="BA223" i="7"/>
  <c r="BA166" i="7"/>
  <c r="BA72" i="7"/>
  <c r="BA269" i="7"/>
  <c r="BA187" i="7"/>
  <c r="BA262" i="7"/>
  <c r="BA394" i="7"/>
  <c r="BA188" i="7"/>
  <c r="BA378" i="7"/>
  <c r="BA240" i="7"/>
  <c r="BA23" i="7"/>
  <c r="BA313" i="7"/>
  <c r="BA121" i="7"/>
  <c r="BA322" i="7"/>
  <c r="BA301" i="7"/>
  <c r="BA189" i="7"/>
  <c r="BA4" i="7"/>
  <c r="BA116" i="7"/>
  <c r="BA128" i="7"/>
  <c r="BA345" i="7"/>
  <c r="BA7" i="7"/>
  <c r="BA299" i="7"/>
  <c r="BA319" i="7"/>
  <c r="BA393" i="7"/>
  <c r="BA339" i="7"/>
  <c r="BA124" i="7"/>
  <c r="BA17" i="7"/>
  <c r="BA117" i="7"/>
  <c r="BA66" i="7"/>
  <c r="BA181" i="7"/>
  <c r="BA287" i="7"/>
  <c r="BA267" i="7"/>
  <c r="BA112" i="7"/>
  <c r="BA12" i="7"/>
  <c r="BA6" i="7"/>
  <c r="BA190" i="7"/>
  <c r="BA306" i="7"/>
  <c r="BA300" i="7"/>
  <c r="BA123" i="7"/>
  <c r="BA120" i="7"/>
  <c r="BA335" i="7"/>
  <c r="BA247" i="7"/>
  <c r="BA182" i="7"/>
  <c r="BA279" i="7"/>
  <c r="BA122" i="7"/>
  <c r="BA113" i="7"/>
  <c r="BA172" i="7"/>
  <c r="BA317" i="7"/>
  <c r="BA25" i="7"/>
  <c r="BA201" i="7"/>
  <c r="BA338" i="7"/>
  <c r="BA132" i="7"/>
  <c r="BA158" i="7"/>
  <c r="BA390" i="7"/>
  <c r="BA210" i="7"/>
  <c r="BA283" i="7"/>
  <c r="BA268" i="7"/>
  <c r="BA325" i="7"/>
  <c r="BA315" i="7"/>
  <c r="BA360" i="7"/>
  <c r="BA154" i="7"/>
  <c r="BA103" i="7"/>
  <c r="BA152" i="7"/>
  <c r="BA353" i="7"/>
  <c r="BA215" i="7"/>
  <c r="BA139" i="7"/>
  <c r="BA355" i="7"/>
  <c r="BA347" i="7"/>
  <c r="BA47" i="7"/>
  <c r="BA224" i="7"/>
  <c r="BA352" i="7"/>
  <c r="BA81" i="7"/>
  <c r="BA344" i="7"/>
  <c r="BA292" i="7"/>
  <c r="BA185" i="7"/>
  <c r="BA37" i="7"/>
  <c r="BA357" i="7"/>
  <c r="BA259" i="7"/>
  <c r="BA307" i="7"/>
  <c r="U320" i="7"/>
  <c r="Q389" i="7"/>
  <c r="Q326" i="7"/>
  <c r="Q329" i="7"/>
  <c r="Q216" i="7"/>
  <c r="Q291" i="7"/>
  <c r="Q361" i="7"/>
  <c r="Q16" i="7"/>
  <c r="Q218" i="7"/>
  <c r="Q265" i="7"/>
  <c r="Q289" i="7"/>
  <c r="Q38" i="7"/>
  <c r="Q196" i="7"/>
  <c r="Q19" i="7"/>
  <c r="Q98" i="7"/>
  <c r="Q9" i="7"/>
  <c r="Q111" i="7"/>
  <c r="Q270" i="7"/>
  <c r="Q202" i="7"/>
  <c r="Q184" i="7"/>
  <c r="Q251" i="7"/>
  <c r="Q40" i="7"/>
  <c r="Q142" i="7"/>
  <c r="Q45" i="7"/>
  <c r="Q290" i="7"/>
  <c r="Q220" i="7"/>
  <c r="Q69" i="7"/>
  <c r="Q175" i="7"/>
  <c r="Q350" i="7"/>
  <c r="Q356" i="7"/>
  <c r="Q119" i="7"/>
  <c r="Q68" i="7"/>
  <c r="Q143" i="7"/>
  <c r="Q323" i="7"/>
  <c r="Q358" i="7"/>
  <c r="Q255" i="7"/>
  <c r="Q252" i="7"/>
  <c r="Q35" i="7"/>
  <c r="Q114" i="7"/>
  <c r="Q10" i="7"/>
  <c r="Q314" i="7"/>
  <c r="Q167" i="7"/>
  <c r="Q254" i="7"/>
  <c r="Q99" i="7"/>
  <c r="Q28" i="7"/>
  <c r="Q183" i="7"/>
  <c r="Q298" i="7"/>
  <c r="Q165" i="7"/>
  <c r="Q297" i="7"/>
  <c r="Q381" i="7"/>
  <c r="Q310" i="7"/>
  <c r="Q70" i="7"/>
  <c r="Q151" i="7"/>
  <c r="Q233" i="7"/>
  <c r="Q266" i="7"/>
  <c r="Q97" i="7"/>
  <c r="Q324" i="7"/>
  <c r="Q33" i="7"/>
  <c r="Q195" i="7"/>
  <c r="Q272" i="7"/>
  <c r="Q118" i="7"/>
  <c r="Q285" i="7"/>
  <c r="Q245" i="7"/>
  <c r="Q280" i="7"/>
  <c r="Q203" i="7"/>
  <c r="Q21" i="7"/>
  <c r="Q20" i="7"/>
  <c r="Q351" i="7"/>
  <c r="Q101" i="7"/>
  <c r="Q328" i="7"/>
  <c r="AI316" i="7"/>
  <c r="AI258" i="7"/>
  <c r="AI261" i="7"/>
  <c r="AI18" i="7"/>
  <c r="AI126" i="7"/>
  <c r="AI24" i="7"/>
  <c r="AI149" i="7"/>
  <c r="AI178" i="7"/>
  <c r="AI176" i="7"/>
  <c r="AI150" i="7"/>
  <c r="AI148" i="7"/>
  <c r="AI137" i="7"/>
  <c r="AI219" i="7"/>
  <c r="AI141" i="7"/>
  <c r="AI140" i="7"/>
  <c r="AI13" i="7"/>
  <c r="AI125" i="7"/>
  <c r="AI173" i="7"/>
  <c r="AI129" i="7"/>
  <c r="AI147" i="7"/>
  <c r="AI177" i="7"/>
  <c r="AI271" i="7"/>
  <c r="AI225" i="7"/>
  <c r="AI168" i="7"/>
  <c r="AI164" i="7"/>
  <c r="AI214" i="7"/>
  <c r="AI135" i="7"/>
  <c r="AI134" i="7"/>
  <c r="AI341" i="7"/>
  <c r="AI161" i="7"/>
  <c r="AI171" i="7"/>
  <c r="AI217" i="7"/>
  <c r="AI212" i="7"/>
  <c r="AI144" i="7"/>
  <c r="AI3" i="7"/>
  <c r="AI223" i="7"/>
  <c r="AI247" i="7"/>
  <c r="AI221" i="7"/>
  <c r="AI130" i="7"/>
  <c r="AI286" i="7"/>
  <c r="AI339" i="7"/>
  <c r="AI122" i="7"/>
  <c r="AI282" i="7"/>
  <c r="AI153" i="7"/>
  <c r="AI301" i="7"/>
  <c r="AI138" i="7"/>
  <c r="AI378" i="7"/>
  <c r="AI190" i="7"/>
  <c r="AI335" i="7"/>
  <c r="AI222" i="7"/>
  <c r="AI393" i="7"/>
  <c r="AI319" i="7"/>
  <c r="AI72" i="7"/>
  <c r="AI124" i="7"/>
  <c r="AI166" i="7"/>
  <c r="AI112" i="7"/>
  <c r="AI279" i="7"/>
  <c r="AI267" i="7"/>
  <c r="AI128" i="7"/>
  <c r="AI306" i="7"/>
  <c r="AI117" i="7"/>
  <c r="AI66" i="7"/>
  <c r="AI313" i="7"/>
  <c r="AI120" i="7"/>
  <c r="AI123" i="7"/>
  <c r="AI322" i="7"/>
  <c r="AI12" i="7"/>
  <c r="AI188" i="7"/>
  <c r="AI262" i="7"/>
  <c r="AI187" i="7"/>
  <c r="AI394" i="7"/>
  <c r="AI299" i="7"/>
  <c r="AI17" i="7"/>
  <c r="AI7" i="7"/>
  <c r="AI6" i="7"/>
  <c r="AI4" i="7"/>
  <c r="AI121" i="7"/>
  <c r="AI113" i="7"/>
  <c r="AI116" i="7"/>
  <c r="AI182" i="7"/>
  <c r="AI181" i="7"/>
  <c r="AI189" i="7"/>
  <c r="AI23" i="7"/>
  <c r="AI300" i="7"/>
  <c r="AI240" i="7"/>
  <c r="AI287" i="7"/>
  <c r="AI269" i="7"/>
  <c r="AI345" i="7"/>
  <c r="AI22" i="7"/>
  <c r="AI169" i="7"/>
  <c r="AI294" i="7"/>
  <c r="AI102" i="7"/>
  <c r="AI71" i="7"/>
  <c r="AI73" i="7"/>
  <c r="AI127" i="7"/>
  <c r="AI366" i="7"/>
  <c r="AI244" i="7"/>
  <c r="AI284" i="7"/>
  <c r="AI334" i="7"/>
  <c r="AI44" i="7"/>
  <c r="AI8" i="7"/>
  <c r="AI36" i="7"/>
  <c r="AI201" i="7"/>
  <c r="AI132" i="7"/>
  <c r="AI158" i="7"/>
  <c r="AI172" i="7"/>
  <c r="AI338" i="7"/>
  <c r="AI25" i="7"/>
  <c r="AI317" i="7"/>
  <c r="AI210" i="7"/>
  <c r="AI283" i="7"/>
  <c r="AI390" i="7"/>
  <c r="AI360" i="7"/>
  <c r="AI268" i="7"/>
  <c r="AI325" i="7"/>
  <c r="AI315" i="7"/>
  <c r="AI263" i="7"/>
  <c r="AI288" i="7"/>
  <c r="AI162" i="7"/>
  <c r="AI278" i="7"/>
  <c r="AI343" i="7"/>
  <c r="AI333" i="7"/>
  <c r="AI386" i="7"/>
  <c r="AI79" i="7"/>
  <c r="AI76" i="7"/>
  <c r="AI180" i="7"/>
  <c r="AI336" i="7"/>
  <c r="AI77" i="7"/>
  <c r="AI74" i="7"/>
  <c r="AI174" i="7"/>
  <c r="AI160" i="7"/>
  <c r="AI332" i="7"/>
  <c r="AI342" i="7"/>
  <c r="AI145" i="7"/>
  <c r="AI39" i="7"/>
  <c r="AI136" i="7"/>
  <c r="AI179" i="7"/>
  <c r="AI104" i="7"/>
  <c r="AI191" i="7"/>
  <c r="AI78" i="7"/>
  <c r="AI11" i="7"/>
  <c r="AI154" i="7"/>
  <c r="AI103" i="7"/>
  <c r="AI215" i="7"/>
  <c r="AI139" i="7"/>
  <c r="AI353" i="7"/>
  <c r="AI224" i="7"/>
  <c r="AI152" i="7"/>
  <c r="AI347" i="7"/>
  <c r="AI352" i="7"/>
  <c r="AI47" i="7"/>
  <c r="AI185" i="7"/>
  <c r="AI344" i="7"/>
  <c r="AI81" i="7"/>
  <c r="AI355" i="7"/>
  <c r="AI37" i="7"/>
  <c r="AI357" i="7"/>
  <c r="AI259" i="7"/>
  <c r="AI307" i="7"/>
  <c r="AI292" i="7"/>
  <c r="AI170" i="7"/>
  <c r="AI337" i="7"/>
  <c r="AI46" i="7"/>
  <c r="AI155" i="7"/>
  <c r="AI105" i="7"/>
  <c r="AI156" i="7"/>
  <c r="AI80" i="7"/>
  <c r="AI85" i="7"/>
  <c r="AI82" i="7"/>
  <c r="AI133" i="7"/>
  <c r="AI327" i="7"/>
  <c r="AI48" i="7"/>
  <c r="AI34" i="7"/>
  <c r="AI146" i="7"/>
  <c r="AI321" i="7"/>
  <c r="AI207" i="7"/>
  <c r="AI131" i="7"/>
  <c r="AI159" i="7"/>
  <c r="AI108" i="7"/>
  <c r="AI106" i="7"/>
  <c r="AI163" i="7"/>
  <c r="AI311" i="7"/>
  <c r="AI84" i="7"/>
  <c r="AI83" i="7"/>
  <c r="AI302" i="7"/>
  <c r="AI49" i="7"/>
  <c r="AI304" i="7"/>
  <c r="AI312" i="7"/>
  <c r="AI281" i="7"/>
  <c r="AJ281" i="7"/>
  <c r="AI107" i="7"/>
  <c r="AI303" i="7"/>
  <c r="AI308" i="7"/>
  <c r="AI5" i="7"/>
  <c r="AI377" i="7"/>
  <c r="AI228" i="7"/>
  <c r="AI54" i="7"/>
  <c r="AI398" i="7"/>
  <c r="AI86" i="7"/>
  <c r="AI52" i="7"/>
  <c r="AI87" i="7"/>
  <c r="AI61" i="7"/>
  <c r="AI59" i="7"/>
  <c r="AI50" i="7"/>
  <c r="AI57" i="7"/>
  <c r="AI157" i="7"/>
  <c r="AI55" i="7"/>
  <c r="AI346" i="7"/>
  <c r="AI318" i="7"/>
  <c r="AI62" i="7"/>
  <c r="AI91" i="7"/>
  <c r="AI277" i="7"/>
  <c r="AI348" i="7"/>
  <c r="AI60" i="7"/>
  <c r="AI211" i="7"/>
  <c r="AI88" i="7"/>
  <c r="AI90" i="7"/>
  <c r="AI93" i="7"/>
  <c r="AI248" i="7"/>
  <c r="AI305" i="7"/>
  <c r="AI53" i="7"/>
  <c r="AI109" i="7"/>
  <c r="AI32" i="7"/>
  <c r="AI264" i="7"/>
  <c r="AI51" i="7"/>
  <c r="AI89" i="7"/>
  <c r="AI56" i="7"/>
  <c r="AI58" i="7"/>
  <c r="AI65" i="7"/>
  <c r="AI64" i="7"/>
  <c r="AI94" i="7"/>
  <c r="AI96" i="7"/>
  <c r="AI110" i="7"/>
  <c r="AI95" i="7"/>
  <c r="AI63" i="7"/>
  <c r="AI186" i="7"/>
  <c r="AI31" i="7"/>
  <c r="AI67" i="7"/>
  <c r="BV320" i="7"/>
  <c r="BW320" i="7"/>
  <c r="BS265" i="7"/>
  <c r="BS329" i="7"/>
  <c r="BS326" i="7"/>
  <c r="BS291" i="7"/>
  <c r="BS218" i="7"/>
  <c r="BS389" i="7"/>
  <c r="BS16" i="7"/>
  <c r="BS361" i="7"/>
  <c r="BS9" i="7"/>
  <c r="BS216" i="7"/>
  <c r="BS289" i="7"/>
  <c r="BS38" i="7"/>
  <c r="BS202" i="7"/>
  <c r="BS111" i="7"/>
  <c r="BS19" i="7"/>
  <c r="BS98" i="7"/>
  <c r="BS196" i="7"/>
  <c r="BS270" i="7"/>
  <c r="BS68" i="7"/>
  <c r="BS10" i="7"/>
  <c r="BS175" i="7"/>
  <c r="BS290" i="7"/>
  <c r="BS142" i="7"/>
  <c r="BS45" i="7"/>
  <c r="BS220" i="7"/>
  <c r="BS184" i="7"/>
  <c r="BS40" i="7"/>
  <c r="BS350" i="7"/>
  <c r="BS119" i="7"/>
  <c r="BS323" i="7"/>
  <c r="BS356" i="7"/>
  <c r="BS251" i="7"/>
  <c r="BS143" i="7"/>
  <c r="BS252" i="7"/>
  <c r="BS35" i="7"/>
  <c r="BS358" i="7"/>
  <c r="BS114" i="7"/>
  <c r="BS255" i="7"/>
  <c r="BS69" i="7"/>
  <c r="BS314" i="7"/>
  <c r="BS99" i="7"/>
  <c r="BS298" i="7"/>
  <c r="BS297" i="7"/>
  <c r="BS97" i="7"/>
  <c r="BS324" i="7"/>
  <c r="BS165" i="7"/>
  <c r="BS28" i="7"/>
  <c r="BS167" i="7"/>
  <c r="BS33" i="7"/>
  <c r="BS183" i="7"/>
  <c r="BS272" i="7"/>
  <c r="BS70" i="7"/>
  <c r="BS151" i="7"/>
  <c r="BS233" i="7"/>
  <c r="BS381" i="7"/>
  <c r="BS310" i="7"/>
  <c r="BS195" i="7"/>
  <c r="BS266" i="7"/>
  <c r="BS254" i="7"/>
  <c r="BS285" i="7"/>
  <c r="BS118" i="7"/>
  <c r="BS20" i="7"/>
  <c r="BS101" i="7"/>
  <c r="BS280" i="7"/>
  <c r="BS203" i="7"/>
  <c r="BS245" i="7"/>
  <c r="BS21" i="7"/>
  <c r="BS351" i="7"/>
  <c r="BS328" i="7"/>
  <c r="BS100" i="7"/>
  <c r="BS15" i="7"/>
  <c r="BS257" i="7"/>
  <c r="BS276" i="7"/>
  <c r="BS115" i="7"/>
  <c r="Q65" i="7"/>
  <c r="Q186" i="7"/>
  <c r="Q31" i="7"/>
  <c r="Q63" i="7"/>
  <c r="Q96" i="7"/>
  <c r="Q94" i="7"/>
  <c r="Q95" i="7"/>
  <c r="Q110" i="7"/>
  <c r="Q64" i="7"/>
  <c r="Q67" i="7"/>
  <c r="Q102" i="7"/>
  <c r="Q127" i="7"/>
  <c r="Q366" i="7"/>
  <c r="Q71" i="7"/>
  <c r="Q169" i="7"/>
  <c r="Q22" i="7"/>
  <c r="Q44" i="7"/>
  <c r="Q334" i="7"/>
  <c r="Q284" i="7"/>
  <c r="Q73" i="7"/>
  <c r="Q244" i="7"/>
  <c r="Q294" i="7"/>
  <c r="Q8" i="7"/>
  <c r="Q36" i="7"/>
  <c r="Q25" i="7"/>
  <c r="Q317" i="7"/>
  <c r="Q172" i="7"/>
  <c r="Q338" i="7"/>
  <c r="Q201" i="7"/>
  <c r="Q158" i="7"/>
  <c r="Q390" i="7"/>
  <c r="Q283" i="7"/>
  <c r="Q132" i="7"/>
  <c r="Q268" i="7"/>
  <c r="Q315" i="7"/>
  <c r="Q210" i="7"/>
  <c r="Q360" i="7"/>
  <c r="Q325" i="7"/>
  <c r="Q136" i="7"/>
  <c r="Q145" i="7"/>
  <c r="Q39" i="7"/>
  <c r="Q179" i="7"/>
  <c r="Q191" i="7"/>
  <c r="Q104" i="7"/>
  <c r="Q78" i="7"/>
  <c r="Q11" i="7"/>
  <c r="Q352" i="7"/>
  <c r="Q81" i="7"/>
  <c r="Q347" i="7"/>
  <c r="Q152" i="7"/>
  <c r="Q185" i="7"/>
  <c r="Q355" i="7"/>
  <c r="Q307" i="7"/>
  <c r="Q47" i="7"/>
  <c r="Q154" i="7"/>
  <c r="Q224" i="7"/>
  <c r="Q103" i="7"/>
  <c r="Q353" i="7"/>
  <c r="Q139" i="7"/>
  <c r="Q259" i="7"/>
  <c r="Q37" i="7"/>
  <c r="Q344" i="7"/>
  <c r="Q357" i="7"/>
  <c r="Q292" i="7"/>
  <c r="Q215" i="7"/>
  <c r="Q337" i="7"/>
  <c r="Q46" i="7"/>
  <c r="Q155" i="7"/>
  <c r="Q133" i="7"/>
  <c r="Q82" i="7"/>
  <c r="Q170" i="7"/>
  <c r="Q105" i="7"/>
  <c r="Q156" i="7"/>
  <c r="Q80" i="7"/>
  <c r="Q85" i="7"/>
  <c r="Q327" i="7"/>
  <c r="Q321" i="7"/>
  <c r="Q312" i="7"/>
  <c r="Q146" i="7"/>
  <c r="Q107" i="7"/>
  <c r="Q163" i="7"/>
  <c r="Q207" i="7"/>
  <c r="Q106" i="7"/>
  <c r="Q83" i="7"/>
  <c r="Q159" i="7"/>
  <c r="Q304" i="7"/>
  <c r="Q308" i="7"/>
  <c r="Q108" i="7"/>
  <c r="Q281" i="7"/>
  <c r="Q131" i="7"/>
  <c r="Q311" i="7"/>
  <c r="Q49" i="7"/>
  <c r="Q84" i="7"/>
  <c r="Q377" i="7"/>
  <c r="Q228" i="7"/>
  <c r="Q303" i="7"/>
  <c r="Q302" i="7"/>
  <c r="Q34" i="7"/>
  <c r="Q48" i="7"/>
  <c r="Q5" i="7"/>
  <c r="Q57" i="7"/>
  <c r="Q53" i="7"/>
  <c r="Q90" i="7"/>
  <c r="Q51" i="7"/>
  <c r="Q211" i="7"/>
  <c r="Q58" i="7"/>
  <c r="Q59" i="7"/>
  <c r="Q56" i="7"/>
  <c r="Q86" i="7"/>
  <c r="Q346" i="7"/>
  <c r="Q55" i="7"/>
  <c r="Q305" i="7"/>
  <c r="Q264" i="7"/>
  <c r="Q60" i="7"/>
  <c r="Q277" i="7"/>
  <c r="Q157" i="7"/>
  <c r="Q32" i="7"/>
  <c r="Q89" i="7"/>
  <c r="Q88" i="7"/>
  <c r="Q93" i="7"/>
  <c r="Q91" i="7"/>
  <c r="Q87" i="7"/>
  <c r="Q398" i="7"/>
  <c r="Q61" i="7"/>
  <c r="Q348" i="7"/>
  <c r="Q62" i="7"/>
  <c r="Q248" i="7"/>
  <c r="Q318" i="7"/>
  <c r="Q109" i="7"/>
  <c r="Q52" i="7"/>
  <c r="Q50" i="7"/>
  <c r="Q54" i="7"/>
  <c r="BA257" i="7"/>
  <c r="BA100" i="7"/>
  <c r="BA115" i="7"/>
  <c r="BA276" i="7"/>
  <c r="BA15" i="7"/>
  <c r="Q261" i="7"/>
  <c r="Q126" i="7"/>
  <c r="Q24" i="7"/>
  <c r="Q149" i="7"/>
  <c r="Q223" i="7"/>
  <c r="Q316" i="7"/>
  <c r="Q269" i="7"/>
  <c r="Q212" i="7"/>
  <c r="Q147" i="7"/>
  <c r="Q217" i="7"/>
  <c r="Q125" i="7"/>
  <c r="Q286" i="7"/>
  <c r="Q178" i="7"/>
  <c r="Q13" i="7"/>
  <c r="Q341" i="7"/>
  <c r="Q134" i="7"/>
  <c r="Q177" i="7"/>
  <c r="Q221" i="7"/>
  <c r="Q282" i="7"/>
  <c r="Q164" i="7"/>
  <c r="Q393" i="7"/>
  <c r="Q153" i="7"/>
  <c r="Q225" i="7"/>
  <c r="Q214" i="7"/>
  <c r="Q130" i="7"/>
  <c r="Q262" i="7"/>
  <c r="Q258" i="7"/>
  <c r="Q271" i="7"/>
  <c r="Q168" i="7"/>
  <c r="Q222" i="7"/>
  <c r="Q301" i="7"/>
  <c r="Q173" i="7"/>
  <c r="Q279" i="7"/>
  <c r="Q18" i="7"/>
  <c r="Q141" i="7"/>
  <c r="Q219" i="7"/>
  <c r="Q319" i="7"/>
  <c r="Q150" i="7"/>
  <c r="Q3" i="7"/>
  <c r="Q176" i="7"/>
  <c r="Q171" i="7"/>
  <c r="Q339" i="7"/>
  <c r="Q135" i="7"/>
  <c r="Q72" i="7"/>
  <c r="Q124" i="7"/>
  <c r="Q113" i="7"/>
  <c r="Q240" i="7"/>
  <c r="Q300" i="7"/>
  <c r="Q23" i="7"/>
  <c r="Q189" i="7"/>
  <c r="Q181" i="7"/>
  <c r="Q188" i="7"/>
  <c r="Q116" i="7"/>
  <c r="Q161" i="7"/>
  <c r="Q137" i="7"/>
  <c r="Q138" i="7"/>
  <c r="Q378" i="7"/>
  <c r="Q287" i="7"/>
  <c r="Q117" i="7"/>
  <c r="Q345" i="7"/>
  <c r="Q306" i="7"/>
  <c r="Q322" i="7"/>
  <c r="Q182" i="7"/>
  <c r="Q122" i="7"/>
  <c r="Q112" i="7"/>
  <c r="Q267" i="7"/>
  <c r="Q148" i="7"/>
  <c r="Q144" i="7"/>
  <c r="Q166" i="7"/>
  <c r="Q17" i="7"/>
  <c r="Q299" i="7"/>
  <c r="Q394" i="7"/>
  <c r="Q187" i="7"/>
  <c r="Q66" i="7"/>
  <c r="Q121" i="7"/>
  <c r="Q128" i="7"/>
  <c r="Q129" i="7"/>
  <c r="Q120" i="7"/>
  <c r="Q140" i="7"/>
  <c r="Q335" i="7"/>
  <c r="Q247" i="7"/>
  <c r="Q190" i="7"/>
  <c r="Q123" i="7"/>
  <c r="Q6" i="7"/>
  <c r="Q313" i="7"/>
  <c r="Q12" i="7"/>
  <c r="Q4" i="7"/>
  <c r="Q7" i="7"/>
  <c r="Q160" i="7"/>
  <c r="Q288" i="7"/>
  <c r="Q336" i="7"/>
  <c r="Q174" i="7"/>
  <c r="Q333" i="7"/>
  <c r="Q180" i="7"/>
  <c r="Q342" i="7"/>
  <c r="Q162" i="7"/>
  <c r="Q278" i="7"/>
  <c r="Q263" i="7"/>
  <c r="Q386" i="7"/>
  <c r="Q79" i="7"/>
  <c r="Q332" i="7"/>
  <c r="Q74" i="7"/>
  <c r="Q343" i="7"/>
  <c r="Q77" i="7"/>
  <c r="Q76" i="7"/>
  <c r="BE320" i="7"/>
  <c r="BA9" i="7"/>
  <c r="BA265" i="7"/>
  <c r="BA329" i="7"/>
  <c r="BA216" i="7"/>
  <c r="BA291" i="7"/>
  <c r="BA389" i="7"/>
  <c r="BA16" i="7"/>
  <c r="BA361" i="7"/>
  <c r="BA218" i="7"/>
  <c r="BA326" i="7"/>
  <c r="BA38" i="7"/>
  <c r="BA111" i="7"/>
  <c r="BA196" i="7"/>
  <c r="BA202" i="7"/>
  <c r="BA98" i="7"/>
  <c r="BA270" i="7"/>
  <c r="BA289" i="7"/>
  <c r="BA19" i="7"/>
  <c r="BA68" i="7"/>
  <c r="BA10" i="7"/>
  <c r="BA175" i="7"/>
  <c r="BA45" i="7"/>
  <c r="BA290" i="7"/>
  <c r="BA142" i="7"/>
  <c r="BA40" i="7"/>
  <c r="BA220" i="7"/>
  <c r="BA184" i="7"/>
  <c r="BA251" i="7"/>
  <c r="BA255" i="7"/>
  <c r="BA356" i="7"/>
  <c r="BA119" i="7"/>
  <c r="BA252" i="7"/>
  <c r="BA143" i="7"/>
  <c r="BA350" i="7"/>
  <c r="BA69" i="7"/>
  <c r="BA323" i="7"/>
  <c r="BA114" i="7"/>
  <c r="BA358" i="7"/>
  <c r="BA35" i="7"/>
  <c r="BA314" i="7"/>
  <c r="BA99" i="7"/>
  <c r="BA165" i="7"/>
  <c r="BA28" i="7"/>
  <c r="BA97" i="7"/>
  <c r="BA324" i="7"/>
  <c r="BA167" i="7"/>
  <c r="BA298" i="7"/>
  <c r="BA297" i="7"/>
  <c r="BA310" i="7"/>
  <c r="BA381" i="7"/>
  <c r="BA285" i="7"/>
  <c r="BA254" i="7"/>
  <c r="BA33" i="7"/>
  <c r="BA118" i="7"/>
  <c r="BA195" i="7"/>
  <c r="BA151" i="7"/>
  <c r="BA70" i="7"/>
  <c r="BA272" i="7"/>
  <c r="BA233" i="7"/>
  <c r="BA266" i="7"/>
  <c r="BA183" i="7"/>
  <c r="BA20" i="7"/>
  <c r="BA21" i="7"/>
  <c r="BA280" i="7"/>
  <c r="BA101" i="7"/>
  <c r="BA245" i="7"/>
  <c r="BA203" i="7"/>
  <c r="BA328" i="7"/>
  <c r="BA351" i="7"/>
  <c r="BS149" i="7"/>
  <c r="BS258" i="7"/>
  <c r="BS24" i="7"/>
  <c r="BS138" i="7"/>
  <c r="BS150" i="7"/>
  <c r="BS140" i="7"/>
  <c r="BS144" i="7"/>
  <c r="BS153" i="7"/>
  <c r="BS13" i="7"/>
  <c r="BS178" i="7"/>
  <c r="BS271" i="7"/>
  <c r="BS219" i="7"/>
  <c r="BS126" i="7"/>
  <c r="BS141" i="7"/>
  <c r="BS214" i="7"/>
  <c r="BS225" i="7"/>
  <c r="BS137" i="7"/>
  <c r="BS212" i="7"/>
  <c r="BS135" i="7"/>
  <c r="BS286" i="7"/>
  <c r="BS282" i="7"/>
  <c r="BS261" i="7"/>
  <c r="BS164" i="7"/>
  <c r="BS177" i="7"/>
  <c r="BS129" i="7"/>
  <c r="BS341" i="7"/>
  <c r="BS173" i="7"/>
  <c r="BS161" i="7"/>
  <c r="BS130" i="7"/>
  <c r="BS18" i="7"/>
  <c r="BS222" i="7"/>
  <c r="BS134" i="7"/>
  <c r="BS147" i="7"/>
  <c r="BS171" i="7"/>
  <c r="BS221" i="7"/>
  <c r="BS148" i="7"/>
  <c r="BS217" i="7"/>
  <c r="BS316" i="7"/>
  <c r="BS176" i="7"/>
  <c r="BS125" i="7"/>
  <c r="BS168" i="7"/>
  <c r="BS3" i="7"/>
  <c r="BS223" i="7"/>
  <c r="BS378" i="7"/>
  <c r="BS72" i="7"/>
  <c r="BS247" i="7"/>
  <c r="BS112" i="7"/>
  <c r="BS182" i="7"/>
  <c r="BS7" i="7"/>
  <c r="BS121" i="7"/>
  <c r="BS313" i="7"/>
  <c r="BS187" i="7"/>
  <c r="BS189" i="7"/>
  <c r="BS269" i="7"/>
  <c r="BS393" i="7"/>
  <c r="BS190" i="7"/>
  <c r="BS6" i="7"/>
  <c r="BS306" i="7"/>
  <c r="BS287" i="7"/>
  <c r="BS299" i="7"/>
  <c r="BS17" i="7"/>
  <c r="BS4" i="7"/>
  <c r="BS339" i="7"/>
  <c r="BS319" i="7"/>
  <c r="BS166" i="7"/>
  <c r="BS335" i="7"/>
  <c r="BS120" i="7"/>
  <c r="BS123" i="7"/>
  <c r="BS12" i="7"/>
  <c r="BS300" i="7"/>
  <c r="BS66" i="7"/>
  <c r="BS188" i="7"/>
  <c r="BS394" i="7"/>
  <c r="BS23" i="7"/>
  <c r="BS128" i="7"/>
  <c r="BS116" i="7"/>
  <c r="BS301" i="7"/>
  <c r="BS124" i="7"/>
  <c r="BS113" i="7"/>
  <c r="BS122" i="7"/>
  <c r="BS279" i="7"/>
  <c r="BS267" i="7"/>
  <c r="BS181" i="7"/>
  <c r="BS322" i="7"/>
  <c r="BS345" i="7"/>
  <c r="BS117" i="7"/>
  <c r="BS262" i="7"/>
  <c r="BS240" i="7"/>
  <c r="BS127" i="7"/>
  <c r="BS22" i="7"/>
  <c r="BS102" i="7"/>
  <c r="BS244" i="7"/>
  <c r="BS73" i="7"/>
  <c r="BS169" i="7"/>
  <c r="BS366" i="7"/>
  <c r="BS71" i="7"/>
  <c r="BS294" i="7"/>
  <c r="BS44" i="7"/>
  <c r="BS36" i="7"/>
  <c r="BS8" i="7"/>
  <c r="BS284" i="7"/>
  <c r="BS334" i="7"/>
  <c r="BS201" i="7"/>
  <c r="BS132" i="7"/>
  <c r="BS338" i="7"/>
  <c r="BS158" i="7"/>
  <c r="BS25" i="7"/>
  <c r="BS172" i="7"/>
  <c r="BS317" i="7"/>
  <c r="BS268" i="7"/>
  <c r="BS360" i="7"/>
  <c r="BS390" i="7"/>
  <c r="BS283" i="7"/>
  <c r="BS210" i="7"/>
  <c r="BS315" i="7"/>
  <c r="BS325" i="7"/>
  <c r="BS174" i="7"/>
  <c r="BS288" i="7"/>
  <c r="BS278" i="7"/>
  <c r="BS162" i="7"/>
  <c r="BS386" i="7"/>
  <c r="BS160" i="7"/>
  <c r="BS263" i="7"/>
  <c r="BS180" i="7"/>
  <c r="BS74" i="7"/>
  <c r="BS333" i="7"/>
  <c r="BS76" i="7"/>
  <c r="BS332" i="7"/>
  <c r="BS79" i="7"/>
  <c r="BS342" i="7"/>
  <c r="BS336" i="7"/>
  <c r="BS77" i="7"/>
  <c r="BS343" i="7"/>
  <c r="BS179" i="7"/>
  <c r="BS136" i="7"/>
  <c r="BS191" i="7"/>
  <c r="BS145" i="7"/>
  <c r="BS39" i="7"/>
  <c r="BS78" i="7"/>
  <c r="BS11" i="7"/>
  <c r="BS104" i="7"/>
  <c r="BS154" i="7"/>
  <c r="BS139" i="7"/>
  <c r="BS347" i="7"/>
  <c r="BS103" i="7"/>
  <c r="BS355" i="7"/>
  <c r="BS353" i="7"/>
  <c r="BS215" i="7"/>
  <c r="BS352" i="7"/>
  <c r="BS47" i="7"/>
  <c r="BS224" i="7"/>
  <c r="BS152" i="7"/>
  <c r="BS307" i="7"/>
  <c r="BS357" i="7"/>
  <c r="BS292" i="7"/>
  <c r="BS185" i="7"/>
  <c r="BS344" i="7"/>
  <c r="BS81" i="7"/>
  <c r="BS37" i="7"/>
  <c r="BS259" i="7"/>
  <c r="BS337" i="7"/>
  <c r="BS170" i="7"/>
  <c r="BS82" i="7"/>
  <c r="BS327" i="7"/>
  <c r="BS85" i="7"/>
  <c r="BS105" i="7"/>
  <c r="BS46" i="7"/>
  <c r="BS133" i="7"/>
  <c r="BS156" i="7"/>
  <c r="BS155" i="7"/>
  <c r="BS80" i="7"/>
  <c r="BS159" i="7"/>
  <c r="BS207" i="7"/>
  <c r="BS108" i="7"/>
  <c r="BS146" i="7"/>
  <c r="BS163" i="7"/>
  <c r="BS131" i="7"/>
  <c r="BS321" i="7"/>
  <c r="BS48" i="7"/>
  <c r="BS34" i="7"/>
  <c r="BS106" i="7"/>
  <c r="BS312" i="7"/>
  <c r="BS107" i="7"/>
  <c r="BS303" i="7"/>
  <c r="BS302" i="7"/>
  <c r="BS311" i="7"/>
  <c r="BS83" i="7"/>
  <c r="BS49" i="7"/>
  <c r="BS304" i="7"/>
  <c r="BS281" i="7"/>
  <c r="BS308" i="7"/>
  <c r="BS84" i="7"/>
  <c r="BS5" i="7"/>
  <c r="BS228" i="7"/>
  <c r="BS377" i="7"/>
  <c r="BS86" i="7"/>
  <c r="BS57" i="7"/>
  <c r="BS59" i="7"/>
  <c r="BS211" i="7"/>
  <c r="BS61" i="7"/>
  <c r="BS52" i="7"/>
  <c r="BS50" i="7"/>
  <c r="BS87" i="7"/>
  <c r="BS54" i="7"/>
  <c r="BS398" i="7"/>
  <c r="BS93" i="7"/>
  <c r="BS60" i="7"/>
  <c r="BS348" i="7"/>
  <c r="BS53" i="7"/>
  <c r="BS264" i="7"/>
  <c r="BS32" i="7"/>
  <c r="BS55" i="7"/>
  <c r="BS157" i="7"/>
  <c r="BS248" i="7"/>
  <c r="BS58" i="7"/>
  <c r="BS62" i="7"/>
  <c r="BS305" i="7"/>
  <c r="BS318" i="7"/>
  <c r="BS109" i="7"/>
  <c r="BS89" i="7"/>
  <c r="BS88" i="7"/>
  <c r="BS90" i="7"/>
  <c r="BS277" i="7"/>
  <c r="BS346" i="7"/>
  <c r="BS91" i="7"/>
  <c r="BS51" i="7"/>
  <c r="BS56" i="7"/>
  <c r="BS65" i="7"/>
  <c r="BS64" i="7"/>
  <c r="BS96" i="7"/>
  <c r="BS95" i="7"/>
  <c r="BS63" i="7"/>
  <c r="BS186" i="7"/>
  <c r="BS94" i="7"/>
  <c r="BS110" i="7"/>
  <c r="BS67" i="7"/>
  <c r="BS31" i="7"/>
  <c r="AM320" i="7"/>
  <c r="AI9" i="7"/>
  <c r="AI329" i="7"/>
  <c r="AI216" i="7"/>
  <c r="AI291" i="7"/>
  <c r="AI361" i="7"/>
  <c r="AI265" i="7"/>
  <c r="AI326" i="7"/>
  <c r="AI19" i="7"/>
  <c r="AI16" i="7"/>
  <c r="AI389" i="7"/>
  <c r="AI289" i="7"/>
  <c r="AI38" i="7"/>
  <c r="AI218" i="7"/>
  <c r="AI98" i="7"/>
  <c r="AI202" i="7"/>
  <c r="AI270" i="7"/>
  <c r="AI111" i="7"/>
  <c r="AI196" i="7"/>
  <c r="AI68" i="7"/>
  <c r="AI175" i="7"/>
  <c r="AI220" i="7"/>
  <c r="AI10" i="7"/>
  <c r="AI290" i="7"/>
  <c r="AI45" i="7"/>
  <c r="AI184" i="7"/>
  <c r="AI40" i="7"/>
  <c r="AI251" i="7"/>
  <c r="AI252" i="7"/>
  <c r="AI143" i="7"/>
  <c r="AI35" i="7"/>
  <c r="AI69" i="7"/>
  <c r="AI142" i="7"/>
  <c r="AI255" i="7"/>
  <c r="AI114" i="7"/>
  <c r="AI350" i="7"/>
  <c r="AI358" i="7"/>
  <c r="AI119" i="7"/>
  <c r="AI356" i="7"/>
  <c r="AI323" i="7"/>
  <c r="AI314" i="7"/>
  <c r="AI97" i="7"/>
  <c r="AI165" i="7"/>
  <c r="AI167" i="7"/>
  <c r="AI297" i="7"/>
  <c r="AI28" i="7"/>
  <c r="AI324" i="7"/>
  <c r="AI99" i="7"/>
  <c r="AI70" i="7"/>
  <c r="AI195" i="7"/>
  <c r="AI33" i="7"/>
  <c r="AI298" i="7"/>
  <c r="AI151" i="7"/>
  <c r="AI254" i="7"/>
  <c r="AI183" i="7"/>
  <c r="AI272" i="7"/>
  <c r="AI266" i="7"/>
  <c r="AI285" i="7"/>
  <c r="AI118" i="7"/>
  <c r="AI310" i="7"/>
  <c r="AI233" i="7"/>
  <c r="AI381" i="7"/>
  <c r="AI280" i="7"/>
  <c r="AI101" i="7"/>
  <c r="AI203" i="7"/>
  <c r="AI245" i="7"/>
  <c r="AI21" i="7"/>
  <c r="AI20" i="7"/>
  <c r="AI351" i="7"/>
  <c r="AI328" i="7"/>
  <c r="AI100" i="7"/>
  <c r="AI15" i="7"/>
  <c r="AI257" i="7"/>
  <c r="AI276" i="7"/>
  <c r="AI115" i="7"/>
  <c r="BA102" i="7"/>
  <c r="BA169" i="7"/>
  <c r="BA73" i="7"/>
  <c r="BA244" i="7"/>
  <c r="BA127" i="7"/>
  <c r="BA22" i="7"/>
  <c r="BA366" i="7"/>
  <c r="BA8" i="7"/>
  <c r="BA71" i="7"/>
  <c r="BA334" i="7"/>
  <c r="BA284" i="7"/>
  <c r="BA36" i="7"/>
  <c r="BA44" i="7"/>
  <c r="BA294" i="7"/>
  <c r="BA162" i="7"/>
  <c r="BA174" i="7"/>
  <c r="BA180" i="7"/>
  <c r="BA288" i="7"/>
  <c r="BA160" i="7"/>
  <c r="BA278" i="7"/>
  <c r="BA263" i="7"/>
  <c r="BA386" i="7"/>
  <c r="BA332" i="7"/>
  <c r="BA336" i="7"/>
  <c r="BA342" i="7"/>
  <c r="BA343" i="7"/>
  <c r="BA77" i="7"/>
  <c r="BA79" i="7"/>
  <c r="BA74" i="7"/>
  <c r="BA76" i="7"/>
  <c r="BA333" i="7"/>
  <c r="BA39" i="7"/>
  <c r="BA136" i="7"/>
  <c r="BA179" i="7"/>
  <c r="BA145" i="7"/>
  <c r="BA191" i="7"/>
  <c r="BA104" i="7"/>
  <c r="BA11" i="7"/>
  <c r="BA78" i="7"/>
  <c r="BA170" i="7"/>
  <c r="BA337" i="7"/>
  <c r="BA105" i="7"/>
  <c r="BA133" i="7"/>
  <c r="BA80" i="7"/>
  <c r="BA85" i="7"/>
  <c r="BA155" i="7"/>
  <c r="BA46" i="7"/>
  <c r="BA82" i="7"/>
  <c r="BA327" i="7"/>
  <c r="BA156" i="7"/>
  <c r="BA48" i="7"/>
  <c r="BA108" i="7"/>
  <c r="BA34" i="7"/>
  <c r="BA106" i="7"/>
  <c r="BA321" i="7"/>
  <c r="BA163" i="7"/>
  <c r="BA207" i="7"/>
  <c r="BA159" i="7"/>
  <c r="BA131" i="7"/>
  <c r="BA304" i="7"/>
  <c r="BA303" i="7"/>
  <c r="BA308" i="7"/>
  <c r="BA281" i="7"/>
  <c r="BA107" i="7"/>
  <c r="BA83" i="7"/>
  <c r="BA49" i="7"/>
  <c r="BA312" i="7"/>
  <c r="BA146" i="7"/>
  <c r="BA311" i="7"/>
  <c r="BA302" i="7"/>
  <c r="BA377" i="7"/>
  <c r="BA5" i="7"/>
  <c r="BA84" i="7"/>
  <c r="BA228" i="7"/>
  <c r="BA211" i="7"/>
  <c r="BA57" i="7"/>
  <c r="BA59" i="7"/>
  <c r="BA86" i="7"/>
  <c r="BA61" i="7"/>
  <c r="BA398" i="7"/>
  <c r="BA50" i="7"/>
  <c r="BA54" i="7"/>
  <c r="BA52" i="7"/>
  <c r="BA87" i="7"/>
  <c r="BA88" i="7"/>
  <c r="BA157" i="7"/>
  <c r="BA60" i="7"/>
  <c r="BA56" i="7"/>
  <c r="BA248" i="7"/>
  <c r="BA55" i="7"/>
  <c r="BA277" i="7"/>
  <c r="BA89" i="7"/>
  <c r="BA32" i="7"/>
  <c r="BA51" i="7"/>
  <c r="BA90" i="7"/>
  <c r="BA305" i="7"/>
  <c r="BA93" i="7"/>
  <c r="BA346" i="7"/>
  <c r="BA264" i="7"/>
  <c r="BA91" i="7"/>
  <c r="BA62" i="7"/>
  <c r="BA348" i="7"/>
  <c r="BA58" i="7"/>
  <c r="BA318" i="7"/>
  <c r="BA53" i="7"/>
  <c r="BA109" i="7"/>
  <c r="BA65" i="7"/>
  <c r="BA64" i="7"/>
  <c r="BA31" i="7"/>
  <c r="BA186" i="7"/>
  <c r="BA96" i="7"/>
  <c r="BA94" i="7"/>
  <c r="BA95" i="7"/>
  <c r="BA67" i="7"/>
  <c r="BA63" i="7"/>
  <c r="BA110" i="7"/>
  <c r="Q100" i="7"/>
  <c r="Q276" i="7"/>
  <c r="Q115" i="7"/>
  <c r="Q257" i="7"/>
  <c r="Q15" i="7"/>
  <c r="I6" i="8"/>
  <c r="H6" i="8"/>
  <c r="AK279" i="7"/>
  <c r="AJ279" i="7"/>
  <c r="AL279" i="7"/>
  <c r="S279" i="7"/>
  <c r="R279" i="7"/>
  <c r="BB279" i="7"/>
  <c r="BC279" i="7"/>
  <c r="BU279" i="7"/>
  <c r="BT279" i="7"/>
  <c r="AK127" i="7"/>
  <c r="AJ127" i="7"/>
  <c r="AL127" i="7"/>
  <c r="S127" i="7"/>
  <c r="R127" i="7"/>
  <c r="T127" i="7"/>
  <c r="BC127" i="7"/>
  <c r="BB127" i="7"/>
  <c r="BT127" i="7"/>
  <c r="BU127" i="7"/>
  <c r="BT350" i="7"/>
  <c r="BU350" i="7"/>
  <c r="R350" i="7"/>
  <c r="S350" i="7"/>
  <c r="AK350" i="7"/>
  <c r="AJ350" i="7"/>
  <c r="AL350" i="7"/>
  <c r="BB350" i="7"/>
  <c r="BC350" i="7"/>
  <c r="BU389" i="7"/>
  <c r="BT389" i="7"/>
  <c r="BV389" i="7"/>
  <c r="S389" i="7"/>
  <c r="R389" i="7"/>
  <c r="T389" i="7"/>
  <c r="AJ389" i="7"/>
  <c r="AL389" i="7"/>
  <c r="AK389" i="7"/>
  <c r="BB389" i="7"/>
  <c r="BD389" i="7"/>
  <c r="BC389" i="7"/>
  <c r="AK262" i="7"/>
  <c r="AJ262" i="7"/>
  <c r="AL262" i="7"/>
  <c r="BU262" i="7"/>
  <c r="BT262" i="7"/>
  <c r="BC262" i="7"/>
  <c r="BB262" i="7"/>
  <c r="S262" i="7"/>
  <c r="R262" i="7"/>
  <c r="BT191" i="7"/>
  <c r="BU191" i="7"/>
  <c r="S191" i="7"/>
  <c r="R191" i="7"/>
  <c r="AK191" i="7"/>
  <c r="AJ191" i="7"/>
  <c r="AL191" i="7"/>
  <c r="BC191" i="7"/>
  <c r="BB191" i="7"/>
  <c r="BD191" i="7"/>
  <c r="R183" i="7"/>
  <c r="S183" i="7"/>
  <c r="AJ183" i="7"/>
  <c r="AL183" i="7"/>
  <c r="AK183" i="7"/>
  <c r="BB183" i="7"/>
  <c r="BC183" i="7"/>
  <c r="BT183" i="7"/>
  <c r="BU183" i="7"/>
  <c r="BB216" i="7"/>
  <c r="BC216" i="7"/>
  <c r="BU216" i="7"/>
  <c r="BT216" i="7"/>
  <c r="R216" i="7"/>
  <c r="S216" i="7"/>
  <c r="AJ216" i="7"/>
  <c r="AL216" i="7"/>
  <c r="AK216" i="7"/>
  <c r="AJ125" i="7"/>
  <c r="AL125" i="7"/>
  <c r="AK125" i="7"/>
  <c r="R125" i="7"/>
  <c r="S125" i="7"/>
  <c r="BT125" i="7"/>
  <c r="BU125" i="7"/>
  <c r="BC125" i="7"/>
  <c r="BB125" i="7"/>
  <c r="BD125" i="7"/>
  <c r="AJ280" i="7"/>
  <c r="AL280" i="7"/>
  <c r="AK280" i="7"/>
  <c r="BB280" i="7"/>
  <c r="BD280" i="7"/>
  <c r="BC280" i="7"/>
  <c r="BU280" i="7"/>
  <c r="BT280" i="7"/>
  <c r="S280" i="7"/>
  <c r="R280" i="7"/>
  <c r="T280" i="7"/>
  <c r="BC297" i="7"/>
  <c r="BB297" i="7"/>
  <c r="AK297" i="7"/>
  <c r="AJ297" i="7"/>
  <c r="AL297" i="7"/>
  <c r="S297" i="7"/>
  <c r="R297" i="7"/>
  <c r="BU297" i="7"/>
  <c r="BT297" i="7"/>
  <c r="S281" i="7"/>
  <c r="R281" i="7"/>
  <c r="BU281" i="7"/>
  <c r="BT281" i="7"/>
  <c r="BC281" i="7"/>
  <c r="BB281" i="7"/>
  <c r="S15" i="7"/>
  <c r="R15" i="7"/>
  <c r="R100" i="7"/>
  <c r="S100" i="7"/>
  <c r="BC95" i="7"/>
  <c r="BB95" i="7"/>
  <c r="BB31" i="7"/>
  <c r="BC31" i="7"/>
  <c r="BC53" i="7"/>
  <c r="BB53" i="7"/>
  <c r="BB62" i="7"/>
  <c r="BC62" i="7"/>
  <c r="BC93" i="7"/>
  <c r="BB93" i="7"/>
  <c r="BC88" i="7"/>
  <c r="BB88" i="7"/>
  <c r="BB50" i="7"/>
  <c r="BC50" i="7"/>
  <c r="BC59" i="7"/>
  <c r="BB59" i="7"/>
  <c r="BC84" i="7"/>
  <c r="BB84" i="7"/>
  <c r="BC311" i="7"/>
  <c r="BB311" i="7"/>
  <c r="BB83" i="7"/>
  <c r="BC83" i="7"/>
  <c r="BB303" i="7"/>
  <c r="BC303" i="7"/>
  <c r="BC207" i="7"/>
  <c r="BB207" i="7"/>
  <c r="BB85" i="7"/>
  <c r="BC85" i="7"/>
  <c r="BB104" i="7"/>
  <c r="BC104" i="7"/>
  <c r="BC136" i="7"/>
  <c r="BB136" i="7"/>
  <c r="BC74" i="7"/>
  <c r="BB74" i="7"/>
  <c r="BC342" i="7"/>
  <c r="BB342" i="7"/>
  <c r="BB180" i="7"/>
  <c r="BC180" i="7"/>
  <c r="BB44" i="7"/>
  <c r="BC44" i="7"/>
  <c r="BB71" i="7"/>
  <c r="BC71" i="7"/>
  <c r="BC102" i="7"/>
  <c r="BB102" i="7"/>
  <c r="AL15" i="7"/>
  <c r="AK15" i="7"/>
  <c r="AJ15" i="7"/>
  <c r="AL99" i="7"/>
  <c r="AJ99" i="7"/>
  <c r="AK99" i="7"/>
  <c r="AL167" i="7"/>
  <c r="AK167" i="7"/>
  <c r="AJ167" i="7"/>
  <c r="AL69" i="7"/>
  <c r="AK69" i="7"/>
  <c r="AJ69" i="7"/>
  <c r="AJ290" i="7"/>
  <c r="AL290" i="7"/>
  <c r="AK290" i="7"/>
  <c r="AL68" i="7"/>
  <c r="AK68" i="7"/>
  <c r="AJ68" i="7"/>
  <c r="AL202" i="7"/>
  <c r="AK202" i="7"/>
  <c r="AJ202" i="7"/>
  <c r="BU31" i="7"/>
  <c r="BT31" i="7"/>
  <c r="BU186" i="7"/>
  <c r="BT186" i="7"/>
  <c r="BU64" i="7"/>
  <c r="BT64" i="7"/>
  <c r="BU91" i="7"/>
  <c r="BT91" i="7"/>
  <c r="BT88" i="7"/>
  <c r="BU88" i="7"/>
  <c r="BU157" i="7"/>
  <c r="BT157" i="7"/>
  <c r="BT53" i="7"/>
  <c r="BU53" i="7"/>
  <c r="BU52" i="7"/>
  <c r="BT52" i="7"/>
  <c r="BU57" i="7"/>
  <c r="BT57" i="7"/>
  <c r="BU5" i="7"/>
  <c r="BT5" i="7"/>
  <c r="BU304" i="7"/>
  <c r="BT304" i="7"/>
  <c r="BT302" i="7"/>
  <c r="BU302" i="7"/>
  <c r="BU106" i="7"/>
  <c r="BT106" i="7"/>
  <c r="BU207" i="7"/>
  <c r="BT207" i="7"/>
  <c r="BT156" i="7"/>
  <c r="BU156" i="7"/>
  <c r="BU85" i="7"/>
  <c r="BT85" i="7"/>
  <c r="BU344" i="7"/>
  <c r="BT344" i="7"/>
  <c r="BT352" i="7"/>
  <c r="BU352" i="7"/>
  <c r="BT104" i="7"/>
  <c r="BU104" i="7"/>
  <c r="BU145" i="7"/>
  <c r="BT145" i="7"/>
  <c r="BU343" i="7"/>
  <c r="BT343" i="7"/>
  <c r="BT79" i="7"/>
  <c r="BU79" i="7"/>
  <c r="BU74" i="7"/>
  <c r="BT74" i="7"/>
  <c r="BU174" i="7"/>
  <c r="BT174" i="7"/>
  <c r="BU283" i="7"/>
  <c r="BT283" i="7"/>
  <c r="BT317" i="7"/>
  <c r="BU317" i="7"/>
  <c r="BU294" i="7"/>
  <c r="BT294" i="7"/>
  <c r="BT73" i="7"/>
  <c r="BU73" i="7"/>
  <c r="BT12" i="7"/>
  <c r="BU12" i="7"/>
  <c r="BU166" i="7"/>
  <c r="BT166" i="7"/>
  <c r="BU17" i="7"/>
  <c r="BT17" i="7"/>
  <c r="BT6" i="7"/>
  <c r="BU6" i="7"/>
  <c r="BU189" i="7"/>
  <c r="BT189" i="7"/>
  <c r="BU7" i="7"/>
  <c r="BT7" i="7"/>
  <c r="BT72" i="7"/>
  <c r="BU72" i="7"/>
  <c r="BU168" i="7"/>
  <c r="BT168" i="7"/>
  <c r="BU217" i="7"/>
  <c r="BT217" i="7"/>
  <c r="BU147" i="7"/>
  <c r="BT147" i="7"/>
  <c r="BT130" i="7"/>
  <c r="BU130" i="7"/>
  <c r="BU129" i="7"/>
  <c r="BT129" i="7"/>
  <c r="BU137" i="7"/>
  <c r="BT137" i="7"/>
  <c r="BT13" i="7"/>
  <c r="BU13" i="7"/>
  <c r="BU150" i="7"/>
  <c r="BT150" i="7"/>
  <c r="BC245" i="7"/>
  <c r="BB245" i="7"/>
  <c r="BC118" i="7"/>
  <c r="BB118" i="7"/>
  <c r="BB167" i="7"/>
  <c r="BC167" i="7"/>
  <c r="BB165" i="7"/>
  <c r="BC165" i="7"/>
  <c r="BB202" i="7"/>
  <c r="BC202" i="7"/>
  <c r="BC265" i="7"/>
  <c r="BB265" i="7"/>
  <c r="S76" i="7"/>
  <c r="R76" i="7"/>
  <c r="R332" i="7"/>
  <c r="S332" i="7"/>
  <c r="R278" i="7"/>
  <c r="S278" i="7"/>
  <c r="S333" i="7"/>
  <c r="R333" i="7"/>
  <c r="S160" i="7"/>
  <c r="R160" i="7"/>
  <c r="S313" i="7"/>
  <c r="R313" i="7"/>
  <c r="R129" i="7"/>
  <c r="S129" i="7"/>
  <c r="S187" i="7"/>
  <c r="R187" i="7"/>
  <c r="S166" i="7"/>
  <c r="R166" i="7"/>
  <c r="R112" i="7"/>
  <c r="S112" i="7"/>
  <c r="S116" i="7"/>
  <c r="R116" i="7"/>
  <c r="S124" i="7"/>
  <c r="R124" i="7"/>
  <c r="S171" i="7"/>
  <c r="R171" i="7"/>
  <c r="S168" i="7"/>
  <c r="R168" i="7"/>
  <c r="S130" i="7"/>
  <c r="R130" i="7"/>
  <c r="S177" i="7"/>
  <c r="R177" i="7"/>
  <c r="R178" i="7"/>
  <c r="S178" i="7"/>
  <c r="S147" i="7"/>
  <c r="R147" i="7"/>
  <c r="BB100" i="7"/>
  <c r="BC100" i="7"/>
  <c r="S52" i="7"/>
  <c r="R52" i="7"/>
  <c r="S62" i="7"/>
  <c r="R62" i="7"/>
  <c r="S87" i="7"/>
  <c r="R87" i="7"/>
  <c r="R89" i="7"/>
  <c r="S89" i="7"/>
  <c r="R60" i="7"/>
  <c r="S60" i="7"/>
  <c r="R346" i="7"/>
  <c r="S346" i="7"/>
  <c r="S58" i="7"/>
  <c r="R58" i="7"/>
  <c r="R53" i="7"/>
  <c r="S53" i="7"/>
  <c r="R304" i="7"/>
  <c r="S304" i="7"/>
  <c r="S207" i="7"/>
  <c r="R207" i="7"/>
  <c r="S312" i="7"/>
  <c r="R312" i="7"/>
  <c r="R80" i="7"/>
  <c r="S80" i="7"/>
  <c r="S82" i="7"/>
  <c r="R82" i="7"/>
  <c r="R344" i="7"/>
  <c r="S344" i="7"/>
  <c r="S47" i="7"/>
  <c r="R47" i="7"/>
  <c r="R152" i="7"/>
  <c r="S152" i="7"/>
  <c r="R11" i="7"/>
  <c r="S11" i="7"/>
  <c r="S179" i="7"/>
  <c r="R179" i="7"/>
  <c r="S158" i="7"/>
  <c r="R158" i="7"/>
  <c r="S317" i="7"/>
  <c r="R317" i="7"/>
  <c r="R294" i="7"/>
  <c r="S294" i="7"/>
  <c r="S71" i="7"/>
  <c r="R71" i="7"/>
  <c r="S67" i="7"/>
  <c r="R67" i="7"/>
  <c r="S94" i="7"/>
  <c r="R94" i="7"/>
  <c r="S186" i="7"/>
  <c r="R186" i="7"/>
  <c r="BT257" i="7"/>
  <c r="BU257" i="7"/>
  <c r="BT285" i="7"/>
  <c r="BU285" i="7"/>
  <c r="BT70" i="7"/>
  <c r="BU70" i="7"/>
  <c r="BU167" i="7"/>
  <c r="BT167" i="7"/>
  <c r="BU97" i="7"/>
  <c r="BT97" i="7"/>
  <c r="BT10" i="7"/>
  <c r="BU10" i="7"/>
  <c r="BU98" i="7"/>
  <c r="BT98" i="7"/>
  <c r="BU361" i="7"/>
  <c r="BT361" i="7"/>
  <c r="AL186" i="7"/>
  <c r="AJ186" i="7"/>
  <c r="AK186" i="7"/>
  <c r="AL96" i="7"/>
  <c r="AK96" i="7"/>
  <c r="AJ96" i="7"/>
  <c r="AL58" i="7"/>
  <c r="AK58" i="7"/>
  <c r="AJ58" i="7"/>
  <c r="AL88" i="7"/>
  <c r="AJ88" i="7"/>
  <c r="AK88" i="7"/>
  <c r="AJ277" i="7"/>
  <c r="AL277" i="7"/>
  <c r="AK277" i="7"/>
  <c r="AJ346" i="7"/>
  <c r="AL346" i="7"/>
  <c r="AK346" i="7"/>
  <c r="AL50" i="7"/>
  <c r="AK50" i="7"/>
  <c r="AJ50" i="7"/>
  <c r="AL52" i="7"/>
  <c r="AK52" i="7"/>
  <c r="AJ52" i="7"/>
  <c r="AJ228" i="7"/>
  <c r="AL228" i="7"/>
  <c r="AK228" i="7"/>
  <c r="AJ303" i="7"/>
  <c r="AL303" i="7"/>
  <c r="AK303" i="7"/>
  <c r="AJ304" i="7"/>
  <c r="AL304" i="7"/>
  <c r="AK304" i="7"/>
  <c r="AL84" i="7"/>
  <c r="AJ84" i="7"/>
  <c r="AK84" i="7"/>
  <c r="AL108" i="7"/>
  <c r="AK108" i="7"/>
  <c r="AJ108" i="7"/>
  <c r="AK80" i="7"/>
  <c r="AJ80" i="7"/>
  <c r="AL80" i="7"/>
  <c r="AL46" i="7"/>
  <c r="AJ46" i="7"/>
  <c r="AK46" i="7"/>
  <c r="AL47" i="7"/>
  <c r="AK47" i="7"/>
  <c r="AJ47" i="7"/>
  <c r="AJ224" i="7"/>
  <c r="AL224" i="7"/>
  <c r="AK224" i="7"/>
  <c r="AL160" i="7"/>
  <c r="AJ160" i="7"/>
  <c r="AK160" i="7"/>
  <c r="AJ336" i="7"/>
  <c r="AL336" i="7"/>
  <c r="AK336" i="7"/>
  <c r="AL162" i="7"/>
  <c r="AJ162" i="7"/>
  <c r="AK162" i="7"/>
  <c r="AK283" i="7"/>
  <c r="AJ283" i="7"/>
  <c r="AL283" i="7"/>
  <c r="AJ294" i="7"/>
  <c r="AL294" i="7"/>
  <c r="AK294" i="7"/>
  <c r="AL116" i="7"/>
  <c r="AK116" i="7"/>
  <c r="AJ116" i="7"/>
  <c r="AL6" i="7"/>
  <c r="AK6" i="7"/>
  <c r="AJ6" i="7"/>
  <c r="AL12" i="7"/>
  <c r="AK12" i="7"/>
  <c r="AJ12" i="7"/>
  <c r="AJ313" i="7"/>
  <c r="AL313" i="7"/>
  <c r="AK313" i="7"/>
  <c r="AL128" i="7"/>
  <c r="AJ128" i="7"/>
  <c r="AK128" i="7"/>
  <c r="AL166" i="7"/>
  <c r="AJ166" i="7"/>
  <c r="AK166" i="7"/>
  <c r="AL130" i="7"/>
  <c r="AJ130" i="7"/>
  <c r="AK130" i="7"/>
  <c r="AL3" i="7"/>
  <c r="AJ3" i="7"/>
  <c r="AK3" i="7"/>
  <c r="AL171" i="7"/>
  <c r="AJ171" i="7"/>
  <c r="AK171" i="7"/>
  <c r="AL135" i="7"/>
  <c r="AK135" i="7"/>
  <c r="AJ135" i="7"/>
  <c r="AJ225" i="7"/>
  <c r="AL225" i="7"/>
  <c r="AK225" i="7"/>
  <c r="AL129" i="7"/>
  <c r="AK129" i="7"/>
  <c r="AJ129" i="7"/>
  <c r="AL140" i="7"/>
  <c r="AJ140" i="7"/>
  <c r="AK140" i="7"/>
  <c r="AL148" i="7"/>
  <c r="AK148" i="7"/>
  <c r="AJ148" i="7"/>
  <c r="S203" i="7"/>
  <c r="R203" i="7"/>
  <c r="S118" i="7"/>
  <c r="R118" i="7"/>
  <c r="S151" i="7"/>
  <c r="R151" i="7"/>
  <c r="R28" i="7"/>
  <c r="S28" i="7"/>
  <c r="R252" i="7"/>
  <c r="S252" i="7"/>
  <c r="S143" i="7"/>
  <c r="R143" i="7"/>
  <c r="S290" i="7"/>
  <c r="R290" i="7"/>
  <c r="S111" i="7"/>
  <c r="R111" i="7"/>
  <c r="R196" i="7"/>
  <c r="S196" i="7"/>
  <c r="R218" i="7"/>
  <c r="S218" i="7"/>
  <c r="BB357" i="7"/>
  <c r="BC357" i="7"/>
  <c r="BC344" i="7"/>
  <c r="BB344" i="7"/>
  <c r="BB47" i="7"/>
  <c r="BC47" i="7"/>
  <c r="BB215" i="7"/>
  <c r="BC215" i="7"/>
  <c r="BB154" i="7"/>
  <c r="BC154" i="7"/>
  <c r="BC158" i="7"/>
  <c r="BB158" i="7"/>
  <c r="BC122" i="7"/>
  <c r="BB122" i="7"/>
  <c r="BC112" i="7"/>
  <c r="BB112" i="7"/>
  <c r="BB7" i="7"/>
  <c r="BC7" i="7"/>
  <c r="BC4" i="7"/>
  <c r="BB4" i="7"/>
  <c r="BB121" i="7"/>
  <c r="BC121" i="7"/>
  <c r="BB187" i="7"/>
  <c r="BC187" i="7"/>
  <c r="BB141" i="7"/>
  <c r="BC141" i="7"/>
  <c r="BC177" i="7"/>
  <c r="BB177" i="7"/>
  <c r="BB135" i="7"/>
  <c r="BC135" i="7"/>
  <c r="BC173" i="7"/>
  <c r="BB173" i="7"/>
  <c r="BB148" i="7"/>
  <c r="BC148" i="7"/>
  <c r="BB129" i="7"/>
  <c r="BC129" i="7"/>
  <c r="BB137" i="7"/>
  <c r="BC137" i="7"/>
  <c r="BC130" i="7"/>
  <c r="BB130" i="7"/>
  <c r="BC134" i="7"/>
  <c r="BB134" i="7"/>
  <c r="S257" i="7"/>
  <c r="R257" i="7"/>
  <c r="BB110" i="7"/>
  <c r="BC110" i="7"/>
  <c r="BB94" i="7"/>
  <c r="BC94" i="7"/>
  <c r="BB64" i="7"/>
  <c r="BC64" i="7"/>
  <c r="BB91" i="7"/>
  <c r="BC91" i="7"/>
  <c r="BB89" i="7"/>
  <c r="BC89" i="7"/>
  <c r="BB56" i="7"/>
  <c r="BC56" i="7"/>
  <c r="BB87" i="7"/>
  <c r="BC87" i="7"/>
  <c r="BC57" i="7"/>
  <c r="BB57" i="7"/>
  <c r="BB5" i="7"/>
  <c r="BC5" i="7"/>
  <c r="BC146" i="7"/>
  <c r="BB146" i="7"/>
  <c r="BC107" i="7"/>
  <c r="BB107" i="7"/>
  <c r="BB304" i="7"/>
  <c r="BC304" i="7"/>
  <c r="BB163" i="7"/>
  <c r="BC163" i="7"/>
  <c r="BB108" i="7"/>
  <c r="BC108" i="7"/>
  <c r="BC82" i="7"/>
  <c r="BB82" i="7"/>
  <c r="BB80" i="7"/>
  <c r="BC80" i="7"/>
  <c r="BB170" i="7"/>
  <c r="BC170" i="7"/>
  <c r="BC79" i="7"/>
  <c r="BB79" i="7"/>
  <c r="BB336" i="7"/>
  <c r="BC336" i="7"/>
  <c r="BC278" i="7"/>
  <c r="BB278" i="7"/>
  <c r="BC174" i="7"/>
  <c r="BB174" i="7"/>
  <c r="BC36" i="7"/>
  <c r="BB36" i="7"/>
  <c r="BC8" i="7"/>
  <c r="BB8" i="7"/>
  <c r="BB244" i="7"/>
  <c r="BC244" i="7"/>
  <c r="AL115" i="7"/>
  <c r="AJ115" i="7"/>
  <c r="AK115" i="7"/>
  <c r="AL100" i="7"/>
  <c r="AK100" i="7"/>
  <c r="AJ100" i="7"/>
  <c r="AL118" i="7"/>
  <c r="AJ118" i="7"/>
  <c r="AK118" i="7"/>
  <c r="AL33" i="7"/>
  <c r="AK33" i="7"/>
  <c r="AJ33" i="7"/>
  <c r="AL165" i="7"/>
  <c r="AK165" i="7"/>
  <c r="AJ165" i="7"/>
  <c r="AL114" i="7"/>
  <c r="AK114" i="7"/>
  <c r="AJ114" i="7"/>
  <c r="AL10" i="7"/>
  <c r="AK10" i="7"/>
  <c r="AJ10" i="7"/>
  <c r="AJ196" i="7"/>
  <c r="AL196" i="7"/>
  <c r="AK196" i="7"/>
  <c r="AL98" i="7"/>
  <c r="AK98" i="7"/>
  <c r="AJ98" i="7"/>
  <c r="AJ265" i="7"/>
  <c r="AL265" i="7"/>
  <c r="AK265" i="7"/>
  <c r="BT67" i="7"/>
  <c r="BU67" i="7"/>
  <c r="BT63" i="7"/>
  <c r="BU63" i="7"/>
  <c r="BT65" i="7"/>
  <c r="BU65" i="7"/>
  <c r="BT346" i="7"/>
  <c r="BU346" i="7"/>
  <c r="BU89" i="7"/>
  <c r="BT89" i="7"/>
  <c r="BU62" i="7"/>
  <c r="BT62" i="7"/>
  <c r="BT55" i="7"/>
  <c r="BU55" i="7"/>
  <c r="BU54" i="7"/>
  <c r="BT54" i="7"/>
  <c r="BU61" i="7"/>
  <c r="BT61" i="7"/>
  <c r="BU86" i="7"/>
  <c r="BT86" i="7"/>
  <c r="BU84" i="7"/>
  <c r="BT84" i="7"/>
  <c r="BT49" i="7"/>
  <c r="BU49" i="7"/>
  <c r="BU303" i="7"/>
  <c r="BT303" i="7"/>
  <c r="BU163" i="7"/>
  <c r="BT163" i="7"/>
  <c r="BU159" i="7"/>
  <c r="BT159" i="7"/>
  <c r="BU185" i="7"/>
  <c r="BT185" i="7"/>
  <c r="BU152" i="7"/>
  <c r="BT152" i="7"/>
  <c r="BU215" i="7"/>
  <c r="BT215" i="7"/>
  <c r="BT347" i="7"/>
  <c r="BU347" i="7"/>
  <c r="BU11" i="7"/>
  <c r="BT11" i="7"/>
  <c r="BT77" i="7"/>
  <c r="BU77" i="7"/>
  <c r="BU332" i="7"/>
  <c r="BT332" i="7"/>
  <c r="BU180" i="7"/>
  <c r="BT180" i="7"/>
  <c r="BU162" i="7"/>
  <c r="BT162" i="7"/>
  <c r="BU172" i="7"/>
  <c r="BT172" i="7"/>
  <c r="BU132" i="7"/>
  <c r="BT132" i="7"/>
  <c r="BT8" i="7"/>
  <c r="BU8" i="7"/>
  <c r="BU71" i="7"/>
  <c r="BT71" i="7"/>
  <c r="BU244" i="7"/>
  <c r="BT244" i="7"/>
  <c r="BT322" i="7"/>
  <c r="BU322" i="7"/>
  <c r="BU122" i="7"/>
  <c r="BT122" i="7"/>
  <c r="BU116" i="7"/>
  <c r="BT116" i="7"/>
  <c r="BU188" i="7"/>
  <c r="BT188" i="7"/>
  <c r="BT123" i="7"/>
  <c r="BU123" i="7"/>
  <c r="BU190" i="7"/>
  <c r="BT190" i="7"/>
  <c r="BU187" i="7"/>
  <c r="BT187" i="7"/>
  <c r="BU182" i="7"/>
  <c r="BT182" i="7"/>
  <c r="BU148" i="7"/>
  <c r="BT148" i="7"/>
  <c r="BU134" i="7"/>
  <c r="BT134" i="7"/>
  <c r="BU161" i="7"/>
  <c r="BT161" i="7"/>
  <c r="BU177" i="7"/>
  <c r="BT177" i="7"/>
  <c r="BU225" i="7"/>
  <c r="BT225" i="7"/>
  <c r="BU219" i="7"/>
  <c r="BT219" i="7"/>
  <c r="BU138" i="7"/>
  <c r="BT138" i="7"/>
  <c r="BC70" i="7"/>
  <c r="BB70" i="7"/>
  <c r="BC33" i="7"/>
  <c r="BB33" i="7"/>
  <c r="BC99" i="7"/>
  <c r="BB99" i="7"/>
  <c r="BB114" i="7"/>
  <c r="BC114" i="7"/>
  <c r="BC143" i="7"/>
  <c r="BB143" i="7"/>
  <c r="BB175" i="7"/>
  <c r="BC175" i="7"/>
  <c r="BC196" i="7"/>
  <c r="BB196" i="7"/>
  <c r="BC218" i="7"/>
  <c r="BB218" i="7"/>
  <c r="BB9" i="7"/>
  <c r="BC9" i="7"/>
  <c r="R77" i="7"/>
  <c r="S77" i="7"/>
  <c r="S79" i="7"/>
  <c r="R79" i="7"/>
  <c r="R162" i="7"/>
  <c r="S162" i="7"/>
  <c r="S174" i="7"/>
  <c r="R174" i="7"/>
  <c r="S7" i="7"/>
  <c r="R7" i="7"/>
  <c r="S6" i="7"/>
  <c r="R6" i="7"/>
  <c r="R128" i="7"/>
  <c r="S128" i="7"/>
  <c r="R144" i="7"/>
  <c r="S144" i="7"/>
  <c r="R122" i="7"/>
  <c r="S122" i="7"/>
  <c r="S138" i="7"/>
  <c r="R138" i="7"/>
  <c r="S188" i="7"/>
  <c r="R188" i="7"/>
  <c r="R300" i="7"/>
  <c r="S300" i="7"/>
  <c r="R72" i="7"/>
  <c r="S72" i="7"/>
  <c r="S176" i="7"/>
  <c r="R176" i="7"/>
  <c r="S219" i="7"/>
  <c r="R219" i="7"/>
  <c r="S173" i="7"/>
  <c r="R173" i="7"/>
  <c r="R271" i="7"/>
  <c r="T271" i="7"/>
  <c r="S271" i="7"/>
  <c r="S214" i="7"/>
  <c r="R214" i="7"/>
  <c r="T214" i="7"/>
  <c r="R164" i="7"/>
  <c r="S164" i="7"/>
  <c r="R134" i="7"/>
  <c r="S134" i="7"/>
  <c r="S212" i="7"/>
  <c r="R212" i="7"/>
  <c r="BC15" i="7"/>
  <c r="BB15" i="7"/>
  <c r="BC257" i="7"/>
  <c r="BB257" i="7"/>
  <c r="S109" i="7"/>
  <c r="R109" i="7"/>
  <c r="R91" i="7"/>
  <c r="S91" i="7"/>
  <c r="S86" i="7"/>
  <c r="R86" i="7"/>
  <c r="S57" i="7"/>
  <c r="R57" i="7"/>
  <c r="S302" i="7"/>
  <c r="R302" i="7"/>
  <c r="S84" i="7"/>
  <c r="R84" i="7"/>
  <c r="S159" i="7"/>
  <c r="R159" i="7"/>
  <c r="S163" i="7"/>
  <c r="R163" i="7"/>
  <c r="S156" i="7"/>
  <c r="R156" i="7"/>
  <c r="S215" i="7"/>
  <c r="R215" i="7"/>
  <c r="R347" i="7"/>
  <c r="S347" i="7"/>
  <c r="R78" i="7"/>
  <c r="S78" i="7"/>
  <c r="S132" i="7"/>
  <c r="R132" i="7"/>
  <c r="S244" i="7"/>
  <c r="R244" i="7"/>
  <c r="S44" i="7"/>
  <c r="R44" i="7"/>
  <c r="R64" i="7"/>
  <c r="S64" i="7"/>
  <c r="S96" i="7"/>
  <c r="R96" i="7"/>
  <c r="S65" i="7"/>
  <c r="R65" i="7"/>
  <c r="BT15" i="7"/>
  <c r="BU15" i="7"/>
  <c r="BT254" i="7"/>
  <c r="BU254" i="7"/>
  <c r="BU28" i="7"/>
  <c r="BT28" i="7"/>
  <c r="BU69" i="7"/>
  <c r="BT69" i="7"/>
  <c r="BU142" i="7"/>
  <c r="BT142" i="7"/>
  <c r="BU68" i="7"/>
  <c r="BT68" i="7"/>
  <c r="AL63" i="7"/>
  <c r="AJ63" i="7"/>
  <c r="AK63" i="7"/>
  <c r="AL94" i="7"/>
  <c r="AK94" i="7"/>
  <c r="AJ94" i="7"/>
  <c r="AL56" i="7"/>
  <c r="AK56" i="7"/>
  <c r="AJ56" i="7"/>
  <c r="AL91" i="7"/>
  <c r="AK91" i="7"/>
  <c r="AJ91" i="7"/>
  <c r="AL55" i="7"/>
  <c r="AJ55" i="7"/>
  <c r="AK55" i="7"/>
  <c r="AL59" i="7"/>
  <c r="AJ59" i="7"/>
  <c r="AK59" i="7"/>
  <c r="AL86" i="7"/>
  <c r="AJ86" i="7"/>
  <c r="AK86" i="7"/>
  <c r="AL107" i="7"/>
  <c r="AJ107" i="7"/>
  <c r="AK107" i="7"/>
  <c r="AL49" i="7"/>
  <c r="AJ49" i="7"/>
  <c r="AK49" i="7"/>
  <c r="AJ311" i="7"/>
  <c r="AL311" i="7"/>
  <c r="AK311" i="7"/>
  <c r="AL159" i="7"/>
  <c r="AK159" i="7"/>
  <c r="AJ159" i="7"/>
  <c r="AL146" i="7"/>
  <c r="AJ146" i="7"/>
  <c r="AK146" i="7"/>
  <c r="AL156" i="7"/>
  <c r="AK156" i="7"/>
  <c r="AJ156" i="7"/>
  <c r="AL81" i="7"/>
  <c r="AK81" i="7"/>
  <c r="AJ81" i="7"/>
  <c r="AJ352" i="7"/>
  <c r="AL352" i="7"/>
  <c r="AK352" i="7"/>
  <c r="AL154" i="7"/>
  <c r="AK154" i="7"/>
  <c r="AJ154" i="7"/>
  <c r="AL104" i="7"/>
  <c r="AK104" i="7"/>
  <c r="AJ104" i="7"/>
  <c r="AL145" i="7"/>
  <c r="AK145" i="7"/>
  <c r="AJ145" i="7"/>
  <c r="AL174" i="7"/>
  <c r="AJ174" i="7"/>
  <c r="AK174" i="7"/>
  <c r="AL180" i="7"/>
  <c r="AK180" i="7"/>
  <c r="AJ180" i="7"/>
  <c r="AJ333" i="7"/>
  <c r="AL333" i="7"/>
  <c r="AK333" i="7"/>
  <c r="AL172" i="7"/>
  <c r="AK172" i="7"/>
  <c r="AJ172" i="7"/>
  <c r="AL36" i="7"/>
  <c r="AK36" i="7"/>
  <c r="AJ36" i="7"/>
  <c r="AL73" i="7"/>
  <c r="AK73" i="7"/>
  <c r="AJ73" i="7"/>
  <c r="AL169" i="7"/>
  <c r="AJ169" i="7"/>
  <c r="AK169" i="7"/>
  <c r="AL189" i="7"/>
  <c r="AK189" i="7"/>
  <c r="AJ189" i="7"/>
  <c r="AL7" i="7"/>
  <c r="AJ7" i="7"/>
  <c r="AK7" i="7"/>
  <c r="AL187" i="7"/>
  <c r="AK187" i="7"/>
  <c r="AJ187" i="7"/>
  <c r="AJ322" i="7"/>
  <c r="AL322" i="7"/>
  <c r="AK322" i="7"/>
  <c r="AJ267" i="7"/>
  <c r="AL267" i="7"/>
  <c r="AK267" i="7"/>
  <c r="AL124" i="7"/>
  <c r="AJ124" i="7"/>
  <c r="AK124" i="7"/>
  <c r="AJ222" i="7"/>
  <c r="AL222" i="7"/>
  <c r="AK222" i="7"/>
  <c r="AL138" i="7"/>
  <c r="AJ138" i="7"/>
  <c r="AK138" i="7"/>
  <c r="AL122" i="7"/>
  <c r="AJ122" i="7"/>
  <c r="AK122" i="7"/>
  <c r="AJ221" i="7"/>
  <c r="AL221" i="7"/>
  <c r="AK221" i="7"/>
  <c r="AL144" i="7"/>
  <c r="AK144" i="7"/>
  <c r="AJ144" i="7"/>
  <c r="AL161" i="7"/>
  <c r="AK161" i="7"/>
  <c r="AJ161" i="7"/>
  <c r="AK214" i="7"/>
  <c r="AJ214" i="7"/>
  <c r="AL214" i="7"/>
  <c r="AK271" i="7"/>
  <c r="AJ271" i="7"/>
  <c r="AL271" i="7"/>
  <c r="AL173" i="7"/>
  <c r="AJ173" i="7"/>
  <c r="AK173" i="7"/>
  <c r="AL141" i="7"/>
  <c r="AK141" i="7"/>
  <c r="AJ141" i="7"/>
  <c r="AL150" i="7"/>
  <c r="AJ150" i="7"/>
  <c r="AK150" i="7"/>
  <c r="S97" i="7"/>
  <c r="R97" i="7"/>
  <c r="S70" i="7"/>
  <c r="R70" i="7"/>
  <c r="S165" i="7"/>
  <c r="R165" i="7"/>
  <c r="S99" i="7"/>
  <c r="R99" i="7"/>
  <c r="S10" i="7"/>
  <c r="R10" i="7"/>
  <c r="R68" i="7"/>
  <c r="S68" i="7"/>
  <c r="S175" i="7"/>
  <c r="R175" i="7"/>
  <c r="S9" i="7"/>
  <c r="R9" i="7"/>
  <c r="BB81" i="7"/>
  <c r="BC81" i="7"/>
  <c r="BC347" i="7"/>
  <c r="BB347" i="7"/>
  <c r="BB283" i="7"/>
  <c r="BC283" i="7"/>
  <c r="BC132" i="7"/>
  <c r="BB132" i="7"/>
  <c r="BC317" i="7"/>
  <c r="BB317" i="7"/>
  <c r="BC120" i="7"/>
  <c r="BB120" i="7"/>
  <c r="BC190" i="7"/>
  <c r="BB190" i="7"/>
  <c r="BB267" i="7"/>
  <c r="BC267" i="7"/>
  <c r="BB189" i="7"/>
  <c r="BC189" i="7"/>
  <c r="BB313" i="7"/>
  <c r="BC313" i="7"/>
  <c r="BC188" i="7"/>
  <c r="BB188" i="7"/>
  <c r="BB3" i="7"/>
  <c r="BC3" i="7"/>
  <c r="BB214" i="7"/>
  <c r="BC214" i="7"/>
  <c r="BC150" i="7"/>
  <c r="BB150" i="7"/>
  <c r="BC164" i="7"/>
  <c r="BB164" i="7"/>
  <c r="BC171" i="7"/>
  <c r="BB171" i="7"/>
  <c r="BC221" i="7"/>
  <c r="BB221" i="7"/>
  <c r="BC13" i="7"/>
  <c r="BB13" i="7"/>
  <c r="BC63" i="7"/>
  <c r="BB63" i="7"/>
  <c r="BB96" i="7"/>
  <c r="BC96" i="7"/>
  <c r="BC65" i="7"/>
  <c r="BB65" i="7"/>
  <c r="BB58" i="7"/>
  <c r="BC58" i="7"/>
  <c r="BC90" i="7"/>
  <c r="BB90" i="7"/>
  <c r="BB277" i="7"/>
  <c r="BC277" i="7"/>
  <c r="BB60" i="7"/>
  <c r="BC60" i="7"/>
  <c r="BB52" i="7"/>
  <c r="BC52" i="7"/>
  <c r="BC61" i="7"/>
  <c r="BB61" i="7"/>
  <c r="BB312" i="7"/>
  <c r="BC312" i="7"/>
  <c r="BC48" i="7"/>
  <c r="BB48" i="7"/>
  <c r="BC46" i="7"/>
  <c r="BB46" i="7"/>
  <c r="BB78" i="7"/>
  <c r="BC78" i="7"/>
  <c r="BB145" i="7"/>
  <c r="BC145" i="7"/>
  <c r="BC333" i="7"/>
  <c r="BB333" i="7"/>
  <c r="BB77" i="7"/>
  <c r="BC77" i="7"/>
  <c r="BB332" i="7"/>
  <c r="BC332" i="7"/>
  <c r="BC160" i="7"/>
  <c r="BB160" i="7"/>
  <c r="BC162" i="7"/>
  <c r="BB162" i="7"/>
  <c r="BB73" i="7"/>
  <c r="BC73" i="7"/>
  <c r="AJ245" i="7"/>
  <c r="AL245" i="7"/>
  <c r="AK245" i="7"/>
  <c r="AJ285" i="7"/>
  <c r="AL285" i="7"/>
  <c r="AK285" i="7"/>
  <c r="AJ254" i="7"/>
  <c r="AL254" i="7"/>
  <c r="AK254" i="7"/>
  <c r="AL195" i="7"/>
  <c r="AK195" i="7"/>
  <c r="AJ195" i="7"/>
  <c r="AL28" i="7"/>
  <c r="AJ28" i="7"/>
  <c r="AK28" i="7"/>
  <c r="AL97" i="7"/>
  <c r="AJ97" i="7"/>
  <c r="AK97" i="7"/>
  <c r="AL119" i="7"/>
  <c r="AK119" i="7"/>
  <c r="AJ119" i="7"/>
  <c r="AL143" i="7"/>
  <c r="AJ143" i="7"/>
  <c r="AK143" i="7"/>
  <c r="AL111" i="7"/>
  <c r="AJ111" i="7"/>
  <c r="AK111" i="7"/>
  <c r="AJ218" i="7"/>
  <c r="AL218" i="7"/>
  <c r="AK218" i="7"/>
  <c r="AJ361" i="7"/>
  <c r="AL361" i="7"/>
  <c r="AK361" i="7"/>
  <c r="AL9" i="7"/>
  <c r="AJ9" i="7"/>
  <c r="AK9" i="7"/>
  <c r="BU110" i="7"/>
  <c r="BT110" i="7"/>
  <c r="BT95" i="7"/>
  <c r="BU95" i="7"/>
  <c r="BU56" i="7"/>
  <c r="BT56" i="7"/>
  <c r="BU277" i="7"/>
  <c r="BT277" i="7"/>
  <c r="BU109" i="7"/>
  <c r="BT109" i="7"/>
  <c r="BU58" i="7"/>
  <c r="BT58" i="7"/>
  <c r="BU60" i="7"/>
  <c r="BT60" i="7"/>
  <c r="BU87" i="7"/>
  <c r="BT87" i="7"/>
  <c r="BU308" i="7"/>
  <c r="BT308" i="7"/>
  <c r="BU83" i="7"/>
  <c r="BT83" i="7"/>
  <c r="BT107" i="7"/>
  <c r="BU107" i="7"/>
  <c r="BT48" i="7"/>
  <c r="BU48" i="7"/>
  <c r="BT146" i="7"/>
  <c r="BU146" i="7"/>
  <c r="BU80" i="7"/>
  <c r="BT80" i="7"/>
  <c r="BT46" i="7"/>
  <c r="BU46" i="7"/>
  <c r="BU82" i="7"/>
  <c r="BT82" i="7"/>
  <c r="BU224" i="7"/>
  <c r="BT224" i="7"/>
  <c r="BU139" i="7"/>
  <c r="BT139" i="7"/>
  <c r="BU78" i="7"/>
  <c r="BT78" i="7"/>
  <c r="BU136" i="7"/>
  <c r="BT136" i="7"/>
  <c r="BU336" i="7"/>
  <c r="BT336" i="7"/>
  <c r="BT76" i="7"/>
  <c r="BU76" i="7"/>
  <c r="BT278" i="7"/>
  <c r="BU278" i="7"/>
  <c r="BT36" i="7"/>
  <c r="BU36" i="7"/>
  <c r="BU102" i="7"/>
  <c r="BT102" i="7"/>
  <c r="BU181" i="7"/>
  <c r="BT181" i="7"/>
  <c r="BU128" i="7"/>
  <c r="BT128" i="7"/>
  <c r="BU120" i="7"/>
  <c r="BT120" i="7"/>
  <c r="BU313" i="7"/>
  <c r="BT313" i="7"/>
  <c r="BU112" i="7"/>
  <c r="BT112" i="7"/>
  <c r="BU176" i="7"/>
  <c r="BT176" i="7"/>
  <c r="BU221" i="7"/>
  <c r="BT221" i="7"/>
  <c r="BU222" i="7"/>
  <c r="BT222" i="7"/>
  <c r="BU173" i="7"/>
  <c r="BT173" i="7"/>
  <c r="BU164" i="7"/>
  <c r="BT164" i="7"/>
  <c r="BU135" i="7"/>
  <c r="BT135" i="7"/>
  <c r="BU214" i="7"/>
  <c r="BT214" i="7"/>
  <c r="BU271" i="7"/>
  <c r="BT271" i="7"/>
  <c r="BV271" i="7"/>
  <c r="BU144" i="7"/>
  <c r="BT144" i="7"/>
  <c r="BC266" i="7"/>
  <c r="BB266" i="7"/>
  <c r="BB151" i="7"/>
  <c r="BC151" i="7"/>
  <c r="BC254" i="7"/>
  <c r="BB254" i="7"/>
  <c r="BC97" i="7"/>
  <c r="BB97" i="7"/>
  <c r="BB252" i="7"/>
  <c r="BC252" i="7"/>
  <c r="BB142" i="7"/>
  <c r="BC142" i="7"/>
  <c r="BC10" i="7"/>
  <c r="BB10" i="7"/>
  <c r="BC111" i="7"/>
  <c r="BB111" i="7"/>
  <c r="BC361" i="7"/>
  <c r="BB361" i="7"/>
  <c r="BD361" i="7"/>
  <c r="R343" i="7"/>
  <c r="S343" i="7"/>
  <c r="S342" i="7"/>
  <c r="R342" i="7"/>
  <c r="R336" i="7"/>
  <c r="S336" i="7"/>
  <c r="S4" i="7"/>
  <c r="R4" i="7"/>
  <c r="R123" i="7"/>
  <c r="S123" i="7"/>
  <c r="S140" i="7"/>
  <c r="R140" i="7"/>
  <c r="R121" i="7"/>
  <c r="S121" i="7"/>
  <c r="R148" i="7"/>
  <c r="S148" i="7"/>
  <c r="S182" i="7"/>
  <c r="R182" i="7"/>
  <c r="S137" i="7"/>
  <c r="R137" i="7"/>
  <c r="R181" i="7"/>
  <c r="S181" i="7"/>
  <c r="S135" i="7"/>
  <c r="R135" i="7"/>
  <c r="S3" i="7"/>
  <c r="R3" i="7"/>
  <c r="S141" i="7"/>
  <c r="R141" i="7"/>
  <c r="S225" i="7"/>
  <c r="R225" i="7"/>
  <c r="R54" i="7"/>
  <c r="S54" i="7"/>
  <c r="S61" i="7"/>
  <c r="R61" i="7"/>
  <c r="S93" i="7"/>
  <c r="R93" i="7"/>
  <c r="S157" i="7"/>
  <c r="R157" i="7"/>
  <c r="R56" i="7"/>
  <c r="S56" i="7"/>
  <c r="R51" i="7"/>
  <c r="S51" i="7"/>
  <c r="S5" i="7"/>
  <c r="R5" i="7"/>
  <c r="S303" i="7"/>
  <c r="R303" i="7"/>
  <c r="S49" i="7"/>
  <c r="R49" i="7"/>
  <c r="R108" i="7"/>
  <c r="S108" i="7"/>
  <c r="R83" i="7"/>
  <c r="S83" i="7"/>
  <c r="S107" i="7"/>
  <c r="R107" i="7"/>
  <c r="S105" i="7"/>
  <c r="R105" i="7"/>
  <c r="S155" i="7"/>
  <c r="R155" i="7"/>
  <c r="R224" i="7"/>
  <c r="S224" i="7"/>
  <c r="R81" i="7"/>
  <c r="S81" i="7"/>
  <c r="S104" i="7"/>
  <c r="R104" i="7"/>
  <c r="S145" i="7"/>
  <c r="R145" i="7"/>
  <c r="R283" i="7"/>
  <c r="S283" i="7"/>
  <c r="S36" i="7"/>
  <c r="R36" i="7"/>
  <c r="S73" i="7"/>
  <c r="R73" i="7"/>
  <c r="S22" i="7"/>
  <c r="R22" i="7"/>
  <c r="S110" i="7"/>
  <c r="R110" i="7"/>
  <c r="R63" i="7"/>
  <c r="S63" i="7"/>
  <c r="BU115" i="7"/>
  <c r="BT115" i="7"/>
  <c r="BU100" i="7"/>
  <c r="BT100" i="7"/>
  <c r="BU245" i="7"/>
  <c r="BT245" i="7"/>
  <c r="BT266" i="7"/>
  <c r="BU266" i="7"/>
  <c r="BU165" i="7"/>
  <c r="BT165" i="7"/>
  <c r="BU252" i="7"/>
  <c r="BT252" i="7"/>
  <c r="BU290" i="7"/>
  <c r="BT290" i="7"/>
  <c r="BU111" i="7"/>
  <c r="BT111" i="7"/>
  <c r="AL67" i="7"/>
  <c r="AJ67" i="7"/>
  <c r="AK67" i="7"/>
  <c r="AL95" i="7"/>
  <c r="AJ95" i="7"/>
  <c r="AK95" i="7"/>
  <c r="AL64" i="7"/>
  <c r="AK64" i="7"/>
  <c r="AJ64" i="7"/>
  <c r="AL89" i="7"/>
  <c r="AK89" i="7"/>
  <c r="AJ89" i="7"/>
  <c r="AL109" i="7"/>
  <c r="AJ109" i="7"/>
  <c r="AK109" i="7"/>
  <c r="AL93" i="7"/>
  <c r="AJ93" i="7"/>
  <c r="AK93" i="7"/>
  <c r="AL60" i="7"/>
  <c r="AK60" i="7"/>
  <c r="AJ60" i="7"/>
  <c r="AL62" i="7"/>
  <c r="AK62" i="7"/>
  <c r="AJ62" i="7"/>
  <c r="AL157" i="7"/>
  <c r="AK157" i="7"/>
  <c r="AJ157" i="7"/>
  <c r="AL61" i="7"/>
  <c r="AJ61" i="7"/>
  <c r="AK61" i="7"/>
  <c r="AL5" i="7"/>
  <c r="AJ5" i="7"/>
  <c r="AK5" i="7"/>
  <c r="AJ302" i="7"/>
  <c r="AL302" i="7"/>
  <c r="AK302" i="7"/>
  <c r="AL163" i="7"/>
  <c r="AK163" i="7"/>
  <c r="AJ163" i="7"/>
  <c r="AL82" i="7"/>
  <c r="AJ82" i="7"/>
  <c r="AK82" i="7"/>
  <c r="AL105" i="7"/>
  <c r="AJ105" i="7"/>
  <c r="AK105" i="7"/>
  <c r="AL170" i="7"/>
  <c r="AK170" i="7"/>
  <c r="AJ170" i="7"/>
  <c r="AJ357" i="7"/>
  <c r="AL357" i="7"/>
  <c r="AK357" i="7"/>
  <c r="AJ344" i="7"/>
  <c r="AL344" i="7"/>
  <c r="AK344" i="7"/>
  <c r="AJ347" i="7"/>
  <c r="AL347" i="7"/>
  <c r="AK347" i="7"/>
  <c r="AL139" i="7"/>
  <c r="AK139" i="7"/>
  <c r="AJ139" i="7"/>
  <c r="AL11" i="7"/>
  <c r="AJ11" i="7"/>
  <c r="AK11" i="7"/>
  <c r="AL179" i="7"/>
  <c r="AJ179" i="7"/>
  <c r="AK179" i="7"/>
  <c r="AJ342" i="7"/>
  <c r="AL342" i="7"/>
  <c r="AK342" i="7"/>
  <c r="AL74" i="7"/>
  <c r="AJ74" i="7"/>
  <c r="AK74" i="7"/>
  <c r="AL76" i="7"/>
  <c r="AJ76" i="7"/>
  <c r="AK76" i="7"/>
  <c r="AJ343" i="7"/>
  <c r="AL343" i="7"/>
  <c r="AK343" i="7"/>
  <c r="AJ317" i="7"/>
  <c r="AL317" i="7"/>
  <c r="AK317" i="7"/>
  <c r="AL158" i="7"/>
  <c r="AJ158" i="7"/>
  <c r="AK158" i="7"/>
  <c r="AL8" i="7"/>
  <c r="AK8" i="7"/>
  <c r="AJ8" i="7"/>
  <c r="AK244" i="7"/>
  <c r="AJ244" i="7"/>
  <c r="AL244" i="7"/>
  <c r="AL71" i="7"/>
  <c r="AK71" i="7"/>
  <c r="AJ71" i="7"/>
  <c r="AJ22" i="7"/>
  <c r="AL22" i="7"/>
  <c r="AK22" i="7"/>
  <c r="AL181" i="7"/>
  <c r="AK181" i="7"/>
  <c r="AJ181" i="7"/>
  <c r="AL121" i="7"/>
  <c r="AK121" i="7"/>
  <c r="AJ121" i="7"/>
  <c r="AL17" i="7"/>
  <c r="AJ17" i="7"/>
  <c r="AK17" i="7"/>
  <c r="AL123" i="7"/>
  <c r="AK123" i="7"/>
  <c r="AJ123" i="7"/>
  <c r="AL72" i="7"/>
  <c r="AJ72" i="7"/>
  <c r="AK72" i="7"/>
  <c r="AK212" i="7"/>
  <c r="AJ212" i="7"/>
  <c r="AL212" i="7"/>
  <c r="AL164" i="7"/>
  <c r="AJ164" i="7"/>
  <c r="AK164" i="7"/>
  <c r="AL177" i="7"/>
  <c r="AJ177" i="7"/>
  <c r="AK177" i="7"/>
  <c r="AJ219" i="7"/>
  <c r="AL219" i="7"/>
  <c r="AK219" i="7"/>
  <c r="AL176" i="7"/>
  <c r="AK176" i="7"/>
  <c r="AJ176" i="7"/>
  <c r="S245" i="7"/>
  <c r="R245" i="7"/>
  <c r="R195" i="7"/>
  <c r="S195" i="7"/>
  <c r="S266" i="7"/>
  <c r="R266" i="7"/>
  <c r="S254" i="7"/>
  <c r="R254" i="7"/>
  <c r="R114" i="7"/>
  <c r="S114" i="7"/>
  <c r="R119" i="7"/>
  <c r="S119" i="7"/>
  <c r="S69" i="7"/>
  <c r="R69" i="7"/>
  <c r="S142" i="7"/>
  <c r="R142" i="7"/>
  <c r="S202" i="7"/>
  <c r="R202" i="7"/>
  <c r="S98" i="7"/>
  <c r="R98" i="7"/>
  <c r="S361" i="7"/>
  <c r="R361" i="7"/>
  <c r="T361" i="7"/>
  <c r="BB185" i="7"/>
  <c r="BC185" i="7"/>
  <c r="BC352" i="7"/>
  <c r="BB352" i="7"/>
  <c r="BC152" i="7"/>
  <c r="BB152" i="7"/>
  <c r="BB172" i="7"/>
  <c r="BC172" i="7"/>
  <c r="BC182" i="7"/>
  <c r="BB182" i="7"/>
  <c r="BB123" i="7"/>
  <c r="BC123" i="7"/>
  <c r="BC6" i="7"/>
  <c r="BB6" i="7"/>
  <c r="BB17" i="7"/>
  <c r="BC17" i="7"/>
  <c r="BC128" i="7"/>
  <c r="BB128" i="7"/>
  <c r="BC72" i="7"/>
  <c r="BB72" i="7"/>
  <c r="BC140" i="7"/>
  <c r="BB140" i="7"/>
  <c r="BB212" i="7"/>
  <c r="BC212" i="7"/>
  <c r="BC222" i="7"/>
  <c r="BB222" i="7"/>
  <c r="BC225" i="7"/>
  <c r="BB225" i="7"/>
  <c r="BB176" i="7"/>
  <c r="BC176" i="7"/>
  <c r="BB161" i="7"/>
  <c r="BC161" i="7"/>
  <c r="R115" i="7"/>
  <c r="S115" i="7"/>
  <c r="BC67" i="7"/>
  <c r="BB67" i="7"/>
  <c r="BC186" i="7"/>
  <c r="BB186" i="7"/>
  <c r="BC109" i="7"/>
  <c r="BB109" i="7"/>
  <c r="BB346" i="7"/>
  <c r="BC346" i="7"/>
  <c r="BC51" i="7"/>
  <c r="BB51" i="7"/>
  <c r="BC55" i="7"/>
  <c r="BB55" i="7"/>
  <c r="BB157" i="7"/>
  <c r="BC157" i="7"/>
  <c r="BB54" i="7"/>
  <c r="BC54" i="7"/>
  <c r="BC86" i="7"/>
  <c r="BB86" i="7"/>
  <c r="BC228" i="7"/>
  <c r="BB228" i="7"/>
  <c r="BC302" i="7"/>
  <c r="BB302" i="7"/>
  <c r="BC49" i="7"/>
  <c r="BB49" i="7"/>
  <c r="BB308" i="7"/>
  <c r="BC308" i="7"/>
  <c r="BB159" i="7"/>
  <c r="BC159" i="7"/>
  <c r="BB106" i="7"/>
  <c r="BC106" i="7"/>
  <c r="BB156" i="7"/>
  <c r="BC156" i="7"/>
  <c r="BC155" i="7"/>
  <c r="BB155" i="7"/>
  <c r="BC105" i="7"/>
  <c r="BB105" i="7"/>
  <c r="BB11" i="7"/>
  <c r="BC11" i="7"/>
  <c r="BC179" i="7"/>
  <c r="BB179" i="7"/>
  <c r="BC76" i="7"/>
  <c r="BB76" i="7"/>
  <c r="BB343" i="7"/>
  <c r="BC343" i="7"/>
  <c r="BB294" i="7"/>
  <c r="BC294" i="7"/>
  <c r="BB22" i="7"/>
  <c r="BC22" i="7"/>
  <c r="BC169" i="7"/>
  <c r="BB169" i="7"/>
  <c r="AJ257" i="7"/>
  <c r="AL257" i="7"/>
  <c r="AK257" i="7"/>
  <c r="AL203" i="7"/>
  <c r="AJ203" i="7"/>
  <c r="AK203" i="7"/>
  <c r="AJ266" i="7"/>
  <c r="AL266" i="7"/>
  <c r="AK266" i="7"/>
  <c r="AL151" i="7"/>
  <c r="AK151" i="7"/>
  <c r="AJ151" i="7"/>
  <c r="AL70" i="7"/>
  <c r="AJ70" i="7"/>
  <c r="AK70" i="7"/>
  <c r="AL142" i="7"/>
  <c r="AK142" i="7"/>
  <c r="AJ142" i="7"/>
  <c r="AJ252" i="7"/>
  <c r="AL252" i="7"/>
  <c r="AK252" i="7"/>
  <c r="AL175" i="7"/>
  <c r="AK175" i="7"/>
  <c r="AJ175" i="7"/>
  <c r="BU94" i="7"/>
  <c r="BT94" i="7"/>
  <c r="BU96" i="7"/>
  <c r="BT96" i="7"/>
  <c r="BT51" i="7"/>
  <c r="BU51" i="7"/>
  <c r="BU90" i="7"/>
  <c r="BT90" i="7"/>
  <c r="BU93" i="7"/>
  <c r="BT93" i="7"/>
  <c r="BU50" i="7"/>
  <c r="BT50" i="7"/>
  <c r="BT59" i="7"/>
  <c r="BU59" i="7"/>
  <c r="BT228" i="7"/>
  <c r="BU228" i="7"/>
  <c r="BU311" i="7"/>
  <c r="BT311" i="7"/>
  <c r="BU312" i="7"/>
  <c r="BT312" i="7"/>
  <c r="BU108" i="7"/>
  <c r="BT108" i="7"/>
  <c r="BU155" i="7"/>
  <c r="BT155" i="7"/>
  <c r="BU105" i="7"/>
  <c r="BT105" i="7"/>
  <c r="BU170" i="7"/>
  <c r="BT170" i="7"/>
  <c r="BT81" i="7"/>
  <c r="BU81" i="7"/>
  <c r="BU357" i="7"/>
  <c r="BT357" i="7"/>
  <c r="BU47" i="7"/>
  <c r="BT47" i="7"/>
  <c r="BU154" i="7"/>
  <c r="BT154" i="7"/>
  <c r="BU179" i="7"/>
  <c r="BT179" i="7"/>
  <c r="BT342" i="7"/>
  <c r="BU342" i="7"/>
  <c r="BT333" i="7"/>
  <c r="BU333" i="7"/>
  <c r="BU160" i="7"/>
  <c r="BT160" i="7"/>
  <c r="BU158" i="7"/>
  <c r="BT158" i="7"/>
  <c r="BU44" i="7"/>
  <c r="BT44" i="7"/>
  <c r="BU169" i="7"/>
  <c r="BT169" i="7"/>
  <c r="BU22" i="7"/>
  <c r="BT22" i="7"/>
  <c r="BT267" i="7"/>
  <c r="BU267" i="7"/>
  <c r="BU124" i="7"/>
  <c r="BT124" i="7"/>
  <c r="BU300" i="7"/>
  <c r="BT300" i="7"/>
  <c r="BU4" i="7"/>
  <c r="BT4" i="7"/>
  <c r="BU121" i="7"/>
  <c r="BT121" i="7"/>
  <c r="BU3" i="7"/>
  <c r="BT3" i="7"/>
  <c r="BU171" i="7"/>
  <c r="BT171" i="7"/>
  <c r="BU212" i="7"/>
  <c r="BT212" i="7"/>
  <c r="BU141" i="7"/>
  <c r="BT141" i="7"/>
  <c r="BU178" i="7"/>
  <c r="BT178" i="7"/>
  <c r="BU140" i="7"/>
  <c r="BT140" i="7"/>
  <c r="BC203" i="7"/>
  <c r="BB203" i="7"/>
  <c r="BB195" i="7"/>
  <c r="BC195" i="7"/>
  <c r="BC285" i="7"/>
  <c r="BB285" i="7"/>
  <c r="BB28" i="7"/>
  <c r="BC28" i="7"/>
  <c r="BB69" i="7"/>
  <c r="BC69" i="7"/>
  <c r="BB119" i="7"/>
  <c r="BC119" i="7"/>
  <c r="BB290" i="7"/>
  <c r="BC290" i="7"/>
  <c r="BB68" i="7"/>
  <c r="BC68" i="7"/>
  <c r="BB98" i="7"/>
  <c r="BC98" i="7"/>
  <c r="S74" i="7"/>
  <c r="R74" i="7"/>
  <c r="R180" i="7"/>
  <c r="S180" i="7"/>
  <c r="S12" i="7"/>
  <c r="R12" i="7"/>
  <c r="S190" i="7"/>
  <c r="R190" i="7"/>
  <c r="S120" i="7"/>
  <c r="R120" i="7"/>
  <c r="R17" i="7"/>
  <c r="S17" i="7"/>
  <c r="R267" i="7"/>
  <c r="S267" i="7"/>
  <c r="S322" i="7"/>
  <c r="R322" i="7"/>
  <c r="S161" i="7"/>
  <c r="R161" i="7"/>
  <c r="S189" i="7"/>
  <c r="R189" i="7"/>
  <c r="S150" i="7"/>
  <c r="R150" i="7"/>
  <c r="S222" i="7"/>
  <c r="R222" i="7"/>
  <c r="S221" i="7"/>
  <c r="R221" i="7"/>
  <c r="S13" i="7"/>
  <c r="R13" i="7"/>
  <c r="S217" i="7"/>
  <c r="R217" i="7"/>
  <c r="BC115" i="7"/>
  <c r="BB115" i="7"/>
  <c r="R50" i="7"/>
  <c r="S50" i="7"/>
  <c r="R88" i="7"/>
  <c r="S88" i="7"/>
  <c r="R277" i="7"/>
  <c r="S277" i="7"/>
  <c r="S55" i="7"/>
  <c r="R55" i="7"/>
  <c r="S59" i="7"/>
  <c r="R59" i="7"/>
  <c r="R90" i="7"/>
  <c r="S90" i="7"/>
  <c r="S48" i="7"/>
  <c r="R48" i="7"/>
  <c r="S228" i="7"/>
  <c r="R228" i="7"/>
  <c r="T228" i="7"/>
  <c r="R311" i="7"/>
  <c r="S311" i="7"/>
  <c r="R308" i="7"/>
  <c r="S308" i="7"/>
  <c r="R106" i="7"/>
  <c r="S106" i="7"/>
  <c r="S146" i="7"/>
  <c r="R146" i="7"/>
  <c r="R85" i="7"/>
  <c r="S85" i="7"/>
  <c r="R170" i="7"/>
  <c r="S170" i="7"/>
  <c r="S46" i="7"/>
  <c r="R46" i="7"/>
  <c r="R357" i="7"/>
  <c r="S357" i="7"/>
  <c r="S139" i="7"/>
  <c r="R139" i="7"/>
  <c r="S154" i="7"/>
  <c r="R154" i="7"/>
  <c r="R185" i="7"/>
  <c r="S185" i="7"/>
  <c r="R352" i="7"/>
  <c r="S352" i="7"/>
  <c r="R136" i="7"/>
  <c r="S136" i="7"/>
  <c r="S172" i="7"/>
  <c r="R172" i="7"/>
  <c r="S8" i="7"/>
  <c r="R8" i="7"/>
  <c r="S169" i="7"/>
  <c r="R169" i="7"/>
  <c r="S102" i="7"/>
  <c r="R102" i="7"/>
  <c r="S95" i="7"/>
  <c r="R95" i="7"/>
  <c r="R31" i="7"/>
  <c r="S31" i="7"/>
  <c r="BU203" i="7"/>
  <c r="BT203" i="7"/>
  <c r="BT118" i="7"/>
  <c r="BU118" i="7"/>
  <c r="BU195" i="7"/>
  <c r="BT195" i="7"/>
  <c r="BU151" i="7"/>
  <c r="BT151" i="7"/>
  <c r="BT33" i="7"/>
  <c r="BU33" i="7"/>
  <c r="BU99" i="7"/>
  <c r="BT99" i="7"/>
  <c r="BU114" i="7"/>
  <c r="BT114" i="7"/>
  <c r="BU143" i="7"/>
  <c r="BT143" i="7"/>
  <c r="BU119" i="7"/>
  <c r="BT119" i="7"/>
  <c r="BU175" i="7"/>
  <c r="BT175" i="7"/>
  <c r="BT196" i="7"/>
  <c r="BU196" i="7"/>
  <c r="BT202" i="7"/>
  <c r="BU202" i="7"/>
  <c r="BU9" i="7"/>
  <c r="BT9" i="7"/>
  <c r="BU218" i="7"/>
  <c r="BT218" i="7"/>
  <c r="BT265" i="7"/>
  <c r="BU265" i="7"/>
  <c r="AJ31" i="7"/>
  <c r="AL31" i="7"/>
  <c r="AK31" i="7"/>
  <c r="AL110" i="7"/>
  <c r="AK110" i="7"/>
  <c r="AJ110" i="7"/>
  <c r="AL65" i="7"/>
  <c r="AJ65" i="7"/>
  <c r="AK65" i="7"/>
  <c r="AL51" i="7"/>
  <c r="AJ51" i="7"/>
  <c r="AK51" i="7"/>
  <c r="AL53" i="7"/>
  <c r="AJ53" i="7"/>
  <c r="AK53" i="7"/>
  <c r="AL90" i="7"/>
  <c r="AJ90" i="7"/>
  <c r="AK90" i="7"/>
  <c r="AL57" i="7"/>
  <c r="AJ57" i="7"/>
  <c r="AK57" i="7"/>
  <c r="AL87" i="7"/>
  <c r="AK87" i="7"/>
  <c r="AJ87" i="7"/>
  <c r="AL54" i="7"/>
  <c r="AK54" i="7"/>
  <c r="AJ54" i="7"/>
  <c r="AJ308" i="7"/>
  <c r="AL308" i="7"/>
  <c r="AK308" i="7"/>
  <c r="AJ312" i="7"/>
  <c r="AL312" i="7"/>
  <c r="AK312" i="7"/>
  <c r="AL83" i="7"/>
  <c r="AK83" i="7"/>
  <c r="AJ83" i="7"/>
  <c r="AL106" i="7"/>
  <c r="AK106" i="7"/>
  <c r="AJ106" i="7"/>
  <c r="AL207" i="7"/>
  <c r="AJ207" i="7"/>
  <c r="AK207" i="7"/>
  <c r="AL48" i="7"/>
  <c r="AJ48" i="7"/>
  <c r="AK48" i="7"/>
  <c r="AL85" i="7"/>
  <c r="AK85" i="7"/>
  <c r="AJ85" i="7"/>
  <c r="AL155" i="7"/>
  <c r="AJ155" i="7"/>
  <c r="AK155" i="7"/>
  <c r="AL185" i="7"/>
  <c r="AK185" i="7"/>
  <c r="AJ185" i="7"/>
  <c r="AL152" i="7"/>
  <c r="AJ152" i="7"/>
  <c r="AK152" i="7"/>
  <c r="AJ215" i="7"/>
  <c r="AL215" i="7"/>
  <c r="AK215" i="7"/>
  <c r="AL78" i="7"/>
  <c r="AK78" i="7"/>
  <c r="AJ78" i="7"/>
  <c r="AL136" i="7"/>
  <c r="AJ136" i="7"/>
  <c r="AK136" i="7"/>
  <c r="AJ332" i="7"/>
  <c r="AL332" i="7"/>
  <c r="AK332" i="7"/>
  <c r="AL77" i="7"/>
  <c r="AK77" i="7"/>
  <c r="AJ77" i="7"/>
  <c r="AL79" i="7"/>
  <c r="AJ79" i="7"/>
  <c r="AK79" i="7"/>
  <c r="AJ278" i="7"/>
  <c r="AL278" i="7"/>
  <c r="AK278" i="7"/>
  <c r="AL132" i="7"/>
  <c r="AJ132" i="7"/>
  <c r="AK132" i="7"/>
  <c r="AL44" i="7"/>
  <c r="AK44" i="7"/>
  <c r="AJ44" i="7"/>
  <c r="AL102" i="7"/>
  <c r="AJ102" i="7"/>
  <c r="AK102" i="7"/>
  <c r="AJ300" i="7"/>
  <c r="AL300" i="7"/>
  <c r="AK300" i="7"/>
  <c r="AL182" i="7"/>
  <c r="AJ182" i="7"/>
  <c r="AK182" i="7"/>
  <c r="AL4" i="7"/>
  <c r="AK4" i="7"/>
  <c r="AJ4" i="7"/>
  <c r="AL188" i="7"/>
  <c r="AJ188" i="7"/>
  <c r="AK188" i="7"/>
  <c r="AL120" i="7"/>
  <c r="AJ120" i="7"/>
  <c r="AK120" i="7"/>
  <c r="AL112" i="7"/>
  <c r="AJ112" i="7"/>
  <c r="AK112" i="7"/>
  <c r="AL190" i="7"/>
  <c r="AJ190" i="7"/>
  <c r="AK190" i="7"/>
  <c r="AJ217" i="7"/>
  <c r="AL217" i="7"/>
  <c r="AK217" i="7"/>
  <c r="AL134" i="7"/>
  <c r="AJ134" i="7"/>
  <c r="AK134" i="7"/>
  <c r="AL168" i="7"/>
  <c r="AK168" i="7"/>
  <c r="AJ168" i="7"/>
  <c r="AL147" i="7"/>
  <c r="AJ147" i="7"/>
  <c r="AK147" i="7"/>
  <c r="AL13" i="7"/>
  <c r="AK13" i="7"/>
  <c r="AJ13" i="7"/>
  <c r="AL137" i="7"/>
  <c r="AK137" i="7"/>
  <c r="AJ137" i="7"/>
  <c r="AL178" i="7"/>
  <c r="AK178" i="7"/>
  <c r="AJ178" i="7"/>
  <c r="S285" i="7"/>
  <c r="R285" i="7"/>
  <c r="S33" i="7"/>
  <c r="R33" i="7"/>
  <c r="S167" i="7"/>
  <c r="R167" i="7"/>
  <c r="R265" i="7"/>
  <c r="S265" i="7"/>
  <c r="BB224" i="7"/>
  <c r="BC224" i="7"/>
  <c r="BB139" i="7"/>
  <c r="BC139" i="7"/>
  <c r="BB300" i="7"/>
  <c r="BC300" i="7"/>
  <c r="BC12" i="7"/>
  <c r="BB12" i="7"/>
  <c r="BB181" i="7"/>
  <c r="BC181" i="7"/>
  <c r="BC124" i="7"/>
  <c r="BB124" i="7"/>
  <c r="BB116" i="7"/>
  <c r="BC116" i="7"/>
  <c r="BC322" i="7"/>
  <c r="BB322" i="7"/>
  <c r="BC166" i="7"/>
  <c r="BB166" i="7"/>
  <c r="BC219" i="7"/>
  <c r="BB219" i="7"/>
  <c r="BC138" i="7"/>
  <c r="BB138" i="7"/>
  <c r="BB144" i="7"/>
  <c r="BC144" i="7"/>
  <c r="BB271" i="7"/>
  <c r="BC271" i="7"/>
  <c r="BB178" i="7"/>
  <c r="BC178" i="7"/>
  <c r="BB217" i="7"/>
  <c r="BC217" i="7"/>
  <c r="BB168" i="7"/>
  <c r="BC168" i="7"/>
  <c r="BC147" i="7"/>
  <c r="BB147" i="7"/>
  <c r="AJ298" i="7"/>
  <c r="AL298" i="7"/>
  <c r="AK298" i="7"/>
  <c r="BU298" i="7"/>
  <c r="BT298" i="7"/>
  <c r="R298" i="7"/>
  <c r="S298" i="7"/>
  <c r="BC298" i="7"/>
  <c r="BB298" i="7"/>
  <c r="BU263" i="7"/>
  <c r="BT263" i="7"/>
  <c r="BV263" i="7"/>
  <c r="AK263" i="7"/>
  <c r="AJ263" i="7"/>
  <c r="AL263" i="7"/>
  <c r="BB263" i="7"/>
  <c r="BD263" i="7"/>
  <c r="BC263" i="7"/>
  <c r="R263" i="7"/>
  <c r="T263" i="7"/>
  <c r="S263" i="7"/>
  <c r="S366" i="7"/>
  <c r="R366" i="7"/>
  <c r="BT366" i="7"/>
  <c r="BV366" i="7"/>
  <c r="BU366" i="7"/>
  <c r="BB366" i="7"/>
  <c r="BD366" i="7"/>
  <c r="BC366" i="7"/>
  <c r="AJ366" i="7"/>
  <c r="AL366" i="7"/>
  <c r="AK366" i="7"/>
  <c r="S398" i="7"/>
  <c r="R398" i="7"/>
  <c r="T398" i="7"/>
  <c r="BT398" i="7"/>
  <c r="BU398" i="7"/>
  <c r="BC398" i="7"/>
  <c r="BB398" i="7"/>
  <c r="BD398" i="7"/>
  <c r="AJ398" i="7"/>
  <c r="AL398" i="7"/>
  <c r="AK398" i="7"/>
  <c r="AK321" i="7"/>
  <c r="AJ321" i="7"/>
  <c r="AL321" i="7"/>
  <c r="BU321" i="7"/>
  <c r="BT321" i="7"/>
  <c r="S321" i="7"/>
  <c r="R321" i="7"/>
  <c r="BB321" i="7"/>
  <c r="BC321" i="7"/>
  <c r="BT355" i="7"/>
  <c r="BU355" i="7"/>
  <c r="AJ355" i="7"/>
  <c r="AL355" i="7"/>
  <c r="AK355" i="7"/>
  <c r="S355" i="7"/>
  <c r="R355" i="7"/>
  <c r="BB355" i="7"/>
  <c r="BC355" i="7"/>
  <c r="BC103" i="7"/>
  <c r="BB103" i="7"/>
  <c r="BU103" i="7"/>
  <c r="BT103" i="7"/>
  <c r="AL103" i="7"/>
  <c r="AK103" i="7"/>
  <c r="AJ103" i="7"/>
  <c r="S103" i="7"/>
  <c r="R103" i="7"/>
  <c r="BB386" i="7"/>
  <c r="BC386" i="7"/>
  <c r="BT386" i="7"/>
  <c r="BV386" i="7"/>
  <c r="BU386" i="7"/>
  <c r="AJ386" i="7"/>
  <c r="AL386" i="7"/>
  <c r="AK386" i="7"/>
  <c r="S386" i="7"/>
  <c r="R386" i="7"/>
  <c r="T386" i="7"/>
  <c r="BU338" i="7"/>
  <c r="BT338" i="7"/>
  <c r="AK338" i="7"/>
  <c r="AJ338" i="7"/>
  <c r="AL338" i="7"/>
  <c r="S338" i="7"/>
  <c r="R338" i="7"/>
  <c r="T338" i="7"/>
  <c r="BB338" i="7"/>
  <c r="BD338" i="7"/>
  <c r="BC338" i="7"/>
  <c r="BT316" i="7"/>
  <c r="BU316" i="7"/>
  <c r="S316" i="7"/>
  <c r="R316" i="7"/>
  <c r="AJ316" i="7"/>
  <c r="AL316" i="7"/>
  <c r="AK316" i="7"/>
  <c r="BC316" i="7"/>
  <c r="BB316" i="7"/>
  <c r="BU341" i="7"/>
  <c r="BT341" i="7"/>
  <c r="BV341" i="7"/>
  <c r="BC341" i="7"/>
  <c r="BB341" i="7"/>
  <c r="BD341" i="7"/>
  <c r="R341" i="7"/>
  <c r="T341" i="7"/>
  <c r="S341" i="7"/>
  <c r="AK341" i="7"/>
  <c r="AJ341" i="7"/>
  <c r="AL341" i="7"/>
  <c r="AJ20" i="7"/>
  <c r="AL20" i="7"/>
  <c r="AK20" i="7"/>
  <c r="BC20" i="7"/>
  <c r="BB20" i="7"/>
  <c r="BD20" i="7"/>
  <c r="BU20" i="7"/>
  <c r="BT20" i="7"/>
  <c r="S20" i="7"/>
  <c r="R20" i="7"/>
  <c r="R21" i="7"/>
  <c r="S21" i="7"/>
  <c r="AL21" i="7"/>
  <c r="AK21" i="7"/>
  <c r="AJ21" i="7"/>
  <c r="BU21" i="7"/>
  <c r="BT21" i="7"/>
  <c r="BB21" i="7"/>
  <c r="BC21" i="7"/>
  <c r="BU38" i="7"/>
  <c r="BT38" i="7"/>
  <c r="AK38" i="7"/>
  <c r="AJ38" i="7"/>
  <c r="AL38" i="7"/>
  <c r="S38" i="7"/>
  <c r="R38" i="7"/>
  <c r="BC38" i="7"/>
  <c r="BB38" i="7"/>
  <c r="S184" i="7"/>
  <c r="R184" i="7"/>
  <c r="BC184" i="7"/>
  <c r="BB184" i="7"/>
  <c r="AL184" i="7"/>
  <c r="AK184" i="7"/>
  <c r="AJ184" i="7"/>
  <c r="BU184" i="7"/>
  <c r="BT184" i="7"/>
  <c r="BB329" i="7"/>
  <c r="BD329" i="7"/>
  <c r="BC329" i="7"/>
  <c r="S329" i="7"/>
  <c r="R329" i="7"/>
  <c r="T329" i="7"/>
  <c r="AJ329" i="7"/>
  <c r="AL329" i="7"/>
  <c r="AK329" i="7"/>
  <c r="BT329" i="7"/>
  <c r="BU329" i="7"/>
  <c r="S353" i="7"/>
  <c r="R353" i="7"/>
  <c r="AJ353" i="7"/>
  <c r="AL353" i="7"/>
  <c r="AK353" i="7"/>
  <c r="BC353" i="7"/>
  <c r="BB353" i="7"/>
  <c r="BU353" i="7"/>
  <c r="BT353" i="7"/>
  <c r="BC201" i="7"/>
  <c r="BB201" i="7"/>
  <c r="BD201" i="7"/>
  <c r="AK201" i="7"/>
  <c r="AJ201" i="7"/>
  <c r="AL201" i="7"/>
  <c r="S201" i="7"/>
  <c r="R201" i="7"/>
  <c r="BU201" i="7"/>
  <c r="BT201" i="7"/>
  <c r="BV201" i="7"/>
  <c r="S40" i="7"/>
  <c r="R40" i="7"/>
  <c r="AK40" i="7"/>
  <c r="AJ40" i="7"/>
  <c r="AL40" i="7"/>
  <c r="BC40" i="7"/>
  <c r="BB40" i="7"/>
  <c r="BU40" i="7"/>
  <c r="BT40" i="7"/>
  <c r="BV40" i="7"/>
  <c r="S261" i="7"/>
  <c r="R261" i="7"/>
  <c r="AJ261" i="7"/>
  <c r="AL261" i="7"/>
  <c r="AK261" i="7"/>
  <c r="BT261" i="7"/>
  <c r="BU261" i="7"/>
  <c r="BB261" i="7"/>
  <c r="BC261" i="7"/>
  <c r="BB16" i="7"/>
  <c r="BC16" i="7"/>
  <c r="BU16" i="7"/>
  <c r="BT16" i="7"/>
  <c r="R16" i="7"/>
  <c r="S16" i="7"/>
  <c r="AK16" i="7"/>
  <c r="AJ16" i="7"/>
  <c r="AL16" i="7"/>
  <c r="BU314" i="7"/>
  <c r="BT314" i="7"/>
  <c r="S314" i="7"/>
  <c r="R314" i="7"/>
  <c r="AJ314" i="7"/>
  <c r="AL314" i="7"/>
  <c r="AK314" i="7"/>
  <c r="BC314" i="7"/>
  <c r="BB314" i="7"/>
  <c r="BU18" i="7"/>
  <c r="BT18" i="7"/>
  <c r="BV18" i="7"/>
  <c r="S18" i="7"/>
  <c r="R18" i="7"/>
  <c r="AK18" i="7"/>
  <c r="AJ18" i="7"/>
  <c r="AL18" i="7"/>
  <c r="BB18" i="7"/>
  <c r="BC18" i="7"/>
  <c r="S378" i="7"/>
  <c r="R378" i="7"/>
  <c r="AJ378" i="7"/>
  <c r="AL378" i="7"/>
  <c r="AK378" i="7"/>
  <c r="BB378" i="7"/>
  <c r="BC378" i="7"/>
  <c r="BT378" i="7"/>
  <c r="BU378" i="7"/>
  <c r="AK19" i="7"/>
  <c r="AJ19" i="7"/>
  <c r="AL19" i="7"/>
  <c r="R19" i="7"/>
  <c r="S19" i="7"/>
  <c r="BC19" i="7"/>
  <c r="BB19" i="7"/>
  <c r="BU19" i="7"/>
  <c r="BT19" i="7"/>
  <c r="BT220" i="7"/>
  <c r="BV220" i="7"/>
  <c r="BU220" i="7"/>
  <c r="S220" i="7"/>
  <c r="R220" i="7"/>
  <c r="T220" i="7"/>
  <c r="BB220" i="7"/>
  <c r="BD220" i="7"/>
  <c r="BC220" i="7"/>
  <c r="AJ220" i="7"/>
  <c r="AL220" i="7"/>
  <c r="AK220" i="7"/>
  <c r="AK326" i="7"/>
  <c r="AJ326" i="7"/>
  <c r="AL326" i="7"/>
  <c r="BB326" i="7"/>
  <c r="BD326" i="7"/>
  <c r="BC326" i="7"/>
  <c r="BU326" i="7"/>
  <c r="BT326" i="7"/>
  <c r="S326" i="7"/>
  <c r="R326" i="7"/>
  <c r="T326" i="7"/>
  <c r="BT39" i="7"/>
  <c r="BU39" i="7"/>
  <c r="BC39" i="7"/>
  <c r="BB39" i="7"/>
  <c r="S39" i="7"/>
  <c r="R39" i="7"/>
  <c r="AL39" i="7"/>
  <c r="AK39" i="7"/>
  <c r="AJ39" i="7"/>
  <c r="AK286" i="7"/>
  <c r="AJ286" i="7"/>
  <c r="AL286" i="7"/>
  <c r="BU286" i="7"/>
  <c r="BT286" i="7"/>
  <c r="S286" i="7"/>
  <c r="R286" i="7"/>
  <c r="T286" i="7"/>
  <c r="BB286" i="7"/>
  <c r="BC286" i="7"/>
  <c r="AK291" i="7"/>
  <c r="AJ291" i="7"/>
  <c r="AL291" i="7"/>
  <c r="S291" i="7"/>
  <c r="R291" i="7"/>
  <c r="BT291" i="7"/>
  <c r="BU291" i="7"/>
  <c r="BC291" i="7"/>
  <c r="BB291" i="7"/>
  <c r="AK153" i="7"/>
  <c r="AJ153" i="7"/>
  <c r="AL153" i="7"/>
  <c r="BU153" i="7"/>
  <c r="BT153" i="7"/>
  <c r="BB153" i="7"/>
  <c r="BC153" i="7"/>
  <c r="S153" i="7"/>
  <c r="R153" i="7"/>
  <c r="AK25" i="7"/>
  <c r="AJ25" i="7"/>
  <c r="AL25" i="7"/>
  <c r="BB25" i="7"/>
  <c r="BC25" i="7"/>
  <c r="S25" i="7"/>
  <c r="R25" i="7"/>
  <c r="BU25" i="7"/>
  <c r="BT25" i="7"/>
  <c r="S126" i="7"/>
  <c r="R126" i="7"/>
  <c r="BU126" i="7"/>
  <c r="BT126" i="7"/>
  <c r="BC126" i="7"/>
  <c r="BB126" i="7"/>
  <c r="AK126" i="7"/>
  <c r="AJ126" i="7"/>
  <c r="AL126" i="7"/>
  <c r="BC24" i="7"/>
  <c r="BB24" i="7"/>
  <c r="AL24" i="7"/>
  <c r="AJ24" i="7"/>
  <c r="AK24" i="7"/>
  <c r="BT24" i="7"/>
  <c r="BU24" i="7"/>
  <c r="S24" i="7"/>
  <c r="R24" i="7"/>
  <c r="S101" i="7"/>
  <c r="R101" i="7"/>
  <c r="T101" i="7"/>
  <c r="BB101" i="7"/>
  <c r="BD101" i="7"/>
  <c r="BC101" i="7"/>
  <c r="BU101" i="7"/>
  <c r="BT101" i="7"/>
  <c r="BV101" i="7"/>
  <c r="AJ101" i="7"/>
  <c r="AL101" i="7"/>
  <c r="AK101" i="7"/>
  <c r="AK289" i="7"/>
  <c r="AJ289" i="7"/>
  <c r="AL289" i="7"/>
  <c r="BC289" i="7"/>
  <c r="BB289" i="7"/>
  <c r="BD289" i="7"/>
  <c r="BU289" i="7"/>
  <c r="BT289" i="7"/>
  <c r="BV289" i="7"/>
  <c r="S289" i="7"/>
  <c r="R289" i="7"/>
  <c r="T289" i="7"/>
  <c r="BT131" i="7"/>
  <c r="BU131" i="7"/>
  <c r="S131" i="7"/>
  <c r="R131" i="7"/>
  <c r="T131" i="7"/>
  <c r="BB131" i="7"/>
  <c r="BC131" i="7"/>
  <c r="AK131" i="7"/>
  <c r="AJ131" i="7"/>
  <c r="AL131" i="7"/>
  <c r="AK251" i="7"/>
  <c r="AJ251" i="7"/>
  <c r="AL251" i="7"/>
  <c r="BT251" i="7"/>
  <c r="BV251" i="7"/>
  <c r="BU251" i="7"/>
  <c r="S251" i="7"/>
  <c r="R251" i="7"/>
  <c r="BC251" i="7"/>
  <c r="BB251" i="7"/>
  <c r="BD251" i="7"/>
  <c r="AJ269" i="7"/>
  <c r="AL269" i="7"/>
  <c r="AK269" i="7"/>
  <c r="BU269" i="7"/>
  <c r="BT269" i="7"/>
  <c r="BB269" i="7"/>
  <c r="BC269" i="7"/>
  <c r="S269" i="7"/>
  <c r="R269" i="7"/>
  <c r="BT282" i="7"/>
  <c r="BU282" i="7"/>
  <c r="AJ282" i="7"/>
  <c r="AL282" i="7"/>
  <c r="AK282" i="7"/>
  <c r="BC282" i="7"/>
  <c r="BB282" i="7"/>
  <c r="S282" i="7"/>
  <c r="R282" i="7"/>
  <c r="AK345" i="7"/>
  <c r="AJ345" i="7"/>
  <c r="AL345" i="7"/>
  <c r="BU345" i="7"/>
  <c r="BT345" i="7"/>
  <c r="BV345" i="7"/>
  <c r="S345" i="7"/>
  <c r="R345" i="7"/>
  <c r="T345" i="7"/>
  <c r="BC345" i="7"/>
  <c r="BB345" i="7"/>
  <c r="BD345" i="7"/>
  <c r="BC288" i="7"/>
  <c r="BB288" i="7"/>
  <c r="BD288" i="7"/>
  <c r="S288" i="7"/>
  <c r="R288" i="7"/>
  <c r="AK288" i="7"/>
  <c r="AJ288" i="7"/>
  <c r="AL288" i="7"/>
  <c r="BT288" i="7"/>
  <c r="BV288" i="7"/>
  <c r="BU288" i="7"/>
  <c r="BU305" i="7"/>
  <c r="BT305" i="7"/>
  <c r="AK305" i="7"/>
  <c r="AJ305" i="7"/>
  <c r="AL305" i="7"/>
  <c r="S305" i="7"/>
  <c r="R305" i="7"/>
  <c r="BB305" i="7"/>
  <c r="BC305" i="7"/>
  <c r="S307" i="7"/>
  <c r="R307" i="7"/>
  <c r="BU307" i="7"/>
  <c r="BT307" i="7"/>
  <c r="AK307" i="7"/>
  <c r="AJ307" i="7"/>
  <c r="AL307" i="7"/>
  <c r="BC307" i="7"/>
  <c r="BB307" i="7"/>
  <c r="BU284" i="7"/>
  <c r="BT284" i="7"/>
  <c r="AJ284" i="7"/>
  <c r="AL284" i="7"/>
  <c r="AK284" i="7"/>
  <c r="S284" i="7"/>
  <c r="R284" i="7"/>
  <c r="BC284" i="7"/>
  <c r="BB284" i="7"/>
  <c r="S323" i="7"/>
  <c r="R323" i="7"/>
  <c r="T323" i="7"/>
  <c r="AK323" i="7"/>
  <c r="AJ323" i="7"/>
  <c r="AL323" i="7"/>
  <c r="BC323" i="7"/>
  <c r="BB323" i="7"/>
  <c r="BU323" i="7"/>
  <c r="BT323" i="7"/>
  <c r="BV323" i="7"/>
  <c r="S211" i="7"/>
  <c r="R211" i="7"/>
  <c r="T211" i="7"/>
  <c r="AK211" i="7"/>
  <c r="AJ211" i="7"/>
  <c r="AL211" i="7"/>
  <c r="BC211" i="7"/>
  <c r="BB211" i="7"/>
  <c r="BU211" i="7"/>
  <c r="BT211" i="7"/>
  <c r="BV211" i="7"/>
  <c r="BB292" i="7"/>
  <c r="BC292" i="7"/>
  <c r="AJ292" i="7"/>
  <c r="AL292" i="7"/>
  <c r="AK292" i="7"/>
  <c r="BT292" i="7"/>
  <c r="BU292" i="7"/>
  <c r="S292" i="7"/>
  <c r="R292" i="7"/>
  <c r="S393" i="7"/>
  <c r="R393" i="7"/>
  <c r="T393" i="7"/>
  <c r="AK393" i="7"/>
  <c r="AJ393" i="7"/>
  <c r="AL393" i="7"/>
  <c r="BC393" i="7"/>
  <c r="BB393" i="7"/>
  <c r="BD393" i="7"/>
  <c r="BU393" i="7"/>
  <c r="BT393" i="7"/>
  <c r="BV393" i="7"/>
  <c r="S113" i="7"/>
  <c r="R113" i="7"/>
  <c r="T113" i="7"/>
  <c r="BB113" i="7"/>
  <c r="BC113" i="7"/>
  <c r="AJ113" i="7"/>
  <c r="AL113" i="7"/>
  <c r="AK113" i="7"/>
  <c r="BT113" i="7"/>
  <c r="BV113" i="7"/>
  <c r="BU113" i="7"/>
  <c r="BU258" i="7"/>
  <c r="BT258" i="7"/>
  <c r="BV258" i="7"/>
  <c r="AK258" i="7"/>
  <c r="AJ258" i="7"/>
  <c r="AL258" i="7"/>
  <c r="S258" i="7"/>
  <c r="R258" i="7"/>
  <c r="T258" i="7"/>
  <c r="BC258" i="7"/>
  <c r="BB258" i="7"/>
  <c r="BD258" i="7"/>
  <c r="AJ358" i="7"/>
  <c r="AL358" i="7"/>
  <c r="AK358" i="7"/>
  <c r="BC358" i="7"/>
  <c r="BB358" i="7"/>
  <c r="BU358" i="7"/>
  <c r="BT358" i="7"/>
  <c r="S358" i="7"/>
  <c r="R358" i="7"/>
  <c r="S390" i="7"/>
  <c r="R390" i="7"/>
  <c r="T390" i="7"/>
  <c r="AK390" i="7"/>
  <c r="AJ390" i="7"/>
  <c r="AL390" i="7"/>
  <c r="BC390" i="7"/>
  <c r="BB390" i="7"/>
  <c r="BD390" i="7"/>
  <c r="BU390" i="7"/>
  <c r="BT390" i="7"/>
  <c r="BV390" i="7"/>
  <c r="BT264" i="7"/>
  <c r="BU264" i="7"/>
  <c r="AK264" i="7"/>
  <c r="AJ264" i="7"/>
  <c r="AL264" i="7"/>
  <c r="S264" i="7"/>
  <c r="R264" i="7"/>
  <c r="BC264" i="7"/>
  <c r="BB264" i="7"/>
  <c r="BU301" i="7"/>
  <c r="BT301" i="7"/>
  <c r="S301" i="7"/>
  <c r="R301" i="7"/>
  <c r="AJ301" i="7"/>
  <c r="AL301" i="7"/>
  <c r="AK301" i="7"/>
  <c r="BB301" i="7"/>
  <c r="BC301" i="7"/>
  <c r="BT268" i="7"/>
  <c r="BU268" i="7"/>
  <c r="S268" i="7"/>
  <c r="R268" i="7"/>
  <c r="BB268" i="7"/>
  <c r="BC268" i="7"/>
  <c r="AJ268" i="7"/>
  <c r="AL268" i="7"/>
  <c r="AK268" i="7"/>
  <c r="S339" i="7"/>
  <c r="R339" i="7"/>
  <c r="T339" i="7"/>
  <c r="BB339" i="7"/>
  <c r="BD339" i="7"/>
  <c r="BC339" i="7"/>
  <c r="BU339" i="7"/>
  <c r="BT339" i="7"/>
  <c r="BV339" i="7"/>
  <c r="AK339" i="7"/>
  <c r="AJ339" i="7"/>
  <c r="AL339" i="7"/>
  <c r="BB259" i="7"/>
  <c r="BC259" i="7"/>
  <c r="BU259" i="7"/>
  <c r="BT259" i="7"/>
  <c r="AJ259" i="7"/>
  <c r="AL259" i="7"/>
  <c r="AK259" i="7"/>
  <c r="S259" i="7"/>
  <c r="R259" i="7"/>
  <c r="BU149" i="7"/>
  <c r="BT149" i="7"/>
  <c r="BV149" i="7"/>
  <c r="AK149" i="7"/>
  <c r="AJ149" i="7"/>
  <c r="AL149" i="7"/>
  <c r="S149" i="7"/>
  <c r="R149" i="7"/>
  <c r="T149" i="7"/>
  <c r="BB149" i="7"/>
  <c r="BC149" i="7"/>
  <c r="AJ272" i="7"/>
  <c r="AL272" i="7"/>
  <c r="AK272" i="7"/>
  <c r="BC272" i="7"/>
  <c r="BB272" i="7"/>
  <c r="BU272" i="7"/>
  <c r="BT272" i="7"/>
  <c r="S272" i="7"/>
  <c r="R272" i="7"/>
  <c r="AK319" i="7"/>
  <c r="AJ319" i="7"/>
  <c r="AL319" i="7"/>
  <c r="S319" i="7"/>
  <c r="R319" i="7"/>
  <c r="T319" i="7"/>
  <c r="BU319" i="7"/>
  <c r="BT319" i="7"/>
  <c r="BC319" i="7"/>
  <c r="BB319" i="7"/>
  <c r="BD319" i="7"/>
  <c r="AK287" i="7"/>
  <c r="AJ287" i="7"/>
  <c r="AL287" i="7"/>
  <c r="S287" i="7"/>
  <c r="R287" i="7"/>
  <c r="T287" i="7"/>
  <c r="BU287" i="7"/>
  <c r="BT287" i="7"/>
  <c r="BV287" i="7"/>
  <c r="BC287" i="7"/>
  <c r="BB287" i="7"/>
  <c r="BD287" i="7"/>
  <c r="AK223" i="7"/>
  <c r="AJ223" i="7"/>
  <c r="AL223" i="7"/>
  <c r="S223" i="7"/>
  <c r="R223" i="7"/>
  <c r="T223" i="7"/>
  <c r="BB223" i="7"/>
  <c r="BD223" i="7"/>
  <c r="BC223" i="7"/>
  <c r="BU223" i="7"/>
  <c r="BT223" i="7"/>
  <c r="BV223" i="7"/>
  <c r="S360" i="7"/>
  <c r="R360" i="7"/>
  <c r="BC360" i="7"/>
  <c r="BB360" i="7"/>
  <c r="BD360" i="7"/>
  <c r="BU360" i="7"/>
  <c r="BT360" i="7"/>
  <c r="AK360" i="7"/>
  <c r="AJ360" i="7"/>
  <c r="AL360" i="7"/>
  <c r="BB255" i="7"/>
  <c r="BC255" i="7"/>
  <c r="S255" i="7"/>
  <c r="R255" i="7"/>
  <c r="AJ255" i="7"/>
  <c r="AL255" i="7"/>
  <c r="AK255" i="7"/>
  <c r="BU255" i="7"/>
  <c r="BT255" i="7"/>
  <c r="BT117" i="7"/>
  <c r="BU117" i="7"/>
  <c r="BB117" i="7"/>
  <c r="BC117" i="7"/>
  <c r="S117" i="7"/>
  <c r="R117" i="7"/>
  <c r="AJ117" i="7"/>
  <c r="AL117" i="7"/>
  <c r="AK117" i="7"/>
  <c r="S35" i="7"/>
  <c r="R35" i="7"/>
  <c r="AK35" i="7"/>
  <c r="AJ35" i="7"/>
  <c r="AL35" i="7"/>
  <c r="BU35" i="7"/>
  <c r="BT35" i="7"/>
  <c r="BC35" i="7"/>
  <c r="BB35" i="7"/>
  <c r="AJ318" i="7"/>
  <c r="AL318" i="7"/>
  <c r="AK318" i="7"/>
  <c r="BT318" i="7"/>
  <c r="BV318" i="7"/>
  <c r="BU318" i="7"/>
  <c r="BB318" i="7"/>
  <c r="BC318" i="7"/>
  <c r="S318" i="7"/>
  <c r="R318" i="7"/>
  <c r="T318" i="7"/>
  <c r="BU334" i="7"/>
  <c r="BT334" i="7"/>
  <c r="S334" i="7"/>
  <c r="R334" i="7"/>
  <c r="AK334" i="7"/>
  <c r="AJ334" i="7"/>
  <c r="AL334" i="7"/>
  <c r="BB334" i="7"/>
  <c r="BC334" i="7"/>
  <c r="S356" i="7"/>
  <c r="R356" i="7"/>
  <c r="T356" i="7"/>
  <c r="BB356" i="7"/>
  <c r="BC356" i="7"/>
  <c r="BU356" i="7"/>
  <c r="BT356" i="7"/>
  <c r="BV356" i="7"/>
  <c r="AJ356" i="7"/>
  <c r="AL356" i="7"/>
  <c r="AK356" i="7"/>
  <c r="AJ351" i="7"/>
  <c r="AL351" i="7"/>
  <c r="AK351" i="7"/>
  <c r="BU351" i="7"/>
  <c r="BT351" i="7"/>
  <c r="BV351" i="7"/>
  <c r="BC351" i="7"/>
  <c r="BB351" i="7"/>
  <c r="BD351" i="7"/>
  <c r="R351" i="7"/>
  <c r="T351" i="7"/>
  <c r="S351" i="7"/>
  <c r="BT328" i="7"/>
  <c r="BU328" i="7"/>
  <c r="S328" i="7"/>
  <c r="R328" i="7"/>
  <c r="AJ328" i="7"/>
  <c r="AL328" i="7"/>
  <c r="AK328" i="7"/>
  <c r="BC328" i="7"/>
  <c r="BB328" i="7"/>
  <c r="AK45" i="7"/>
  <c r="AJ45" i="7"/>
  <c r="AL45" i="7"/>
  <c r="BB45" i="7"/>
  <c r="BC45" i="7"/>
  <c r="BU45" i="7"/>
  <c r="BT45" i="7"/>
  <c r="S45" i="7"/>
  <c r="R45" i="7"/>
  <c r="T45" i="7"/>
  <c r="BC327" i="7"/>
  <c r="BB327" i="7"/>
  <c r="AJ327" i="7"/>
  <c r="AL327" i="7"/>
  <c r="AK327" i="7"/>
  <c r="BU327" i="7"/>
  <c r="BT327" i="7"/>
  <c r="S327" i="7"/>
  <c r="R327" i="7"/>
  <c r="BU306" i="7"/>
  <c r="BT306" i="7"/>
  <c r="AK306" i="7"/>
  <c r="AJ306" i="7"/>
  <c r="AL306" i="7"/>
  <c r="S306" i="7"/>
  <c r="R306" i="7"/>
  <c r="T306" i="7"/>
  <c r="BB306" i="7"/>
  <c r="BD306" i="7"/>
  <c r="BC306" i="7"/>
  <c r="BB348" i="7"/>
  <c r="BC348" i="7"/>
  <c r="AJ348" i="7"/>
  <c r="AL348" i="7"/>
  <c r="AK348" i="7"/>
  <c r="S348" i="7"/>
  <c r="R348" i="7"/>
  <c r="T348" i="7"/>
  <c r="BT348" i="7"/>
  <c r="BU348" i="7"/>
  <c r="BB32" i="7"/>
  <c r="BD32" i="7"/>
  <c r="BC32" i="7"/>
  <c r="S32" i="7"/>
  <c r="R32" i="7"/>
  <c r="T32" i="7"/>
  <c r="AK32" i="7"/>
  <c r="AJ32" i="7"/>
  <c r="AL32" i="7"/>
  <c r="BU32" i="7"/>
  <c r="BT32" i="7"/>
  <c r="BV32" i="7"/>
  <c r="AK210" i="7"/>
  <c r="AJ210" i="7"/>
  <c r="AL210" i="7"/>
  <c r="BU210" i="7"/>
  <c r="BT210" i="7"/>
  <c r="BV210" i="7"/>
  <c r="S210" i="7"/>
  <c r="R210" i="7"/>
  <c r="T210" i="7"/>
  <c r="BC210" i="7"/>
  <c r="BB210" i="7"/>
  <c r="S381" i="7"/>
  <c r="R381" i="7"/>
  <c r="T381" i="7"/>
  <c r="BC381" i="7"/>
  <c r="BB381" i="7"/>
  <c r="BD381" i="7"/>
  <c r="BU381" i="7"/>
  <c r="BT381" i="7"/>
  <c r="BV381" i="7"/>
  <c r="AK381" i="7"/>
  <c r="AJ381" i="7"/>
  <c r="AL381" i="7"/>
  <c r="S377" i="7"/>
  <c r="R377" i="7"/>
  <c r="T377" i="7"/>
  <c r="AJ377" i="7"/>
  <c r="AL377" i="7"/>
  <c r="AK377" i="7"/>
  <c r="BC377" i="7"/>
  <c r="BB377" i="7"/>
  <c r="BD377" i="7"/>
  <c r="BT377" i="7"/>
  <c r="BV377" i="7"/>
  <c r="BU377" i="7"/>
  <c r="S315" i="7"/>
  <c r="R315" i="7"/>
  <c r="AK315" i="7"/>
  <c r="AJ315" i="7"/>
  <c r="AL315" i="7"/>
  <c r="BU315" i="7"/>
  <c r="BT315" i="7"/>
  <c r="BC315" i="7"/>
  <c r="BB315" i="7"/>
  <c r="S233" i="7"/>
  <c r="R233" i="7"/>
  <c r="T233" i="7"/>
  <c r="BC233" i="7"/>
  <c r="BB233" i="7"/>
  <c r="BD233" i="7"/>
  <c r="AK233" i="7"/>
  <c r="AJ233" i="7"/>
  <c r="AL233" i="7"/>
  <c r="BU233" i="7"/>
  <c r="BT233" i="7"/>
  <c r="BV233" i="7"/>
  <c r="AK310" i="7"/>
  <c r="AJ310" i="7"/>
  <c r="AL310" i="7"/>
  <c r="BU310" i="7"/>
  <c r="BT310" i="7"/>
  <c r="BB310" i="7"/>
  <c r="BC310" i="7"/>
  <c r="S310" i="7"/>
  <c r="R310" i="7"/>
  <c r="BC324" i="7"/>
  <c r="BB324" i="7"/>
  <c r="BD324" i="7"/>
  <c r="BT324" i="7"/>
  <c r="BV324" i="7"/>
  <c r="BU324" i="7"/>
  <c r="S324" i="7"/>
  <c r="R324" i="7"/>
  <c r="T324" i="7"/>
  <c r="AK324" i="7"/>
  <c r="AJ324" i="7"/>
  <c r="AL324" i="7"/>
  <c r="S248" i="7"/>
  <c r="R248" i="7"/>
  <c r="BC248" i="7"/>
  <c r="BB248" i="7"/>
  <c r="BD248" i="7"/>
  <c r="AK248" i="7"/>
  <c r="AJ248" i="7"/>
  <c r="AL248" i="7"/>
  <c r="BU248" i="7"/>
  <c r="BT248" i="7"/>
  <c r="BV248" i="7"/>
  <c r="BB337" i="7"/>
  <c r="BC337" i="7"/>
  <c r="S337" i="7"/>
  <c r="R337" i="7"/>
  <c r="AJ337" i="7"/>
  <c r="AL337" i="7"/>
  <c r="AK337" i="7"/>
  <c r="BT337" i="7"/>
  <c r="BU337" i="7"/>
  <c r="BU23" i="7"/>
  <c r="BT23" i="7"/>
  <c r="S23" i="7"/>
  <c r="R23" i="7"/>
  <c r="AK23" i="7"/>
  <c r="AJ23" i="7"/>
  <c r="AL23" i="7"/>
  <c r="BC23" i="7"/>
  <c r="BB23" i="7"/>
  <c r="BU335" i="7"/>
  <c r="BT335" i="7"/>
  <c r="BV335" i="7"/>
  <c r="BC335" i="7"/>
  <c r="BB335" i="7"/>
  <c r="BD335" i="7"/>
  <c r="S335" i="7"/>
  <c r="R335" i="7"/>
  <c r="AK335" i="7"/>
  <c r="AJ335" i="7"/>
  <c r="AL335" i="7"/>
  <c r="BU133" i="7"/>
  <c r="BT133" i="7"/>
  <c r="S133" i="7"/>
  <c r="R133" i="7"/>
  <c r="AK133" i="7"/>
  <c r="AJ133" i="7"/>
  <c r="AL133" i="7"/>
  <c r="BC133" i="7"/>
  <c r="BB133" i="7"/>
  <c r="S276" i="7"/>
  <c r="R276" i="7"/>
  <c r="BT276" i="7"/>
  <c r="BU276" i="7"/>
  <c r="AJ276" i="7"/>
  <c r="AL276" i="7"/>
  <c r="AK276" i="7"/>
  <c r="BB276" i="7"/>
  <c r="BC276" i="7"/>
  <c r="BU247" i="7"/>
  <c r="BT247" i="7"/>
  <c r="S247" i="7"/>
  <c r="R247" i="7"/>
  <c r="BC247" i="7"/>
  <c r="BB247" i="7"/>
  <c r="AJ247" i="7"/>
  <c r="AL247" i="7"/>
  <c r="AK247" i="7"/>
  <c r="AJ270" i="7"/>
  <c r="AL270" i="7"/>
  <c r="AK270" i="7"/>
  <c r="S270" i="7"/>
  <c r="R270" i="7"/>
  <c r="BB270" i="7"/>
  <c r="BC270" i="7"/>
  <c r="BU270" i="7"/>
  <c r="BT270" i="7"/>
  <c r="S37" i="7"/>
  <c r="R37" i="7"/>
  <c r="BB37" i="7"/>
  <c r="BC37" i="7"/>
  <c r="AL37" i="7"/>
  <c r="AK37" i="7"/>
  <c r="AJ37" i="7"/>
  <c r="BU37" i="7"/>
  <c r="BT37" i="7"/>
  <c r="AJ299" i="7"/>
  <c r="AL299" i="7"/>
  <c r="AK299" i="7"/>
  <c r="BC299" i="7"/>
  <c r="BB299" i="7"/>
  <c r="BD299" i="7"/>
  <c r="BT299" i="7"/>
  <c r="BV299" i="7"/>
  <c r="BU299" i="7"/>
  <c r="S299" i="7"/>
  <c r="R299" i="7"/>
  <c r="T299" i="7"/>
  <c r="S34" i="7"/>
  <c r="R34" i="7"/>
  <c r="BC34" i="7"/>
  <c r="BB34" i="7"/>
  <c r="BD34" i="7"/>
  <c r="BU34" i="7"/>
  <c r="BT34" i="7"/>
  <c r="BV34" i="7"/>
  <c r="AK34" i="7"/>
  <c r="AJ34" i="7"/>
  <c r="AL34" i="7"/>
  <c r="AL281" i="7"/>
  <c r="AK281" i="7"/>
  <c r="BC66" i="7"/>
  <c r="BB66" i="7"/>
  <c r="BD66" i="7"/>
  <c r="S66" i="7"/>
  <c r="R66" i="7"/>
  <c r="T66" i="7"/>
  <c r="AK66" i="7"/>
  <c r="AJ66" i="7"/>
  <c r="AL66" i="7"/>
  <c r="BU66" i="7"/>
  <c r="BT66" i="7"/>
  <c r="BU394" i="7"/>
  <c r="BT394" i="7"/>
  <c r="BV394" i="7"/>
  <c r="AJ394" i="7"/>
  <c r="AL394" i="7"/>
  <c r="AK394" i="7"/>
  <c r="S394" i="7"/>
  <c r="R394" i="7"/>
  <c r="T394" i="7"/>
  <c r="BB394" i="7"/>
  <c r="BD394" i="7"/>
  <c r="BC394" i="7"/>
  <c r="BC240" i="7"/>
  <c r="BB240" i="7"/>
  <c r="BU240" i="7"/>
  <c r="BT240" i="7"/>
  <c r="BV240" i="7"/>
  <c r="S240" i="7"/>
  <c r="R240" i="7"/>
  <c r="AK240" i="7"/>
  <c r="AJ240" i="7"/>
  <c r="AL240" i="7"/>
  <c r="BB325" i="7"/>
  <c r="BD325" i="7"/>
  <c r="BC325" i="7"/>
  <c r="S325" i="7"/>
  <c r="R325" i="7"/>
  <c r="T325" i="7"/>
  <c r="AK325" i="7"/>
  <c r="AJ325" i="7"/>
  <c r="AL325" i="7"/>
  <c r="BU325" i="7"/>
  <c r="BT325" i="7"/>
  <c r="BV325" i="7"/>
  <c r="T17" i="6"/>
  <c r="Q19" i="6"/>
  <c r="S18" i="6"/>
  <c r="R18" i="6"/>
  <c r="BF320" i="7"/>
  <c r="BX320" i="7"/>
  <c r="BY320" i="7" a="1"/>
  <c r="BD67" i="7"/>
  <c r="BE67" i="7"/>
  <c r="BD109" i="7"/>
  <c r="BE109" i="7"/>
  <c r="BE346" i="7"/>
  <c r="BE55" i="7"/>
  <c r="BD54" i="7"/>
  <c r="BE54" i="7"/>
  <c r="BE228" i="7"/>
  <c r="BD228" i="7"/>
  <c r="BE49" i="7"/>
  <c r="U15" i="7"/>
  <c r="T15" i="7"/>
  <c r="U100" i="7"/>
  <c r="BE95" i="7"/>
  <c r="BD95" i="7"/>
  <c r="BD31" i="7"/>
  <c r="BE31" i="7"/>
  <c r="BE53" i="7"/>
  <c r="BD53" i="7"/>
  <c r="BE62" i="7"/>
  <c r="BD62" i="7"/>
  <c r="BE93" i="7"/>
  <c r="BE32" i="7"/>
  <c r="BE248" i="7"/>
  <c r="BE88" i="7"/>
  <c r="BD88" i="7"/>
  <c r="BD50" i="7"/>
  <c r="BE50" i="7"/>
  <c r="BE59" i="7"/>
  <c r="BD59" i="7"/>
  <c r="BD84" i="7"/>
  <c r="BE84" i="7"/>
  <c r="BE311" i="7"/>
  <c r="BE83" i="7"/>
  <c r="BD83" i="7"/>
  <c r="BD303" i="7"/>
  <c r="BE303" i="7"/>
  <c r="BD207" i="7"/>
  <c r="BE207" i="7"/>
  <c r="BE34" i="7"/>
  <c r="BE327" i="7"/>
  <c r="BD327" i="7"/>
  <c r="BE85" i="7"/>
  <c r="BE337" i="7"/>
  <c r="BD337" i="7"/>
  <c r="BE104" i="7"/>
  <c r="BD136" i="7"/>
  <c r="BE136" i="7"/>
  <c r="BE74" i="7"/>
  <c r="BD74" i="7"/>
  <c r="BE342" i="7"/>
  <c r="BE263" i="7"/>
  <c r="BE180" i="7"/>
  <c r="BD180" i="7"/>
  <c r="BE44" i="7"/>
  <c r="BD44" i="7"/>
  <c r="BE71" i="7"/>
  <c r="BD71" i="7"/>
  <c r="BE127" i="7"/>
  <c r="BD127" i="7"/>
  <c r="BE102" i="7"/>
  <c r="AM15" i="7"/>
  <c r="AM20" i="7"/>
  <c r="AM101" i="7"/>
  <c r="AM310" i="7"/>
  <c r="AM272" i="7"/>
  <c r="AM298" i="7"/>
  <c r="AM99" i="7"/>
  <c r="AM167" i="7"/>
  <c r="AM323" i="7"/>
  <c r="AM350" i="7"/>
  <c r="AM69" i="7"/>
  <c r="AM251" i="7"/>
  <c r="AM290" i="7"/>
  <c r="AM68" i="7"/>
  <c r="AM202" i="7"/>
  <c r="AM289" i="7"/>
  <c r="AM326" i="7"/>
  <c r="AM216" i="7"/>
  <c r="AN320" i="7"/>
  <c r="AO320" i="7" a="1"/>
  <c r="BV67" i="7"/>
  <c r="BW67" i="7"/>
  <c r="BW63" i="7"/>
  <c r="BV63" i="7"/>
  <c r="BV65" i="7"/>
  <c r="BW65" i="7"/>
  <c r="BW346" i="7"/>
  <c r="BV89" i="7"/>
  <c r="BW89" i="7"/>
  <c r="BW62" i="7"/>
  <c r="BW55" i="7"/>
  <c r="BW348" i="7"/>
  <c r="BV54" i="7"/>
  <c r="BW54" i="7"/>
  <c r="BW61" i="7"/>
  <c r="BW86" i="7"/>
  <c r="BV86" i="7"/>
  <c r="BV84" i="7"/>
  <c r="BW84" i="7"/>
  <c r="BW49" i="7"/>
  <c r="BW303" i="7"/>
  <c r="BV303" i="7"/>
  <c r="BW34" i="7"/>
  <c r="BV163" i="7"/>
  <c r="BW163" i="7"/>
  <c r="BV159" i="7"/>
  <c r="BW159" i="7"/>
  <c r="BV133" i="7"/>
  <c r="BW133" i="7"/>
  <c r="BV327" i="7"/>
  <c r="BW327" i="7"/>
  <c r="BV259" i="7"/>
  <c r="BW259" i="7"/>
  <c r="BW185" i="7"/>
  <c r="BV185" i="7"/>
  <c r="BV152" i="7"/>
  <c r="BW152" i="7"/>
  <c r="BW215" i="7"/>
  <c r="BV215" i="7"/>
  <c r="BV347" i="7"/>
  <c r="BW347" i="7"/>
  <c r="BV11" i="7"/>
  <c r="BW11" i="7"/>
  <c r="BV191" i="7"/>
  <c r="BW191" i="7"/>
  <c r="BW77" i="7"/>
  <c r="BW332" i="7"/>
  <c r="BV180" i="7"/>
  <c r="BW180" i="7"/>
  <c r="BV162" i="7"/>
  <c r="BW162" i="7"/>
  <c r="BW325" i="7"/>
  <c r="BW390" i="7"/>
  <c r="BV172" i="7"/>
  <c r="BW172" i="7"/>
  <c r="BW132" i="7"/>
  <c r="BV132" i="7"/>
  <c r="BV8" i="7"/>
  <c r="BW8" i="7"/>
  <c r="BW71" i="7"/>
  <c r="BV71" i="7"/>
  <c r="BW244" i="7"/>
  <c r="BW240" i="7"/>
  <c r="BV322" i="7"/>
  <c r="BW322" i="7"/>
  <c r="BV122" i="7"/>
  <c r="BW122" i="7"/>
  <c r="BV116" i="7"/>
  <c r="BW116" i="7"/>
  <c r="BV188" i="7"/>
  <c r="BW188" i="7"/>
  <c r="BV123" i="7"/>
  <c r="BW123" i="7"/>
  <c r="BV319" i="7"/>
  <c r="BW319" i="7"/>
  <c r="BW299" i="7"/>
  <c r="BV190" i="7"/>
  <c r="BW190" i="7"/>
  <c r="BV187" i="7"/>
  <c r="BW187" i="7"/>
  <c r="BV182" i="7"/>
  <c r="BW182" i="7"/>
  <c r="BW378" i="7"/>
  <c r="BV125" i="7"/>
  <c r="BW125" i="7"/>
  <c r="BV148" i="7"/>
  <c r="BW148" i="7"/>
  <c r="BW134" i="7"/>
  <c r="BV134" i="7"/>
  <c r="BW161" i="7"/>
  <c r="BV161" i="7"/>
  <c r="BV177" i="7"/>
  <c r="BW177" i="7"/>
  <c r="BV286" i="7"/>
  <c r="BW286" i="7"/>
  <c r="BW225" i="7"/>
  <c r="BV225" i="7"/>
  <c r="BW219" i="7"/>
  <c r="BV219" i="7"/>
  <c r="BV153" i="7"/>
  <c r="BW153" i="7"/>
  <c r="BW138" i="7"/>
  <c r="BV138" i="7"/>
  <c r="BE351" i="7"/>
  <c r="BE101" i="7"/>
  <c r="BD183" i="7"/>
  <c r="BE183" i="7"/>
  <c r="BE70" i="7"/>
  <c r="BE33" i="7"/>
  <c r="BD310" i="7"/>
  <c r="BE310" i="7"/>
  <c r="BE324" i="7"/>
  <c r="BE99" i="7"/>
  <c r="BD114" i="7"/>
  <c r="BE114" i="7"/>
  <c r="BE143" i="7"/>
  <c r="BE255" i="7"/>
  <c r="BD255" i="7"/>
  <c r="BD40" i="7"/>
  <c r="BE40" i="7"/>
  <c r="BE175" i="7"/>
  <c r="BE289" i="7"/>
  <c r="BD196" i="7"/>
  <c r="BE196" i="7"/>
  <c r="BD218" i="7"/>
  <c r="BE218" i="7"/>
  <c r="BD291" i="7"/>
  <c r="BE291" i="7"/>
  <c r="BE9" i="7"/>
  <c r="BD9" i="7"/>
  <c r="U74" i="7"/>
  <c r="U263" i="7"/>
  <c r="U180" i="7"/>
  <c r="T180" i="7"/>
  <c r="U288" i="7"/>
  <c r="T288" i="7"/>
  <c r="T12" i="7"/>
  <c r="U12" i="7"/>
  <c r="T190" i="7"/>
  <c r="U190" i="7"/>
  <c r="U120" i="7"/>
  <c r="T120" i="7"/>
  <c r="U66" i="7"/>
  <c r="T17" i="7"/>
  <c r="U17" i="7"/>
  <c r="U267" i="7"/>
  <c r="T267" i="7"/>
  <c r="U322" i="7"/>
  <c r="T322" i="7"/>
  <c r="U287" i="7"/>
  <c r="T161" i="7"/>
  <c r="U161" i="7"/>
  <c r="U189" i="7"/>
  <c r="T189" i="7"/>
  <c r="U113" i="7"/>
  <c r="U339" i="7"/>
  <c r="T150" i="7"/>
  <c r="U150" i="7"/>
  <c r="U18" i="7"/>
  <c r="T18" i="7"/>
  <c r="T222" i="7"/>
  <c r="U222" i="7"/>
  <c r="U262" i="7"/>
  <c r="T262" i="7"/>
  <c r="U153" i="7"/>
  <c r="T153" i="7"/>
  <c r="T221" i="7"/>
  <c r="U221" i="7"/>
  <c r="U13" i="7"/>
  <c r="U217" i="7"/>
  <c r="T217" i="7"/>
  <c r="U316" i="7"/>
  <c r="T316" i="7"/>
  <c r="U126" i="7"/>
  <c r="T126" i="7"/>
  <c r="BE115" i="7"/>
  <c r="BD115" i="7"/>
  <c r="T50" i="7"/>
  <c r="U50" i="7"/>
  <c r="U248" i="7"/>
  <c r="U398" i="7"/>
  <c r="T88" i="7"/>
  <c r="U88" i="7"/>
  <c r="U277" i="7"/>
  <c r="U55" i="7"/>
  <c r="T55" i="7"/>
  <c r="T59" i="7"/>
  <c r="U59" i="7"/>
  <c r="T90" i="7"/>
  <c r="U90" i="7"/>
  <c r="T48" i="7"/>
  <c r="U48" i="7"/>
  <c r="U228" i="7"/>
  <c r="U311" i="7"/>
  <c r="U308" i="7"/>
  <c r="T308" i="7"/>
  <c r="U106" i="7"/>
  <c r="T106" i="7"/>
  <c r="U146" i="7"/>
  <c r="T146" i="7"/>
  <c r="U85" i="7"/>
  <c r="T85" i="7"/>
  <c r="U170" i="7"/>
  <c r="T170" i="7"/>
  <c r="U46" i="7"/>
  <c r="U357" i="7"/>
  <c r="T139" i="7"/>
  <c r="U139" i="7"/>
  <c r="U154" i="7"/>
  <c r="T154" i="7"/>
  <c r="U185" i="7"/>
  <c r="T185" i="7"/>
  <c r="U352" i="7"/>
  <c r="T352" i="7"/>
  <c r="U191" i="7"/>
  <c r="T191" i="7"/>
  <c r="U136" i="7"/>
  <c r="T136" i="7"/>
  <c r="T315" i="7"/>
  <c r="U315" i="7"/>
  <c r="U390" i="7"/>
  <c r="T172" i="7"/>
  <c r="U172" i="7"/>
  <c r="T8" i="7"/>
  <c r="U8" i="7"/>
  <c r="U284" i="7"/>
  <c r="T284" i="7"/>
  <c r="U169" i="7"/>
  <c r="T169" i="7"/>
  <c r="U102" i="7"/>
  <c r="U95" i="7"/>
  <c r="T95" i="7"/>
  <c r="T31" i="7"/>
  <c r="U31" i="7"/>
  <c r="BW276" i="7"/>
  <c r="BV276" i="7"/>
  <c r="BV328" i="7"/>
  <c r="BW328" i="7"/>
  <c r="BV203" i="7"/>
  <c r="BW203" i="7"/>
  <c r="BV118" i="7"/>
  <c r="BW118" i="7"/>
  <c r="BW195" i="7"/>
  <c r="BW151" i="7"/>
  <c r="BW33" i="7"/>
  <c r="BW324" i="7"/>
  <c r="BW99" i="7"/>
  <c r="BV114" i="7"/>
  <c r="BW114" i="7"/>
  <c r="BW143" i="7"/>
  <c r="BV119" i="7"/>
  <c r="BW119" i="7"/>
  <c r="BW220" i="7"/>
  <c r="BW175" i="7"/>
  <c r="BV196" i="7"/>
  <c r="BW196" i="7"/>
  <c r="BW202" i="7"/>
  <c r="BV9" i="7"/>
  <c r="BW9" i="7"/>
  <c r="BW218" i="7"/>
  <c r="BV218" i="7"/>
  <c r="BW265" i="7"/>
  <c r="AM63" i="7"/>
  <c r="AM94" i="7"/>
  <c r="AM56" i="7"/>
  <c r="AM32" i="7"/>
  <c r="AM248" i="7"/>
  <c r="AM211" i="7"/>
  <c r="AM91" i="7"/>
  <c r="AM55" i="7"/>
  <c r="AM59" i="7"/>
  <c r="AM86" i="7"/>
  <c r="AM377" i="7"/>
  <c r="AM107" i="7"/>
  <c r="AM49" i="7"/>
  <c r="AM311" i="7"/>
  <c r="AM159" i="7"/>
  <c r="AM146" i="7"/>
  <c r="AM133" i="7"/>
  <c r="AM156" i="7"/>
  <c r="AM337" i="7"/>
  <c r="AM259" i="7"/>
  <c r="AM81" i="7"/>
  <c r="AM352" i="7"/>
  <c r="AM353" i="7"/>
  <c r="AM154" i="7"/>
  <c r="AM104" i="7"/>
  <c r="AM145" i="7"/>
  <c r="AM174" i="7"/>
  <c r="AM180" i="7"/>
  <c r="AM333" i="7"/>
  <c r="AM288" i="7"/>
  <c r="AM268" i="7"/>
  <c r="AM210" i="7"/>
  <c r="AM172" i="7"/>
  <c r="AM36" i="7"/>
  <c r="AM284" i="7"/>
  <c r="AM73" i="7"/>
  <c r="AM169" i="7"/>
  <c r="AM287" i="7"/>
  <c r="AM189" i="7"/>
  <c r="AM113" i="7"/>
  <c r="AM7" i="7"/>
  <c r="AM187" i="7"/>
  <c r="AM322" i="7"/>
  <c r="AM66" i="7"/>
  <c r="AM267" i="7"/>
  <c r="AM124" i="7"/>
  <c r="AM222" i="7"/>
  <c r="AM138" i="7"/>
  <c r="AM122" i="7"/>
  <c r="AM221" i="7"/>
  <c r="AM144" i="7"/>
  <c r="AM161" i="7"/>
  <c r="AM214" i="7"/>
  <c r="AM271" i="7"/>
  <c r="AM173" i="7"/>
  <c r="AM141" i="7"/>
  <c r="AM150" i="7"/>
  <c r="AM24" i="7"/>
  <c r="AM258" i="7"/>
  <c r="U351" i="7"/>
  <c r="U280" i="7"/>
  <c r="U272" i="7"/>
  <c r="T272" i="7"/>
  <c r="T97" i="7"/>
  <c r="U97" i="7"/>
  <c r="U70" i="7"/>
  <c r="T70" i="7"/>
  <c r="T165" i="7"/>
  <c r="U165" i="7"/>
  <c r="U99" i="7"/>
  <c r="T99" i="7"/>
  <c r="T10" i="7"/>
  <c r="U10" i="7"/>
  <c r="T255" i="7"/>
  <c r="U255" i="7"/>
  <c r="T68" i="7"/>
  <c r="U68" i="7"/>
  <c r="U175" i="7"/>
  <c r="U45" i="7"/>
  <c r="T184" i="7"/>
  <c r="U184" i="7"/>
  <c r="U9" i="7"/>
  <c r="T9" i="7"/>
  <c r="U38" i="7"/>
  <c r="T16" i="7"/>
  <c r="U16" i="7"/>
  <c r="U329" i="7"/>
  <c r="V320" i="7"/>
  <c r="W320" i="7" a="1"/>
  <c r="BE259" i="7"/>
  <c r="BD259" i="7"/>
  <c r="BD292" i="7"/>
  <c r="BE292" i="7"/>
  <c r="BE224" i="7"/>
  <c r="BD224" i="7"/>
  <c r="BE139" i="7"/>
  <c r="BD139" i="7"/>
  <c r="BE103" i="7"/>
  <c r="BD103" i="7"/>
  <c r="BE325" i="7"/>
  <c r="BE390" i="7"/>
  <c r="BE201" i="7"/>
  <c r="BD113" i="7"/>
  <c r="BE113" i="7"/>
  <c r="BD247" i="7"/>
  <c r="BE247" i="7"/>
  <c r="BD300" i="7"/>
  <c r="BE300" i="7"/>
  <c r="BD12" i="7"/>
  <c r="BE12" i="7"/>
  <c r="BD181" i="7"/>
  <c r="BE181" i="7"/>
  <c r="BE124" i="7"/>
  <c r="BE299" i="7"/>
  <c r="BD116" i="7"/>
  <c r="BE116" i="7"/>
  <c r="BD322" i="7"/>
  <c r="BE322" i="7"/>
  <c r="BE240" i="7"/>
  <c r="BD240" i="7"/>
  <c r="BD262" i="7"/>
  <c r="BE262" i="7"/>
  <c r="BE166" i="7"/>
  <c r="BD219" i="7"/>
  <c r="BE219" i="7"/>
  <c r="BE125" i="7"/>
  <c r="BE138" i="7"/>
  <c r="BD138" i="7"/>
  <c r="BE144" i="7"/>
  <c r="BD144" i="7"/>
  <c r="BD271" i="7"/>
  <c r="BE271" i="7"/>
  <c r="BD178" i="7"/>
  <c r="BE178" i="7"/>
  <c r="BD217" i="7"/>
  <c r="BE217" i="7"/>
  <c r="BD168" i="7"/>
  <c r="BE168" i="7"/>
  <c r="BE341" i="7"/>
  <c r="BE147" i="7"/>
  <c r="BD147" i="7"/>
  <c r="BE110" i="7"/>
  <c r="BD110" i="7"/>
  <c r="BE64" i="7"/>
  <c r="BE91" i="7"/>
  <c r="BD89" i="7"/>
  <c r="BE89" i="7"/>
  <c r="BD87" i="7"/>
  <c r="BE87" i="7"/>
  <c r="BE57" i="7"/>
  <c r="BD57" i="7"/>
  <c r="BE146" i="7"/>
  <c r="BD146" i="7"/>
  <c r="BD304" i="7"/>
  <c r="BE304" i="7"/>
  <c r="BD163" i="7"/>
  <c r="BE163" i="7"/>
  <c r="BE108" i="7"/>
  <c r="BD82" i="7"/>
  <c r="BE82" i="7"/>
  <c r="BD80" i="7"/>
  <c r="BE80" i="7"/>
  <c r="BD170" i="7"/>
  <c r="BE170" i="7"/>
  <c r="BE191" i="7"/>
  <c r="BD39" i="7"/>
  <c r="BE39" i="7"/>
  <c r="BE79" i="7"/>
  <c r="BE336" i="7"/>
  <c r="BD278" i="7"/>
  <c r="BE278" i="7"/>
  <c r="BD174" i="7"/>
  <c r="BE174" i="7"/>
  <c r="BD36" i="7"/>
  <c r="BE36" i="7"/>
  <c r="BD8" i="7"/>
  <c r="BE8" i="7"/>
  <c r="BE244" i="7"/>
  <c r="AM115" i="7"/>
  <c r="AM100" i="7"/>
  <c r="AM21" i="7"/>
  <c r="AM280" i="7"/>
  <c r="AM118" i="7"/>
  <c r="AM183" i="7"/>
  <c r="AM33" i="7"/>
  <c r="AM324" i="7"/>
  <c r="AM165" i="7"/>
  <c r="AM356" i="7"/>
  <c r="AM114" i="7"/>
  <c r="AM35" i="7"/>
  <c r="AM40" i="7"/>
  <c r="AM10" i="7"/>
  <c r="AM196" i="7"/>
  <c r="AM98" i="7"/>
  <c r="AM389" i="7"/>
  <c r="AM265" i="7"/>
  <c r="AM329" i="7"/>
  <c r="BV110" i="7"/>
  <c r="BW110" i="7"/>
  <c r="BW95" i="7"/>
  <c r="BV95" i="7"/>
  <c r="BV56" i="7"/>
  <c r="BW56" i="7"/>
  <c r="BW277" i="7"/>
  <c r="BV109" i="7"/>
  <c r="BW109" i="7"/>
  <c r="BW58" i="7"/>
  <c r="BV58" i="7"/>
  <c r="BW32" i="7"/>
  <c r="BW60" i="7"/>
  <c r="BV87" i="7"/>
  <c r="BW87" i="7"/>
  <c r="BW211" i="7"/>
  <c r="BW377" i="7"/>
  <c r="BW308" i="7"/>
  <c r="BV83" i="7"/>
  <c r="BW83" i="7"/>
  <c r="BW107" i="7"/>
  <c r="BV107" i="7"/>
  <c r="BW48" i="7"/>
  <c r="BV48" i="7"/>
  <c r="BV146" i="7"/>
  <c r="BW146" i="7"/>
  <c r="BV80" i="7"/>
  <c r="BW80" i="7"/>
  <c r="BW46" i="7"/>
  <c r="BV82" i="7"/>
  <c r="BW82" i="7"/>
  <c r="BW37" i="7"/>
  <c r="BV292" i="7"/>
  <c r="BW292" i="7"/>
  <c r="BV224" i="7"/>
  <c r="BW224" i="7"/>
  <c r="BV353" i="7"/>
  <c r="BW353" i="7"/>
  <c r="BW139" i="7"/>
  <c r="BV139" i="7"/>
  <c r="BV78" i="7"/>
  <c r="BW78" i="7"/>
  <c r="BV136" i="7"/>
  <c r="BW136" i="7"/>
  <c r="BW336" i="7"/>
  <c r="BW76" i="7"/>
  <c r="BV76" i="7"/>
  <c r="BW263" i="7"/>
  <c r="BW278" i="7"/>
  <c r="BV278" i="7"/>
  <c r="BV315" i="7"/>
  <c r="BW315" i="7"/>
  <c r="BV360" i="7"/>
  <c r="BW360" i="7"/>
  <c r="BV25" i="7"/>
  <c r="BW25" i="7"/>
  <c r="BW201" i="7"/>
  <c r="BV36" i="7"/>
  <c r="BW36" i="7"/>
  <c r="BW366" i="7"/>
  <c r="BW102" i="7"/>
  <c r="BV262" i="7"/>
  <c r="BW262" i="7"/>
  <c r="BV181" i="7"/>
  <c r="BW181" i="7"/>
  <c r="BW113" i="7"/>
  <c r="BV128" i="7"/>
  <c r="BW128" i="7"/>
  <c r="BV66" i="7"/>
  <c r="BW66" i="7"/>
  <c r="BV120" i="7"/>
  <c r="BW120" i="7"/>
  <c r="BW339" i="7"/>
  <c r="BW287" i="7"/>
  <c r="BW393" i="7"/>
  <c r="BV313" i="7"/>
  <c r="BW313" i="7"/>
  <c r="BV112" i="7"/>
  <c r="BW112" i="7"/>
  <c r="BW223" i="7"/>
  <c r="BV176" i="7"/>
  <c r="BW176" i="7"/>
  <c r="BV221" i="7"/>
  <c r="BW221" i="7"/>
  <c r="BW222" i="7"/>
  <c r="BV222" i="7"/>
  <c r="BV173" i="7"/>
  <c r="BW173" i="7"/>
  <c r="BV164" i="7"/>
  <c r="BW164" i="7"/>
  <c r="BW135" i="7"/>
  <c r="BV135" i="7"/>
  <c r="BW214" i="7"/>
  <c r="BV214" i="7"/>
  <c r="BW271" i="7"/>
  <c r="BV144" i="7"/>
  <c r="BW144" i="7"/>
  <c r="BV24" i="7"/>
  <c r="BW24" i="7"/>
  <c r="BD328" i="7"/>
  <c r="BE328" i="7"/>
  <c r="BE280" i="7"/>
  <c r="BD266" i="7"/>
  <c r="BE266" i="7"/>
  <c r="BE151" i="7"/>
  <c r="BD254" i="7"/>
  <c r="BE254" i="7"/>
  <c r="BD297" i="7"/>
  <c r="BE297" i="7"/>
  <c r="BD97" i="7"/>
  <c r="BE97" i="7"/>
  <c r="BE314" i="7"/>
  <c r="BD314" i="7"/>
  <c r="BD323" i="7"/>
  <c r="BE323" i="7"/>
  <c r="BE252" i="7"/>
  <c r="BE251" i="7"/>
  <c r="BD142" i="7"/>
  <c r="BE142" i="7"/>
  <c r="BE10" i="7"/>
  <c r="BD10" i="7"/>
  <c r="BD270" i="7"/>
  <c r="BE270" i="7"/>
  <c r="BE111" i="7"/>
  <c r="BD111" i="7"/>
  <c r="BE361" i="7"/>
  <c r="BE216" i="7"/>
  <c r="BD216" i="7"/>
  <c r="U76" i="7"/>
  <c r="T76" i="7"/>
  <c r="U332" i="7"/>
  <c r="U278" i="7"/>
  <c r="T278" i="7"/>
  <c r="U333" i="7"/>
  <c r="T333" i="7"/>
  <c r="U160" i="7"/>
  <c r="T160" i="7"/>
  <c r="T313" i="7"/>
  <c r="U313" i="7"/>
  <c r="U247" i="7"/>
  <c r="T247" i="7"/>
  <c r="T129" i="7"/>
  <c r="U129" i="7"/>
  <c r="T187" i="7"/>
  <c r="U187" i="7"/>
  <c r="U166" i="7"/>
  <c r="T166" i="7"/>
  <c r="U112" i="7"/>
  <c r="T112" i="7"/>
  <c r="U306" i="7"/>
  <c r="U378" i="7"/>
  <c r="U116" i="7"/>
  <c r="T116" i="7"/>
  <c r="T23" i="7"/>
  <c r="U23" i="7"/>
  <c r="U124" i="7"/>
  <c r="T124" i="7"/>
  <c r="T171" i="7"/>
  <c r="U171" i="7"/>
  <c r="U319" i="7"/>
  <c r="T279" i="7"/>
  <c r="U279" i="7"/>
  <c r="U168" i="7"/>
  <c r="T168" i="7"/>
  <c r="U130" i="7"/>
  <c r="T130" i="7"/>
  <c r="U393" i="7"/>
  <c r="U177" i="7"/>
  <c r="T177" i="7"/>
  <c r="U178" i="7"/>
  <c r="T178" i="7"/>
  <c r="U147" i="7"/>
  <c r="T147" i="7"/>
  <c r="U223" i="7"/>
  <c r="T261" i="7"/>
  <c r="U261" i="7"/>
  <c r="BE100" i="7"/>
  <c r="U52" i="7"/>
  <c r="T52" i="7"/>
  <c r="U62" i="7"/>
  <c r="T62" i="7"/>
  <c r="U87" i="7"/>
  <c r="T87" i="7"/>
  <c r="T89" i="7"/>
  <c r="U89" i="7"/>
  <c r="U60" i="7"/>
  <c r="T60" i="7"/>
  <c r="U346" i="7"/>
  <c r="U58" i="7"/>
  <c r="T58" i="7"/>
  <c r="T53" i="7"/>
  <c r="U53" i="7"/>
  <c r="T34" i="7"/>
  <c r="U34" i="7"/>
  <c r="U377" i="7"/>
  <c r="U131" i="7"/>
  <c r="T304" i="7"/>
  <c r="U304" i="7"/>
  <c r="U207" i="7"/>
  <c r="T207" i="7"/>
  <c r="U312" i="7"/>
  <c r="T312" i="7"/>
  <c r="T80" i="7"/>
  <c r="U80" i="7"/>
  <c r="U82" i="7"/>
  <c r="T82" i="7"/>
  <c r="U337" i="7"/>
  <c r="T337" i="7"/>
  <c r="U344" i="7"/>
  <c r="T353" i="7"/>
  <c r="U353" i="7"/>
  <c r="U47" i="7"/>
  <c r="T47" i="7"/>
  <c r="U152" i="7"/>
  <c r="T152" i="7"/>
  <c r="U11" i="7"/>
  <c r="T11" i="7"/>
  <c r="U179" i="7"/>
  <c r="T179" i="7"/>
  <c r="U325" i="7"/>
  <c r="T268" i="7"/>
  <c r="U268" i="7"/>
  <c r="U158" i="7"/>
  <c r="T158" i="7"/>
  <c r="U317" i="7"/>
  <c r="T317" i="7"/>
  <c r="U294" i="7"/>
  <c r="T294" i="7"/>
  <c r="U334" i="7"/>
  <c r="U71" i="7"/>
  <c r="T71" i="7"/>
  <c r="U67" i="7"/>
  <c r="T67" i="7"/>
  <c r="U94" i="7"/>
  <c r="T94" i="7"/>
  <c r="U186" i="7"/>
  <c r="BW257" i="7"/>
  <c r="BW351" i="7"/>
  <c r="BW280" i="7"/>
  <c r="BV280" i="7"/>
  <c r="BV285" i="7"/>
  <c r="BW285" i="7"/>
  <c r="BV310" i="7"/>
  <c r="BW310" i="7"/>
  <c r="BW70" i="7"/>
  <c r="BV167" i="7"/>
  <c r="BW167" i="7"/>
  <c r="BV97" i="7"/>
  <c r="BW97" i="7"/>
  <c r="BV314" i="7"/>
  <c r="BW314" i="7"/>
  <c r="BV358" i="7"/>
  <c r="BW358" i="7"/>
  <c r="BW251" i="7"/>
  <c r="BV350" i="7"/>
  <c r="BW350" i="7"/>
  <c r="BW45" i="7"/>
  <c r="BV45" i="7"/>
  <c r="BW10" i="7"/>
  <c r="BV10" i="7"/>
  <c r="BW98" i="7"/>
  <c r="BW38" i="7"/>
  <c r="BV361" i="7"/>
  <c r="BW361" i="7"/>
  <c r="BV291" i="7"/>
  <c r="BW291" i="7"/>
  <c r="AM67" i="7"/>
  <c r="AM95" i="7"/>
  <c r="AM64" i="7"/>
  <c r="AM89" i="7"/>
  <c r="AM109" i="7"/>
  <c r="AM93" i="7"/>
  <c r="AM60" i="7"/>
  <c r="AM62" i="7"/>
  <c r="AM157" i="7"/>
  <c r="AM61" i="7"/>
  <c r="AM398" i="7"/>
  <c r="AM5" i="7"/>
  <c r="AM281" i="7"/>
  <c r="AM302" i="7"/>
  <c r="AM163" i="7"/>
  <c r="AM131" i="7"/>
  <c r="AM34" i="7"/>
  <c r="AM82" i="7"/>
  <c r="AM105" i="7"/>
  <c r="AM170" i="7"/>
  <c r="AM357" i="7"/>
  <c r="AM344" i="7"/>
  <c r="AM347" i="7"/>
  <c r="AM139" i="7"/>
  <c r="AM11" i="7"/>
  <c r="AM179" i="7"/>
  <c r="AM342" i="7"/>
  <c r="AM74" i="7"/>
  <c r="AM76" i="7"/>
  <c r="AM343" i="7"/>
  <c r="AM263" i="7"/>
  <c r="AM360" i="7"/>
  <c r="AM317" i="7"/>
  <c r="AM158" i="7"/>
  <c r="AM8" i="7"/>
  <c r="AM244" i="7"/>
  <c r="AM71" i="7"/>
  <c r="AM22" i="7"/>
  <c r="AM240" i="7"/>
  <c r="AM181" i="7"/>
  <c r="AM121" i="7"/>
  <c r="AM17" i="7"/>
  <c r="AM262" i="7"/>
  <c r="AM123" i="7"/>
  <c r="AM117" i="7"/>
  <c r="AM279" i="7"/>
  <c r="AM72" i="7"/>
  <c r="AM335" i="7"/>
  <c r="AM301" i="7"/>
  <c r="AM339" i="7"/>
  <c r="AM247" i="7"/>
  <c r="AM212" i="7"/>
  <c r="AM341" i="7"/>
  <c r="AM164" i="7"/>
  <c r="AM177" i="7"/>
  <c r="AM125" i="7"/>
  <c r="AM219" i="7"/>
  <c r="AM176" i="7"/>
  <c r="AM126" i="7"/>
  <c r="AM316" i="7"/>
  <c r="U20" i="7"/>
  <c r="T20" i="7"/>
  <c r="T245" i="7"/>
  <c r="U245" i="7"/>
  <c r="U195" i="7"/>
  <c r="T195" i="7"/>
  <c r="T266" i="7"/>
  <c r="U266" i="7"/>
  <c r="U310" i="7"/>
  <c r="T310" i="7"/>
  <c r="U298" i="7"/>
  <c r="T298" i="7"/>
  <c r="U254" i="7"/>
  <c r="T254" i="7"/>
  <c r="T114" i="7"/>
  <c r="U114" i="7"/>
  <c r="U358" i="7"/>
  <c r="T358" i="7"/>
  <c r="T119" i="7"/>
  <c r="U119" i="7"/>
  <c r="U69" i="7"/>
  <c r="T142" i="7"/>
  <c r="U142" i="7"/>
  <c r="U202" i="7"/>
  <c r="T202" i="7"/>
  <c r="U98" i="7"/>
  <c r="U289" i="7"/>
  <c r="U361" i="7"/>
  <c r="U326" i="7"/>
  <c r="BE357" i="7"/>
  <c r="BE344" i="7"/>
  <c r="BD47" i="7"/>
  <c r="BE47" i="7"/>
  <c r="BD215" i="7"/>
  <c r="BE215" i="7"/>
  <c r="BE154" i="7"/>
  <c r="BD268" i="7"/>
  <c r="BE268" i="7"/>
  <c r="BE158" i="7"/>
  <c r="BD158" i="7"/>
  <c r="BD25" i="7"/>
  <c r="BE25" i="7"/>
  <c r="BD122" i="7"/>
  <c r="BE122" i="7"/>
  <c r="BE335" i="7"/>
  <c r="BE306" i="7"/>
  <c r="BD112" i="7"/>
  <c r="BE112" i="7"/>
  <c r="BE66" i="7"/>
  <c r="BE339" i="7"/>
  <c r="BD7" i="7"/>
  <c r="BE7" i="7"/>
  <c r="BE4" i="7"/>
  <c r="BD4" i="7"/>
  <c r="BD121" i="7"/>
  <c r="BE121" i="7"/>
  <c r="BE378" i="7"/>
  <c r="BD187" i="7"/>
  <c r="BE187" i="7"/>
  <c r="BE223" i="7"/>
  <c r="BD141" i="7"/>
  <c r="BE141" i="7"/>
  <c r="BD177" i="7"/>
  <c r="BE177" i="7"/>
  <c r="BE135" i="7"/>
  <c r="BD135" i="7"/>
  <c r="BE173" i="7"/>
  <c r="BD173" i="7"/>
  <c r="BE148" i="7"/>
  <c r="BD148" i="7"/>
  <c r="BD129" i="7"/>
  <c r="BE129" i="7"/>
  <c r="BE137" i="7"/>
  <c r="BD137" i="7"/>
  <c r="BE130" i="7"/>
  <c r="BD130" i="7"/>
  <c r="BD134" i="7"/>
  <c r="BE134" i="7"/>
  <c r="BE24" i="7"/>
  <c r="BD24" i="7"/>
  <c r="U257" i="7"/>
  <c r="T257" i="7"/>
  <c r="BE94" i="7"/>
  <c r="BD94" i="7"/>
  <c r="BD318" i="7"/>
  <c r="BE318" i="7"/>
  <c r="BE305" i="7"/>
  <c r="BD56" i="7"/>
  <c r="BE56" i="7"/>
  <c r="BE398" i="7"/>
  <c r="BD5" i="7"/>
  <c r="BE5" i="7"/>
  <c r="BE107" i="7"/>
  <c r="U115" i="7"/>
  <c r="T115" i="7"/>
  <c r="BD63" i="7"/>
  <c r="BE63" i="7"/>
  <c r="BE96" i="7"/>
  <c r="BE65" i="7"/>
  <c r="BD65" i="7"/>
  <c r="BD58" i="7"/>
  <c r="BE58" i="7"/>
  <c r="BD264" i="7"/>
  <c r="BE264" i="7"/>
  <c r="BE90" i="7"/>
  <c r="BD90" i="7"/>
  <c r="BE277" i="7"/>
  <c r="BE60" i="7"/>
  <c r="BD52" i="7"/>
  <c r="BE52" i="7"/>
  <c r="BE61" i="7"/>
  <c r="BD211" i="7"/>
  <c r="BE211" i="7"/>
  <c r="BE377" i="7"/>
  <c r="BE312" i="7"/>
  <c r="BE281" i="7"/>
  <c r="BE131" i="7"/>
  <c r="BD131" i="7"/>
  <c r="BD321" i="7"/>
  <c r="BE321" i="7"/>
  <c r="BE48" i="7"/>
  <c r="BD48" i="7"/>
  <c r="BE46" i="7"/>
  <c r="BD46" i="7"/>
  <c r="BE133" i="7"/>
  <c r="BD133" i="7"/>
  <c r="BE78" i="7"/>
  <c r="BD78" i="7"/>
  <c r="BD145" i="7"/>
  <c r="BE145" i="7"/>
  <c r="BE333" i="7"/>
  <c r="BE77" i="7"/>
  <c r="BE332" i="7"/>
  <c r="BD160" i="7"/>
  <c r="BE160" i="7"/>
  <c r="BE162" i="7"/>
  <c r="BD162" i="7"/>
  <c r="BD284" i="7"/>
  <c r="BE284" i="7"/>
  <c r="BE366" i="7"/>
  <c r="BE73" i="7"/>
  <c r="AM276" i="7"/>
  <c r="AM328" i="7"/>
  <c r="AM245" i="7"/>
  <c r="AM381" i="7"/>
  <c r="AM285" i="7"/>
  <c r="AM254" i="7"/>
  <c r="AM195" i="7"/>
  <c r="AM28" i="7"/>
  <c r="AM97" i="7"/>
  <c r="AM119" i="7"/>
  <c r="AM255" i="7"/>
  <c r="AM143" i="7"/>
  <c r="AM184" i="7"/>
  <c r="AM220" i="7"/>
  <c r="AM111" i="7"/>
  <c r="AM218" i="7"/>
  <c r="AM16" i="7"/>
  <c r="AM361" i="7"/>
  <c r="AM9" i="7"/>
  <c r="BW94" i="7"/>
  <c r="BV94" i="7"/>
  <c r="BW96" i="7"/>
  <c r="BV51" i="7"/>
  <c r="BW51" i="7"/>
  <c r="BV90" i="7"/>
  <c r="BW90" i="7"/>
  <c r="BW318" i="7"/>
  <c r="BW248" i="7"/>
  <c r="BV264" i="7"/>
  <c r="BW264" i="7"/>
  <c r="BW93" i="7"/>
  <c r="BV50" i="7"/>
  <c r="BW50" i="7"/>
  <c r="BV59" i="7"/>
  <c r="BW59" i="7"/>
  <c r="BW228" i="7"/>
  <c r="BV228" i="7"/>
  <c r="BW281" i="7"/>
  <c r="BW311" i="7"/>
  <c r="BW312" i="7"/>
  <c r="BV321" i="7"/>
  <c r="BW321" i="7"/>
  <c r="BW108" i="7"/>
  <c r="BW155" i="7"/>
  <c r="BW105" i="7"/>
  <c r="BV170" i="7"/>
  <c r="BW170" i="7"/>
  <c r="BV81" i="7"/>
  <c r="BW81" i="7"/>
  <c r="BW357" i="7"/>
  <c r="BV47" i="7"/>
  <c r="BW47" i="7"/>
  <c r="BV355" i="7"/>
  <c r="BW355" i="7"/>
  <c r="BW154" i="7"/>
  <c r="BV39" i="7"/>
  <c r="BW39" i="7"/>
  <c r="BV179" i="7"/>
  <c r="BW179" i="7"/>
  <c r="BW342" i="7"/>
  <c r="BW333" i="7"/>
  <c r="BW160" i="7"/>
  <c r="BV160" i="7"/>
  <c r="BW288" i="7"/>
  <c r="BW210" i="7"/>
  <c r="BV268" i="7"/>
  <c r="BW268" i="7"/>
  <c r="BW158" i="7"/>
  <c r="BV158" i="7"/>
  <c r="BW334" i="7"/>
  <c r="BV44" i="7"/>
  <c r="BW44" i="7"/>
  <c r="BV169" i="7"/>
  <c r="BW169" i="7"/>
  <c r="BV22" i="7"/>
  <c r="BW22" i="7"/>
  <c r="BV117" i="7"/>
  <c r="BW117" i="7"/>
  <c r="BV267" i="7"/>
  <c r="BW267" i="7"/>
  <c r="BW124" i="7"/>
  <c r="BV23" i="7"/>
  <c r="BW23" i="7"/>
  <c r="BV300" i="7"/>
  <c r="BW300" i="7"/>
  <c r="BW335" i="7"/>
  <c r="BV4" i="7"/>
  <c r="BW4" i="7"/>
  <c r="BW306" i="7"/>
  <c r="BV306" i="7"/>
  <c r="BV269" i="7"/>
  <c r="BW269" i="7"/>
  <c r="BV121" i="7"/>
  <c r="BW121" i="7"/>
  <c r="BV247" i="7"/>
  <c r="BW247" i="7"/>
  <c r="BW3" i="7"/>
  <c r="BV3" i="7"/>
  <c r="BV316" i="7"/>
  <c r="BW316" i="7"/>
  <c r="BW171" i="7"/>
  <c r="BV171" i="7"/>
  <c r="BW18" i="7"/>
  <c r="BW341" i="7"/>
  <c r="BV261" i="7"/>
  <c r="BW261" i="7"/>
  <c r="BV212" i="7"/>
  <c r="BW212" i="7"/>
  <c r="BW141" i="7"/>
  <c r="BV141" i="7"/>
  <c r="BW178" i="7"/>
  <c r="BV178" i="7"/>
  <c r="BV140" i="7"/>
  <c r="BW140" i="7"/>
  <c r="BW258" i="7"/>
  <c r="BD203" i="7"/>
  <c r="BE203" i="7"/>
  <c r="BE21" i="7"/>
  <c r="BD21" i="7"/>
  <c r="BE233" i="7"/>
  <c r="BE195" i="7"/>
  <c r="BD285" i="7"/>
  <c r="BE285" i="7"/>
  <c r="BD298" i="7"/>
  <c r="BE298" i="7"/>
  <c r="BD28" i="7"/>
  <c r="BE28" i="7"/>
  <c r="BD35" i="7"/>
  <c r="BE35" i="7"/>
  <c r="BE69" i="7"/>
  <c r="BD119" i="7"/>
  <c r="BE119" i="7"/>
  <c r="BD184" i="7"/>
  <c r="BE184" i="7"/>
  <c r="BE290" i="7"/>
  <c r="BD68" i="7"/>
  <c r="BE68" i="7"/>
  <c r="BE98" i="7"/>
  <c r="BE38" i="7"/>
  <c r="BD38" i="7"/>
  <c r="BD16" i="7"/>
  <c r="BE16" i="7"/>
  <c r="BE329" i="7"/>
  <c r="U77" i="7"/>
  <c r="T77" i="7"/>
  <c r="U79" i="7"/>
  <c r="U162" i="7"/>
  <c r="T162" i="7"/>
  <c r="U174" i="7"/>
  <c r="T174" i="7"/>
  <c r="T7" i="7"/>
  <c r="U7" i="7"/>
  <c r="U6" i="7"/>
  <c r="T6" i="7"/>
  <c r="U335" i="7"/>
  <c r="T335" i="7"/>
  <c r="U128" i="7"/>
  <c r="T128" i="7"/>
  <c r="U394" i="7"/>
  <c r="T144" i="7"/>
  <c r="U144" i="7"/>
  <c r="T122" i="7"/>
  <c r="U122" i="7"/>
  <c r="U345" i="7"/>
  <c r="T138" i="7"/>
  <c r="U138" i="7"/>
  <c r="T188" i="7"/>
  <c r="U188" i="7"/>
  <c r="T300" i="7"/>
  <c r="U300" i="7"/>
  <c r="U72" i="7"/>
  <c r="T176" i="7"/>
  <c r="U176" i="7"/>
  <c r="T219" i="7"/>
  <c r="U219" i="7"/>
  <c r="T173" i="7"/>
  <c r="U173" i="7"/>
  <c r="U271" i="7"/>
  <c r="U214" i="7"/>
  <c r="T164" i="7"/>
  <c r="U164" i="7"/>
  <c r="U134" i="7"/>
  <c r="T134" i="7"/>
  <c r="U286" i="7"/>
  <c r="U212" i="7"/>
  <c r="T212" i="7"/>
  <c r="U149" i="7"/>
  <c r="BE15" i="7"/>
  <c r="BE257" i="7"/>
  <c r="U109" i="7"/>
  <c r="T109" i="7"/>
  <c r="U348" i="7"/>
  <c r="U91" i="7"/>
  <c r="T91" i="7"/>
  <c r="U32" i="7"/>
  <c r="T264" i="7"/>
  <c r="U264" i="7"/>
  <c r="T86" i="7"/>
  <c r="U86" i="7"/>
  <c r="U211" i="7"/>
  <c r="T57" i="7"/>
  <c r="U57" i="7"/>
  <c r="T302" i="7"/>
  <c r="U302" i="7"/>
  <c r="U84" i="7"/>
  <c r="T84" i="7"/>
  <c r="U281" i="7"/>
  <c r="T281" i="7"/>
  <c r="T159" i="7"/>
  <c r="U159" i="7"/>
  <c r="T163" i="7"/>
  <c r="U163" i="7"/>
  <c r="T321" i="7"/>
  <c r="U321" i="7"/>
  <c r="U156" i="7"/>
  <c r="T156" i="7"/>
  <c r="U133" i="7"/>
  <c r="T133" i="7"/>
  <c r="T215" i="7"/>
  <c r="U215" i="7"/>
  <c r="U37" i="7"/>
  <c r="T37" i="7"/>
  <c r="U103" i="7"/>
  <c r="T103" i="7"/>
  <c r="U307" i="7"/>
  <c r="T307" i="7"/>
  <c r="T347" i="7"/>
  <c r="U347" i="7"/>
  <c r="T78" i="7"/>
  <c r="U78" i="7"/>
  <c r="T39" i="7"/>
  <c r="U39" i="7"/>
  <c r="T360" i="7"/>
  <c r="U360" i="7"/>
  <c r="U132" i="7"/>
  <c r="T132" i="7"/>
  <c r="U201" i="7"/>
  <c r="T201" i="7"/>
  <c r="U25" i="7"/>
  <c r="T25" i="7"/>
  <c r="U244" i="7"/>
  <c r="T244" i="7"/>
  <c r="U44" i="7"/>
  <c r="T44" i="7"/>
  <c r="U366" i="7"/>
  <c r="T366" i="7"/>
  <c r="T64" i="7"/>
  <c r="U64" i="7"/>
  <c r="U96" i="7"/>
  <c r="T96" i="7"/>
  <c r="T65" i="7"/>
  <c r="U65" i="7"/>
  <c r="BW15" i="7"/>
  <c r="BW21" i="7"/>
  <c r="BV21" i="7"/>
  <c r="BW101" i="7"/>
  <c r="BW254" i="7"/>
  <c r="BV254" i="7"/>
  <c r="BW381" i="7"/>
  <c r="BV272" i="7"/>
  <c r="BW272" i="7"/>
  <c r="BV28" i="7"/>
  <c r="BW28" i="7"/>
  <c r="BV297" i="7"/>
  <c r="BW297" i="7"/>
  <c r="BW69" i="7"/>
  <c r="BV69" i="7"/>
  <c r="BV35" i="7"/>
  <c r="BW35" i="7"/>
  <c r="BW356" i="7"/>
  <c r="BW40" i="7"/>
  <c r="BV142" i="7"/>
  <c r="BW142" i="7"/>
  <c r="BV68" i="7"/>
  <c r="BW68" i="7"/>
  <c r="BW19" i="7"/>
  <c r="BW289" i="7"/>
  <c r="BW16" i="7"/>
  <c r="BV16" i="7"/>
  <c r="BV326" i="7"/>
  <c r="BW326" i="7"/>
  <c r="AM31" i="7"/>
  <c r="AM110" i="7"/>
  <c r="AM65" i="7"/>
  <c r="AM51" i="7"/>
  <c r="AM53" i="7"/>
  <c r="AM90" i="7"/>
  <c r="AM348" i="7"/>
  <c r="AM318" i="7"/>
  <c r="AM57" i="7"/>
  <c r="AM87" i="7"/>
  <c r="AM54" i="7"/>
  <c r="AM308" i="7"/>
  <c r="AM312" i="7"/>
  <c r="AM83" i="7"/>
  <c r="AM106" i="7"/>
  <c r="AM207" i="7"/>
  <c r="AM48" i="7"/>
  <c r="AM85" i="7"/>
  <c r="AM155" i="7"/>
  <c r="AM292" i="7"/>
  <c r="AM37" i="7"/>
  <c r="AM185" i="7"/>
  <c r="AM152" i="7"/>
  <c r="AM215" i="7"/>
  <c r="AM78" i="7"/>
  <c r="AM136" i="7"/>
  <c r="AM332" i="7"/>
  <c r="AM77" i="7"/>
  <c r="AM79" i="7"/>
  <c r="AM278" i="7"/>
  <c r="AM315" i="7"/>
  <c r="AM390" i="7"/>
  <c r="AM25" i="7"/>
  <c r="AM132" i="7"/>
  <c r="AM44" i="7"/>
  <c r="AM366" i="7"/>
  <c r="AM102" i="7"/>
  <c r="AM345" i="7"/>
  <c r="AM300" i="7"/>
  <c r="AM182" i="7"/>
  <c r="AM4" i="7"/>
  <c r="AM299" i="7"/>
  <c r="AM188" i="7"/>
  <c r="AM120" i="7"/>
  <c r="AM306" i="7"/>
  <c r="AM112" i="7"/>
  <c r="AM319" i="7"/>
  <c r="AM190" i="7"/>
  <c r="AM153" i="7"/>
  <c r="AM286" i="7"/>
  <c r="AM223" i="7"/>
  <c r="AM217" i="7"/>
  <c r="AM134" i="7"/>
  <c r="AM168" i="7"/>
  <c r="AM147" i="7"/>
  <c r="AM13" i="7"/>
  <c r="AM137" i="7"/>
  <c r="AM178" i="7"/>
  <c r="AM18" i="7"/>
  <c r="T328" i="7"/>
  <c r="U328" i="7"/>
  <c r="U21" i="7"/>
  <c r="T21" i="7"/>
  <c r="T285" i="7"/>
  <c r="U285" i="7"/>
  <c r="U33" i="7"/>
  <c r="U233" i="7"/>
  <c r="U381" i="7"/>
  <c r="U183" i="7"/>
  <c r="T183" i="7"/>
  <c r="U167" i="7"/>
  <c r="T167" i="7"/>
  <c r="U35" i="7"/>
  <c r="T35" i="7"/>
  <c r="U323" i="7"/>
  <c r="U356" i="7"/>
  <c r="U220" i="7"/>
  <c r="T40" i="7"/>
  <c r="U40" i="7"/>
  <c r="U270" i="7"/>
  <c r="T270" i="7"/>
  <c r="U19" i="7"/>
  <c r="T19" i="7"/>
  <c r="U265" i="7"/>
  <c r="T265" i="7"/>
  <c r="U291" i="7"/>
  <c r="T291" i="7"/>
  <c r="U389" i="7"/>
  <c r="BE37" i="7"/>
  <c r="BD81" i="7"/>
  <c r="BE81" i="7"/>
  <c r="BD347" i="7"/>
  <c r="BE347" i="7"/>
  <c r="BE353" i="7"/>
  <c r="BD353" i="7"/>
  <c r="BE360" i="7"/>
  <c r="BE283" i="7"/>
  <c r="BD132" i="7"/>
  <c r="BE132" i="7"/>
  <c r="BD317" i="7"/>
  <c r="BE317" i="7"/>
  <c r="BD279" i="7"/>
  <c r="BE279" i="7"/>
  <c r="BD120" i="7"/>
  <c r="BE120" i="7"/>
  <c r="BD190" i="7"/>
  <c r="BE190" i="7"/>
  <c r="BD267" i="7"/>
  <c r="BE267" i="7"/>
  <c r="BD117" i="7"/>
  <c r="BE117" i="7"/>
  <c r="BE393" i="7"/>
  <c r="BE345" i="7"/>
  <c r="BD189" i="7"/>
  <c r="BE189" i="7"/>
  <c r="BE313" i="7"/>
  <c r="BD313" i="7"/>
  <c r="BD188" i="7"/>
  <c r="BE188" i="7"/>
  <c r="BD269" i="7"/>
  <c r="BE269" i="7"/>
  <c r="BE3" i="7"/>
  <c r="BD3" i="7"/>
  <c r="BE214" i="7"/>
  <c r="BD214" i="7"/>
  <c r="BD150" i="7"/>
  <c r="BE150" i="7"/>
  <c r="BE153" i="7"/>
  <c r="BD153" i="7"/>
  <c r="BD164" i="7"/>
  <c r="BE164" i="7"/>
  <c r="BD126" i="7"/>
  <c r="BE126" i="7"/>
  <c r="BD18" i="7"/>
  <c r="BE18" i="7"/>
  <c r="BE282" i="7"/>
  <c r="BD282" i="7"/>
  <c r="BD171" i="7"/>
  <c r="BE171" i="7"/>
  <c r="BE221" i="7"/>
  <c r="BD221" i="7"/>
  <c r="BE13" i="7"/>
  <c r="U276" i="7"/>
  <c r="T276" i="7"/>
  <c r="BE186" i="7"/>
  <c r="BD186" i="7"/>
  <c r="BE348" i="7"/>
  <c r="BD51" i="7"/>
  <c r="BE51" i="7"/>
  <c r="BE157" i="7"/>
  <c r="BE86" i="7"/>
  <c r="BD86" i="7"/>
  <c r="BE302" i="7"/>
  <c r="BD302" i="7"/>
  <c r="BE308" i="7"/>
  <c r="BE159" i="7"/>
  <c r="BD159" i="7"/>
  <c r="BE106" i="7"/>
  <c r="BE156" i="7"/>
  <c r="BE155" i="7"/>
  <c r="BE105" i="7"/>
  <c r="BD105" i="7"/>
  <c r="BD11" i="7"/>
  <c r="BE11" i="7"/>
  <c r="BE179" i="7"/>
  <c r="BD179" i="7"/>
  <c r="BE76" i="7"/>
  <c r="BE343" i="7"/>
  <c r="BD386" i="7"/>
  <c r="BE386" i="7"/>
  <c r="BE288" i="7"/>
  <c r="BE294" i="7"/>
  <c r="BD294" i="7"/>
  <c r="BE334" i="7"/>
  <c r="BD22" i="7"/>
  <c r="BE22" i="7"/>
  <c r="BE169" i="7"/>
  <c r="BD169" i="7"/>
  <c r="AM257" i="7"/>
  <c r="AM351" i="7"/>
  <c r="AM203" i="7"/>
  <c r="AM233" i="7"/>
  <c r="AM266" i="7"/>
  <c r="AM151" i="7"/>
  <c r="AM70" i="7"/>
  <c r="AM297" i="7"/>
  <c r="AM314" i="7"/>
  <c r="AM358" i="7"/>
  <c r="AM142" i="7"/>
  <c r="AM252" i="7"/>
  <c r="AM45" i="7"/>
  <c r="AM175" i="7"/>
  <c r="AM270" i="7"/>
  <c r="AM38" i="7"/>
  <c r="AM19" i="7"/>
  <c r="AM291" i="7"/>
  <c r="BV31" i="7"/>
  <c r="BW31" i="7"/>
  <c r="BW186" i="7"/>
  <c r="BW64" i="7"/>
  <c r="BW91" i="7"/>
  <c r="BV88" i="7"/>
  <c r="BW88" i="7"/>
  <c r="BW305" i="7"/>
  <c r="BW157" i="7"/>
  <c r="BW53" i="7"/>
  <c r="BV53" i="7"/>
  <c r="BV398" i="7"/>
  <c r="BW398" i="7"/>
  <c r="BW52" i="7"/>
  <c r="BV52" i="7"/>
  <c r="BV57" i="7"/>
  <c r="BW57" i="7"/>
  <c r="BW5" i="7"/>
  <c r="BV5" i="7"/>
  <c r="BV304" i="7"/>
  <c r="BW304" i="7"/>
  <c r="BW302" i="7"/>
  <c r="BV302" i="7"/>
  <c r="BW106" i="7"/>
  <c r="BV106" i="7"/>
  <c r="BV131" i="7"/>
  <c r="BW131" i="7"/>
  <c r="BW207" i="7"/>
  <c r="BV207" i="7"/>
  <c r="BW156" i="7"/>
  <c r="BW85" i="7"/>
  <c r="BV337" i="7"/>
  <c r="BW337" i="7"/>
  <c r="BW344" i="7"/>
  <c r="BV307" i="7"/>
  <c r="BW307" i="7"/>
  <c r="BV352" i="7"/>
  <c r="BW352" i="7"/>
  <c r="BV103" i="7"/>
  <c r="BW103" i="7"/>
  <c r="BW104" i="7"/>
  <c r="BW145" i="7"/>
  <c r="BV145" i="7"/>
  <c r="BW343" i="7"/>
  <c r="BW79" i="7"/>
  <c r="BW74" i="7"/>
  <c r="BW386" i="7"/>
  <c r="BV174" i="7"/>
  <c r="BW174" i="7"/>
  <c r="BW283" i="7"/>
  <c r="BV317" i="7"/>
  <c r="BW317" i="7"/>
  <c r="BV338" i="7"/>
  <c r="BW338" i="7"/>
  <c r="BW284" i="7"/>
  <c r="BV284" i="7"/>
  <c r="BW294" i="7"/>
  <c r="BV294" i="7"/>
  <c r="BW73" i="7"/>
  <c r="BV127" i="7"/>
  <c r="BW127" i="7"/>
  <c r="BW345" i="7"/>
  <c r="BV279" i="7"/>
  <c r="BW279" i="7"/>
  <c r="BV301" i="7"/>
  <c r="BW301" i="7"/>
  <c r="BW394" i="7"/>
  <c r="BV12" i="7"/>
  <c r="BW12" i="7"/>
  <c r="BW166" i="7"/>
  <c r="BV17" i="7"/>
  <c r="BW17" i="7"/>
  <c r="BV6" i="7"/>
  <c r="BW6" i="7"/>
  <c r="BV189" i="7"/>
  <c r="BW189" i="7"/>
  <c r="BW7" i="7"/>
  <c r="BV7" i="7"/>
  <c r="BW72" i="7"/>
  <c r="BV168" i="7"/>
  <c r="BW168" i="7"/>
  <c r="BV217" i="7"/>
  <c r="BW217" i="7"/>
  <c r="BV147" i="7"/>
  <c r="BW147" i="7"/>
  <c r="BV130" i="7"/>
  <c r="BW130" i="7"/>
  <c r="BV129" i="7"/>
  <c r="BW129" i="7"/>
  <c r="BV282" i="7"/>
  <c r="BW282" i="7"/>
  <c r="BV137" i="7"/>
  <c r="BW137" i="7"/>
  <c r="BV126" i="7"/>
  <c r="BW126" i="7"/>
  <c r="BW13" i="7"/>
  <c r="BW150" i="7"/>
  <c r="BV150" i="7"/>
  <c r="BW149" i="7"/>
  <c r="BD245" i="7"/>
  <c r="BE245" i="7"/>
  <c r="BE20" i="7"/>
  <c r="BD272" i="7"/>
  <c r="BE272" i="7"/>
  <c r="BD118" i="7"/>
  <c r="BE118" i="7"/>
  <c r="BE381" i="7"/>
  <c r="BE167" i="7"/>
  <c r="BD167" i="7"/>
  <c r="BE165" i="7"/>
  <c r="BD165" i="7"/>
  <c r="BE358" i="7"/>
  <c r="BD358" i="7"/>
  <c r="BD350" i="7"/>
  <c r="BE350" i="7"/>
  <c r="BD356" i="7"/>
  <c r="BE356" i="7"/>
  <c r="BE220" i="7"/>
  <c r="BE45" i="7"/>
  <c r="BE19" i="7"/>
  <c r="BE202" i="7"/>
  <c r="BD202" i="7"/>
  <c r="BE326" i="7"/>
  <c r="BE389" i="7"/>
  <c r="BE265" i="7"/>
  <c r="U343" i="7"/>
  <c r="T343" i="7"/>
  <c r="U386" i="7"/>
  <c r="U342" i="7"/>
  <c r="T342" i="7"/>
  <c r="U336" i="7"/>
  <c r="T336" i="7"/>
  <c r="U4" i="7"/>
  <c r="T4" i="7"/>
  <c r="U123" i="7"/>
  <c r="T123" i="7"/>
  <c r="U140" i="7"/>
  <c r="T140" i="7"/>
  <c r="T121" i="7"/>
  <c r="U121" i="7"/>
  <c r="U299" i="7"/>
  <c r="T148" i="7"/>
  <c r="U148" i="7"/>
  <c r="T182" i="7"/>
  <c r="U182" i="7"/>
  <c r="T117" i="7"/>
  <c r="U117" i="7"/>
  <c r="U137" i="7"/>
  <c r="T137" i="7"/>
  <c r="T181" i="7"/>
  <c r="U181" i="7"/>
  <c r="T240" i="7"/>
  <c r="U240" i="7"/>
  <c r="T135" i="7"/>
  <c r="U135" i="7"/>
  <c r="U3" i="7"/>
  <c r="T3" i="7"/>
  <c r="T141" i="7"/>
  <c r="U141" i="7"/>
  <c r="T301" i="7"/>
  <c r="U301" i="7"/>
  <c r="U258" i="7"/>
  <c r="U225" i="7"/>
  <c r="T225" i="7"/>
  <c r="U282" i="7"/>
  <c r="T282" i="7"/>
  <c r="U341" i="7"/>
  <c r="T125" i="7"/>
  <c r="U125" i="7"/>
  <c r="T269" i="7"/>
  <c r="U269" i="7"/>
  <c r="T24" i="7"/>
  <c r="U24" i="7"/>
  <c r="BD276" i="7"/>
  <c r="BE276" i="7"/>
  <c r="T54" i="7"/>
  <c r="U54" i="7"/>
  <c r="U318" i="7"/>
  <c r="U61" i="7"/>
  <c r="T61" i="7"/>
  <c r="U93" i="7"/>
  <c r="T93" i="7"/>
  <c r="U157" i="7"/>
  <c r="U305" i="7"/>
  <c r="T305" i="7"/>
  <c r="U56" i="7"/>
  <c r="T56" i="7"/>
  <c r="T51" i="7"/>
  <c r="U51" i="7"/>
  <c r="U5" i="7"/>
  <c r="T5" i="7"/>
  <c r="T303" i="7"/>
  <c r="U303" i="7"/>
  <c r="U49" i="7"/>
  <c r="U108" i="7"/>
  <c r="T108" i="7"/>
  <c r="T83" i="7"/>
  <c r="U83" i="7"/>
  <c r="U107" i="7"/>
  <c r="T327" i="7"/>
  <c r="U327" i="7"/>
  <c r="U105" i="7"/>
  <c r="U155" i="7"/>
  <c r="T292" i="7"/>
  <c r="U292" i="7"/>
  <c r="T259" i="7"/>
  <c r="U259" i="7"/>
  <c r="U224" i="7"/>
  <c r="T224" i="7"/>
  <c r="U355" i="7"/>
  <c r="T355" i="7"/>
  <c r="U81" i="7"/>
  <c r="T81" i="7"/>
  <c r="U104" i="7"/>
  <c r="U145" i="7"/>
  <c r="T145" i="7"/>
  <c r="U210" i="7"/>
  <c r="U283" i="7"/>
  <c r="U338" i="7"/>
  <c r="U36" i="7"/>
  <c r="T36" i="7"/>
  <c r="U73" i="7"/>
  <c r="T73" i="7"/>
  <c r="T22" i="7"/>
  <c r="U22" i="7"/>
  <c r="U127" i="7"/>
  <c r="U110" i="7"/>
  <c r="T110" i="7"/>
  <c r="U63" i="7"/>
  <c r="T63" i="7"/>
  <c r="BV115" i="7"/>
  <c r="BW115" i="7"/>
  <c r="BW100" i="7"/>
  <c r="BV245" i="7"/>
  <c r="BW245" i="7"/>
  <c r="BW20" i="7"/>
  <c r="BV266" i="7"/>
  <c r="BW266" i="7"/>
  <c r="BW233" i="7"/>
  <c r="BW183" i="7"/>
  <c r="BV183" i="7"/>
  <c r="BV165" i="7"/>
  <c r="BW165" i="7"/>
  <c r="BV298" i="7"/>
  <c r="BW298" i="7"/>
  <c r="BW255" i="7"/>
  <c r="BV255" i="7"/>
  <c r="BW252" i="7"/>
  <c r="BW323" i="7"/>
  <c r="BV184" i="7"/>
  <c r="BW184" i="7"/>
  <c r="BW290" i="7"/>
  <c r="BV270" i="7"/>
  <c r="BW270" i="7"/>
  <c r="BV111" i="7"/>
  <c r="BW111" i="7"/>
  <c r="BV216" i="7"/>
  <c r="BW216" i="7"/>
  <c r="BW389" i="7"/>
  <c r="BW329" i="7"/>
  <c r="BV329" i="7"/>
  <c r="AM186" i="7"/>
  <c r="AM96" i="7"/>
  <c r="AM58" i="7"/>
  <c r="AM264" i="7"/>
  <c r="AM305" i="7"/>
  <c r="AM88" i="7"/>
  <c r="AM277" i="7"/>
  <c r="AM346" i="7"/>
  <c r="AM50" i="7"/>
  <c r="AM52" i="7"/>
  <c r="AM228" i="7"/>
  <c r="AM303" i="7"/>
  <c r="AM304" i="7"/>
  <c r="AM84" i="7"/>
  <c r="AM108" i="7"/>
  <c r="AM321" i="7"/>
  <c r="AM327" i="7"/>
  <c r="AM80" i="7"/>
  <c r="AM46" i="7"/>
  <c r="AM307" i="7"/>
  <c r="AM355" i="7"/>
  <c r="AM47" i="7"/>
  <c r="AM224" i="7"/>
  <c r="AM103" i="7"/>
  <c r="AM191" i="7"/>
  <c r="AM39" i="7"/>
  <c r="AM160" i="7"/>
  <c r="AM336" i="7"/>
  <c r="AM386" i="7"/>
  <c r="AM162" i="7"/>
  <c r="AM325" i="7"/>
  <c r="AM283" i="7"/>
  <c r="AM338" i="7"/>
  <c r="AM201" i="7"/>
  <c r="AM334" i="7"/>
  <c r="AM127" i="7"/>
  <c r="AM294" i="7"/>
  <c r="AM269" i="7"/>
  <c r="AM23" i="7"/>
  <c r="AM116" i="7"/>
  <c r="AM6" i="7"/>
  <c r="AM394" i="7"/>
  <c r="AM12" i="7"/>
  <c r="AM313" i="7"/>
  <c r="AM128" i="7"/>
  <c r="AM166" i="7"/>
  <c r="AM393" i="7"/>
  <c r="AM378" i="7"/>
  <c r="AM282" i="7"/>
  <c r="AM130" i="7"/>
  <c r="AM3" i="7"/>
  <c r="AM171" i="7"/>
  <c r="AM135" i="7"/>
  <c r="AM225" i="7"/>
  <c r="AM129" i="7"/>
  <c r="AM140" i="7"/>
  <c r="AM148" i="7"/>
  <c r="AM149" i="7"/>
  <c r="AM261" i="7"/>
  <c r="U101" i="7"/>
  <c r="U203" i="7"/>
  <c r="T203" i="7"/>
  <c r="T118" i="7"/>
  <c r="U118" i="7"/>
  <c r="U324" i="7"/>
  <c r="U151" i="7"/>
  <c r="T151" i="7"/>
  <c r="U297" i="7"/>
  <c r="T297" i="7"/>
  <c r="T28" i="7"/>
  <c r="U28" i="7"/>
  <c r="U314" i="7"/>
  <c r="T314" i="7"/>
  <c r="U252" i="7"/>
  <c r="U143" i="7"/>
  <c r="T143" i="7"/>
  <c r="T350" i="7"/>
  <c r="U350" i="7"/>
  <c r="U290" i="7"/>
  <c r="T290" i="7"/>
  <c r="T251" i="7"/>
  <c r="U251" i="7"/>
  <c r="U111" i="7"/>
  <c r="T111" i="7"/>
  <c r="T196" i="7"/>
  <c r="U196" i="7"/>
  <c r="U218" i="7"/>
  <c r="T218" i="7"/>
  <c r="T216" i="7"/>
  <c r="U216" i="7"/>
  <c r="BD307" i="7"/>
  <c r="BE307" i="7"/>
  <c r="BE185" i="7"/>
  <c r="BD185" i="7"/>
  <c r="BE352" i="7"/>
  <c r="BD352" i="7"/>
  <c r="BE355" i="7"/>
  <c r="BD355" i="7"/>
  <c r="BD152" i="7"/>
  <c r="BE152" i="7"/>
  <c r="BD315" i="7"/>
  <c r="BE315" i="7"/>
  <c r="BE210" i="7"/>
  <c r="BE338" i="7"/>
  <c r="BE172" i="7"/>
  <c r="BD172" i="7"/>
  <c r="BE182" i="7"/>
  <c r="BD182" i="7"/>
  <c r="BE123" i="7"/>
  <c r="BD123" i="7"/>
  <c r="BE6" i="7"/>
  <c r="BD6" i="7"/>
  <c r="BE287" i="7"/>
  <c r="BE17" i="7"/>
  <c r="BD17" i="7"/>
  <c r="BE319" i="7"/>
  <c r="BD128" i="7"/>
  <c r="BE128" i="7"/>
  <c r="BD301" i="7"/>
  <c r="BE301" i="7"/>
  <c r="BD23" i="7"/>
  <c r="BE23" i="7"/>
  <c r="BE394" i="7"/>
  <c r="BE72" i="7"/>
  <c r="BE261" i="7"/>
  <c r="BD261" i="7"/>
  <c r="BD316" i="7"/>
  <c r="BE316" i="7"/>
  <c r="BD140" i="7"/>
  <c r="BE140" i="7"/>
  <c r="BD212" i="7"/>
  <c r="BE212" i="7"/>
  <c r="BE222" i="7"/>
  <c r="BD222" i="7"/>
  <c r="BE225" i="7"/>
  <c r="BD225" i="7"/>
  <c r="BE176" i="7"/>
  <c r="BD176" i="7"/>
  <c r="BD286" i="7"/>
  <c r="BE286" i="7"/>
  <c r="BE149" i="7"/>
  <c r="BD149" i="7"/>
  <c r="BD161" i="7"/>
  <c r="BE161" i="7"/>
  <c r="BE258" i="7"/>
  <c r="BG320" i="7" a="1"/>
  <c r="D7" i="8"/>
  <c r="C7" i="8"/>
  <c r="F7" i="8"/>
  <c r="R19" i="6"/>
  <c r="T18" i="6"/>
  <c r="Q20" i="6"/>
  <c r="S19" i="6"/>
  <c r="V73" i="7"/>
  <c r="V343" i="7"/>
  <c r="AN175" i="7"/>
  <c r="AO175" i="7" a="1"/>
  <c r="AP175" i="7"/>
  <c r="BX45" i="7"/>
  <c r="BY45" i="7" a="1"/>
  <c r="CB45" i="7"/>
  <c r="V94" i="7"/>
  <c r="W94" i="7" a="1"/>
  <c r="Y94" i="7"/>
  <c r="AN55" i="7"/>
  <c r="AO55" i="7" a="1"/>
  <c r="AY55" i="7"/>
  <c r="V95" i="7"/>
  <c r="W95" i="7" a="1"/>
  <c r="Z95" i="7"/>
  <c r="CH320" i="7"/>
  <c r="CC320" i="7"/>
  <c r="CE320" i="7"/>
  <c r="BZ320" i="7"/>
  <c r="CF320" i="7"/>
  <c r="CA320" i="7"/>
  <c r="CB320" i="7"/>
  <c r="CD320" i="7"/>
  <c r="CG320" i="7"/>
  <c r="CI320" i="7"/>
  <c r="BY320" i="7"/>
  <c r="AR320" i="7"/>
  <c r="AY320" i="7"/>
  <c r="AP320" i="7"/>
  <c r="AX320" i="7"/>
  <c r="AT320" i="7"/>
  <c r="AW320" i="7"/>
  <c r="AQ320" i="7"/>
  <c r="AO320" i="7"/>
  <c r="AU320" i="7"/>
  <c r="AS320" i="7"/>
  <c r="AV320" i="7"/>
  <c r="BF258" i="7"/>
  <c r="BF352" i="7"/>
  <c r="V216" i="7"/>
  <c r="V314" i="7"/>
  <c r="W314" i="7" a="1"/>
  <c r="AN129" i="7"/>
  <c r="AO129" i="7" a="1"/>
  <c r="AN282" i="7"/>
  <c r="AO282" i="7" a="1"/>
  <c r="AN80" i="7"/>
  <c r="AO80" i="7" a="1"/>
  <c r="AN52" i="7"/>
  <c r="AO52" i="7" a="1"/>
  <c r="AN58" i="7"/>
  <c r="AO58" i="7" a="1"/>
  <c r="BX389" i="7"/>
  <c r="BY389" i="7" a="1"/>
  <c r="BX298" i="7"/>
  <c r="BY298" i="7" a="1"/>
  <c r="BX165" i="7"/>
  <c r="BY165" i="7" a="1"/>
  <c r="BX233" i="7"/>
  <c r="BY233" i="7" a="1"/>
  <c r="V63" i="7"/>
  <c r="W63" i="7" a="1"/>
  <c r="AA63" i="7"/>
  <c r="V110" i="7"/>
  <c r="W110" i="7" a="1"/>
  <c r="Y110" i="7"/>
  <c r="V81" i="7"/>
  <c r="W81" i="7" a="1"/>
  <c r="X81" i="7"/>
  <c r="V224" i="7"/>
  <c r="W224" i="7" a="1"/>
  <c r="V5" i="7"/>
  <c r="W5" i="7" a="1"/>
  <c r="V56" i="7"/>
  <c r="W56" i="7" a="1"/>
  <c r="Y56" i="7"/>
  <c r="V305" i="7"/>
  <c r="V93" i="7"/>
  <c r="V318" i="7"/>
  <c r="V225" i="7"/>
  <c r="W225" i="7" a="1"/>
  <c r="AD225" i="7"/>
  <c r="V301" i="7"/>
  <c r="V3" i="7"/>
  <c r="W3" i="7" a="1"/>
  <c r="V137" i="7"/>
  <c r="W137" i="7" a="1"/>
  <c r="AE137" i="7"/>
  <c r="V121" i="7"/>
  <c r="W121" i="7" a="1"/>
  <c r="AD121" i="7"/>
  <c r="V140" i="7"/>
  <c r="W140" i="7" a="1"/>
  <c r="W140" i="7"/>
  <c r="V123" i="7"/>
  <c r="W123" i="7" a="1"/>
  <c r="AE123" i="7"/>
  <c r="V4" i="7"/>
  <c r="W4" i="7" a="1"/>
  <c r="AF4" i="7"/>
  <c r="V336" i="7"/>
  <c r="W336" i="7" a="1"/>
  <c r="BF350" i="7"/>
  <c r="BF118" i="7"/>
  <c r="BF245" i="7"/>
  <c r="BX126" i="7"/>
  <c r="BY126" i="7" a="1"/>
  <c r="BX129" i="7"/>
  <c r="BY129" i="7" a="1"/>
  <c r="BX130" i="7"/>
  <c r="BY130" i="7" a="1"/>
  <c r="BX147" i="7"/>
  <c r="BY147" i="7" a="1"/>
  <c r="BX168" i="7"/>
  <c r="BY168" i="7" a="1"/>
  <c r="BX7" i="7"/>
  <c r="BY7" i="7" a="1"/>
  <c r="BX301" i="7"/>
  <c r="BY301" i="7" a="1"/>
  <c r="BX317" i="7"/>
  <c r="BY317" i="7" a="1"/>
  <c r="BX145" i="7"/>
  <c r="BY145" i="7" a="1"/>
  <c r="BX352" i="7"/>
  <c r="BY352" i="7" a="1"/>
  <c r="BX307" i="7"/>
  <c r="BY307" i="7" a="1"/>
  <c r="BX304" i="7"/>
  <c r="BY304" i="7" a="1"/>
  <c r="BX5" i="7"/>
  <c r="BY5" i="7" a="1"/>
  <c r="BX53" i="7"/>
  <c r="BY53" i="7" a="1"/>
  <c r="AN297" i="7"/>
  <c r="AO297" i="7" a="1"/>
  <c r="AN203" i="7"/>
  <c r="AO203" i="7" a="1"/>
  <c r="AN351" i="7"/>
  <c r="AO351" i="7" a="1"/>
  <c r="BF159" i="7"/>
  <c r="V276" i="7"/>
  <c r="BF153" i="7"/>
  <c r="BF3" i="7"/>
  <c r="BF188" i="7"/>
  <c r="V220" i="7"/>
  <c r="V381" i="7"/>
  <c r="AN168" i="7"/>
  <c r="AO168" i="7" a="1"/>
  <c r="AN153" i="7"/>
  <c r="AO153" i="7" a="1"/>
  <c r="AN299" i="7"/>
  <c r="AO299" i="7" a="1"/>
  <c r="AN132" i="7"/>
  <c r="AO132" i="7" a="1"/>
  <c r="AN315" i="7"/>
  <c r="AO315" i="7" a="1"/>
  <c r="AN78" i="7"/>
  <c r="AO78" i="7" a="1"/>
  <c r="AN85" i="7"/>
  <c r="AO85" i="7" a="1"/>
  <c r="AN348" i="7"/>
  <c r="AO348" i="7" a="1"/>
  <c r="AN51" i="7"/>
  <c r="AO51" i="7" a="1"/>
  <c r="AN110" i="7"/>
  <c r="AO110" i="7" a="1"/>
  <c r="BX101" i="7"/>
  <c r="BY101" i="7" a="1"/>
  <c r="V65" i="7"/>
  <c r="W65" i="7" a="1"/>
  <c r="AF65" i="7"/>
  <c r="V64" i="7"/>
  <c r="V360" i="7"/>
  <c r="W360" i="7" a="1"/>
  <c r="V215" i="7"/>
  <c r="V84" i="7"/>
  <c r="W84" i="7" a="1"/>
  <c r="Z84" i="7"/>
  <c r="V57" i="7"/>
  <c r="W57" i="7" a="1"/>
  <c r="W57" i="7"/>
  <c r="V86" i="7"/>
  <c r="W86" i="7" a="1"/>
  <c r="X86" i="7"/>
  <c r="V264" i="7"/>
  <c r="V164" i="7"/>
  <c r="V271" i="7"/>
  <c r="W271" i="7" a="1"/>
  <c r="V122" i="7"/>
  <c r="W122" i="7" a="1"/>
  <c r="X122" i="7"/>
  <c r="V144" i="7"/>
  <c r="W144" i="7" a="1"/>
  <c r="AB144" i="7"/>
  <c r="BF329" i="7"/>
  <c r="BF28" i="7"/>
  <c r="BG28" i="7" a="1"/>
  <c r="BF285" i="7"/>
  <c r="BG285" i="7" a="1"/>
  <c r="BX306" i="7"/>
  <c r="BY306" i="7" a="1"/>
  <c r="BX4" i="7"/>
  <c r="BY4" i="7" a="1"/>
  <c r="BX169" i="7"/>
  <c r="BX158" i="7"/>
  <c r="BY158" i="7" a="1"/>
  <c r="BX179" i="7"/>
  <c r="BY179" i="7" a="1"/>
  <c r="BX39" i="7"/>
  <c r="BY39" i="7" a="1"/>
  <c r="BX81" i="7"/>
  <c r="BY81" i="7" a="1"/>
  <c r="BX321" i="7"/>
  <c r="BY321" i="7" a="1"/>
  <c r="BX90" i="7"/>
  <c r="BY90" i="7" a="1"/>
  <c r="BX94" i="7"/>
  <c r="BY94" i="7" a="1"/>
  <c r="AN218" i="7"/>
  <c r="AO218" i="7" a="1"/>
  <c r="AN255" i="7"/>
  <c r="AO255" i="7" a="1"/>
  <c r="AN28" i="7"/>
  <c r="AO28" i="7" a="1"/>
  <c r="AN245" i="7"/>
  <c r="AO245" i="7" a="1"/>
  <c r="BF162" i="7"/>
  <c r="BF145" i="7"/>
  <c r="BG145" i="7" a="1"/>
  <c r="BF131" i="7"/>
  <c r="BF377" i="7"/>
  <c r="BF264" i="7"/>
  <c r="BG264" i="7" a="1"/>
  <c r="BF65" i="7"/>
  <c r="BF398" i="7"/>
  <c r="BF56" i="7"/>
  <c r="V257" i="7"/>
  <c r="W257" i="7" a="1"/>
  <c r="BF24" i="7"/>
  <c r="BG24" i="7" a="1"/>
  <c r="BF173" i="7"/>
  <c r="BF187" i="7"/>
  <c r="BF339" i="7"/>
  <c r="BF112" i="7"/>
  <c r="BG112" i="7" a="1"/>
  <c r="BF122" i="7"/>
  <c r="BF47" i="7"/>
  <c r="V326" i="7"/>
  <c r="V202" i="7"/>
  <c r="W202" i="7" a="1"/>
  <c r="V119" i="7"/>
  <c r="AN176" i="7"/>
  <c r="AO176" i="7" a="1"/>
  <c r="AN247" i="7"/>
  <c r="AO247" i="7" a="1"/>
  <c r="AN117" i="7"/>
  <c r="AO117" i="7" a="1"/>
  <c r="AN360" i="7"/>
  <c r="AO360" i="7" a="1"/>
  <c r="AN82" i="7"/>
  <c r="AO82" i="7" a="1"/>
  <c r="AN34" i="7"/>
  <c r="AO34" i="7" a="1"/>
  <c r="BX314" i="7"/>
  <c r="BY314" i="7" a="1"/>
  <c r="BX97" i="7"/>
  <c r="BY97" i="7" a="1"/>
  <c r="BX310" i="7"/>
  <c r="BY310" i="7" a="1"/>
  <c r="BX285" i="7"/>
  <c r="BY285" i="7" a="1"/>
  <c r="V67" i="7"/>
  <c r="W67" i="7" a="1"/>
  <c r="AG67" i="7"/>
  <c r="V71" i="7"/>
  <c r="V353" i="7"/>
  <c r="W353" i="7" a="1"/>
  <c r="V337" i="7"/>
  <c r="V80" i="7"/>
  <c r="W80" i="7" a="1"/>
  <c r="V207" i="7"/>
  <c r="V377" i="7"/>
  <c r="V53" i="7"/>
  <c r="W53" i="7" a="1"/>
  <c r="W53" i="7"/>
  <c r="V261" i="7"/>
  <c r="W261" i="7" a="1"/>
  <c r="X261" i="7"/>
  <c r="V171" i="7"/>
  <c r="V23" i="7"/>
  <c r="V116" i="7"/>
  <c r="V306" i="7"/>
  <c r="V76" i="7"/>
  <c r="BF111" i="7"/>
  <c r="BF10" i="7"/>
  <c r="BG10" i="7" a="1"/>
  <c r="BF97" i="7"/>
  <c r="BX113" i="7"/>
  <c r="BY113" i="7" a="1"/>
  <c r="BX366" i="7"/>
  <c r="BY366" i="7" a="1"/>
  <c r="BX292" i="7"/>
  <c r="BY292" i="7" a="1"/>
  <c r="BX377" i="7"/>
  <c r="BY377" i="7" a="1"/>
  <c r="BX58" i="7"/>
  <c r="BY58" i="7" a="1"/>
  <c r="BX109" i="7"/>
  <c r="BY109" i="7" a="1"/>
  <c r="AN40" i="7"/>
  <c r="AO40" i="7" a="1"/>
  <c r="AN115" i="7"/>
  <c r="AO115" i="7" a="1"/>
  <c r="BF36" i="7"/>
  <c r="BF174" i="7"/>
  <c r="BF168" i="7"/>
  <c r="BF178" i="7"/>
  <c r="BG178" i="7" a="1"/>
  <c r="BF144" i="7"/>
  <c r="BF138" i="7"/>
  <c r="BG138" i="7" a="1"/>
  <c r="BF240" i="7"/>
  <c r="BG240" i="7" a="1"/>
  <c r="BF12" i="7"/>
  <c r="BF139" i="7"/>
  <c r="V329" i="7"/>
  <c r="V184" i="7"/>
  <c r="V70" i="7"/>
  <c r="W70" i="7" a="1"/>
  <c r="V351" i="7"/>
  <c r="AN138" i="7"/>
  <c r="AO138" i="7" a="1"/>
  <c r="AN113" i="7"/>
  <c r="AO113" i="7" a="1"/>
  <c r="AN172" i="7"/>
  <c r="AO172" i="7" a="1"/>
  <c r="AN268" i="7"/>
  <c r="AO268" i="7" a="1"/>
  <c r="AN180" i="7"/>
  <c r="AO180" i="7" a="1"/>
  <c r="AN259" i="7"/>
  <c r="AO259" i="7" a="1"/>
  <c r="AN311" i="7"/>
  <c r="AO311" i="7" a="1"/>
  <c r="AW55" i="7"/>
  <c r="AQ55" i="7"/>
  <c r="AO55" i="7"/>
  <c r="AN94" i="7"/>
  <c r="AO94" i="7" a="1"/>
  <c r="BX218" i="7"/>
  <c r="BY218" i="7" a="1"/>
  <c r="BX220" i="7"/>
  <c r="BY220" i="7" a="1"/>
  <c r="V31" i="7"/>
  <c r="W31" i="7" a="1"/>
  <c r="AB31" i="7"/>
  <c r="V8" i="7"/>
  <c r="W8" i="7" a="1"/>
  <c r="V390" i="7"/>
  <c r="V139" i="7"/>
  <c r="W139" i="7" a="1"/>
  <c r="V170" i="7"/>
  <c r="W170" i="7" a="1"/>
  <c r="V316" i="7"/>
  <c r="V222" i="7"/>
  <c r="V150" i="7"/>
  <c r="W150" i="7" a="1"/>
  <c r="AG150" i="7"/>
  <c r="V113" i="7"/>
  <c r="W113" i="7" a="1"/>
  <c r="V17" i="7"/>
  <c r="V66" i="7"/>
  <c r="V120" i="7"/>
  <c r="W120" i="7" a="1"/>
  <c r="AE120" i="7"/>
  <c r="V288" i="7"/>
  <c r="BF196" i="7"/>
  <c r="BF289" i="7"/>
  <c r="BF40" i="7"/>
  <c r="BF101" i="7"/>
  <c r="BF351" i="7"/>
  <c r="BG351" i="7" a="1"/>
  <c r="BX153" i="7"/>
  <c r="BY153" i="7" a="1"/>
  <c r="BX219" i="7"/>
  <c r="BY219" i="7" a="1"/>
  <c r="BX177" i="7"/>
  <c r="BY177" i="7" a="1"/>
  <c r="BX134" i="7"/>
  <c r="BY134" i="7" a="1"/>
  <c r="BX125" i="7"/>
  <c r="BY125" i="7" a="1"/>
  <c r="BX190" i="7"/>
  <c r="BY190" i="7" a="1"/>
  <c r="BX122" i="7"/>
  <c r="BY122" i="7" a="1"/>
  <c r="BX132" i="7"/>
  <c r="BY132" i="7" a="1"/>
  <c r="BX162" i="7"/>
  <c r="BY162" i="7" a="1"/>
  <c r="BX180" i="7"/>
  <c r="BY180" i="7" a="1"/>
  <c r="BX191" i="7"/>
  <c r="BY191" i="7" a="1"/>
  <c r="BX11" i="7"/>
  <c r="BY11" i="7" a="1"/>
  <c r="BX347" i="7"/>
  <c r="BY347" i="7" a="1"/>
  <c r="BX215" i="7"/>
  <c r="BY215" i="7" a="1"/>
  <c r="BX152" i="7"/>
  <c r="BY152" i="7" a="1"/>
  <c r="BX327" i="7"/>
  <c r="BY327" i="7" a="1"/>
  <c r="BX133" i="7"/>
  <c r="BY133" i="7" a="1"/>
  <c r="BX159" i="7"/>
  <c r="BY159" i="7" a="1"/>
  <c r="BX163" i="7"/>
  <c r="BY163" i="7" a="1"/>
  <c r="BX63" i="7"/>
  <c r="BY63" i="7" a="1"/>
  <c r="AN289" i="7"/>
  <c r="AO289" i="7" a="1"/>
  <c r="AN68" i="7"/>
  <c r="AO68" i="7" a="1"/>
  <c r="AN251" i="7"/>
  <c r="AO251" i="7" a="1"/>
  <c r="AN350" i="7"/>
  <c r="AO350" i="7" a="1"/>
  <c r="AN323" i="7"/>
  <c r="AO323" i="7" a="1"/>
  <c r="AN272" i="7"/>
  <c r="AO272" i="7" a="1"/>
  <c r="AN101" i="7"/>
  <c r="AO101" i="7" a="1"/>
  <c r="BF71" i="7"/>
  <c r="BF59" i="7"/>
  <c r="BF32" i="7"/>
  <c r="BF228" i="7"/>
  <c r="BF54" i="7"/>
  <c r="BF109" i="7"/>
  <c r="BF286" i="7"/>
  <c r="BF140" i="7"/>
  <c r="BF394" i="7"/>
  <c r="BF6" i="7"/>
  <c r="BF355" i="7"/>
  <c r="V111" i="7"/>
  <c r="W111" i="7" a="1"/>
  <c r="V28" i="7"/>
  <c r="AN336" i="7"/>
  <c r="AO336" i="7" a="1"/>
  <c r="AN224" i="7"/>
  <c r="AO224" i="7" a="1"/>
  <c r="AN84" i="7"/>
  <c r="AO84" i="7" a="1"/>
  <c r="AN50" i="7"/>
  <c r="AO50" i="7" a="1"/>
  <c r="BX329" i="7"/>
  <c r="BY329" i="7" a="1"/>
  <c r="BF38" i="7"/>
  <c r="BM320" i="7"/>
  <c r="BJ320" i="7"/>
  <c r="BH320" i="7"/>
  <c r="BP320" i="7"/>
  <c r="BO320" i="7"/>
  <c r="BQ320" i="7"/>
  <c r="BK320" i="7"/>
  <c r="BG320" i="7"/>
  <c r="BI320" i="7"/>
  <c r="BN320" i="7"/>
  <c r="BL320" i="7"/>
  <c r="BD19" i="7"/>
  <c r="BF19" i="7"/>
  <c r="AN257" i="7"/>
  <c r="AO257" i="7" a="1"/>
  <c r="BD13" i="7"/>
  <c r="BF13" i="7"/>
  <c r="AN185" i="7"/>
  <c r="AO185" i="7" a="1"/>
  <c r="BV19" i="7"/>
  <c r="BX19" i="7"/>
  <c r="BY19" i="7" a="1"/>
  <c r="BD98" i="7"/>
  <c r="BF98" i="7"/>
  <c r="BG98" i="7" a="1"/>
  <c r="BD290" i="7"/>
  <c r="BV124" i="7"/>
  <c r="BV342" i="7"/>
  <c r="BX342" i="7"/>
  <c r="BY342" i="7" a="1"/>
  <c r="BV154" i="7"/>
  <c r="BX154" i="7"/>
  <c r="BY154" i="7" a="1"/>
  <c r="BV108" i="7"/>
  <c r="BX108" i="7"/>
  <c r="BY108" i="7" a="1"/>
  <c r="BD77" i="7"/>
  <c r="BF77" i="7"/>
  <c r="BD312" i="7"/>
  <c r="BF312" i="7"/>
  <c r="BD277" i="7"/>
  <c r="BF277" i="7"/>
  <c r="AN244" i="7"/>
  <c r="AO244" i="7" a="1"/>
  <c r="AN344" i="7"/>
  <c r="AO344" i="7" a="1"/>
  <c r="BV98" i="7"/>
  <c r="T186" i="7"/>
  <c r="V186" i="7"/>
  <c r="W186" i="7" a="1"/>
  <c r="T346" i="7"/>
  <c r="V346" i="7"/>
  <c r="W346" i="7" a="1"/>
  <c r="BV46" i="7"/>
  <c r="BX46" i="7"/>
  <c r="BY46" i="7" a="1"/>
  <c r="AN265" i="7"/>
  <c r="AO265" i="7" a="1"/>
  <c r="BD91" i="7"/>
  <c r="BF91" i="7"/>
  <c r="T38" i="7"/>
  <c r="V38" i="7"/>
  <c r="T175" i="7"/>
  <c r="V175" i="7"/>
  <c r="AN210" i="7"/>
  <c r="AO210" i="7" a="1"/>
  <c r="AN333" i="7"/>
  <c r="AO333" i="7" a="1"/>
  <c r="BV265" i="7"/>
  <c r="BX265" i="7"/>
  <c r="BY265" i="7" a="1"/>
  <c r="BV99" i="7"/>
  <c r="BX99" i="7"/>
  <c r="BY99" i="7" a="1"/>
  <c r="BV195" i="7"/>
  <c r="BX195" i="7"/>
  <c r="BY195" i="7" a="1"/>
  <c r="T13" i="7"/>
  <c r="V13" i="7"/>
  <c r="W13" i="7" a="1"/>
  <c r="BV348" i="7"/>
  <c r="BX348" i="7"/>
  <c r="BY348" i="7" a="1"/>
  <c r="BV346" i="7"/>
  <c r="BX346" i="7"/>
  <c r="BY346" i="7" a="1"/>
  <c r="T100" i="7"/>
  <c r="V100" i="7"/>
  <c r="W100" i="7" a="1"/>
  <c r="T252" i="7"/>
  <c r="V252" i="7"/>
  <c r="BV100" i="7"/>
  <c r="BX100" i="7"/>
  <c r="BY100" i="7" a="1"/>
  <c r="T157" i="7"/>
  <c r="V157" i="7"/>
  <c r="BD45" i="7"/>
  <c r="BF45" i="7"/>
  <c r="BV166" i="7"/>
  <c r="BX166" i="7"/>
  <c r="BY166" i="7" a="1"/>
  <c r="AN13" i="7"/>
  <c r="AO13" i="7" a="1"/>
  <c r="BF149" i="7"/>
  <c r="BF123" i="7"/>
  <c r="BD210" i="7"/>
  <c r="BF210" i="7"/>
  <c r="BF185" i="7"/>
  <c r="V118" i="7"/>
  <c r="AN128" i="7"/>
  <c r="AO128" i="7" a="1"/>
  <c r="AN127" i="7"/>
  <c r="AO127" i="7" a="1"/>
  <c r="AN325" i="7"/>
  <c r="AO325" i="7" a="1"/>
  <c r="AN307" i="7"/>
  <c r="AO307" i="7" a="1"/>
  <c r="BX216" i="7"/>
  <c r="BX183" i="7"/>
  <c r="BY183" i="7" a="1"/>
  <c r="T104" i="7"/>
  <c r="V104" i="7"/>
  <c r="W104" i="7" a="1"/>
  <c r="BF276" i="7"/>
  <c r="V125" i="7"/>
  <c r="V117" i="7"/>
  <c r="W117" i="7" a="1"/>
  <c r="BF389" i="7"/>
  <c r="BF326" i="7"/>
  <c r="BF220" i="7"/>
  <c r="BF167" i="7"/>
  <c r="BF272" i="7"/>
  <c r="BX149" i="7"/>
  <c r="BY149" i="7" a="1"/>
  <c r="BX137" i="7"/>
  <c r="BY137" i="7" a="1"/>
  <c r="BV72" i="7"/>
  <c r="BX72" i="7"/>
  <c r="BY72" i="7" a="1"/>
  <c r="BX189" i="7"/>
  <c r="BY189" i="7" a="1"/>
  <c r="BX338" i="7"/>
  <c r="BY338" i="7" a="1"/>
  <c r="BV74" i="7"/>
  <c r="BX74" i="7"/>
  <c r="BY74" i="7" a="1"/>
  <c r="BV85" i="7"/>
  <c r="BX85" i="7"/>
  <c r="BY85" i="7" a="1"/>
  <c r="BX207" i="7"/>
  <c r="BX57" i="7"/>
  <c r="BY57" i="7" a="1"/>
  <c r="BX398" i="7"/>
  <c r="BY398" i="7" a="1"/>
  <c r="BV305" i="7"/>
  <c r="BX88" i="7"/>
  <c r="BY88" i="7" a="1"/>
  <c r="BV91" i="7"/>
  <c r="BX91" i="7"/>
  <c r="BY91" i="7" a="1"/>
  <c r="AN291" i="7"/>
  <c r="AO291" i="7" a="1"/>
  <c r="AN19" i="7"/>
  <c r="AO19" i="7" a="1"/>
  <c r="AN38" i="7"/>
  <c r="AO38" i="7" a="1"/>
  <c r="AN314" i="7"/>
  <c r="AO314" i="7" a="1"/>
  <c r="AN151" i="7"/>
  <c r="AO151" i="7" a="1"/>
  <c r="AN266" i="7"/>
  <c r="AO266" i="7" a="1"/>
  <c r="AN233" i="7"/>
  <c r="AO233" i="7" a="1"/>
  <c r="BF22" i="7"/>
  <c r="BF294" i="7"/>
  <c r="BG294" i="7" a="1"/>
  <c r="BD76" i="7"/>
  <c r="BF11" i="7"/>
  <c r="BD156" i="7"/>
  <c r="BF156" i="7"/>
  <c r="BF302" i="7"/>
  <c r="BF186" i="7"/>
  <c r="BF18" i="7"/>
  <c r="BF126" i="7"/>
  <c r="BF214" i="7"/>
  <c r="BF313" i="7"/>
  <c r="BF189" i="7"/>
  <c r="BF345" i="7"/>
  <c r="BF393" i="7"/>
  <c r="BG393" i="7" a="1"/>
  <c r="BF81" i="7"/>
  <c r="V291" i="7"/>
  <c r="V35" i="7"/>
  <c r="V21" i="7"/>
  <c r="W21" i="7" a="1"/>
  <c r="AN137" i="7"/>
  <c r="AO137" i="7" a="1"/>
  <c r="AN134" i="7"/>
  <c r="AO134" i="7" a="1"/>
  <c r="AN223" i="7"/>
  <c r="AO223" i="7" a="1"/>
  <c r="AN112" i="7"/>
  <c r="AO112" i="7" a="1"/>
  <c r="AN306" i="7"/>
  <c r="AO306" i="7" a="1"/>
  <c r="AN188" i="7"/>
  <c r="AO188" i="7" a="1"/>
  <c r="AN345" i="7"/>
  <c r="AO345" i="7" a="1"/>
  <c r="AN366" i="7"/>
  <c r="AO366" i="7" a="1"/>
  <c r="AN44" i="7"/>
  <c r="AO44" i="7" a="1"/>
  <c r="AN278" i="7"/>
  <c r="AO278" i="7" a="1"/>
  <c r="AN215" i="7"/>
  <c r="AO215" i="7" a="1"/>
  <c r="AN152" i="7"/>
  <c r="AO152" i="7" a="1"/>
  <c r="AN90" i="7"/>
  <c r="AO90" i="7" a="1"/>
  <c r="BX16" i="7"/>
  <c r="BY16" i="7" a="1"/>
  <c r="BX35" i="7"/>
  <c r="BY35" i="7" a="1"/>
  <c r="BX297" i="7"/>
  <c r="BY297" i="7" a="1"/>
  <c r="BX28" i="7"/>
  <c r="BY28" i="7" a="1"/>
  <c r="BX272" i="7"/>
  <c r="BY272" i="7" a="1"/>
  <c r="V96" i="7"/>
  <c r="W96" i="7" a="1"/>
  <c r="V25" i="7"/>
  <c r="V201" i="7"/>
  <c r="W201" i="7" a="1"/>
  <c r="V132" i="7"/>
  <c r="W132" i="7" a="1"/>
  <c r="V39" i="7"/>
  <c r="V78" i="7"/>
  <c r="W78" i="7" a="1"/>
  <c r="V347" i="7"/>
  <c r="W347" i="7" a="1"/>
  <c r="V307" i="7"/>
  <c r="V103" i="7"/>
  <c r="W103" i="7" a="1"/>
  <c r="V159" i="7"/>
  <c r="V302" i="7"/>
  <c r="W302" i="7" a="1"/>
  <c r="V32" i="7"/>
  <c r="W32" i="7" a="1"/>
  <c r="V91" i="7"/>
  <c r="W91" i="7" a="1"/>
  <c r="BD15" i="7"/>
  <c r="BF15" i="7"/>
  <c r="V149" i="7"/>
  <c r="W149" i="7" a="1"/>
  <c r="V286" i="7"/>
  <c r="W286" i="7" a="1"/>
  <c r="V219" i="7"/>
  <c r="W219" i="7" a="1"/>
  <c r="V176" i="7"/>
  <c r="W176" i="7" a="1"/>
  <c r="V300" i="7"/>
  <c r="V188" i="7"/>
  <c r="W188" i="7" a="1"/>
  <c r="V394" i="7"/>
  <c r="BF184" i="7"/>
  <c r="BF21" i="7"/>
  <c r="BX247" i="7"/>
  <c r="BY247" i="7" a="1"/>
  <c r="BX335" i="7"/>
  <c r="BY335" i="7" a="1"/>
  <c r="BX160" i="7"/>
  <c r="BY160" i="7" a="1"/>
  <c r="BX355" i="7"/>
  <c r="BY355" i="7" a="1"/>
  <c r="BX47" i="7"/>
  <c r="BY47" i="7" a="1"/>
  <c r="BV105" i="7"/>
  <c r="BX105" i="7"/>
  <c r="BY105" i="7" a="1"/>
  <c r="BV155" i="7"/>
  <c r="BX155" i="7"/>
  <c r="BY155" i="7" a="1"/>
  <c r="BV311" i="7"/>
  <c r="BX311" i="7"/>
  <c r="BY311" i="7" a="1"/>
  <c r="BV281" i="7"/>
  <c r="BX281" i="7"/>
  <c r="BY281" i="7" a="1"/>
  <c r="BX264" i="7"/>
  <c r="BV96" i="7"/>
  <c r="AN9" i="7"/>
  <c r="AO9" i="7" a="1"/>
  <c r="AN111" i="7"/>
  <c r="AO111" i="7" a="1"/>
  <c r="AN220" i="7"/>
  <c r="AO220" i="7" a="1"/>
  <c r="AN97" i="7"/>
  <c r="AO97" i="7" a="1"/>
  <c r="AN254" i="7"/>
  <c r="AO254" i="7" a="1"/>
  <c r="AN285" i="7"/>
  <c r="AO285" i="7" a="1"/>
  <c r="AN276" i="7"/>
  <c r="AO276" i="7" a="1"/>
  <c r="BD332" i="7"/>
  <c r="BF332" i="7"/>
  <c r="BG332" i="7" a="1"/>
  <c r="BD281" i="7"/>
  <c r="BF281" i="7"/>
  <c r="BF211" i="7"/>
  <c r="BF52" i="7"/>
  <c r="BD60" i="7"/>
  <c r="BF60" i="7"/>
  <c r="BG60" i="7" a="1"/>
  <c r="BF90" i="7"/>
  <c r="BF58" i="7"/>
  <c r="BF63" i="7"/>
  <c r="BD305" i="7"/>
  <c r="BF94" i="7"/>
  <c r="BF130" i="7"/>
  <c r="BG130" i="7" a="1"/>
  <c r="BF129" i="7"/>
  <c r="BF177" i="7"/>
  <c r="BF141" i="7"/>
  <c r="BF223" i="7"/>
  <c r="BF4" i="7"/>
  <c r="BF66" i="7"/>
  <c r="BF306" i="7"/>
  <c r="BF25" i="7"/>
  <c r="BF158" i="7"/>
  <c r="BF268" i="7"/>
  <c r="BD357" i="7"/>
  <c r="BF357" i="7"/>
  <c r="BG357" i="7" a="1"/>
  <c r="V361" i="7"/>
  <c r="V142" i="7"/>
  <c r="W142" i="7" a="1"/>
  <c r="V358" i="7"/>
  <c r="V254" i="7"/>
  <c r="V298" i="7"/>
  <c r="V310" i="7"/>
  <c r="V20" i="7"/>
  <c r="AN126" i="7"/>
  <c r="AO126" i="7" a="1"/>
  <c r="AN125" i="7"/>
  <c r="AO125" i="7" a="1"/>
  <c r="AN212" i="7"/>
  <c r="AO212" i="7" a="1"/>
  <c r="AN335" i="7"/>
  <c r="AO335" i="7" a="1"/>
  <c r="AN121" i="7"/>
  <c r="AO121" i="7" a="1"/>
  <c r="AN181" i="7"/>
  <c r="AO181" i="7" a="1"/>
  <c r="AN22" i="7"/>
  <c r="AO22" i="7" a="1"/>
  <c r="AN71" i="7"/>
  <c r="AO71" i="7" a="1"/>
  <c r="AN317" i="7"/>
  <c r="AO317" i="7" a="1"/>
  <c r="AN263" i="7"/>
  <c r="AO263" i="7" a="1"/>
  <c r="AN74" i="7"/>
  <c r="AO74" i="7" a="1"/>
  <c r="AN342" i="7"/>
  <c r="AO342" i="7" a="1"/>
  <c r="AN11" i="7"/>
  <c r="AO11" i="7" a="1"/>
  <c r="AN347" i="7"/>
  <c r="AO347" i="7" a="1"/>
  <c r="AN170" i="7"/>
  <c r="AO170" i="7" a="1"/>
  <c r="AN281" i="7"/>
  <c r="AO281" i="7" a="1"/>
  <c r="AN67" i="7"/>
  <c r="AO67" i="7" a="1"/>
  <c r="BV38" i="7"/>
  <c r="BX38" i="7"/>
  <c r="BY38" i="7" a="1"/>
  <c r="BX350" i="7"/>
  <c r="BY350" i="7" a="1"/>
  <c r="BX251" i="7"/>
  <c r="BY251" i="7" a="1"/>
  <c r="BX358" i="7"/>
  <c r="BY358" i="7" a="1"/>
  <c r="BX167" i="7"/>
  <c r="BY167" i="7" a="1"/>
  <c r="BV257" i="7"/>
  <c r="BX257" i="7"/>
  <c r="V317" i="7"/>
  <c r="V268" i="7"/>
  <c r="W268" i="7" a="1"/>
  <c r="V325" i="7"/>
  <c r="T344" i="7"/>
  <c r="V344" i="7"/>
  <c r="W344" i="7" a="1"/>
  <c r="V82" i="7"/>
  <c r="W82" i="7" a="1"/>
  <c r="V312" i="7"/>
  <c r="V131" i="7"/>
  <c r="V34" i="7"/>
  <c r="V58" i="7"/>
  <c r="W58" i="7" a="1"/>
  <c r="V89" i="7"/>
  <c r="W89" i="7" a="1"/>
  <c r="V62" i="7"/>
  <c r="W62" i="7" a="1"/>
  <c r="V393" i="7"/>
  <c r="V319" i="7"/>
  <c r="V112" i="7"/>
  <c r="V166" i="7"/>
  <c r="V313" i="7"/>
  <c r="W313" i="7" a="1"/>
  <c r="V160" i="7"/>
  <c r="W160" i="7" a="1"/>
  <c r="V333" i="7"/>
  <c r="BF270" i="7"/>
  <c r="BF142" i="7"/>
  <c r="BF251" i="7"/>
  <c r="BF314" i="7"/>
  <c r="BF297" i="7"/>
  <c r="BD151" i="7"/>
  <c r="BF151" i="7"/>
  <c r="BX271" i="7"/>
  <c r="BX214" i="7"/>
  <c r="BY214" i="7" a="1"/>
  <c r="BX222" i="7"/>
  <c r="BX223" i="7"/>
  <c r="BY223" i="7" a="1"/>
  <c r="BX313" i="7"/>
  <c r="BY313" i="7" a="1"/>
  <c r="BX120" i="7"/>
  <c r="BX66" i="7"/>
  <c r="BX128" i="7"/>
  <c r="BY128" i="7" a="1"/>
  <c r="BV102" i="7"/>
  <c r="BX102" i="7"/>
  <c r="BY102" i="7" a="1"/>
  <c r="BV37" i="7"/>
  <c r="BX37" i="7"/>
  <c r="BY37" i="7" a="1"/>
  <c r="BX211" i="7"/>
  <c r="BY211" i="7" a="1"/>
  <c r="BX87" i="7"/>
  <c r="BY87" i="7" a="1"/>
  <c r="BX95" i="7"/>
  <c r="BX110" i="7"/>
  <c r="AN196" i="7"/>
  <c r="AO196" i="7" a="1"/>
  <c r="AN10" i="7"/>
  <c r="AO10" i="7" a="1"/>
  <c r="AN165" i="7"/>
  <c r="AO165" i="7" a="1"/>
  <c r="AN280" i="7"/>
  <c r="AO280" i="7" a="1"/>
  <c r="AN100" i="7"/>
  <c r="AO100" i="7" a="1"/>
  <c r="BF8" i="7"/>
  <c r="BF278" i="7"/>
  <c r="BG278" i="7" a="1"/>
  <c r="BF39" i="7"/>
  <c r="BG39" i="7" a="1"/>
  <c r="BD108" i="7"/>
  <c r="BF108" i="7"/>
  <c r="BF163" i="7"/>
  <c r="BF87" i="7"/>
  <c r="BG87" i="7" a="1"/>
  <c r="BF110" i="7"/>
  <c r="BF271" i="7"/>
  <c r="BF219" i="7"/>
  <c r="BF116" i="7"/>
  <c r="BG116" i="7" a="1"/>
  <c r="BD124" i="7"/>
  <c r="BF124" i="7"/>
  <c r="BF247" i="7"/>
  <c r="BF292" i="7"/>
  <c r="V255" i="7"/>
  <c r="V97" i="7"/>
  <c r="W97" i="7" a="1"/>
  <c r="AN24" i="7"/>
  <c r="AO24" i="7" a="1"/>
  <c r="AN150" i="7"/>
  <c r="AO150" i="7" a="1"/>
  <c r="AN173" i="7"/>
  <c r="AO173" i="7" a="1"/>
  <c r="AN122" i="7"/>
  <c r="AO122" i="7" a="1"/>
  <c r="AN66" i="7"/>
  <c r="AO66" i="7" a="1"/>
  <c r="AN189" i="7"/>
  <c r="AO189" i="7" a="1"/>
  <c r="AN169" i="7"/>
  <c r="AO169" i="7" a="1"/>
  <c r="AN145" i="7"/>
  <c r="AO145" i="7" a="1"/>
  <c r="AN337" i="7"/>
  <c r="AO337" i="7" a="1"/>
  <c r="AN156" i="7"/>
  <c r="AO156" i="7" a="1"/>
  <c r="AN49" i="7"/>
  <c r="AO49" i="7" a="1"/>
  <c r="AN59" i="7"/>
  <c r="AO59" i="7" a="1"/>
  <c r="AN248" i="7"/>
  <c r="AO248" i="7" a="1"/>
  <c r="AN63" i="7"/>
  <c r="AO63" i="7" a="1"/>
  <c r="BV175" i="7"/>
  <c r="BX175" i="7"/>
  <c r="BY175" i="7" a="1"/>
  <c r="BX119" i="7"/>
  <c r="BV143" i="7"/>
  <c r="BX114" i="7"/>
  <c r="BY114" i="7" a="1"/>
  <c r="BX324" i="7"/>
  <c r="BY324" i="7" a="1"/>
  <c r="V169" i="7"/>
  <c r="W169" i="7" a="1"/>
  <c r="V284" i="7"/>
  <c r="V191" i="7"/>
  <c r="V352" i="7"/>
  <c r="W352" i="7" a="1"/>
  <c r="V154" i="7"/>
  <c r="W154" i="7" a="1"/>
  <c r="T357" i="7"/>
  <c r="V357" i="7"/>
  <c r="T46" i="7"/>
  <c r="V46" i="7"/>
  <c r="W46" i="7" a="1"/>
  <c r="V228" i="7"/>
  <c r="V48" i="7"/>
  <c r="V90" i="7"/>
  <c r="V59" i="7"/>
  <c r="T248" i="7"/>
  <c r="V248" i="7"/>
  <c r="V217" i="7"/>
  <c r="V221" i="7"/>
  <c r="W221" i="7" a="1"/>
  <c r="BF255" i="7"/>
  <c r="BD143" i="7"/>
  <c r="BF143" i="7"/>
  <c r="BD99" i="7"/>
  <c r="BF310" i="7"/>
  <c r="BX138" i="7"/>
  <c r="BY138" i="7" a="1"/>
  <c r="BV378" i="7"/>
  <c r="BV244" i="7"/>
  <c r="BX244" i="7"/>
  <c r="BY244" i="7" a="1"/>
  <c r="BX8" i="7"/>
  <c r="BX325" i="7"/>
  <c r="BY325" i="7" a="1"/>
  <c r="BV61" i="7"/>
  <c r="BX61" i="7"/>
  <c r="BY61" i="7" a="1"/>
  <c r="AN216" i="7"/>
  <c r="AO216" i="7" a="1"/>
  <c r="AN326" i="7"/>
  <c r="AO326" i="7" a="1"/>
  <c r="AN202" i="7"/>
  <c r="AO202" i="7" a="1"/>
  <c r="AN99" i="7"/>
  <c r="AO99" i="7" a="1"/>
  <c r="AN298" i="7"/>
  <c r="AO298" i="7" a="1"/>
  <c r="AN310" i="7"/>
  <c r="AO310" i="7" a="1"/>
  <c r="AN20" i="7"/>
  <c r="AO20" i="7" a="1"/>
  <c r="BD102" i="7"/>
  <c r="BF136" i="7"/>
  <c r="BF327" i="7"/>
  <c r="BD311" i="7"/>
  <c r="BF95" i="7"/>
  <c r="BD55" i="7"/>
  <c r="BF55" i="7"/>
  <c r="BD346" i="7"/>
  <c r="BF346" i="7"/>
  <c r="AN334" i="7"/>
  <c r="AO334" i="7" a="1"/>
  <c r="AN346" i="7"/>
  <c r="AO346" i="7" a="1"/>
  <c r="BV290" i="7"/>
  <c r="BX290" i="7"/>
  <c r="BY290" i="7" a="1"/>
  <c r="BD106" i="7"/>
  <c r="BF176" i="7"/>
  <c r="BD72" i="7"/>
  <c r="BF72" i="7"/>
  <c r="BF172" i="7"/>
  <c r="BG172" i="7" a="1"/>
  <c r="BF315" i="7"/>
  <c r="V101" i="7"/>
  <c r="AN3" i="7"/>
  <c r="AO3" i="7" a="1"/>
  <c r="AN394" i="7"/>
  <c r="AO394" i="7" a="1"/>
  <c r="AN338" i="7"/>
  <c r="AO338" i="7" a="1"/>
  <c r="AN160" i="7"/>
  <c r="AO160" i="7" a="1"/>
  <c r="AN321" i="7"/>
  <c r="AO321" i="7" a="1"/>
  <c r="BX184" i="7"/>
  <c r="BY184" i="7" a="1"/>
  <c r="V145" i="7"/>
  <c r="V292" i="7"/>
  <c r="T155" i="7"/>
  <c r="V155" i="7"/>
  <c r="W155" i="7" a="1"/>
  <c r="V327" i="7"/>
  <c r="W327" i="7" a="1"/>
  <c r="V83" i="7"/>
  <c r="W83" i="7" a="1"/>
  <c r="V108" i="7"/>
  <c r="W108" i="7" a="1"/>
  <c r="V24" i="7"/>
  <c r="BF222" i="7"/>
  <c r="BG222" i="7" a="1"/>
  <c r="BF212" i="7"/>
  <c r="BF261" i="7"/>
  <c r="BF319" i="7"/>
  <c r="BF182" i="7"/>
  <c r="BF307" i="7"/>
  <c r="V196" i="7"/>
  <c r="V350" i="7"/>
  <c r="V297" i="7"/>
  <c r="W297" i="7" a="1"/>
  <c r="V151" i="7"/>
  <c r="V324" i="7"/>
  <c r="V203" i="7"/>
  <c r="W203" i="7" a="1"/>
  <c r="AN149" i="7"/>
  <c r="AO149" i="7" a="1"/>
  <c r="AN148" i="7"/>
  <c r="AO148" i="7" a="1"/>
  <c r="AN225" i="7"/>
  <c r="AO225" i="7" a="1"/>
  <c r="AN171" i="7"/>
  <c r="AO171" i="7" a="1"/>
  <c r="AN166" i="7"/>
  <c r="AO166" i="7" a="1"/>
  <c r="AN116" i="7"/>
  <c r="AO116" i="7" a="1"/>
  <c r="AN386" i="7"/>
  <c r="AO386" i="7" a="1"/>
  <c r="AN39" i="7"/>
  <c r="AO39" i="7" a="1"/>
  <c r="AN191" i="7"/>
  <c r="AO191" i="7" a="1"/>
  <c r="AN103" i="7"/>
  <c r="AO103" i="7" a="1"/>
  <c r="AN355" i="7"/>
  <c r="AO355" i="7" a="1"/>
  <c r="AN327" i="7"/>
  <c r="AO327" i="7" a="1"/>
  <c r="AN88" i="7"/>
  <c r="AO88" i="7" a="1"/>
  <c r="BX111" i="7"/>
  <c r="V22" i="7"/>
  <c r="V338" i="7"/>
  <c r="T283" i="7"/>
  <c r="V283" i="7"/>
  <c r="V355" i="7"/>
  <c r="W355" i="7" a="1"/>
  <c r="V259" i="7"/>
  <c r="T107" i="7"/>
  <c r="V107" i="7"/>
  <c r="W107" i="7" a="1"/>
  <c r="T49" i="7"/>
  <c r="V49" i="7"/>
  <c r="W49" i="7" a="1"/>
  <c r="V51" i="7"/>
  <c r="V54" i="7"/>
  <c r="W54" i="7" a="1"/>
  <c r="V269" i="7"/>
  <c r="V258" i="7"/>
  <c r="W258" i="7" a="1"/>
  <c r="V135" i="7"/>
  <c r="V240" i="7"/>
  <c r="V181" i="7"/>
  <c r="W181" i="7" a="1"/>
  <c r="BD265" i="7"/>
  <c r="BF265" i="7"/>
  <c r="BG265" i="7" a="1"/>
  <c r="BF202" i="7"/>
  <c r="BF358" i="7"/>
  <c r="BG358" i="7" a="1"/>
  <c r="BF20" i="7"/>
  <c r="BX17" i="7"/>
  <c r="BX12" i="7"/>
  <c r="BY12" i="7" a="1"/>
  <c r="BX394" i="7"/>
  <c r="BY394" i="7" a="1"/>
  <c r="BX279" i="7"/>
  <c r="BY279" i="7" a="1"/>
  <c r="BX345" i="7"/>
  <c r="BY345" i="7" a="1"/>
  <c r="BX127" i="7"/>
  <c r="BY127" i="7" a="1"/>
  <c r="BX294" i="7"/>
  <c r="BY294" i="7" a="1"/>
  <c r="BX284" i="7"/>
  <c r="BV344" i="7"/>
  <c r="BX344" i="7"/>
  <c r="BY344" i="7" a="1"/>
  <c r="BX337" i="7"/>
  <c r="BY337" i="7" a="1"/>
  <c r="BX106" i="7"/>
  <c r="BY106" i="7" a="1"/>
  <c r="BX302" i="7"/>
  <c r="BY302" i="7" a="1"/>
  <c r="BX52" i="7"/>
  <c r="BY52" i="7" a="1"/>
  <c r="BV157" i="7"/>
  <c r="BV186" i="7"/>
  <c r="BX186" i="7"/>
  <c r="BY186" i="7" a="1"/>
  <c r="AN45" i="7"/>
  <c r="AO45" i="7" a="1"/>
  <c r="AN142" i="7"/>
  <c r="AO142" i="7" a="1"/>
  <c r="AN70" i="7"/>
  <c r="AO70" i="7" a="1"/>
  <c r="BF169" i="7"/>
  <c r="BD343" i="7"/>
  <c r="BF343" i="7"/>
  <c r="BD155" i="7"/>
  <c r="BF155" i="7"/>
  <c r="BF86" i="7"/>
  <c r="BD157" i="7"/>
  <c r="BF157" i="7"/>
  <c r="BG157" i="7" a="1"/>
  <c r="BD348" i="7"/>
  <c r="BF171" i="7"/>
  <c r="BG171" i="7" a="1"/>
  <c r="BF269" i="7"/>
  <c r="BG269" i="7" a="1"/>
  <c r="BF117" i="7"/>
  <c r="BF267" i="7"/>
  <c r="BG267" i="7" a="1"/>
  <c r="BF190" i="7"/>
  <c r="BF120" i="7"/>
  <c r="BF279" i="7"/>
  <c r="BF317" i="7"/>
  <c r="BG317" i="7" a="1"/>
  <c r="BF347" i="7"/>
  <c r="V389" i="7"/>
  <c r="V356" i="7"/>
  <c r="W356" i="7" a="1"/>
  <c r="V183" i="7"/>
  <c r="V233" i="7"/>
  <c r="T33" i="7"/>
  <c r="V33" i="7"/>
  <c r="W33" i="7" a="1"/>
  <c r="AN217" i="7"/>
  <c r="AO217" i="7" a="1"/>
  <c r="AN190" i="7"/>
  <c r="AO190" i="7" a="1"/>
  <c r="AN120" i="7"/>
  <c r="AO120" i="7" a="1"/>
  <c r="AN4" i="7"/>
  <c r="AO4" i="7" a="1"/>
  <c r="AN182" i="7"/>
  <c r="AO182" i="7" a="1"/>
  <c r="AN25" i="7"/>
  <c r="AO25" i="7" a="1"/>
  <c r="AN390" i="7"/>
  <c r="AO390" i="7" a="1"/>
  <c r="AN79" i="7"/>
  <c r="AO79" i="7" a="1"/>
  <c r="AN77" i="7"/>
  <c r="AO77" i="7" a="1"/>
  <c r="AN37" i="7"/>
  <c r="AO37" i="7" a="1"/>
  <c r="AN308" i="7"/>
  <c r="AO308" i="7" a="1"/>
  <c r="AN87" i="7"/>
  <c r="AO87" i="7" a="1"/>
  <c r="BX326" i="7"/>
  <c r="BX289" i="7"/>
  <c r="BY289" i="7" a="1"/>
  <c r="BX68" i="7"/>
  <c r="BY68" i="7" a="1"/>
  <c r="BX142" i="7"/>
  <c r="BY142" i="7" a="1"/>
  <c r="BX40" i="7"/>
  <c r="BY40" i="7" a="1"/>
  <c r="BX356" i="7"/>
  <c r="BY356" i="7" a="1"/>
  <c r="BX381" i="7"/>
  <c r="BX254" i="7"/>
  <c r="BY254" i="7" a="1"/>
  <c r="BV15" i="7"/>
  <c r="BX15" i="7"/>
  <c r="BY15" i="7" a="1"/>
  <c r="V366" i="7"/>
  <c r="W366" i="7" a="1"/>
  <c r="V37" i="7"/>
  <c r="V133" i="7"/>
  <c r="W133" i="7" a="1"/>
  <c r="V156" i="7"/>
  <c r="W156" i="7" a="1"/>
  <c r="V211" i="7"/>
  <c r="V348" i="7"/>
  <c r="W348" i="7" a="1"/>
  <c r="V109" i="7"/>
  <c r="W109" i="7" a="1"/>
  <c r="BD257" i="7"/>
  <c r="BF257" i="7"/>
  <c r="V345" i="7"/>
  <c r="V128" i="7"/>
  <c r="W128" i="7" a="1"/>
  <c r="V6" i="7"/>
  <c r="W6" i="7" a="1"/>
  <c r="V7" i="7"/>
  <c r="W7" i="7" a="1"/>
  <c r="V174" i="7"/>
  <c r="W174" i="7" a="1"/>
  <c r="V77" i="7"/>
  <c r="W77" i="7" a="1"/>
  <c r="BF35" i="7"/>
  <c r="BD195" i="7"/>
  <c r="BF195" i="7"/>
  <c r="BX140" i="7"/>
  <c r="BY140" i="7" a="1"/>
  <c r="BX212" i="7"/>
  <c r="BY212" i="7" a="1"/>
  <c r="BX261" i="7"/>
  <c r="BY261" i="7" a="1"/>
  <c r="BX267" i="7"/>
  <c r="BY267" i="7" a="1"/>
  <c r="BX117" i="7"/>
  <c r="BY117" i="7" a="1"/>
  <c r="BX22" i="7"/>
  <c r="BY22" i="7" a="1"/>
  <c r="BX44" i="7"/>
  <c r="BY44" i="7" a="1"/>
  <c r="BX210" i="7"/>
  <c r="BY210" i="7" a="1"/>
  <c r="BV333" i="7"/>
  <c r="BX333" i="7"/>
  <c r="BY333" i="7" a="1"/>
  <c r="BV357" i="7"/>
  <c r="BX357" i="7"/>
  <c r="BY357" i="7" a="1"/>
  <c r="BV312" i="7"/>
  <c r="BX312" i="7"/>
  <c r="BY312" i="7" a="1"/>
  <c r="BX59" i="7"/>
  <c r="BY59" i="7" a="1"/>
  <c r="BX50" i="7"/>
  <c r="BY50" i="7" a="1"/>
  <c r="BX248" i="7"/>
  <c r="BY248" i="7" a="1"/>
  <c r="AN361" i="7"/>
  <c r="AO361" i="7" a="1"/>
  <c r="AN16" i="7"/>
  <c r="AO16" i="7" a="1"/>
  <c r="AN381" i="7"/>
  <c r="AO381" i="7" a="1"/>
  <c r="BD73" i="7"/>
  <c r="BF73" i="7"/>
  <c r="BF160" i="7"/>
  <c r="BF78" i="7"/>
  <c r="BF133" i="7"/>
  <c r="BF46" i="7"/>
  <c r="BF48" i="7"/>
  <c r="BG48" i="7" a="1"/>
  <c r="BD61" i="7"/>
  <c r="BF61" i="7"/>
  <c r="BF318" i="7"/>
  <c r="BG318" i="7" a="1"/>
  <c r="BF134" i="7"/>
  <c r="BD154" i="7"/>
  <c r="BF154" i="7"/>
  <c r="BD344" i="7"/>
  <c r="V289" i="7"/>
  <c r="T69" i="7"/>
  <c r="V69" i="7"/>
  <c r="V195" i="7"/>
  <c r="W195" i="7" a="1"/>
  <c r="V245" i="7"/>
  <c r="W245" i="7" a="1"/>
  <c r="AN164" i="7"/>
  <c r="AO164" i="7" a="1"/>
  <c r="AN341" i="7"/>
  <c r="AO341" i="7" a="1"/>
  <c r="AN301" i="7"/>
  <c r="AO301" i="7" a="1"/>
  <c r="AN72" i="7"/>
  <c r="AO72" i="7" a="1"/>
  <c r="AN123" i="7"/>
  <c r="AO123" i="7" a="1"/>
  <c r="AN262" i="7"/>
  <c r="AO262" i="7" a="1"/>
  <c r="AN17" i="7"/>
  <c r="AO17" i="7" a="1"/>
  <c r="AN240" i="7"/>
  <c r="AO240" i="7" a="1"/>
  <c r="AN8" i="7"/>
  <c r="AO8" i="7" a="1"/>
  <c r="AN139" i="7"/>
  <c r="AO139" i="7" a="1"/>
  <c r="AN357" i="7"/>
  <c r="AO357" i="7" a="1"/>
  <c r="AN60" i="7"/>
  <c r="AO60" i="7" a="1"/>
  <c r="AN109" i="7"/>
  <c r="AO109" i="7" a="1"/>
  <c r="AN95" i="7"/>
  <c r="AO95" i="7" a="1"/>
  <c r="BX361" i="7"/>
  <c r="BY361" i="7" a="1"/>
  <c r="BX10" i="7"/>
  <c r="BY10" i="7" a="1"/>
  <c r="BX280" i="7"/>
  <c r="BY280" i="7" a="1"/>
  <c r="V294" i="7"/>
  <c r="V179" i="7"/>
  <c r="W179" i="7" a="1"/>
  <c r="V11" i="7"/>
  <c r="W11" i="7" a="1"/>
  <c r="V47" i="7"/>
  <c r="W47" i="7" a="1"/>
  <c r="V87" i="7"/>
  <c r="V52" i="7"/>
  <c r="W52" i="7" a="1"/>
  <c r="V147" i="7"/>
  <c r="W147" i="7" a="1"/>
  <c r="V130" i="7"/>
  <c r="V168" i="7"/>
  <c r="W168" i="7" a="1"/>
  <c r="T378" i="7"/>
  <c r="V378" i="7"/>
  <c r="V129" i="7"/>
  <c r="W129" i="7" a="1"/>
  <c r="V278" i="7"/>
  <c r="BF361" i="7"/>
  <c r="BG361" i="7" a="1"/>
  <c r="BF328" i="7"/>
  <c r="BG328" i="7" a="1"/>
  <c r="BX135" i="7"/>
  <c r="BY135" i="7" a="1"/>
  <c r="BX173" i="7"/>
  <c r="BY173" i="7" a="1"/>
  <c r="BX176" i="7"/>
  <c r="BY176" i="7" a="1"/>
  <c r="BX36" i="7"/>
  <c r="BY36" i="7" a="1"/>
  <c r="BX201" i="7"/>
  <c r="BX25" i="7"/>
  <c r="BY25" i="7" a="1"/>
  <c r="BX360" i="7"/>
  <c r="BX315" i="7"/>
  <c r="BY315" i="7" a="1"/>
  <c r="BX278" i="7"/>
  <c r="BY278" i="7" a="1"/>
  <c r="BX139" i="7"/>
  <c r="BY139" i="7" a="1"/>
  <c r="BX80" i="7"/>
  <c r="BX146" i="7"/>
  <c r="BY146" i="7" a="1"/>
  <c r="BX48" i="7"/>
  <c r="BY48" i="7" a="1"/>
  <c r="BX83" i="7"/>
  <c r="BY83" i="7" a="1"/>
  <c r="BV60" i="7"/>
  <c r="BX60" i="7"/>
  <c r="BY60" i="7" a="1"/>
  <c r="BX32" i="7"/>
  <c r="BY32" i="7" a="1"/>
  <c r="BV277" i="7"/>
  <c r="BX277" i="7"/>
  <c r="BY277" i="7" a="1"/>
  <c r="AN183" i="7"/>
  <c r="AO183" i="7" a="1"/>
  <c r="AN21" i="7"/>
  <c r="AO21" i="7" a="1"/>
  <c r="BD336" i="7"/>
  <c r="BD79" i="7"/>
  <c r="BF79" i="7"/>
  <c r="BF191" i="7"/>
  <c r="BF82" i="7"/>
  <c r="BF304" i="7"/>
  <c r="BF146" i="7"/>
  <c r="BG146" i="7" a="1"/>
  <c r="BF147" i="7"/>
  <c r="BF125" i="7"/>
  <c r="BD166" i="7"/>
  <c r="BF166" i="7"/>
  <c r="BG166" i="7" a="1"/>
  <c r="BF262" i="7"/>
  <c r="BF181" i="7"/>
  <c r="BF300" i="7"/>
  <c r="BF113" i="7"/>
  <c r="BF390" i="7"/>
  <c r="BF224" i="7"/>
  <c r="V16" i="7"/>
  <c r="V68" i="7"/>
  <c r="W68" i="7" a="1"/>
  <c r="V10" i="7"/>
  <c r="V165" i="7"/>
  <c r="V272" i="7"/>
  <c r="W272" i="7" a="1"/>
  <c r="V280" i="7"/>
  <c r="AN258" i="7"/>
  <c r="AO258" i="7" a="1"/>
  <c r="AN271" i="7"/>
  <c r="AO271" i="7" a="1"/>
  <c r="AN124" i="7"/>
  <c r="AO124" i="7" a="1"/>
  <c r="AN267" i="7"/>
  <c r="AO267" i="7" a="1"/>
  <c r="AN322" i="7"/>
  <c r="AO322" i="7" a="1"/>
  <c r="AN187" i="7"/>
  <c r="AO187" i="7" a="1"/>
  <c r="AN7" i="7"/>
  <c r="AO7" i="7" a="1"/>
  <c r="AN287" i="7"/>
  <c r="AO287" i="7" a="1"/>
  <c r="AN284" i="7"/>
  <c r="AO284" i="7" a="1"/>
  <c r="AN36" i="7"/>
  <c r="AO36" i="7" a="1"/>
  <c r="AN288" i="7"/>
  <c r="AO288" i="7" a="1"/>
  <c r="AN154" i="7"/>
  <c r="AO154" i="7" a="1"/>
  <c r="AN81" i="7"/>
  <c r="AO81" i="7" a="1"/>
  <c r="AN133" i="7"/>
  <c r="AO133" i="7" a="1"/>
  <c r="AN86" i="7"/>
  <c r="AO86" i="7" a="1"/>
  <c r="AN32" i="7"/>
  <c r="AO32" i="7" a="1"/>
  <c r="BV202" i="7"/>
  <c r="BX202" i="7"/>
  <c r="BY202" i="7" a="1"/>
  <c r="BV33" i="7"/>
  <c r="BX33" i="7"/>
  <c r="BY33" i="7" a="1"/>
  <c r="BV151" i="7"/>
  <c r="BX151" i="7"/>
  <c r="BY151" i="7" a="1"/>
  <c r="BX118" i="7"/>
  <c r="BY118" i="7" a="1"/>
  <c r="BX203" i="7"/>
  <c r="BX328" i="7"/>
  <c r="T102" i="7"/>
  <c r="V102" i="7"/>
  <c r="W102" i="7" a="1"/>
  <c r="V315" i="7"/>
  <c r="W315" i="7" a="1"/>
  <c r="V106" i="7"/>
  <c r="W106" i="7" a="1"/>
  <c r="V88" i="7"/>
  <c r="W88" i="7" a="1"/>
  <c r="V126" i="7"/>
  <c r="W126" i="7" a="1"/>
  <c r="V339" i="7"/>
  <c r="V189" i="7"/>
  <c r="W189" i="7" a="1"/>
  <c r="V161" i="7"/>
  <c r="W161" i="7" a="1"/>
  <c r="V287" i="7"/>
  <c r="W287" i="7" a="1"/>
  <c r="V12" i="7"/>
  <c r="W12" i="7" a="1"/>
  <c r="V263" i="7"/>
  <c r="BF9" i="7"/>
  <c r="BG9" i="7" a="1"/>
  <c r="BF218" i="7"/>
  <c r="BD70" i="7"/>
  <c r="BF70" i="7"/>
  <c r="BX225" i="7"/>
  <c r="BY225" i="7" a="1"/>
  <c r="BX161" i="7"/>
  <c r="BY161" i="7" a="1"/>
  <c r="BX148" i="7"/>
  <c r="BY148" i="7" a="1"/>
  <c r="BX182" i="7"/>
  <c r="BY182" i="7" a="1"/>
  <c r="BX299" i="7"/>
  <c r="BY299" i="7" a="1"/>
  <c r="BX172" i="7"/>
  <c r="BX390" i="7"/>
  <c r="BX34" i="7"/>
  <c r="BY34" i="7" a="1"/>
  <c r="BX303" i="7"/>
  <c r="BY303" i="7" a="1"/>
  <c r="BV49" i="7"/>
  <c r="BX49" i="7"/>
  <c r="BY49" i="7" a="1"/>
  <c r="BX86" i="7"/>
  <c r="BY86" i="7" a="1"/>
  <c r="BV62" i="7"/>
  <c r="BX65" i="7"/>
  <c r="BX67" i="7"/>
  <c r="AN15" i="7"/>
  <c r="AO15" i="7" a="1"/>
  <c r="BF263" i="7"/>
  <c r="BF74" i="7"/>
  <c r="BD104" i="7"/>
  <c r="BF104" i="7"/>
  <c r="BF337" i="7"/>
  <c r="BD85" i="7"/>
  <c r="BF85" i="7"/>
  <c r="BF83" i="7"/>
  <c r="BF84" i="7"/>
  <c r="BF50" i="7"/>
  <c r="BG50" i="7" a="1"/>
  <c r="BF88" i="7"/>
  <c r="BD93" i="7"/>
  <c r="BF93" i="7"/>
  <c r="BF62" i="7"/>
  <c r="BF31" i="7"/>
  <c r="BF67" i="7"/>
  <c r="Z224" i="7"/>
  <c r="AG224" i="7"/>
  <c r="AA224" i="7"/>
  <c r="Y224" i="7"/>
  <c r="AB224" i="7"/>
  <c r="W224" i="7"/>
  <c r="AD224" i="7"/>
  <c r="AC224" i="7"/>
  <c r="AE224" i="7"/>
  <c r="AF224" i="7"/>
  <c r="X224" i="7"/>
  <c r="T105" i="7"/>
  <c r="V105" i="7"/>
  <c r="W105" i="7" a="1"/>
  <c r="BV79" i="7"/>
  <c r="BX79" i="7"/>
  <c r="BY79" i="7" a="1"/>
  <c r="BF225" i="7"/>
  <c r="BF17" i="7"/>
  <c r="BF152" i="7"/>
  <c r="V251" i="7"/>
  <c r="AN261" i="7"/>
  <c r="AO261" i="7" a="1"/>
  <c r="AN135" i="7"/>
  <c r="AO135" i="7" a="1"/>
  <c r="AN313" i="7"/>
  <c r="AO313" i="7" a="1"/>
  <c r="AN264" i="7"/>
  <c r="AO264" i="7" a="1"/>
  <c r="BX270" i="7"/>
  <c r="BY270" i="7" a="1"/>
  <c r="BX323" i="7"/>
  <c r="BY323" i="7" a="1"/>
  <c r="BV20" i="7"/>
  <c r="BF161" i="7"/>
  <c r="BF316" i="7"/>
  <c r="BG316" i="7" a="1"/>
  <c r="BF23" i="7"/>
  <c r="BF301" i="7"/>
  <c r="BG301" i="7" a="1"/>
  <c r="BF128" i="7"/>
  <c r="BF287" i="7"/>
  <c r="BF338" i="7"/>
  <c r="BG338" i="7" a="1"/>
  <c r="V218" i="7"/>
  <c r="W218" i="7" a="1"/>
  <c r="V290" i="7"/>
  <c r="V143" i="7"/>
  <c r="W143" i="7" a="1"/>
  <c r="AN140" i="7"/>
  <c r="AO140" i="7" a="1"/>
  <c r="AN130" i="7"/>
  <c r="AO130" i="7" a="1"/>
  <c r="AN378" i="7"/>
  <c r="AO378" i="7" a="1"/>
  <c r="AN393" i="7"/>
  <c r="AO393" i="7" a="1"/>
  <c r="AN12" i="7"/>
  <c r="AO12" i="7" a="1"/>
  <c r="AN6" i="7"/>
  <c r="AO6" i="7" a="1"/>
  <c r="AN23" i="7"/>
  <c r="AO23" i="7" a="1"/>
  <c r="AN269" i="7"/>
  <c r="AO269" i="7" a="1"/>
  <c r="AN294" i="7"/>
  <c r="AO294" i="7" a="1"/>
  <c r="AN201" i="7"/>
  <c r="AO201" i="7" a="1"/>
  <c r="AN283" i="7"/>
  <c r="AO283" i="7" a="1"/>
  <c r="AN162" i="7"/>
  <c r="AO162" i="7" a="1"/>
  <c r="AN47" i="7"/>
  <c r="AO47" i="7" a="1"/>
  <c r="AN46" i="7"/>
  <c r="AO46" i="7" a="1"/>
  <c r="AN304" i="7"/>
  <c r="AO304" i="7" a="1"/>
  <c r="AN303" i="7"/>
  <c r="AO303" i="7" a="1"/>
  <c r="AN228" i="7"/>
  <c r="AO228" i="7" a="1"/>
  <c r="AN277" i="7"/>
  <c r="AO277" i="7" a="1"/>
  <c r="AN305" i="7"/>
  <c r="AO305" i="7" a="1"/>
  <c r="BV252" i="7"/>
  <c r="BX252" i="7"/>
  <c r="BY252" i="7" a="1"/>
  <c r="BX255" i="7"/>
  <c r="BY255" i="7" a="1"/>
  <c r="BX266" i="7"/>
  <c r="BY266" i="7" a="1"/>
  <c r="BX245" i="7"/>
  <c r="BY245" i="7" a="1"/>
  <c r="BX115" i="7"/>
  <c r="BY115" i="7" a="1"/>
  <c r="V127" i="7"/>
  <c r="V36" i="7"/>
  <c r="V210" i="7"/>
  <c r="V303" i="7"/>
  <c r="V61" i="7"/>
  <c r="W61" i="7" a="1"/>
  <c r="V341" i="7"/>
  <c r="V282" i="7"/>
  <c r="W282" i="7" a="1"/>
  <c r="V141" i="7"/>
  <c r="W141" i="7" a="1"/>
  <c r="V182" i="7"/>
  <c r="W182" i="7" a="1"/>
  <c r="V148" i="7"/>
  <c r="V299" i="7"/>
  <c r="V342" i="7"/>
  <c r="W342" i="7" a="1"/>
  <c r="V386" i="7"/>
  <c r="BF356" i="7"/>
  <c r="BF165" i="7"/>
  <c r="BG165" i="7" a="1"/>
  <c r="BF381" i="7"/>
  <c r="BX150" i="7"/>
  <c r="BV13" i="7"/>
  <c r="BX13" i="7"/>
  <c r="BY13" i="7" a="1"/>
  <c r="BX282" i="7"/>
  <c r="BY282" i="7" a="1"/>
  <c r="BX217" i="7"/>
  <c r="BY217" i="7" a="1"/>
  <c r="BX6" i="7"/>
  <c r="BY6" i="7" a="1"/>
  <c r="BV73" i="7"/>
  <c r="BX73" i="7"/>
  <c r="BY73" i="7" a="1"/>
  <c r="BV283" i="7"/>
  <c r="BX283" i="7"/>
  <c r="BY283" i="7" a="1"/>
  <c r="BX174" i="7"/>
  <c r="BY174" i="7" a="1"/>
  <c r="BX386" i="7"/>
  <c r="BY386" i="7" a="1"/>
  <c r="BV343" i="7"/>
  <c r="BX343" i="7"/>
  <c r="BY343" i="7" a="1"/>
  <c r="BV104" i="7"/>
  <c r="BX104" i="7"/>
  <c r="BY104" i="7" a="1"/>
  <c r="BX103" i="7"/>
  <c r="BY103" i="7" a="1"/>
  <c r="BV156" i="7"/>
  <c r="BX156" i="7"/>
  <c r="BY156" i="7" a="1"/>
  <c r="BX131" i="7"/>
  <c r="BY131" i="7" a="1"/>
  <c r="BV64" i="7"/>
  <c r="BX64" i="7"/>
  <c r="BY64" i="7" a="1"/>
  <c r="BX31" i="7"/>
  <c r="AN270" i="7"/>
  <c r="AO270" i="7" a="1"/>
  <c r="AN252" i="7"/>
  <c r="AO252" i="7" a="1"/>
  <c r="AN358" i="7"/>
  <c r="AO358" i="7" a="1"/>
  <c r="BD334" i="7"/>
  <c r="BF288" i="7"/>
  <c r="BF386" i="7"/>
  <c r="BG386" i="7" a="1"/>
  <c r="BF179" i="7"/>
  <c r="BF105" i="7"/>
  <c r="BD308" i="7"/>
  <c r="BF308" i="7"/>
  <c r="BF51" i="7"/>
  <c r="BG51" i="7" a="1"/>
  <c r="BF221" i="7"/>
  <c r="BF282" i="7"/>
  <c r="BF164" i="7"/>
  <c r="BF150" i="7"/>
  <c r="BF132" i="7"/>
  <c r="BD283" i="7"/>
  <c r="BF283" i="7"/>
  <c r="BF360" i="7"/>
  <c r="BF353" i="7"/>
  <c r="BD37" i="7"/>
  <c r="BF37" i="7"/>
  <c r="BG37" i="7" a="1"/>
  <c r="V265" i="7"/>
  <c r="V19" i="7"/>
  <c r="V270" i="7"/>
  <c r="V40" i="7"/>
  <c r="W40" i="7" a="1"/>
  <c r="V323" i="7"/>
  <c r="W323" i="7" a="1"/>
  <c r="V167" i="7"/>
  <c r="W167" i="7" a="1"/>
  <c r="V285" i="7"/>
  <c r="V328" i="7"/>
  <c r="AN18" i="7"/>
  <c r="AO18" i="7" a="1"/>
  <c r="AN178" i="7"/>
  <c r="AO178" i="7" a="1"/>
  <c r="AN147" i="7"/>
  <c r="AO147" i="7" a="1"/>
  <c r="AN286" i="7"/>
  <c r="AO286" i="7" a="1"/>
  <c r="AN319" i="7"/>
  <c r="AO319" i="7" a="1"/>
  <c r="AN300" i="7"/>
  <c r="AO300" i="7" a="1"/>
  <c r="AN102" i="7"/>
  <c r="AO102" i="7" a="1"/>
  <c r="AN136" i="7"/>
  <c r="AO136" i="7" a="1"/>
  <c r="AN292" i="7"/>
  <c r="AO292" i="7" a="1"/>
  <c r="AN48" i="7"/>
  <c r="AO48" i="7" a="1"/>
  <c r="AN207" i="7"/>
  <c r="AO207" i="7" a="1"/>
  <c r="AN106" i="7"/>
  <c r="AO106" i="7" a="1"/>
  <c r="AN83" i="7"/>
  <c r="AO83" i="7" a="1"/>
  <c r="AN312" i="7"/>
  <c r="AO312" i="7" a="1"/>
  <c r="AN54" i="7"/>
  <c r="AO54" i="7" a="1"/>
  <c r="AN57" i="7"/>
  <c r="AO57" i="7" a="1"/>
  <c r="AN318" i="7"/>
  <c r="AO318" i="7" a="1"/>
  <c r="AN53" i="7"/>
  <c r="AO53" i="7" a="1"/>
  <c r="AN65" i="7"/>
  <c r="AO65" i="7" a="1"/>
  <c r="AN31" i="7"/>
  <c r="AO31" i="7" a="1"/>
  <c r="BX69" i="7"/>
  <c r="BY69" i="7" a="1"/>
  <c r="BX21" i="7"/>
  <c r="BY21" i="7" a="1"/>
  <c r="V44" i="7"/>
  <c r="V244" i="7"/>
  <c r="V321" i="7"/>
  <c r="V163" i="7"/>
  <c r="W163" i="7" a="1"/>
  <c r="V281" i="7"/>
  <c r="V212" i="7"/>
  <c r="V134" i="7"/>
  <c r="W134" i="7" a="1"/>
  <c r="V214" i="7"/>
  <c r="W214" i="7" a="1"/>
  <c r="V173" i="7"/>
  <c r="T72" i="7"/>
  <c r="V72" i="7"/>
  <c r="W72" i="7" a="1"/>
  <c r="V138" i="7"/>
  <c r="V335" i="7"/>
  <c r="W335" i="7" a="1"/>
  <c r="V162" i="7"/>
  <c r="T79" i="7"/>
  <c r="V79" i="7"/>
  <c r="W79" i="7" a="1"/>
  <c r="BF16" i="7"/>
  <c r="BF68" i="7"/>
  <c r="BF119" i="7"/>
  <c r="BG119" i="7" a="1"/>
  <c r="BD69" i="7"/>
  <c r="BF69" i="7"/>
  <c r="BG69" i="7" a="1"/>
  <c r="BF298" i="7"/>
  <c r="BG298" i="7" a="1"/>
  <c r="BF233" i="7"/>
  <c r="BF203" i="7"/>
  <c r="BX258" i="7"/>
  <c r="BY258" i="7" a="1"/>
  <c r="BX178" i="7"/>
  <c r="BY178" i="7" a="1"/>
  <c r="BX141" i="7"/>
  <c r="BY141" i="7" a="1"/>
  <c r="BX341" i="7"/>
  <c r="BY341" i="7" a="1"/>
  <c r="BX18" i="7"/>
  <c r="BY18" i="7" a="1"/>
  <c r="BX171" i="7"/>
  <c r="BX316" i="7"/>
  <c r="BX3" i="7"/>
  <c r="BY3" i="7" a="1"/>
  <c r="BX121" i="7"/>
  <c r="BY121" i="7" a="1"/>
  <c r="BX269" i="7"/>
  <c r="BY269" i="7" a="1"/>
  <c r="BX300" i="7"/>
  <c r="BY300" i="7" a="1"/>
  <c r="BX23" i="7"/>
  <c r="BV334" i="7"/>
  <c r="BX268" i="7"/>
  <c r="BY268" i="7" a="1"/>
  <c r="BX288" i="7"/>
  <c r="BX170" i="7"/>
  <c r="BY170" i="7" a="1"/>
  <c r="BX228" i="7"/>
  <c r="BY228" i="7" a="1"/>
  <c r="BV93" i="7"/>
  <c r="BX93" i="7"/>
  <c r="BY93" i="7" a="1"/>
  <c r="BX318" i="7"/>
  <c r="BX51" i="7"/>
  <c r="BY51" i="7" a="1"/>
  <c r="AN184" i="7"/>
  <c r="AO184" i="7" a="1"/>
  <c r="AN143" i="7"/>
  <c r="AO143" i="7" a="1"/>
  <c r="AN119" i="7"/>
  <c r="AO119" i="7" a="1"/>
  <c r="AN328" i="7"/>
  <c r="AO328" i="7" a="1"/>
  <c r="BF366" i="7"/>
  <c r="BF284" i="7"/>
  <c r="BD333" i="7"/>
  <c r="BF333" i="7"/>
  <c r="BG333" i="7" a="1"/>
  <c r="BF321" i="7"/>
  <c r="BD96" i="7"/>
  <c r="V115" i="7"/>
  <c r="W115" i="7" a="1"/>
  <c r="BD107" i="7"/>
  <c r="BF107" i="7"/>
  <c r="BF5" i="7"/>
  <c r="BF137" i="7"/>
  <c r="BF148" i="7"/>
  <c r="BG148" i="7" a="1"/>
  <c r="BF135" i="7"/>
  <c r="BG135" i="7" a="1"/>
  <c r="BD378" i="7"/>
  <c r="BF378" i="7"/>
  <c r="BF121" i="7"/>
  <c r="BF7" i="7"/>
  <c r="BF335" i="7"/>
  <c r="BF215" i="7"/>
  <c r="T98" i="7"/>
  <c r="V98" i="7"/>
  <c r="V114" i="7"/>
  <c r="V266" i="7"/>
  <c r="W266" i="7" a="1"/>
  <c r="AN316" i="7"/>
  <c r="AO316" i="7" a="1"/>
  <c r="AN219" i="7"/>
  <c r="AO219" i="7" a="1"/>
  <c r="AN177" i="7"/>
  <c r="AO177" i="7" a="1"/>
  <c r="AN339" i="7"/>
  <c r="AO339" i="7" a="1"/>
  <c r="AN279" i="7"/>
  <c r="AO279" i="7" a="1"/>
  <c r="AN158" i="7"/>
  <c r="AO158" i="7" a="1"/>
  <c r="AN76" i="7"/>
  <c r="AO76" i="7" a="1"/>
  <c r="AN179" i="7"/>
  <c r="AO179" i="7" a="1"/>
  <c r="AN131" i="7"/>
  <c r="AO131" i="7" a="1"/>
  <c r="AN163" i="7"/>
  <c r="AO163" i="7" a="1"/>
  <c r="AN302" i="7"/>
  <c r="AO302" i="7" a="1"/>
  <c r="AN5" i="7"/>
  <c r="AO5" i="7" a="1"/>
  <c r="AN398" i="7"/>
  <c r="AO398" i="7" a="1"/>
  <c r="AN61" i="7"/>
  <c r="AO61" i="7" a="1"/>
  <c r="AN157" i="7"/>
  <c r="AO157" i="7" a="1"/>
  <c r="AN89" i="7"/>
  <c r="AO89" i="7" a="1"/>
  <c r="AN64" i="7"/>
  <c r="AO64" i="7" a="1"/>
  <c r="BX291" i="7"/>
  <c r="BY291" i="7" a="1"/>
  <c r="BV70" i="7"/>
  <c r="BX70" i="7"/>
  <c r="BX351" i="7"/>
  <c r="BY351" i="7" a="1"/>
  <c r="T334" i="7"/>
  <c r="V334" i="7"/>
  <c r="V158" i="7"/>
  <c r="W158" i="7" a="1"/>
  <c r="V152" i="7"/>
  <c r="W152" i="7" a="1"/>
  <c r="V304" i="7"/>
  <c r="W304" i="7" a="1"/>
  <c r="V60" i="7"/>
  <c r="BD100" i="7"/>
  <c r="BF100" i="7"/>
  <c r="V223" i="7"/>
  <c r="V178" i="7"/>
  <c r="V177" i="7"/>
  <c r="W177" i="7" a="1"/>
  <c r="V279" i="7"/>
  <c r="W279" i="7" a="1"/>
  <c r="V124" i="7"/>
  <c r="W124" i="7" a="1"/>
  <c r="V187" i="7"/>
  <c r="W187" i="7" a="1"/>
  <c r="V247" i="7"/>
  <c r="W247" i="7" a="1"/>
  <c r="T332" i="7"/>
  <c r="V332" i="7"/>
  <c r="BF216" i="7"/>
  <c r="BD252" i="7"/>
  <c r="BF252" i="7"/>
  <c r="BG252" i="7" a="1"/>
  <c r="BF323" i="7"/>
  <c r="BF254" i="7"/>
  <c r="BF266" i="7"/>
  <c r="BF280" i="7"/>
  <c r="BX24" i="7"/>
  <c r="BY24" i="7" a="1"/>
  <c r="BX144" i="7"/>
  <c r="BX164" i="7"/>
  <c r="BX221" i="7"/>
  <c r="BY221" i="7" a="1"/>
  <c r="BX112" i="7"/>
  <c r="BY112" i="7" a="1"/>
  <c r="BX393" i="7"/>
  <c r="BY393" i="7" a="1"/>
  <c r="BX287" i="7"/>
  <c r="BY287" i="7" a="1"/>
  <c r="BX339" i="7"/>
  <c r="BY339" i="7" a="1"/>
  <c r="BX181" i="7"/>
  <c r="BY181" i="7" a="1"/>
  <c r="BX262" i="7"/>
  <c r="BY262" i="7" a="1"/>
  <c r="BX263" i="7"/>
  <c r="BY263" i="7" a="1"/>
  <c r="BX76" i="7"/>
  <c r="BY76" i="7" a="1"/>
  <c r="BV336" i="7"/>
  <c r="BX136" i="7"/>
  <c r="BY136" i="7" a="1"/>
  <c r="BX78" i="7"/>
  <c r="BY78" i="7" a="1"/>
  <c r="BX353" i="7"/>
  <c r="BX224" i="7"/>
  <c r="BX82" i="7"/>
  <c r="BY82" i="7" a="1"/>
  <c r="BX107" i="7"/>
  <c r="BY107" i="7" a="1"/>
  <c r="BV308" i="7"/>
  <c r="BX56" i="7"/>
  <c r="AN329" i="7"/>
  <c r="AO329" i="7" a="1"/>
  <c r="AN389" i="7"/>
  <c r="AO389" i="7" a="1"/>
  <c r="AN98" i="7"/>
  <c r="AO98" i="7" a="1"/>
  <c r="AN35" i="7"/>
  <c r="AO35" i="7" a="1"/>
  <c r="AN114" i="7"/>
  <c r="AO114" i="7" a="1"/>
  <c r="AN356" i="7"/>
  <c r="AO356" i="7" a="1"/>
  <c r="AN324" i="7"/>
  <c r="AO324" i="7" a="1"/>
  <c r="AN118" i="7"/>
  <c r="AO118" i="7" a="1"/>
  <c r="BD244" i="7"/>
  <c r="BF170" i="7"/>
  <c r="BF80" i="7"/>
  <c r="BF57" i="7"/>
  <c r="BF89" i="7"/>
  <c r="BD64" i="7"/>
  <c r="BF64" i="7"/>
  <c r="BG64" i="7" a="1"/>
  <c r="BF341" i="7"/>
  <c r="BG341" i="7" a="1"/>
  <c r="BF217" i="7"/>
  <c r="BG217" i="7" a="1"/>
  <c r="BF322" i="7"/>
  <c r="BF299" i="7"/>
  <c r="BF201" i="7"/>
  <c r="BF325" i="7"/>
  <c r="BF103" i="7"/>
  <c r="BF259" i="7"/>
  <c r="AA320" i="7"/>
  <c r="AG320" i="7"/>
  <c r="AF320" i="7"/>
  <c r="AB320" i="7"/>
  <c r="AC320" i="7"/>
  <c r="Z320" i="7"/>
  <c r="Y320" i="7"/>
  <c r="W320" i="7"/>
  <c r="X320" i="7"/>
  <c r="AE320" i="7"/>
  <c r="AD320" i="7"/>
  <c r="V9" i="7"/>
  <c r="V45" i="7"/>
  <c r="W45" i="7" a="1"/>
  <c r="V99" i="7"/>
  <c r="W99" i="7" a="1"/>
  <c r="AN141" i="7"/>
  <c r="AO141" i="7" a="1"/>
  <c r="AN214" i="7"/>
  <c r="AO214" i="7" a="1"/>
  <c r="AN161" i="7"/>
  <c r="AO161" i="7" a="1"/>
  <c r="AN144" i="7"/>
  <c r="AO144" i="7" a="1"/>
  <c r="AN221" i="7"/>
  <c r="AO221" i="7" a="1"/>
  <c r="AN222" i="7"/>
  <c r="AO222" i="7" a="1"/>
  <c r="AN73" i="7"/>
  <c r="AO73" i="7" a="1"/>
  <c r="AN174" i="7"/>
  <c r="AO174" i="7" a="1"/>
  <c r="AN104" i="7"/>
  <c r="AO104" i="7" a="1"/>
  <c r="AN353" i="7"/>
  <c r="AO353" i="7" a="1"/>
  <c r="AN352" i="7"/>
  <c r="AO352" i="7" a="1"/>
  <c r="AN146" i="7"/>
  <c r="AO146" i="7" a="1"/>
  <c r="AN159" i="7"/>
  <c r="AO159" i="7" a="1"/>
  <c r="AN107" i="7"/>
  <c r="AO107" i="7" a="1"/>
  <c r="AN377" i="7"/>
  <c r="AO377" i="7" a="1"/>
  <c r="AN211" i="7"/>
  <c r="AO211" i="7" a="1"/>
  <c r="AN56" i="7"/>
  <c r="AO56" i="7" a="1"/>
  <c r="BX9" i="7"/>
  <c r="BY9" i="7" a="1"/>
  <c r="BX196" i="7"/>
  <c r="BY196" i="7" a="1"/>
  <c r="BX276" i="7"/>
  <c r="BY276" i="7" a="1"/>
  <c r="V172" i="7"/>
  <c r="W172" i="7" a="1"/>
  <c r="V136" i="7"/>
  <c r="W136" i="7" a="1"/>
  <c r="V185" i="7"/>
  <c r="V85" i="7"/>
  <c r="W85" i="7" a="1"/>
  <c r="V146" i="7"/>
  <c r="V308" i="7"/>
  <c r="W308" i="7" a="1"/>
  <c r="T311" i="7"/>
  <c r="V311" i="7"/>
  <c r="W311" i="7" a="1"/>
  <c r="V55" i="7"/>
  <c r="W55" i="7" a="1"/>
  <c r="T277" i="7"/>
  <c r="V277" i="7"/>
  <c r="V398" i="7"/>
  <c r="W398" i="7" a="1"/>
  <c r="V50" i="7"/>
  <c r="BF115" i="7"/>
  <c r="V153" i="7"/>
  <c r="W153" i="7" a="1"/>
  <c r="V262" i="7"/>
  <c r="W262" i="7" a="1"/>
  <c r="V18" i="7"/>
  <c r="V322" i="7"/>
  <c r="W322" i="7" a="1"/>
  <c r="V267" i="7"/>
  <c r="V190" i="7"/>
  <c r="W190" i="7" a="1"/>
  <c r="V180" i="7"/>
  <c r="W180" i="7" a="1"/>
  <c r="T74" i="7"/>
  <c r="V74" i="7"/>
  <c r="W74" i="7" a="1"/>
  <c r="BF291" i="7"/>
  <c r="BD175" i="7"/>
  <c r="BF175" i="7"/>
  <c r="BG175" i="7" a="1"/>
  <c r="BF114" i="7"/>
  <c r="BG114" i="7" a="1"/>
  <c r="BF324" i="7"/>
  <c r="BD33" i="7"/>
  <c r="BF33" i="7"/>
  <c r="BF183" i="7"/>
  <c r="BX286" i="7"/>
  <c r="BY286" i="7" a="1"/>
  <c r="BX187" i="7"/>
  <c r="BY187" i="7" a="1"/>
  <c r="BX319" i="7"/>
  <c r="BY319" i="7" a="1"/>
  <c r="BX123" i="7"/>
  <c r="BY123" i="7" a="1"/>
  <c r="BX188" i="7"/>
  <c r="BX116" i="7"/>
  <c r="BY116" i="7" a="1"/>
  <c r="BX322" i="7"/>
  <c r="BY322" i="7" a="1"/>
  <c r="BX240" i="7"/>
  <c r="BY240" i="7" a="1"/>
  <c r="BX71" i="7"/>
  <c r="BY71" i="7" a="1"/>
  <c r="BV332" i="7"/>
  <c r="BX332" i="7"/>
  <c r="BY332" i="7" a="1"/>
  <c r="BV77" i="7"/>
  <c r="BX77" i="7"/>
  <c r="BY77" i="7" a="1"/>
  <c r="BX185" i="7"/>
  <c r="BY185" i="7" a="1"/>
  <c r="BX259" i="7"/>
  <c r="BY259" i="7" a="1"/>
  <c r="BX84" i="7"/>
  <c r="BX54" i="7"/>
  <c r="BY54" i="7" a="1"/>
  <c r="BV55" i="7"/>
  <c r="BX55" i="7"/>
  <c r="BY55" i="7" a="1"/>
  <c r="BX89" i="7"/>
  <c r="BY89" i="7" a="1"/>
  <c r="AN167" i="7"/>
  <c r="AO167" i="7" a="1"/>
  <c r="BF127" i="7"/>
  <c r="BG127" i="7" a="1"/>
  <c r="BF44" i="7"/>
  <c r="BG44" i="7" a="1"/>
  <c r="BF180" i="7"/>
  <c r="BD342" i="7"/>
  <c r="BF342" i="7"/>
  <c r="BF34" i="7"/>
  <c r="BF207" i="7"/>
  <c r="BG207" i="7" a="1"/>
  <c r="BF303" i="7"/>
  <c r="BG303" i="7" a="1"/>
  <c r="BF248" i="7"/>
  <c r="BF53" i="7"/>
  <c r="V15" i="7"/>
  <c r="W15" i="7" a="1"/>
  <c r="BD49" i="7"/>
  <c r="BF49" i="7"/>
  <c r="W73" i="7" a="1"/>
  <c r="W215" i="7" a="1"/>
  <c r="W71" i="7" a="1"/>
  <c r="W93" i="7" a="1"/>
  <c r="W76" i="7" a="1"/>
  <c r="BG118" i="7" a="1"/>
  <c r="BG36" i="7" a="1"/>
  <c r="W343" i="7" a="1"/>
  <c r="BG59" i="7" a="1"/>
  <c r="BG151" i="7" a="1"/>
  <c r="BG292" i="7" a="1"/>
  <c r="W35" i="7" a="1"/>
  <c r="W259" i="7" a="1"/>
  <c r="BG38" i="7" a="1"/>
  <c r="W66" i="7" a="1"/>
  <c r="W251" i="7" a="1"/>
  <c r="W244" i="7" a="1"/>
  <c r="BG220" i="7" a="1"/>
  <c r="BG233" i="7" a="1"/>
  <c r="W233" i="7" a="1"/>
  <c r="W334" i="7" a="1"/>
  <c r="BG131" i="7" a="1"/>
  <c r="W131" i="7" a="1"/>
  <c r="W351" i="7" a="1"/>
  <c r="W324" i="7" a="1"/>
  <c r="BG324" i="7" a="1"/>
  <c r="W127" i="7" a="1"/>
  <c r="W390" i="7" a="1"/>
  <c r="BG390" i="7" a="1"/>
  <c r="W377" i="7" a="1"/>
  <c r="BG377" i="7" a="1"/>
  <c r="BG366" i="7" a="1"/>
  <c r="W248" i="7" a="1"/>
  <c r="BG248" i="7" a="1"/>
  <c r="W381" i="7" a="1"/>
  <c r="BG381" i="7" a="1"/>
  <c r="BG279" i="7" a="1"/>
  <c r="W125" i="7" a="1"/>
  <c r="BG125" i="7" a="1"/>
  <c r="BG228" i="7" a="1"/>
  <c r="W228" i="7" a="1"/>
  <c r="W389" i="7" a="1"/>
  <c r="BG389" i="7" a="1"/>
  <c r="BG191" i="7" a="1"/>
  <c r="W191" i="7" a="1"/>
  <c r="W378" i="7" a="1"/>
  <c r="BG378" i="7" a="1"/>
  <c r="BG214" i="7" a="1"/>
  <c r="W394" i="7" a="1"/>
  <c r="BG394" i="7" a="1"/>
  <c r="W220" i="7" a="1"/>
  <c r="W210" i="7" a="1"/>
  <c r="BG210" i="7" a="1"/>
  <c r="W338" i="7" a="1"/>
  <c r="W306" i="7" a="1"/>
  <c r="BG40" i="7" a="1"/>
  <c r="BG326" i="7" a="1"/>
  <c r="W148" i="7" a="1"/>
  <c r="W255" i="7" a="1"/>
  <c r="BG343" i="7" a="1"/>
  <c r="W316" i="7" a="1"/>
  <c r="BG137" i="7" a="1"/>
  <c r="BG115" i="7" a="1"/>
  <c r="W339" i="7" a="1"/>
  <c r="BG350" i="7" a="1"/>
  <c r="W240" i="7" a="1"/>
  <c r="W175" i="7" a="1"/>
  <c r="W119" i="7" a="1"/>
  <c r="BG247" i="7" a="1"/>
  <c r="BG398" i="7" a="1"/>
  <c r="BG152" i="7" a="1"/>
  <c r="BY172" i="7" a="1"/>
  <c r="BG88" i="7" a="1"/>
  <c r="W162" i="7" a="1"/>
  <c r="BG54" i="7" a="1"/>
  <c r="W269" i="7" a="1"/>
  <c r="W171" i="7" a="1"/>
  <c r="W38" i="7" a="1"/>
  <c r="BG352" i="7" a="1"/>
  <c r="W196" i="7" a="1"/>
  <c r="BG196" i="7" a="1"/>
  <c r="W34" i="7" a="1"/>
  <c r="W36" i="7" a="1"/>
  <c r="BG276" i="7" a="1"/>
  <c r="BG70" i="7" a="1"/>
  <c r="W22" i="7" a="1"/>
  <c r="BG169" i="7" a="1"/>
  <c r="BG177" i="7" a="1"/>
  <c r="BG225" i="7" a="1"/>
  <c r="BG312" i="7" a="1"/>
  <c r="BG67" i="7" a="1"/>
  <c r="W265" i="7" a="1"/>
  <c r="W307" i="7" a="1"/>
  <c r="BG56" i="7" a="1"/>
  <c r="BG257" i="7" a="1"/>
  <c r="W393" i="7" a="1"/>
  <c r="W211" i="7" a="1"/>
  <c r="BG6" i="7" a="1"/>
  <c r="W146" i="7" a="1"/>
  <c r="W332" i="7" a="1"/>
  <c r="BG307" i="7" a="1"/>
  <c r="BG223" i="7" a="1"/>
  <c r="BG176" i="7" a="1"/>
  <c r="W301" i="7" a="1"/>
  <c r="BG65" i="7" a="1"/>
  <c r="W183" i="7" a="1"/>
  <c r="BG149" i="7" a="1"/>
  <c r="W318" i="7" a="1"/>
  <c r="W138" i="7" a="1"/>
  <c r="W223" i="7" a="1"/>
  <c r="BG183" i="7" a="1"/>
  <c r="W325" i="7" a="1"/>
  <c r="W319" i="7" a="1"/>
  <c r="W299" i="7" a="1"/>
  <c r="BG62" i="7" a="1"/>
  <c r="W281" i="7" a="1"/>
  <c r="BG129" i="7" a="1"/>
  <c r="BG355" i="7" a="1"/>
  <c r="BG79" i="7" a="1"/>
  <c r="BG111" i="7" a="1"/>
  <c r="W291" i="7" a="1"/>
  <c r="BG128" i="7" a="1"/>
  <c r="BG325" i="7" a="1"/>
  <c r="BG329" i="7" a="1"/>
  <c r="BG310" i="7" a="1"/>
  <c r="BG185" i="7" a="1"/>
  <c r="BG272" i="7" a="1"/>
  <c r="BG297" i="7" a="1"/>
  <c r="BG8" i="7" a="1"/>
  <c r="BG78" i="7" a="1"/>
  <c r="W164" i="7" a="1"/>
  <c r="BG345" i="7" a="1"/>
  <c r="BG251" i="7" a="1"/>
  <c r="BG245" i="7" a="1"/>
  <c r="BG195" i="7" a="1"/>
  <c r="W159" i="7" a="1"/>
  <c r="BG47" i="7" a="1"/>
  <c r="BG263" i="7" a="1"/>
  <c r="BG11" i="7" a="1"/>
  <c r="BG327" i="7" a="1"/>
  <c r="BG142" i="7" a="1"/>
  <c r="BG188" i="7" a="1"/>
  <c r="BG259" i="7" a="1"/>
  <c r="BG160" i="7" a="1"/>
  <c r="BG216" i="7" a="1"/>
  <c r="BG189" i="7" a="1"/>
  <c r="W280" i="7" a="1"/>
  <c r="BG144" i="7" a="1"/>
  <c r="BG254" i="7" a="1"/>
  <c r="W267" i="7" a="1"/>
  <c r="W157" i="7" a="1"/>
  <c r="BG61" i="7" a="1"/>
  <c r="BG97" i="7" a="1"/>
  <c r="W173" i="7" a="1"/>
  <c r="W135" i="7" a="1"/>
  <c r="W151" i="7" a="1"/>
  <c r="BG74" i="7" a="1"/>
  <c r="BG35" i="7" a="1"/>
  <c r="BG179" i="7" a="1"/>
  <c r="W24" i="7" a="1"/>
  <c r="W20" i="7" a="1"/>
  <c r="W44" i="7" a="1"/>
  <c r="BG45" i="7" a="1"/>
  <c r="BG121" i="7" a="1"/>
  <c r="BG323" i="7" a="1"/>
  <c r="W278" i="7" a="1"/>
  <c r="BG109" i="7" a="1"/>
  <c r="BG270" i="7" a="1"/>
  <c r="W357" i="7" a="1"/>
  <c r="BG286" i="7" a="1"/>
  <c r="BG139" i="7" a="1"/>
  <c r="W285" i="7" a="1"/>
  <c r="BG284" i="7" a="1"/>
  <c r="BG202" i="7" a="1"/>
  <c r="BG104" i="7" a="1"/>
  <c r="W98" i="7" a="1"/>
  <c r="BG212" i="7" a="1"/>
  <c r="BG322" i="7" a="1"/>
  <c r="BG224" i="7" a="1"/>
  <c r="W222" i="7" a="1"/>
  <c r="W298" i="7" a="1"/>
  <c r="BG150" i="7" a="1"/>
  <c r="BG153" i="7" a="1"/>
  <c r="BG143" i="7" a="1"/>
  <c r="BG13" i="7" a="1"/>
  <c r="W345" i="7" a="1"/>
  <c r="W310" i="7" a="1"/>
  <c r="W101" i="7" a="1"/>
  <c r="BG18" i="7" a="1"/>
  <c r="BG315" i="7" a="1"/>
  <c r="BG53" i="7" a="1"/>
  <c r="W60" i="7" a="1"/>
  <c r="BG123" i="7" a="1"/>
  <c r="BG156" i="7" a="1"/>
  <c r="BG32" i="7" a="1"/>
  <c r="BG103" i="7" a="1"/>
  <c r="BG261" i="7" a="1"/>
  <c r="BG113" i="7" a="1"/>
  <c r="W118" i="7" a="1"/>
  <c r="BG353" i="7" a="1"/>
  <c r="W264" i="7" a="1"/>
  <c r="BG211" i="7" a="1"/>
  <c r="BG19" i="7" a="1"/>
  <c r="W17" i="7" a="1"/>
  <c r="BG221" i="7" a="1"/>
  <c r="BG159" i="7" a="1"/>
  <c r="BG25" i="7" a="1"/>
  <c r="BG219" i="7" a="1"/>
  <c r="BG154" i="7" a="1"/>
  <c r="BG33" i="7" a="1"/>
  <c r="BG126" i="7" a="1"/>
  <c r="BG52" i="7" a="1"/>
  <c r="BG15" i="7" a="1"/>
  <c r="BG174" i="7" a="1"/>
  <c r="W10" i="7" a="1"/>
  <c r="BG20" i="7" a="1"/>
  <c r="BG147" i="7" a="1"/>
  <c r="BG133" i="7" a="1"/>
  <c r="BG86" i="7" a="1"/>
  <c r="W284" i="7" a="1"/>
  <c r="W39" i="7" a="1"/>
  <c r="BG266" i="7" a="1"/>
  <c r="BG122" i="7" a="1"/>
  <c r="BG181" i="7" a="1"/>
  <c r="W329" i="7" a="1"/>
  <c r="BG319" i="7" a="1"/>
  <c r="W358" i="7" a="1"/>
  <c r="BG34" i="7" a="1"/>
  <c r="W317" i="7" a="1"/>
  <c r="BG85" i="7" a="1"/>
  <c r="W276" i="7" a="1"/>
  <c r="W292" i="7" a="1"/>
  <c r="BG283" i="7" a="1"/>
  <c r="W114" i="7" a="1"/>
  <c r="W9" i="7" a="1"/>
  <c r="BG84" i="7" a="1"/>
  <c r="W289" i="7" a="1"/>
  <c r="BG356" i="7" a="1"/>
  <c r="W23" i="7" a="1"/>
  <c r="BG203" i="7" a="1"/>
  <c r="W25" i="7" a="1"/>
  <c r="W303" i="7" a="1"/>
  <c r="W350" i="7" a="1"/>
  <c r="W263" i="7" a="1"/>
  <c r="BG184" i="7" a="1"/>
  <c r="BG72" i="7" a="1"/>
  <c r="BG71" i="7" a="1"/>
  <c r="BG161" i="7" a="1"/>
  <c r="BG268" i="7" a="1"/>
  <c r="BG287" i="7" a="1"/>
  <c r="W145" i="7" a="1"/>
  <c r="BG5" i="7" a="1"/>
  <c r="BG158" i="7" a="1"/>
  <c r="BG282" i="7" a="1"/>
  <c r="BG3" i="7" a="1"/>
  <c r="W326" i="7" a="1"/>
  <c r="BG168" i="7" a="1"/>
  <c r="W184" i="7" a="1"/>
  <c r="BG101" i="7" a="1"/>
  <c r="W252" i="7" a="1"/>
  <c r="W300" i="7" a="1"/>
  <c r="W312" i="7" a="1"/>
  <c r="W333" i="7" a="1"/>
  <c r="BG182" i="7" a="1"/>
  <c r="BG73" i="7" a="1"/>
  <c r="BG164" i="7" a="1"/>
  <c r="W18" i="7" a="1"/>
  <c r="BY188" i="7" a="1"/>
  <c r="BG49" i="7" a="1"/>
  <c r="W51" i="7" a="1"/>
  <c r="W328" i="7" a="1"/>
  <c r="BG215" i="7" a="1"/>
  <c r="BG347" i="7" a="1"/>
  <c r="BG342" i="7" a="1"/>
  <c r="BG4" i="7" a="1"/>
  <c r="BG321" i="7" a="1"/>
  <c r="BG187" i="7" a="1"/>
  <c r="BG63" i="7" a="1"/>
  <c r="W207" i="7" a="1"/>
  <c r="W290" i="7" a="1"/>
  <c r="BG132" i="7" a="1"/>
  <c r="BG100" i="7" a="1"/>
  <c r="BG12" i="7" a="1"/>
  <c r="BG163" i="7" a="1"/>
  <c r="W90" i="7" a="1"/>
  <c r="BG58" i="7" a="1"/>
  <c r="W361" i="7" a="1"/>
  <c r="W64" i="7" a="1"/>
  <c r="BG21" i="7" a="1"/>
  <c r="BG90" i="7" a="1"/>
  <c r="W254" i="7" a="1"/>
  <c r="BG110" i="7" a="1"/>
  <c r="BG46" i="7" a="1"/>
  <c r="W294" i="7" a="1"/>
  <c r="BG288" i="7" a="1"/>
  <c r="BG180" i="7" a="1"/>
  <c r="W28" i="7" a="1"/>
  <c r="W277" i="7" a="1"/>
  <c r="BG117" i="7" a="1"/>
  <c r="BG313" i="7" a="1"/>
  <c r="BG77" i="7" a="1"/>
  <c r="BG31" i="7" a="1"/>
  <c r="W216" i="7" a="1"/>
  <c r="W116" i="7" a="1"/>
  <c r="W288" i="7" a="1"/>
  <c r="BG186" i="7" a="1"/>
  <c r="BG306" i="7" a="1"/>
  <c r="W112" i="7" a="1"/>
  <c r="BG124" i="7" a="1"/>
  <c r="W217" i="7" a="1"/>
  <c r="BG155" i="7" a="1"/>
  <c r="W37" i="7" a="1"/>
  <c r="W69" i="7" a="1"/>
  <c r="BG82" i="7" a="1"/>
  <c r="BG218" i="7" a="1"/>
  <c r="BG308" i="7" a="1"/>
  <c r="BG280" i="7" a="1"/>
  <c r="BG80" i="7" a="1"/>
  <c r="BG201" i="7" a="1"/>
  <c r="W185" i="7" a="1"/>
  <c r="W50" i="7" a="1"/>
  <c r="BG291" i="7" a="1"/>
  <c r="BG22" i="7" a="1"/>
  <c r="BG120" i="7" a="1"/>
  <c r="W337" i="7" a="1"/>
  <c r="W321" i="7" a="1"/>
  <c r="BG302" i="7" a="1"/>
  <c r="BG108" i="7" a="1"/>
  <c r="W165" i="7" a="1"/>
  <c r="BG255" i="7" a="1"/>
  <c r="BG105" i="7" a="1"/>
  <c r="BG93" i="7" a="1"/>
  <c r="W270" i="7" a="1"/>
  <c r="W341" i="7" a="1"/>
  <c r="BG289" i="7" a="1"/>
  <c r="BG89" i="7" a="1"/>
  <c r="BG258" i="7" a="1"/>
  <c r="BG346" i="7" a="1"/>
  <c r="BG66" i="7" a="1"/>
  <c r="BG16" i="7" a="1"/>
  <c r="W305" i="7" a="1"/>
  <c r="BG170" i="7" a="1"/>
  <c r="BG173" i="7" a="1"/>
  <c r="BG271" i="7" a="1"/>
  <c r="BG83" i="7" a="1"/>
  <c r="W212" i="7" a="1"/>
  <c r="W130" i="7" a="1"/>
  <c r="W59" i="7" a="1"/>
  <c r="BG95" i="7" a="1"/>
  <c r="BG299" i="7" a="1"/>
  <c r="BG262" i="7" a="1"/>
  <c r="BG339" i="7" a="1"/>
  <c r="BG277" i="7" a="1"/>
  <c r="BG91" i="7" a="1"/>
  <c r="BG281" i="7" a="1"/>
  <c r="BG141" i="7" a="1"/>
  <c r="BG136" i="7" a="1"/>
  <c r="BG190" i="7" a="1"/>
  <c r="W16" i="7" a="1"/>
  <c r="BG337" i="7" a="1"/>
  <c r="BG17" i="7" a="1"/>
  <c r="W386" i="7" a="1"/>
  <c r="BG360" i="7" a="1"/>
  <c r="BG107" i="7" a="1"/>
  <c r="BG304" i="7" a="1"/>
  <c r="W166" i="7" a="1"/>
  <c r="BG57" i="7" a="1"/>
  <c r="BG7" i="7" a="1"/>
  <c r="W283" i="7" a="1"/>
  <c r="BY169" i="7" a="1"/>
  <c r="BG162" i="7" a="1"/>
  <c r="BG140" i="7" a="1"/>
  <c r="BG167" i="7" a="1"/>
  <c r="BG81" i="7" a="1"/>
  <c r="BG94" i="7" a="1"/>
  <c r="BG314" i="7" a="1"/>
  <c r="W48" i="7" a="1"/>
  <c r="BG55" i="7" a="1"/>
  <c r="BG134" i="7" a="1"/>
  <c r="W87" i="7" a="1"/>
  <c r="BG300" i="7" a="1"/>
  <c r="BG23" i="7" a="1"/>
  <c r="W19" i="7" a="1"/>
  <c r="BG68" i="7" a="1"/>
  <c r="BG335" i="7" a="1"/>
  <c r="W178" i="7" a="1"/>
  <c r="G7" i="8"/>
  <c r="J7" i="8"/>
  <c r="W216" i="7"/>
  <c r="AB137" i="7"/>
  <c r="Y381" i="7"/>
  <c r="AD80" i="7"/>
  <c r="W271" i="7"/>
  <c r="AF123" i="7"/>
  <c r="AC95" i="7"/>
  <c r="AS55" i="7"/>
  <c r="AX55" i="7"/>
  <c r="AP55" i="7"/>
  <c r="AU55" i="7"/>
  <c r="AT55" i="7"/>
  <c r="AV55" i="7"/>
  <c r="AR55" i="7"/>
  <c r="W84" i="7"/>
  <c r="Z137" i="7"/>
  <c r="AC63" i="7"/>
  <c r="AG63" i="7"/>
  <c r="AA95" i="7"/>
  <c r="AA65" i="7"/>
  <c r="AB4" i="7"/>
  <c r="AF63" i="7"/>
  <c r="W95" i="7"/>
  <c r="AE4" i="7"/>
  <c r="AE316" i="7"/>
  <c r="Z220" i="7"/>
  <c r="AF220" i="7"/>
  <c r="AD220" i="7"/>
  <c r="AC220" i="7"/>
  <c r="AG220" i="7"/>
  <c r="AE220" i="7"/>
  <c r="AA220" i="7"/>
  <c r="W220" i="7"/>
  <c r="X220" i="7"/>
  <c r="AB220" i="7"/>
  <c r="Y220" i="7"/>
  <c r="AG326" i="7"/>
  <c r="AE288" i="7"/>
  <c r="AF305" i="7"/>
  <c r="AA305" i="7"/>
  <c r="AD301" i="7"/>
  <c r="AA351" i="7"/>
  <c r="AC306" i="7"/>
  <c r="W381" i="7"/>
  <c r="X381" i="7"/>
  <c r="T19" i="6"/>
  <c r="X123" i="7"/>
  <c r="AE17" i="7"/>
  <c r="AE66" i="7"/>
  <c r="X305" i="7"/>
  <c r="AF301" i="7"/>
  <c r="AD94" i="7"/>
  <c r="AD305" i="7"/>
  <c r="AF81" i="7"/>
  <c r="W90" i="7"/>
  <c r="AD90" i="7"/>
  <c r="Y90" i="7"/>
  <c r="AA90" i="7"/>
  <c r="X90" i="7"/>
  <c r="AG90" i="7"/>
  <c r="AF90" i="7"/>
  <c r="AE90" i="7"/>
  <c r="AB90" i="7"/>
  <c r="Z90" i="7"/>
  <c r="AC90" i="7"/>
  <c r="Y305" i="7"/>
  <c r="AG305" i="7"/>
  <c r="Z305" i="7"/>
  <c r="AB140" i="7"/>
  <c r="Y301" i="7"/>
  <c r="W306" i="7"/>
  <c r="AC94" i="7"/>
  <c r="AE305" i="7"/>
  <c r="AB305" i="7"/>
  <c r="AG140" i="7"/>
  <c r="AC305" i="7"/>
  <c r="W305" i="7"/>
  <c r="X140" i="7"/>
  <c r="W81" i="7"/>
  <c r="AA94" i="7"/>
  <c r="R20" i="6"/>
  <c r="S20" i="6"/>
  <c r="Q21" i="6"/>
  <c r="Y140" i="7"/>
  <c r="AA140" i="7"/>
  <c r="AA301" i="7"/>
  <c r="Z301" i="7"/>
  <c r="AB301" i="7"/>
  <c r="AG81" i="7"/>
  <c r="Y81" i="7"/>
  <c r="AC81" i="7"/>
  <c r="Z94" i="7"/>
  <c r="W94" i="7"/>
  <c r="AE94" i="7"/>
  <c r="Z140" i="7"/>
  <c r="AE140" i="7"/>
  <c r="AD140" i="7"/>
  <c r="AC301" i="7"/>
  <c r="W301" i="7"/>
  <c r="AE301" i="7"/>
  <c r="AA81" i="7"/>
  <c r="Z81" i="7"/>
  <c r="AB81" i="7"/>
  <c r="AC80" i="7"/>
  <c r="AB94" i="7"/>
  <c r="AF94" i="7"/>
  <c r="AF140" i="7"/>
  <c r="AC140" i="7"/>
  <c r="X301" i="7"/>
  <c r="AG301" i="7"/>
  <c r="AD81" i="7"/>
  <c r="AE81" i="7"/>
  <c r="X94" i="7"/>
  <c r="AG94" i="7"/>
  <c r="AC121" i="7"/>
  <c r="AB121" i="7"/>
  <c r="Y137" i="7"/>
  <c r="W137" i="7"/>
  <c r="AF137" i="7"/>
  <c r="AA137" i="7"/>
  <c r="AG137" i="7"/>
  <c r="AC137" i="7"/>
  <c r="AC5" i="7"/>
  <c r="AG5" i="7"/>
  <c r="AR175" i="7"/>
  <c r="AW175" i="7"/>
  <c r="AY175" i="7"/>
  <c r="W5" i="7"/>
  <c r="AT175" i="7"/>
  <c r="X4" i="7"/>
  <c r="Z4" i="7"/>
  <c r="AC4" i="7"/>
  <c r="AG4" i="7"/>
  <c r="AA4" i="7"/>
  <c r="AE63" i="7"/>
  <c r="Y63" i="7"/>
  <c r="W63" i="7"/>
  <c r="AB63" i="7"/>
  <c r="Z63" i="7"/>
  <c r="X63" i="7"/>
  <c r="AG95" i="7"/>
  <c r="AD95" i="7"/>
  <c r="AF95" i="7"/>
  <c r="Y95" i="7"/>
  <c r="AE95" i="7"/>
  <c r="AD4" i="7"/>
  <c r="AD137" i="7"/>
  <c r="W4" i="7"/>
  <c r="Y4" i="7"/>
  <c r="X137" i="7"/>
  <c r="AD63" i="7"/>
  <c r="X95" i="7"/>
  <c r="AB95" i="7"/>
  <c r="AE5" i="7"/>
  <c r="AA23" i="7"/>
  <c r="W23" i="7"/>
  <c r="AD84" i="7"/>
  <c r="X84" i="7"/>
  <c r="AA84" i="7"/>
  <c r="AC84" i="7"/>
  <c r="Y65" i="7"/>
  <c r="X65" i="7"/>
  <c r="W65" i="7"/>
  <c r="AD65" i="7"/>
  <c r="AB381" i="7"/>
  <c r="AE381" i="7"/>
  <c r="AA381" i="7"/>
  <c r="Z381" i="7"/>
  <c r="CJ320" i="7"/>
  <c r="AC120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3" i="7"/>
  <c r="AC123" i="7"/>
  <c r="AA123" i="7"/>
  <c r="AD116" i="7"/>
  <c r="AA64" i="7"/>
  <c r="AD164" i="7"/>
  <c r="Y164" i="7"/>
  <c r="AA164" i="7"/>
  <c r="AB164" i="7"/>
  <c r="AC164" i="7"/>
  <c r="X164" i="7"/>
  <c r="AD222" i="7"/>
  <c r="AE171" i="7"/>
  <c r="AB28" i="7"/>
  <c r="AG28" i="7"/>
  <c r="AA28" i="7"/>
  <c r="AC28" i="7"/>
  <c r="Z28" i="7"/>
  <c r="AF28" i="7"/>
  <c r="X28" i="7"/>
  <c r="Y28" i="7"/>
  <c r="AE28" i="7"/>
  <c r="AD28" i="7"/>
  <c r="W28" i="7"/>
  <c r="AF67" i="7"/>
  <c r="AG329" i="7"/>
  <c r="W121" i="7"/>
  <c r="CK320" i="7"/>
  <c r="AD216" i="7"/>
  <c r="W56" i="7"/>
  <c r="AG216" i="7"/>
  <c r="AB57" i="7"/>
  <c r="Z56" i="7"/>
  <c r="Y326" i="7"/>
  <c r="AD110" i="7"/>
  <c r="W64" i="7"/>
  <c r="AE56" i="7"/>
  <c r="Z216" i="7"/>
  <c r="X57" i="7"/>
  <c r="AB261" i="7"/>
  <c r="AO175" i="7"/>
  <c r="AS175" i="7"/>
  <c r="X222" i="7"/>
  <c r="AG144" i="7"/>
  <c r="AF171" i="7"/>
  <c r="AA144" i="7"/>
  <c r="W144" i="7"/>
  <c r="AC144" i="7"/>
  <c r="AD351" i="7"/>
  <c r="AD171" i="7"/>
  <c r="Y144" i="7"/>
  <c r="AF144" i="7"/>
  <c r="AG66" i="7"/>
  <c r="AG171" i="7"/>
  <c r="AD144" i="7"/>
  <c r="Z144" i="7"/>
  <c r="AE144" i="7"/>
  <c r="CF45" i="7"/>
  <c r="X144" i="7"/>
  <c r="AG225" i="7"/>
  <c r="AA121" i="7"/>
  <c r="X121" i="7"/>
  <c r="Z121" i="7"/>
  <c r="AF56" i="7"/>
  <c r="X56" i="7"/>
  <c r="AF216" i="7"/>
  <c r="AE216" i="7"/>
  <c r="Z31" i="7"/>
  <c r="Z122" i="7"/>
  <c r="W225" i="7"/>
  <c r="X110" i="7"/>
  <c r="AA110" i="7"/>
  <c r="AF121" i="7"/>
  <c r="Y121" i="7"/>
  <c r="AC56" i="7"/>
  <c r="AA56" i="7"/>
  <c r="AD56" i="7"/>
  <c r="Y216" i="7"/>
  <c r="AC216" i="7"/>
  <c r="X216" i="7"/>
  <c r="AB150" i="7"/>
  <c r="AB329" i="7"/>
  <c r="AC271" i="7"/>
  <c r="AB225" i="7"/>
  <c r="X5" i="7"/>
  <c r="AB110" i="7"/>
  <c r="AV175" i="7"/>
  <c r="AU175" i="7"/>
  <c r="AX175" i="7"/>
  <c r="AG121" i="7"/>
  <c r="AE121" i="7"/>
  <c r="AB56" i="7"/>
  <c r="AG56" i="7"/>
  <c r="AB216" i="7"/>
  <c r="AA216" i="7"/>
  <c r="AF288" i="7"/>
  <c r="Y150" i="7"/>
  <c r="Y116" i="7"/>
  <c r="AG64" i="7"/>
  <c r="AB5" i="7"/>
  <c r="AD5" i="7"/>
  <c r="W110" i="7"/>
  <c r="AQ175" i="7"/>
  <c r="AD53" i="7"/>
  <c r="Y86" i="7"/>
  <c r="AD120" i="7"/>
  <c r="AC329" i="7"/>
  <c r="AD23" i="7"/>
  <c r="AG53" i="7"/>
  <c r="X326" i="7"/>
  <c r="AE271" i="7"/>
  <c r="W86" i="7"/>
  <c r="AC225" i="7"/>
  <c r="AF225" i="7"/>
  <c r="AG110" i="7"/>
  <c r="AF110" i="7"/>
  <c r="X288" i="7"/>
  <c r="AF31" i="7"/>
  <c r="X116" i="7"/>
  <c r="AB23" i="7"/>
  <c r="AC122" i="7"/>
  <c r="AA271" i="7"/>
  <c r="AE57" i="7"/>
  <c r="AD64" i="7"/>
  <c r="Y225" i="7"/>
  <c r="AC110" i="7"/>
  <c r="AE110" i="7"/>
  <c r="X120" i="7"/>
  <c r="W120" i="7"/>
  <c r="AF150" i="7"/>
  <c r="AE150" i="7"/>
  <c r="Z150" i="7"/>
  <c r="AA329" i="7"/>
  <c r="Y329" i="7"/>
  <c r="AD329" i="7"/>
  <c r="AE23" i="7"/>
  <c r="X23" i="7"/>
  <c r="AF122" i="7"/>
  <c r="AD122" i="7"/>
  <c r="AE86" i="7"/>
  <c r="AD86" i="7"/>
  <c r="AG120" i="7"/>
  <c r="AA120" i="7"/>
  <c r="W150" i="7"/>
  <c r="AA150" i="7"/>
  <c r="Z329" i="7"/>
  <c r="X329" i="7"/>
  <c r="W329" i="7"/>
  <c r="AF23" i="7"/>
  <c r="Y23" i="7"/>
  <c r="AG23" i="7"/>
  <c r="AB122" i="7"/>
  <c r="Y122" i="7"/>
  <c r="AC86" i="7"/>
  <c r="AB86" i="7"/>
  <c r="Y120" i="7"/>
  <c r="Z120" i="7"/>
  <c r="AD150" i="7"/>
  <c r="X150" i="7"/>
  <c r="AF329" i="7"/>
  <c r="AE329" i="7"/>
  <c r="Z23" i="7"/>
  <c r="AC23" i="7"/>
  <c r="AG122" i="7"/>
  <c r="AE122" i="7"/>
  <c r="Z86" i="7"/>
  <c r="AG86" i="7"/>
  <c r="AE225" i="7"/>
  <c r="AA225" i="7"/>
  <c r="CG45" i="7"/>
  <c r="W351" i="7"/>
  <c r="AF66" i="7"/>
  <c r="AC222" i="7"/>
  <c r="AC171" i="7"/>
  <c r="X171" i="7"/>
  <c r="Y66" i="7"/>
  <c r="AF222" i="7"/>
  <c r="Z171" i="7"/>
  <c r="CA45" i="7"/>
  <c r="Z343" i="7"/>
  <c r="X343" i="7"/>
  <c r="AF343" i="7"/>
  <c r="AC343" i="7"/>
  <c r="W343" i="7"/>
  <c r="AE343" i="7"/>
  <c r="AD343" i="7"/>
  <c r="AB343" i="7"/>
  <c r="Y343" i="7"/>
  <c r="AG343" i="7"/>
  <c r="AA343" i="7"/>
  <c r="AB73" i="7"/>
  <c r="X73" i="7"/>
  <c r="Y73" i="7"/>
  <c r="W73" i="7"/>
  <c r="AE73" i="7"/>
  <c r="AF73" i="7"/>
  <c r="AG73" i="7"/>
  <c r="AC73" i="7"/>
  <c r="AD73" i="7"/>
  <c r="AA73" i="7"/>
  <c r="Z73" i="7"/>
  <c r="AD66" i="7"/>
  <c r="AB66" i="7"/>
  <c r="W66" i="7"/>
  <c r="AB222" i="7"/>
  <c r="W222" i="7"/>
  <c r="AB351" i="7"/>
  <c r="Y351" i="7"/>
  <c r="Z351" i="7"/>
  <c r="AB171" i="7"/>
  <c r="W171" i="7"/>
  <c r="AA171" i="7"/>
  <c r="CD45" i="7"/>
  <c r="CC45" i="7"/>
  <c r="AB120" i="7"/>
  <c r="AF120" i="7"/>
  <c r="X66" i="7"/>
  <c r="AC66" i="7"/>
  <c r="AB17" i="7"/>
  <c r="AC150" i="7"/>
  <c r="AG222" i="7"/>
  <c r="Z222" i="7"/>
  <c r="AA222" i="7"/>
  <c r="Z316" i="7"/>
  <c r="AF351" i="7"/>
  <c r="AE351" i="7"/>
  <c r="AG351" i="7"/>
  <c r="Y171" i="7"/>
  <c r="AA122" i="7"/>
  <c r="W122" i="7"/>
  <c r="AA86" i="7"/>
  <c r="AF86" i="7"/>
  <c r="X225" i="7"/>
  <c r="Z225" i="7"/>
  <c r="Z110" i="7"/>
  <c r="BY45" i="7"/>
  <c r="CH45" i="7"/>
  <c r="BZ45" i="7"/>
  <c r="AA66" i="7"/>
  <c r="Z66" i="7"/>
  <c r="Y222" i="7"/>
  <c r="AE222" i="7"/>
  <c r="X351" i="7"/>
  <c r="AC351" i="7"/>
  <c r="CE45" i="7"/>
  <c r="CI45" i="7"/>
  <c r="AG17" i="7"/>
  <c r="Y316" i="7"/>
  <c r="AA306" i="7"/>
  <c r="AF261" i="7"/>
  <c r="AE80" i="7"/>
  <c r="X67" i="7"/>
  <c r="Z326" i="7"/>
  <c r="AF381" i="7"/>
  <c r="AC381" i="7"/>
  <c r="AG381" i="7"/>
  <c r="AA288" i="7"/>
  <c r="Z17" i="7"/>
  <c r="X316" i="7"/>
  <c r="Y31" i="7"/>
  <c r="AF306" i="7"/>
  <c r="AA116" i="7"/>
  <c r="Z116" i="7"/>
  <c r="AC261" i="7"/>
  <c r="AF53" i="7"/>
  <c r="AF80" i="7"/>
  <c r="AC67" i="7"/>
  <c r="AB326" i="7"/>
  <c r="AF271" i="7"/>
  <c r="W164" i="7"/>
  <c r="AE164" i="7"/>
  <c r="AF164" i="7"/>
  <c r="AD57" i="7"/>
  <c r="AB84" i="7"/>
  <c r="AF84" i="7"/>
  <c r="AE84" i="7"/>
  <c r="Y64" i="7"/>
  <c r="AC65" i="7"/>
  <c r="AE65" i="7"/>
  <c r="Z65" i="7"/>
  <c r="AD123" i="7"/>
  <c r="AG123" i="7"/>
  <c r="Z123" i="7"/>
  <c r="Y5" i="7"/>
  <c r="Z5" i="7"/>
  <c r="AD381" i="7"/>
  <c r="Z288" i="7"/>
  <c r="Y17" i="7"/>
  <c r="AD316" i="7"/>
  <c r="AA31" i="7"/>
  <c r="X306" i="7"/>
  <c r="AF116" i="7"/>
  <c r="AG116" i="7"/>
  <c r="AG261" i="7"/>
  <c r="AB53" i="7"/>
  <c r="Y53" i="7"/>
  <c r="Y80" i="7"/>
  <c r="AB67" i="7"/>
  <c r="AC326" i="7"/>
  <c r="Z271" i="7"/>
  <c r="AG164" i="7"/>
  <c r="Z164" i="7"/>
  <c r="AF57" i="7"/>
  <c r="AC57" i="7"/>
  <c r="Y84" i="7"/>
  <c r="AG84" i="7"/>
  <c r="AB64" i="7"/>
  <c r="AB65" i="7"/>
  <c r="AG65" i="7"/>
  <c r="Y123" i="7"/>
  <c r="AB123" i="7"/>
  <c r="AF5" i="7"/>
  <c r="AA5" i="7"/>
  <c r="AB288" i="7"/>
  <c r="AD288" i="7"/>
  <c r="X17" i="7"/>
  <c r="AA17" i="7"/>
  <c r="AG316" i="7"/>
  <c r="AA316" i="7"/>
  <c r="AE31" i="7"/>
  <c r="AC31" i="7"/>
  <c r="Y306" i="7"/>
  <c r="AG306" i="7"/>
  <c r="AE116" i="7"/>
  <c r="AC116" i="7"/>
  <c r="W116" i="7"/>
  <c r="AA261" i="7"/>
  <c r="Z261" i="7"/>
  <c r="AA53" i="7"/>
  <c r="AC53" i="7"/>
  <c r="X53" i="7"/>
  <c r="AA80" i="7"/>
  <c r="Z80" i="7"/>
  <c r="AD67" i="7"/>
  <c r="Z67" i="7"/>
  <c r="AE326" i="7"/>
  <c r="AF326" i="7"/>
  <c r="AG271" i="7"/>
  <c r="Y271" i="7"/>
  <c r="AB271" i="7"/>
  <c r="AG57" i="7"/>
  <c r="Y57" i="7"/>
  <c r="AF64" i="7"/>
  <c r="AE64" i="7"/>
  <c r="AC64" i="7"/>
  <c r="AG288" i="7"/>
  <c r="AC288" i="7"/>
  <c r="AC17" i="7"/>
  <c r="AF17" i="7"/>
  <c r="W316" i="7"/>
  <c r="AC316" i="7"/>
  <c r="X31" i="7"/>
  <c r="W31" i="7"/>
  <c r="AD306" i="7"/>
  <c r="AE306" i="7"/>
  <c r="AB116" i="7"/>
  <c r="Y261" i="7"/>
  <c r="W261" i="7"/>
  <c r="Z53" i="7"/>
  <c r="AE53" i="7"/>
  <c r="AG80" i="7"/>
  <c r="X80" i="7"/>
  <c r="AA67" i="7"/>
  <c r="W67" i="7"/>
  <c r="W326" i="7"/>
  <c r="AD326" i="7"/>
  <c r="AD271" i="7"/>
  <c r="X271" i="7"/>
  <c r="AA57" i="7"/>
  <c r="Z57" i="7"/>
  <c r="X64" i="7"/>
  <c r="Z64" i="7"/>
  <c r="BG378" i="7"/>
  <c r="BQ378" i="7"/>
  <c r="BN378" i="7"/>
  <c r="BM378" i="7"/>
  <c r="BJ378" i="7"/>
  <c r="BO378" i="7"/>
  <c r="BH378" i="7"/>
  <c r="BP378" i="7"/>
  <c r="BK378" i="7"/>
  <c r="BL378" i="7"/>
  <c r="BI378" i="7"/>
  <c r="BO155" i="7"/>
  <c r="BQ155" i="7"/>
  <c r="BP155" i="7"/>
  <c r="BK155" i="7"/>
  <c r="BI155" i="7"/>
  <c r="BL155" i="7"/>
  <c r="BG155" i="7"/>
  <c r="BN155" i="7"/>
  <c r="BM155" i="7"/>
  <c r="BH155" i="7"/>
  <c r="BJ155" i="7"/>
  <c r="BH143" i="7"/>
  <c r="BJ143" i="7"/>
  <c r="BM143" i="7"/>
  <c r="BO143" i="7"/>
  <c r="BQ143" i="7"/>
  <c r="BP143" i="7"/>
  <c r="BK143" i="7"/>
  <c r="BI143" i="7"/>
  <c r="BL143" i="7"/>
  <c r="BG143" i="7"/>
  <c r="BN143" i="7"/>
  <c r="BO151" i="7"/>
  <c r="BM151" i="7"/>
  <c r="BP151" i="7"/>
  <c r="BK151" i="7"/>
  <c r="BJ151" i="7"/>
  <c r="BL151" i="7"/>
  <c r="BG151" i="7"/>
  <c r="BI151" i="7"/>
  <c r="BH151" i="7"/>
  <c r="BN151" i="7"/>
  <c r="BQ151" i="7"/>
  <c r="BP154" i="7"/>
  <c r="BK154" i="7"/>
  <c r="BJ154" i="7"/>
  <c r="BL154" i="7"/>
  <c r="BG154" i="7"/>
  <c r="BI154" i="7"/>
  <c r="BH154" i="7"/>
  <c r="BN154" i="7"/>
  <c r="BQ154" i="7"/>
  <c r="BM154" i="7"/>
  <c r="BO154" i="7"/>
  <c r="BK357" i="7"/>
  <c r="BM357" i="7"/>
  <c r="BP357" i="7"/>
  <c r="BG357" i="7"/>
  <c r="BH357" i="7"/>
  <c r="BJ357" i="7"/>
  <c r="BN357" i="7"/>
  <c r="BQ357" i="7"/>
  <c r="BO357" i="7"/>
  <c r="BI357" i="7"/>
  <c r="BL357" i="7"/>
  <c r="BH210" i="7"/>
  <c r="BN210" i="7"/>
  <c r="BM210" i="7"/>
  <c r="BO210" i="7"/>
  <c r="BJ210" i="7"/>
  <c r="BP210" i="7"/>
  <c r="BK210" i="7"/>
  <c r="BI210" i="7"/>
  <c r="BL210" i="7"/>
  <c r="BG210" i="7"/>
  <c r="BQ210" i="7"/>
  <c r="BN333" i="7"/>
  <c r="BQ333" i="7"/>
  <c r="BO333" i="7"/>
  <c r="BI333" i="7"/>
  <c r="BL333" i="7"/>
  <c r="BK333" i="7"/>
  <c r="BM333" i="7"/>
  <c r="BJ333" i="7"/>
  <c r="BG333" i="7"/>
  <c r="BH333" i="7"/>
  <c r="BP333" i="7"/>
  <c r="BP69" i="7"/>
  <c r="BK69" i="7"/>
  <c r="BI69" i="7"/>
  <c r="BL69" i="7"/>
  <c r="BG69" i="7"/>
  <c r="BN69" i="7"/>
  <c r="BH69" i="7"/>
  <c r="BJ69" i="7"/>
  <c r="BM69" i="7"/>
  <c r="BO69" i="7"/>
  <c r="BQ69" i="7"/>
  <c r="BO195" i="7"/>
  <c r="BQ195" i="7"/>
  <c r="BP195" i="7"/>
  <c r="BK195" i="7"/>
  <c r="BI195" i="7"/>
  <c r="BL195" i="7"/>
  <c r="BG195" i="7"/>
  <c r="BN195" i="7"/>
  <c r="BH195" i="7"/>
  <c r="BJ195" i="7"/>
  <c r="BM195" i="7"/>
  <c r="BO257" i="7"/>
  <c r="BM257" i="7"/>
  <c r="BP257" i="7"/>
  <c r="BK257" i="7"/>
  <c r="BJ257" i="7"/>
  <c r="BL257" i="7"/>
  <c r="BG257" i="7"/>
  <c r="BQ257" i="7"/>
  <c r="BH257" i="7"/>
  <c r="BN257" i="7"/>
  <c r="BI257" i="7"/>
  <c r="BL175" i="7"/>
  <c r="BG175" i="7"/>
  <c r="BI175" i="7"/>
  <c r="BH175" i="7"/>
  <c r="BN175" i="7"/>
  <c r="BQ175" i="7"/>
  <c r="BO175" i="7"/>
  <c r="BM175" i="7"/>
  <c r="BK175" i="7"/>
  <c r="BJ175" i="7"/>
  <c r="BP175" i="7"/>
  <c r="BH335" i="7"/>
  <c r="BN335" i="7"/>
  <c r="BM335" i="7"/>
  <c r="BO335" i="7"/>
  <c r="BJ335" i="7"/>
  <c r="BP335" i="7"/>
  <c r="BK335" i="7"/>
  <c r="BI335" i="7"/>
  <c r="BQ335" i="7"/>
  <c r="BL335" i="7"/>
  <c r="BG335" i="7"/>
  <c r="BL128" i="7"/>
  <c r="BG128" i="7"/>
  <c r="BN128" i="7"/>
  <c r="BH128" i="7"/>
  <c r="BJ128" i="7"/>
  <c r="BM128" i="7"/>
  <c r="BO128" i="7"/>
  <c r="BQ128" i="7"/>
  <c r="BI128" i="7"/>
  <c r="BP128" i="7"/>
  <c r="BK128" i="7"/>
  <c r="BL147" i="7"/>
  <c r="BG147" i="7"/>
  <c r="BN147" i="7"/>
  <c r="BH147" i="7"/>
  <c r="BJ147" i="7"/>
  <c r="BM147" i="7"/>
  <c r="BO147" i="7"/>
  <c r="BQ147" i="7"/>
  <c r="BP147" i="7"/>
  <c r="BK147" i="7"/>
  <c r="BI147" i="7"/>
  <c r="BG191" i="7"/>
  <c r="BL191" i="7"/>
  <c r="BN191" i="7"/>
  <c r="BM191" i="7"/>
  <c r="BP191" i="7"/>
  <c r="BO191" i="7"/>
  <c r="BH191" i="7"/>
  <c r="BJ191" i="7"/>
  <c r="BK191" i="7"/>
  <c r="BQ191" i="7"/>
  <c r="BI191" i="7"/>
  <c r="BO134" i="7"/>
  <c r="BQ134" i="7"/>
  <c r="BP134" i="7"/>
  <c r="BK134" i="7"/>
  <c r="BI134" i="7"/>
  <c r="BL134" i="7"/>
  <c r="BG134" i="7"/>
  <c r="BN134" i="7"/>
  <c r="BH134" i="7"/>
  <c r="BJ134" i="7"/>
  <c r="BM134" i="7"/>
  <c r="BG35" i="7"/>
  <c r="BJ35" i="7"/>
  <c r="BM35" i="7"/>
  <c r="BQ35" i="7"/>
  <c r="BN35" i="7"/>
  <c r="BO35" i="7"/>
  <c r="BL35" i="7"/>
  <c r="BI35" i="7"/>
  <c r="BH35" i="7"/>
  <c r="BK35" i="7"/>
  <c r="BP35" i="7"/>
  <c r="BG279" i="7"/>
  <c r="BJ279" i="7"/>
  <c r="BH279" i="7"/>
  <c r="BO279" i="7"/>
  <c r="BL279" i="7"/>
  <c r="BI279" i="7"/>
  <c r="BP279" i="7"/>
  <c r="BN279" i="7"/>
  <c r="BK279" i="7"/>
  <c r="BM279" i="7"/>
  <c r="BQ279" i="7"/>
  <c r="BP117" i="7"/>
  <c r="BM117" i="7"/>
  <c r="BO117" i="7"/>
  <c r="BJ117" i="7"/>
  <c r="BH117" i="7"/>
  <c r="BK117" i="7"/>
  <c r="BN117" i="7"/>
  <c r="BQ117" i="7"/>
  <c r="BG117" i="7"/>
  <c r="BI117" i="7"/>
  <c r="BL117" i="7"/>
  <c r="BL157" i="7"/>
  <c r="BG157" i="7"/>
  <c r="BQ157" i="7"/>
  <c r="BH157" i="7"/>
  <c r="BN157" i="7"/>
  <c r="BI157" i="7"/>
  <c r="BO157" i="7"/>
  <c r="BM157" i="7"/>
  <c r="BP157" i="7"/>
  <c r="BK157" i="7"/>
  <c r="BJ157" i="7"/>
  <c r="BK20" i="7"/>
  <c r="BM20" i="7"/>
  <c r="BQ20" i="7"/>
  <c r="BG20" i="7"/>
  <c r="BH20" i="7"/>
  <c r="BN20" i="7"/>
  <c r="BP20" i="7"/>
  <c r="BL20" i="7"/>
  <c r="BI20" i="7"/>
  <c r="BO20" i="7"/>
  <c r="BJ20" i="7"/>
  <c r="BK319" i="7"/>
  <c r="BM319" i="7"/>
  <c r="BP319" i="7"/>
  <c r="BG319" i="7"/>
  <c r="BH319" i="7"/>
  <c r="BJ319" i="7"/>
  <c r="BN319" i="7"/>
  <c r="BQ319" i="7"/>
  <c r="BO319" i="7"/>
  <c r="BI319" i="7"/>
  <c r="BL319" i="7"/>
  <c r="BP172" i="7"/>
  <c r="BK172" i="7"/>
  <c r="BJ172" i="7"/>
  <c r="BL172" i="7"/>
  <c r="BG172" i="7"/>
  <c r="BQ172" i="7"/>
  <c r="BH172" i="7"/>
  <c r="BN172" i="7"/>
  <c r="BI172" i="7"/>
  <c r="BO172" i="7"/>
  <c r="BM172" i="7"/>
  <c r="BP55" i="7"/>
  <c r="BK55" i="7"/>
  <c r="BJ55" i="7"/>
  <c r="BL55" i="7"/>
  <c r="BG55" i="7"/>
  <c r="BQ55" i="7"/>
  <c r="BH55" i="7"/>
  <c r="BN55" i="7"/>
  <c r="BI55" i="7"/>
  <c r="BO55" i="7"/>
  <c r="BM55" i="7"/>
  <c r="BH124" i="7"/>
  <c r="BN124" i="7"/>
  <c r="BI124" i="7"/>
  <c r="BO124" i="7"/>
  <c r="BM124" i="7"/>
  <c r="BP124" i="7"/>
  <c r="BK124" i="7"/>
  <c r="BJ124" i="7"/>
  <c r="BG124" i="7"/>
  <c r="BQ124" i="7"/>
  <c r="BL124" i="7"/>
  <c r="BH271" i="7"/>
  <c r="BN271" i="7"/>
  <c r="BI271" i="7"/>
  <c r="BO271" i="7"/>
  <c r="BM271" i="7"/>
  <c r="BP271" i="7"/>
  <c r="BK271" i="7"/>
  <c r="BJ271" i="7"/>
  <c r="BQ271" i="7"/>
  <c r="BL271" i="7"/>
  <c r="BG271" i="7"/>
  <c r="BP314" i="7"/>
  <c r="BN314" i="7"/>
  <c r="BO314" i="7"/>
  <c r="BJ314" i="7"/>
  <c r="BH314" i="7"/>
  <c r="BK314" i="7"/>
  <c r="BQ314" i="7"/>
  <c r="BM314" i="7"/>
  <c r="BG314" i="7"/>
  <c r="BI314" i="7"/>
  <c r="BL314" i="7"/>
  <c r="BO268" i="7"/>
  <c r="BH268" i="7"/>
  <c r="BJ268" i="7"/>
  <c r="BK268" i="7"/>
  <c r="BQ268" i="7"/>
  <c r="BN268" i="7"/>
  <c r="BG268" i="7"/>
  <c r="BL268" i="7"/>
  <c r="BI268" i="7"/>
  <c r="BP268" i="7"/>
  <c r="BM268" i="7"/>
  <c r="BK332" i="7"/>
  <c r="BN332" i="7"/>
  <c r="BQ332" i="7"/>
  <c r="BG332" i="7"/>
  <c r="BI332" i="7"/>
  <c r="BL332" i="7"/>
  <c r="BP332" i="7"/>
  <c r="BM332" i="7"/>
  <c r="BH332" i="7"/>
  <c r="BO332" i="7"/>
  <c r="BJ332" i="7"/>
  <c r="BK21" i="7"/>
  <c r="BN21" i="7"/>
  <c r="BH21" i="7"/>
  <c r="BQ21" i="7"/>
  <c r="BM21" i="7"/>
  <c r="BL21" i="7"/>
  <c r="BI21" i="7"/>
  <c r="BO21" i="7"/>
  <c r="BJ21" i="7"/>
  <c r="BG21" i="7"/>
  <c r="BP21" i="7"/>
  <c r="BP45" i="7"/>
  <c r="BK45" i="7"/>
  <c r="BQ45" i="7"/>
  <c r="BL45" i="7"/>
  <c r="BG45" i="7"/>
  <c r="BM45" i="7"/>
  <c r="BH45" i="7"/>
  <c r="BN45" i="7"/>
  <c r="BI45" i="7"/>
  <c r="BJ45" i="7"/>
  <c r="BO45" i="7"/>
  <c r="BH180" i="7"/>
  <c r="BN180" i="7"/>
  <c r="BI180" i="7"/>
  <c r="BO180" i="7"/>
  <c r="BM180" i="7"/>
  <c r="BP180" i="7"/>
  <c r="BK180" i="7"/>
  <c r="BJ180" i="7"/>
  <c r="BG180" i="7"/>
  <c r="BQ180" i="7"/>
  <c r="BL180" i="7"/>
  <c r="BO183" i="7"/>
  <c r="BI183" i="7"/>
  <c r="BP183" i="7"/>
  <c r="BK183" i="7"/>
  <c r="BQ183" i="7"/>
  <c r="BM183" i="7"/>
  <c r="BG183" i="7"/>
  <c r="BL183" i="7"/>
  <c r="BJ183" i="7"/>
  <c r="BN183" i="7"/>
  <c r="BH183" i="7"/>
  <c r="BL299" i="7"/>
  <c r="BG299" i="7"/>
  <c r="BQ299" i="7"/>
  <c r="BH299" i="7"/>
  <c r="BN299" i="7"/>
  <c r="BI299" i="7"/>
  <c r="BO299" i="7"/>
  <c r="BM299" i="7"/>
  <c r="BP299" i="7"/>
  <c r="BK299" i="7"/>
  <c r="BJ299" i="7"/>
  <c r="BO53" i="7"/>
  <c r="BM53" i="7"/>
  <c r="BP53" i="7"/>
  <c r="BK53" i="7"/>
  <c r="BJ53" i="7"/>
  <c r="BL53" i="7"/>
  <c r="BG53" i="7"/>
  <c r="BI53" i="7"/>
  <c r="BN53" i="7"/>
  <c r="BQ53" i="7"/>
  <c r="BH53" i="7"/>
  <c r="BK33" i="7"/>
  <c r="BM33" i="7"/>
  <c r="BP33" i="7"/>
  <c r="BG33" i="7"/>
  <c r="BH33" i="7"/>
  <c r="BJ33" i="7"/>
  <c r="BN33" i="7"/>
  <c r="BQ33" i="7"/>
  <c r="BL33" i="7"/>
  <c r="BO33" i="7"/>
  <c r="BI33" i="7"/>
  <c r="BN103" i="7"/>
  <c r="BH103" i="7"/>
  <c r="BO103" i="7"/>
  <c r="BI103" i="7"/>
  <c r="BP103" i="7"/>
  <c r="BK103" i="7"/>
  <c r="BQ103" i="7"/>
  <c r="BM103" i="7"/>
  <c r="BG103" i="7"/>
  <c r="BL103" i="7"/>
  <c r="BJ103" i="7"/>
  <c r="BP322" i="7"/>
  <c r="BK322" i="7"/>
  <c r="BI322" i="7"/>
  <c r="BL322" i="7"/>
  <c r="BG322" i="7"/>
  <c r="BN322" i="7"/>
  <c r="BH322" i="7"/>
  <c r="BJ322" i="7"/>
  <c r="BM322" i="7"/>
  <c r="BO322" i="7"/>
  <c r="BQ322" i="7"/>
  <c r="BH252" i="7"/>
  <c r="BJ252" i="7"/>
  <c r="BM252" i="7"/>
  <c r="BO252" i="7"/>
  <c r="BQ252" i="7"/>
  <c r="BP252" i="7"/>
  <c r="BK252" i="7"/>
  <c r="BI252" i="7"/>
  <c r="BN252" i="7"/>
  <c r="BL252" i="7"/>
  <c r="BG252" i="7"/>
  <c r="BH100" i="7"/>
  <c r="BJ100" i="7"/>
  <c r="BM100" i="7"/>
  <c r="BO100" i="7"/>
  <c r="BQ100" i="7"/>
  <c r="BP100" i="7"/>
  <c r="BK100" i="7"/>
  <c r="BI100" i="7"/>
  <c r="BG100" i="7"/>
  <c r="BN100" i="7"/>
  <c r="BL100" i="7"/>
  <c r="BL164" i="7"/>
  <c r="BG164" i="7"/>
  <c r="BN164" i="7"/>
  <c r="BH164" i="7"/>
  <c r="BJ164" i="7"/>
  <c r="BM164" i="7"/>
  <c r="BO164" i="7"/>
  <c r="BQ164" i="7"/>
  <c r="BK164" i="7"/>
  <c r="BI164" i="7"/>
  <c r="BP164" i="7"/>
  <c r="BP386" i="7"/>
  <c r="BI386" i="7"/>
  <c r="BO386" i="7"/>
  <c r="BJ386" i="7"/>
  <c r="BQ386" i="7"/>
  <c r="BK386" i="7"/>
  <c r="BM386" i="7"/>
  <c r="BN386" i="7"/>
  <c r="BL386" i="7"/>
  <c r="BG386" i="7"/>
  <c r="BH386" i="7"/>
  <c r="BQ342" i="7"/>
  <c r="BN342" i="7"/>
  <c r="BO342" i="7"/>
  <c r="BL342" i="7"/>
  <c r="BI342" i="7"/>
  <c r="BK342" i="7"/>
  <c r="BP342" i="7"/>
  <c r="BH342" i="7"/>
  <c r="BG342" i="7"/>
  <c r="BJ342" i="7"/>
  <c r="BM342" i="7"/>
  <c r="BG325" i="7"/>
  <c r="BH325" i="7"/>
  <c r="BJ325" i="7"/>
  <c r="BN325" i="7"/>
  <c r="BQ325" i="7"/>
  <c r="BO325" i="7"/>
  <c r="BI325" i="7"/>
  <c r="BL325" i="7"/>
  <c r="BK325" i="7"/>
  <c r="BM325" i="7"/>
  <c r="BP325" i="7"/>
  <c r="BP217" i="7"/>
  <c r="BK217" i="7"/>
  <c r="BJ217" i="7"/>
  <c r="BL217" i="7"/>
  <c r="BG217" i="7"/>
  <c r="BQ217" i="7"/>
  <c r="BH217" i="7"/>
  <c r="BN217" i="7"/>
  <c r="BI217" i="7"/>
  <c r="BO217" i="7"/>
  <c r="BM217" i="7"/>
  <c r="BO366" i="7"/>
  <c r="BH366" i="7"/>
  <c r="BQ366" i="7"/>
  <c r="BK366" i="7"/>
  <c r="BP366" i="7"/>
  <c r="BN366" i="7"/>
  <c r="BG366" i="7"/>
  <c r="BJ366" i="7"/>
  <c r="BL366" i="7"/>
  <c r="BM366" i="7"/>
  <c r="BI366" i="7"/>
  <c r="BM282" i="7"/>
  <c r="BP282" i="7"/>
  <c r="BO282" i="7"/>
  <c r="BH282" i="7"/>
  <c r="BJ282" i="7"/>
  <c r="BK282" i="7"/>
  <c r="BQ282" i="7"/>
  <c r="BN282" i="7"/>
  <c r="BL282" i="7"/>
  <c r="BI282" i="7"/>
  <c r="BG282" i="7"/>
  <c r="BO288" i="7"/>
  <c r="BJ288" i="7"/>
  <c r="BH288" i="7"/>
  <c r="BK288" i="7"/>
  <c r="BN288" i="7"/>
  <c r="BQ288" i="7"/>
  <c r="BG288" i="7"/>
  <c r="BI288" i="7"/>
  <c r="BL288" i="7"/>
  <c r="BP288" i="7"/>
  <c r="BM288" i="7"/>
  <c r="BK301" i="7"/>
  <c r="BP301" i="7"/>
  <c r="BH301" i="7"/>
  <c r="BG301" i="7"/>
  <c r="BJ301" i="7"/>
  <c r="BM301" i="7"/>
  <c r="BQ301" i="7"/>
  <c r="BN301" i="7"/>
  <c r="BI301" i="7"/>
  <c r="BO301" i="7"/>
  <c r="BL301" i="7"/>
  <c r="BL31" i="7"/>
  <c r="BG31" i="7"/>
  <c r="BN31" i="7"/>
  <c r="BH31" i="7"/>
  <c r="BJ31" i="7"/>
  <c r="BM31" i="7"/>
  <c r="BO31" i="7"/>
  <c r="BQ31" i="7"/>
  <c r="BK31" i="7"/>
  <c r="BI31" i="7"/>
  <c r="BP31" i="7"/>
  <c r="BL74" i="7"/>
  <c r="BG74" i="7"/>
  <c r="BQ74" i="7"/>
  <c r="BH74" i="7"/>
  <c r="BN74" i="7"/>
  <c r="BI74" i="7"/>
  <c r="BO74" i="7"/>
  <c r="BM74" i="7"/>
  <c r="BJ74" i="7"/>
  <c r="BP74" i="7"/>
  <c r="BK74" i="7"/>
  <c r="BH166" i="7"/>
  <c r="BJ166" i="7"/>
  <c r="BM166" i="7"/>
  <c r="BO166" i="7"/>
  <c r="BQ166" i="7"/>
  <c r="BP166" i="7"/>
  <c r="BK166" i="7"/>
  <c r="BI166" i="7"/>
  <c r="BN166" i="7"/>
  <c r="BL166" i="7"/>
  <c r="BG166" i="7"/>
  <c r="BP146" i="7"/>
  <c r="BK146" i="7"/>
  <c r="BI146" i="7"/>
  <c r="BL146" i="7"/>
  <c r="BG146" i="7"/>
  <c r="BN146" i="7"/>
  <c r="BH146" i="7"/>
  <c r="BJ146" i="7"/>
  <c r="BM146" i="7"/>
  <c r="BO146" i="7"/>
  <c r="BQ146" i="7"/>
  <c r="BO46" i="7"/>
  <c r="BH46" i="7"/>
  <c r="BJ46" i="7"/>
  <c r="BK46" i="7"/>
  <c r="BQ46" i="7"/>
  <c r="BI46" i="7"/>
  <c r="BG46" i="7"/>
  <c r="BL46" i="7"/>
  <c r="BN46" i="7"/>
  <c r="BM46" i="7"/>
  <c r="BP46" i="7"/>
  <c r="BH73" i="7"/>
  <c r="BJ73" i="7"/>
  <c r="BM73" i="7"/>
  <c r="BO73" i="7"/>
  <c r="BQ73" i="7"/>
  <c r="BP73" i="7"/>
  <c r="BK73" i="7"/>
  <c r="BI73" i="7"/>
  <c r="BL73" i="7"/>
  <c r="BG73" i="7"/>
  <c r="BN73" i="7"/>
  <c r="BP120" i="7"/>
  <c r="BK120" i="7"/>
  <c r="BJ120" i="7"/>
  <c r="BL120" i="7"/>
  <c r="BG120" i="7"/>
  <c r="BI120" i="7"/>
  <c r="BH120" i="7"/>
  <c r="BN120" i="7"/>
  <c r="BQ120" i="7"/>
  <c r="BO120" i="7"/>
  <c r="BM120" i="7"/>
  <c r="BO269" i="7"/>
  <c r="BL269" i="7"/>
  <c r="BI269" i="7"/>
  <c r="BK269" i="7"/>
  <c r="BP269" i="7"/>
  <c r="BM269" i="7"/>
  <c r="BG269" i="7"/>
  <c r="BJ269" i="7"/>
  <c r="BH269" i="7"/>
  <c r="BN269" i="7"/>
  <c r="BQ269" i="7"/>
  <c r="BO343" i="7"/>
  <c r="BJ343" i="7"/>
  <c r="BH343" i="7"/>
  <c r="BK343" i="7"/>
  <c r="BN343" i="7"/>
  <c r="BQ343" i="7"/>
  <c r="BG343" i="7"/>
  <c r="BI343" i="7"/>
  <c r="BL343" i="7"/>
  <c r="BM343" i="7"/>
  <c r="BP343" i="7"/>
  <c r="BK358" i="7"/>
  <c r="BQ358" i="7"/>
  <c r="BI358" i="7"/>
  <c r="BG358" i="7"/>
  <c r="BL358" i="7"/>
  <c r="BN358" i="7"/>
  <c r="BM358" i="7"/>
  <c r="BP358" i="7"/>
  <c r="BO358" i="7"/>
  <c r="BH358" i="7"/>
  <c r="BJ358" i="7"/>
  <c r="BK261" i="7"/>
  <c r="BM261" i="7"/>
  <c r="BI261" i="7"/>
  <c r="BG261" i="7"/>
  <c r="BH261" i="7"/>
  <c r="BQ261" i="7"/>
  <c r="BP261" i="7"/>
  <c r="BN261" i="7"/>
  <c r="BJ261" i="7"/>
  <c r="BL261" i="7"/>
  <c r="BO261" i="7"/>
  <c r="BP72" i="7"/>
  <c r="BK72" i="7"/>
  <c r="BJ72" i="7"/>
  <c r="BL72" i="7"/>
  <c r="BG72" i="7"/>
  <c r="BQ72" i="7"/>
  <c r="BH72" i="7"/>
  <c r="BN72" i="7"/>
  <c r="BI72" i="7"/>
  <c r="BO72" i="7"/>
  <c r="BM72" i="7"/>
  <c r="BP110" i="7"/>
  <c r="BK110" i="7"/>
  <c r="BI110" i="7"/>
  <c r="BL110" i="7"/>
  <c r="BG110" i="7"/>
  <c r="BN110" i="7"/>
  <c r="BH110" i="7"/>
  <c r="BJ110" i="7"/>
  <c r="BM110" i="7"/>
  <c r="BO110" i="7"/>
  <c r="BQ110" i="7"/>
  <c r="BP158" i="7"/>
  <c r="BK158" i="7"/>
  <c r="BI158" i="7"/>
  <c r="BL158" i="7"/>
  <c r="BG158" i="7"/>
  <c r="BN158" i="7"/>
  <c r="BH158" i="7"/>
  <c r="BJ158" i="7"/>
  <c r="BM158" i="7"/>
  <c r="BO158" i="7"/>
  <c r="BQ158" i="7"/>
  <c r="BK4" i="7"/>
  <c r="BM4" i="7"/>
  <c r="BP4" i="7"/>
  <c r="BG4" i="7"/>
  <c r="BH4" i="7"/>
  <c r="BJ4" i="7"/>
  <c r="BN4" i="7"/>
  <c r="BQ4" i="7"/>
  <c r="BI4" i="7"/>
  <c r="BL4" i="7"/>
  <c r="BO4" i="7"/>
  <c r="BO129" i="7"/>
  <c r="BM129" i="7"/>
  <c r="BP129" i="7"/>
  <c r="BK129" i="7"/>
  <c r="BJ129" i="7"/>
  <c r="BL129" i="7"/>
  <c r="BG129" i="7"/>
  <c r="BQ129" i="7"/>
  <c r="BI129" i="7"/>
  <c r="BH129" i="7"/>
  <c r="BN129" i="7"/>
  <c r="BH63" i="7"/>
  <c r="BN63" i="7"/>
  <c r="BI63" i="7"/>
  <c r="BO63" i="7"/>
  <c r="BM63" i="7"/>
  <c r="BP63" i="7"/>
  <c r="BK63" i="7"/>
  <c r="BJ63" i="7"/>
  <c r="BG63" i="7"/>
  <c r="BQ63" i="7"/>
  <c r="BL63" i="7"/>
  <c r="BP52" i="7"/>
  <c r="BK52" i="7"/>
  <c r="BI52" i="7"/>
  <c r="BL52" i="7"/>
  <c r="BG52" i="7"/>
  <c r="BN52" i="7"/>
  <c r="BH52" i="7"/>
  <c r="BJ52" i="7"/>
  <c r="BM52" i="7"/>
  <c r="BO52" i="7"/>
  <c r="BQ52" i="7"/>
  <c r="BN15" i="7"/>
  <c r="BQ15" i="7"/>
  <c r="BO15" i="7"/>
  <c r="BI15" i="7"/>
  <c r="BL15" i="7"/>
  <c r="BK15" i="7"/>
  <c r="BM15" i="7"/>
  <c r="BJ15" i="7"/>
  <c r="BG15" i="7"/>
  <c r="BH15" i="7"/>
  <c r="BP15" i="7"/>
  <c r="BL81" i="7"/>
  <c r="BG81" i="7"/>
  <c r="BN81" i="7"/>
  <c r="BH81" i="7"/>
  <c r="BJ81" i="7"/>
  <c r="BM81" i="7"/>
  <c r="BO81" i="7"/>
  <c r="BQ81" i="7"/>
  <c r="BP81" i="7"/>
  <c r="BK81" i="7"/>
  <c r="BI81" i="7"/>
  <c r="BG313" i="7"/>
  <c r="BL313" i="7"/>
  <c r="BI313" i="7"/>
  <c r="BM313" i="7"/>
  <c r="BP313" i="7"/>
  <c r="BO313" i="7"/>
  <c r="BH313" i="7"/>
  <c r="BJ313" i="7"/>
  <c r="BK313" i="7"/>
  <c r="BQ313" i="7"/>
  <c r="BN313" i="7"/>
  <c r="BP186" i="7"/>
  <c r="BK186" i="7"/>
  <c r="BI186" i="7"/>
  <c r="BL186" i="7"/>
  <c r="BG186" i="7"/>
  <c r="BN186" i="7"/>
  <c r="BH186" i="7"/>
  <c r="BJ186" i="7"/>
  <c r="BM186" i="7"/>
  <c r="BO186" i="7"/>
  <c r="BQ186" i="7"/>
  <c r="BP11" i="7"/>
  <c r="BM11" i="7"/>
  <c r="BO11" i="7"/>
  <c r="BJ11" i="7"/>
  <c r="BH11" i="7"/>
  <c r="BK11" i="7"/>
  <c r="BN11" i="7"/>
  <c r="BQ11" i="7"/>
  <c r="BL11" i="7"/>
  <c r="BG11" i="7"/>
  <c r="BI11" i="7"/>
  <c r="BM272" i="7"/>
  <c r="BP272" i="7"/>
  <c r="BO272" i="7"/>
  <c r="BH272" i="7"/>
  <c r="BJ272" i="7"/>
  <c r="BK272" i="7"/>
  <c r="BQ272" i="7"/>
  <c r="BN272" i="7"/>
  <c r="BG272" i="7"/>
  <c r="BL272" i="7"/>
  <c r="BI272" i="7"/>
  <c r="BG389" i="7"/>
  <c r="BI389" i="7"/>
  <c r="BL389" i="7"/>
  <c r="BP389" i="7"/>
  <c r="BM389" i="7"/>
  <c r="BO389" i="7"/>
  <c r="BJ389" i="7"/>
  <c r="BH389" i="7"/>
  <c r="BN389" i="7"/>
  <c r="BQ389" i="7"/>
  <c r="BK389" i="7"/>
  <c r="BP185" i="7"/>
  <c r="BK185" i="7"/>
  <c r="BJ185" i="7"/>
  <c r="BL185" i="7"/>
  <c r="BG185" i="7"/>
  <c r="BQ185" i="7"/>
  <c r="BH185" i="7"/>
  <c r="BN185" i="7"/>
  <c r="BI185" i="7"/>
  <c r="BM185" i="7"/>
  <c r="BO185" i="7"/>
  <c r="BO149" i="7"/>
  <c r="BL149" i="7"/>
  <c r="BI149" i="7"/>
  <c r="BK149" i="7"/>
  <c r="BP149" i="7"/>
  <c r="BM149" i="7"/>
  <c r="BG149" i="7"/>
  <c r="BJ149" i="7"/>
  <c r="BH149" i="7"/>
  <c r="BQ149" i="7"/>
  <c r="BN149" i="7"/>
  <c r="BO77" i="7"/>
  <c r="BQ77" i="7"/>
  <c r="BP77" i="7"/>
  <c r="BK77" i="7"/>
  <c r="BI77" i="7"/>
  <c r="BL77" i="7"/>
  <c r="BG77" i="7"/>
  <c r="BN77" i="7"/>
  <c r="BH77" i="7"/>
  <c r="BJ77" i="7"/>
  <c r="BM77" i="7"/>
  <c r="BO259" i="7"/>
  <c r="BJ259" i="7"/>
  <c r="BH259" i="7"/>
  <c r="BK259" i="7"/>
  <c r="BN259" i="7"/>
  <c r="BQ259" i="7"/>
  <c r="BG259" i="7"/>
  <c r="BI259" i="7"/>
  <c r="BL259" i="7"/>
  <c r="BP259" i="7"/>
  <c r="BM259" i="7"/>
  <c r="BP64" i="7"/>
  <c r="BK64" i="7"/>
  <c r="BI64" i="7"/>
  <c r="BL64" i="7"/>
  <c r="BG64" i="7"/>
  <c r="BN64" i="7"/>
  <c r="BH64" i="7"/>
  <c r="BJ64" i="7"/>
  <c r="BM64" i="7"/>
  <c r="BO64" i="7"/>
  <c r="BQ64" i="7"/>
  <c r="BL80" i="7"/>
  <c r="BG80" i="7"/>
  <c r="BN80" i="7"/>
  <c r="BH80" i="7"/>
  <c r="BJ80" i="7"/>
  <c r="BM80" i="7"/>
  <c r="BO80" i="7"/>
  <c r="BQ80" i="7"/>
  <c r="BK80" i="7"/>
  <c r="BI80" i="7"/>
  <c r="BP80" i="7"/>
  <c r="BO34" i="7"/>
  <c r="BJ34" i="7"/>
  <c r="BH34" i="7"/>
  <c r="BK34" i="7"/>
  <c r="BN34" i="7"/>
  <c r="BQ34" i="7"/>
  <c r="BG34" i="7"/>
  <c r="BI34" i="7"/>
  <c r="BL34" i="7"/>
  <c r="BP34" i="7"/>
  <c r="BM34" i="7"/>
  <c r="BG280" i="7"/>
  <c r="BJ280" i="7"/>
  <c r="BN280" i="7"/>
  <c r="BM280" i="7"/>
  <c r="BL280" i="7"/>
  <c r="BO280" i="7"/>
  <c r="BH280" i="7"/>
  <c r="BI280" i="7"/>
  <c r="BK280" i="7"/>
  <c r="BP280" i="7"/>
  <c r="BQ280" i="7"/>
  <c r="BO5" i="7"/>
  <c r="BH5" i="7"/>
  <c r="BJ5" i="7"/>
  <c r="BK5" i="7"/>
  <c r="BQ5" i="7"/>
  <c r="BI5" i="7"/>
  <c r="BG5" i="7"/>
  <c r="BL5" i="7"/>
  <c r="BN5" i="7"/>
  <c r="BP5" i="7"/>
  <c r="BM5" i="7"/>
  <c r="BO284" i="7"/>
  <c r="BI284" i="7"/>
  <c r="BL284" i="7"/>
  <c r="BK284" i="7"/>
  <c r="BM284" i="7"/>
  <c r="BJ284" i="7"/>
  <c r="BG284" i="7"/>
  <c r="BH284" i="7"/>
  <c r="BP284" i="7"/>
  <c r="BN284" i="7"/>
  <c r="BQ284" i="7"/>
  <c r="BH203" i="7"/>
  <c r="BJ203" i="7"/>
  <c r="BM203" i="7"/>
  <c r="BO203" i="7"/>
  <c r="BQ203" i="7"/>
  <c r="BP203" i="7"/>
  <c r="BK203" i="7"/>
  <c r="BI203" i="7"/>
  <c r="BL203" i="7"/>
  <c r="BG203" i="7"/>
  <c r="BN203" i="7"/>
  <c r="BG283" i="7"/>
  <c r="BJ283" i="7"/>
  <c r="BH283" i="7"/>
  <c r="BQ283" i="7"/>
  <c r="BN283" i="7"/>
  <c r="BO283" i="7"/>
  <c r="BL283" i="7"/>
  <c r="BI283" i="7"/>
  <c r="BK283" i="7"/>
  <c r="BP283" i="7"/>
  <c r="BM283" i="7"/>
  <c r="BH161" i="7"/>
  <c r="BN161" i="7"/>
  <c r="BI161" i="7"/>
  <c r="BO161" i="7"/>
  <c r="BM161" i="7"/>
  <c r="BP161" i="7"/>
  <c r="BK161" i="7"/>
  <c r="BJ161" i="7"/>
  <c r="BL161" i="7"/>
  <c r="BG161" i="7"/>
  <c r="BQ161" i="7"/>
  <c r="BL225" i="7"/>
  <c r="BG225" i="7"/>
  <c r="BN225" i="7"/>
  <c r="BH225" i="7"/>
  <c r="BJ225" i="7"/>
  <c r="BM225" i="7"/>
  <c r="BO225" i="7"/>
  <c r="BQ225" i="7"/>
  <c r="BP225" i="7"/>
  <c r="BK225" i="7"/>
  <c r="BI225" i="7"/>
  <c r="BP67" i="7"/>
  <c r="BK67" i="7"/>
  <c r="BJ67" i="7"/>
  <c r="BL67" i="7"/>
  <c r="BG67" i="7"/>
  <c r="BQ67" i="7"/>
  <c r="BH67" i="7"/>
  <c r="BN67" i="7"/>
  <c r="BI67" i="7"/>
  <c r="BO67" i="7"/>
  <c r="BM67" i="7"/>
  <c r="BH83" i="7"/>
  <c r="BJ83" i="7"/>
  <c r="BM83" i="7"/>
  <c r="BO83" i="7"/>
  <c r="BQ83" i="7"/>
  <c r="BP83" i="7"/>
  <c r="BK83" i="7"/>
  <c r="BI83" i="7"/>
  <c r="BL83" i="7"/>
  <c r="BG83" i="7"/>
  <c r="BN83" i="7"/>
  <c r="BH70" i="7"/>
  <c r="BN70" i="7"/>
  <c r="BQ70" i="7"/>
  <c r="BO70" i="7"/>
  <c r="BM70" i="7"/>
  <c r="BP70" i="7"/>
  <c r="BK70" i="7"/>
  <c r="BJ70" i="7"/>
  <c r="BI70" i="7"/>
  <c r="BL70" i="7"/>
  <c r="BG70" i="7"/>
  <c r="BK262" i="7"/>
  <c r="BP262" i="7"/>
  <c r="BM262" i="7"/>
  <c r="BQ262" i="7"/>
  <c r="BN262" i="7"/>
  <c r="BO262" i="7"/>
  <c r="BI262" i="7"/>
  <c r="BG262" i="7"/>
  <c r="BH262" i="7"/>
  <c r="BL262" i="7"/>
  <c r="BJ262" i="7"/>
  <c r="BP248" i="7"/>
  <c r="BM248" i="7"/>
  <c r="BO248" i="7"/>
  <c r="BJ248" i="7"/>
  <c r="BH248" i="7"/>
  <c r="BK248" i="7"/>
  <c r="BN248" i="7"/>
  <c r="BL248" i="7"/>
  <c r="BI248" i="7"/>
  <c r="BQ248" i="7"/>
  <c r="BG248" i="7"/>
  <c r="BM127" i="7"/>
  <c r="BP127" i="7"/>
  <c r="BO127" i="7"/>
  <c r="BH127" i="7"/>
  <c r="BJ127" i="7"/>
  <c r="BK127" i="7"/>
  <c r="BQ127" i="7"/>
  <c r="BN127" i="7"/>
  <c r="BG127" i="7"/>
  <c r="BL127" i="7"/>
  <c r="BI127" i="7"/>
  <c r="BG7" i="7"/>
  <c r="BI7" i="7"/>
  <c r="BL7" i="7"/>
  <c r="BP7" i="7"/>
  <c r="BM7" i="7"/>
  <c r="BO7" i="7"/>
  <c r="BJ7" i="7"/>
  <c r="BH7" i="7"/>
  <c r="BN7" i="7"/>
  <c r="BQ7" i="7"/>
  <c r="BK7" i="7"/>
  <c r="BL135" i="7"/>
  <c r="BG135" i="7"/>
  <c r="BQ135" i="7"/>
  <c r="BH135" i="7"/>
  <c r="BN135" i="7"/>
  <c r="BI135" i="7"/>
  <c r="BO135" i="7"/>
  <c r="BM135" i="7"/>
  <c r="BK135" i="7"/>
  <c r="BJ135" i="7"/>
  <c r="BP135" i="7"/>
  <c r="BG321" i="7"/>
  <c r="BI321" i="7"/>
  <c r="BH321" i="7"/>
  <c r="BO321" i="7"/>
  <c r="BL321" i="7"/>
  <c r="BM321" i="7"/>
  <c r="BK321" i="7"/>
  <c r="BJ321" i="7"/>
  <c r="BQ321" i="7"/>
  <c r="BN321" i="7"/>
  <c r="BP321" i="7"/>
  <c r="BG303" i="7"/>
  <c r="BH303" i="7"/>
  <c r="BJ303" i="7"/>
  <c r="BN303" i="7"/>
  <c r="BQ303" i="7"/>
  <c r="BO303" i="7"/>
  <c r="BI303" i="7"/>
  <c r="BL303" i="7"/>
  <c r="BK303" i="7"/>
  <c r="BM303" i="7"/>
  <c r="BP303" i="7"/>
  <c r="BO324" i="7"/>
  <c r="BI324" i="7"/>
  <c r="BL324" i="7"/>
  <c r="BK324" i="7"/>
  <c r="BM324" i="7"/>
  <c r="BP324" i="7"/>
  <c r="BG324" i="7"/>
  <c r="BH324" i="7"/>
  <c r="BJ324" i="7"/>
  <c r="BN324" i="7"/>
  <c r="BQ324" i="7"/>
  <c r="BK291" i="7"/>
  <c r="BN291" i="7"/>
  <c r="BQ291" i="7"/>
  <c r="BG291" i="7"/>
  <c r="BI291" i="7"/>
  <c r="BL291" i="7"/>
  <c r="BP291" i="7"/>
  <c r="BM291" i="7"/>
  <c r="BH291" i="7"/>
  <c r="BO291" i="7"/>
  <c r="BJ291" i="7"/>
  <c r="BO201" i="7"/>
  <c r="BH201" i="7"/>
  <c r="BI201" i="7"/>
  <c r="BK201" i="7"/>
  <c r="BP201" i="7"/>
  <c r="BQ201" i="7"/>
  <c r="BG201" i="7"/>
  <c r="BJ201" i="7"/>
  <c r="BN201" i="7"/>
  <c r="BM201" i="7"/>
  <c r="BL201" i="7"/>
  <c r="BG341" i="7"/>
  <c r="BL341" i="7"/>
  <c r="BM341" i="7"/>
  <c r="BN341" i="7"/>
  <c r="BJ341" i="7"/>
  <c r="BO341" i="7"/>
  <c r="BI341" i="7"/>
  <c r="BH341" i="7"/>
  <c r="BP341" i="7"/>
  <c r="BK341" i="7"/>
  <c r="BQ341" i="7"/>
  <c r="BL57" i="7"/>
  <c r="BG57" i="7"/>
  <c r="BQ57" i="7"/>
  <c r="BH57" i="7"/>
  <c r="BN57" i="7"/>
  <c r="BI57" i="7"/>
  <c r="BO57" i="7"/>
  <c r="BM57" i="7"/>
  <c r="BP57" i="7"/>
  <c r="BK57" i="7"/>
  <c r="BJ57" i="7"/>
  <c r="BK216" i="7"/>
  <c r="BM216" i="7"/>
  <c r="BN216" i="7"/>
  <c r="BG216" i="7"/>
  <c r="BH216" i="7"/>
  <c r="BL216" i="7"/>
  <c r="BP216" i="7"/>
  <c r="BI216" i="7"/>
  <c r="BJ216" i="7"/>
  <c r="BQ216" i="7"/>
  <c r="BO216" i="7"/>
  <c r="BO121" i="7"/>
  <c r="BQ121" i="7"/>
  <c r="BP121" i="7"/>
  <c r="BK121" i="7"/>
  <c r="BI121" i="7"/>
  <c r="BL121" i="7"/>
  <c r="BG121" i="7"/>
  <c r="BN121" i="7"/>
  <c r="BH121" i="7"/>
  <c r="BJ121" i="7"/>
  <c r="BM121" i="7"/>
  <c r="BH148" i="7"/>
  <c r="BN148" i="7"/>
  <c r="BI148" i="7"/>
  <c r="BO148" i="7"/>
  <c r="BM148" i="7"/>
  <c r="BP148" i="7"/>
  <c r="BK148" i="7"/>
  <c r="BJ148" i="7"/>
  <c r="BL148" i="7"/>
  <c r="BG148" i="7"/>
  <c r="BQ148" i="7"/>
  <c r="BK298" i="7"/>
  <c r="BM298" i="7"/>
  <c r="BL298" i="7"/>
  <c r="BG298" i="7"/>
  <c r="BH298" i="7"/>
  <c r="BI298" i="7"/>
  <c r="BP298" i="7"/>
  <c r="BQ298" i="7"/>
  <c r="BO298" i="7"/>
  <c r="BJ298" i="7"/>
  <c r="BN298" i="7"/>
  <c r="BO221" i="7"/>
  <c r="BQ221" i="7"/>
  <c r="BP221" i="7"/>
  <c r="BK221" i="7"/>
  <c r="BI221" i="7"/>
  <c r="BL221" i="7"/>
  <c r="BG221" i="7"/>
  <c r="BN221" i="7"/>
  <c r="BH221" i="7"/>
  <c r="BJ221" i="7"/>
  <c r="BM221" i="7"/>
  <c r="BL381" i="7"/>
  <c r="BG381" i="7"/>
  <c r="BM381" i="7"/>
  <c r="BH381" i="7"/>
  <c r="BN381" i="7"/>
  <c r="BI381" i="7"/>
  <c r="BO381" i="7"/>
  <c r="BJ381" i="7"/>
  <c r="BQ381" i="7"/>
  <c r="BP381" i="7"/>
  <c r="BK381" i="7"/>
  <c r="BP23" i="7"/>
  <c r="BK23" i="7"/>
  <c r="BJ23" i="7"/>
  <c r="BL23" i="7"/>
  <c r="BG23" i="7"/>
  <c r="BQ23" i="7"/>
  <c r="BH23" i="7"/>
  <c r="BN23" i="7"/>
  <c r="BI23" i="7"/>
  <c r="BO23" i="7"/>
  <c r="BM23" i="7"/>
  <c r="BO50" i="7"/>
  <c r="BQ50" i="7"/>
  <c r="BP50" i="7"/>
  <c r="BK50" i="7"/>
  <c r="BI50" i="7"/>
  <c r="BL50" i="7"/>
  <c r="BG50" i="7"/>
  <c r="BN50" i="7"/>
  <c r="BJ50" i="7"/>
  <c r="BM50" i="7"/>
  <c r="BH50" i="7"/>
  <c r="BQ263" i="7"/>
  <c r="BH263" i="7"/>
  <c r="BK263" i="7"/>
  <c r="BN263" i="7"/>
  <c r="BM263" i="7"/>
  <c r="BI263" i="7"/>
  <c r="BO263" i="7"/>
  <c r="BP263" i="7"/>
  <c r="BG263" i="7"/>
  <c r="BJ263" i="7"/>
  <c r="BL263" i="7"/>
  <c r="BO300" i="7"/>
  <c r="BM300" i="7"/>
  <c r="BP300" i="7"/>
  <c r="BK300" i="7"/>
  <c r="BJ300" i="7"/>
  <c r="BL300" i="7"/>
  <c r="BG300" i="7"/>
  <c r="BQ300" i="7"/>
  <c r="BI300" i="7"/>
  <c r="BH300" i="7"/>
  <c r="BN300" i="7"/>
  <c r="BL328" i="7"/>
  <c r="BG328" i="7"/>
  <c r="BM328" i="7"/>
  <c r="BH328" i="7"/>
  <c r="BN328" i="7"/>
  <c r="BI328" i="7"/>
  <c r="BO328" i="7"/>
  <c r="BJ328" i="7"/>
  <c r="BP328" i="7"/>
  <c r="BK328" i="7"/>
  <c r="BQ328" i="7"/>
  <c r="BM347" i="7"/>
  <c r="BP347" i="7"/>
  <c r="BO347" i="7"/>
  <c r="BH347" i="7"/>
  <c r="BJ347" i="7"/>
  <c r="BK347" i="7"/>
  <c r="BQ347" i="7"/>
  <c r="BN347" i="7"/>
  <c r="BI347" i="7"/>
  <c r="BG347" i="7"/>
  <c r="BL347" i="7"/>
  <c r="BH190" i="7"/>
  <c r="BJ190" i="7"/>
  <c r="BM190" i="7"/>
  <c r="BO190" i="7"/>
  <c r="BQ190" i="7"/>
  <c r="BP190" i="7"/>
  <c r="BK190" i="7"/>
  <c r="BI190" i="7"/>
  <c r="BG190" i="7"/>
  <c r="BN190" i="7"/>
  <c r="BL190" i="7"/>
  <c r="BP171" i="7"/>
  <c r="BK171" i="7"/>
  <c r="BI171" i="7"/>
  <c r="BL171" i="7"/>
  <c r="BG171" i="7"/>
  <c r="BN171" i="7"/>
  <c r="BH171" i="7"/>
  <c r="BJ171" i="7"/>
  <c r="BM171" i="7"/>
  <c r="BO171" i="7"/>
  <c r="BQ171" i="7"/>
  <c r="BP86" i="7"/>
  <c r="BK86" i="7"/>
  <c r="BJ86" i="7"/>
  <c r="BL86" i="7"/>
  <c r="BG86" i="7"/>
  <c r="BQ86" i="7"/>
  <c r="BH86" i="7"/>
  <c r="BN86" i="7"/>
  <c r="BI86" i="7"/>
  <c r="BM86" i="7"/>
  <c r="BO86" i="7"/>
  <c r="BO169" i="7"/>
  <c r="BQ169" i="7"/>
  <c r="BP169" i="7"/>
  <c r="BK169" i="7"/>
  <c r="BI169" i="7"/>
  <c r="BL169" i="7"/>
  <c r="BG169" i="7"/>
  <c r="BN169" i="7"/>
  <c r="BH169" i="7"/>
  <c r="BJ169" i="7"/>
  <c r="BM169" i="7"/>
  <c r="BP202" i="7"/>
  <c r="BK202" i="7"/>
  <c r="BJ202" i="7"/>
  <c r="BL202" i="7"/>
  <c r="BG202" i="7"/>
  <c r="BQ202" i="7"/>
  <c r="BH202" i="7"/>
  <c r="BN202" i="7"/>
  <c r="BI202" i="7"/>
  <c r="BO202" i="7"/>
  <c r="BM202" i="7"/>
  <c r="BG307" i="7"/>
  <c r="BL307" i="7"/>
  <c r="BI307" i="7"/>
  <c r="BM307" i="7"/>
  <c r="BP307" i="7"/>
  <c r="BO307" i="7"/>
  <c r="BH307" i="7"/>
  <c r="BJ307" i="7"/>
  <c r="BK307" i="7"/>
  <c r="BQ307" i="7"/>
  <c r="BN307" i="7"/>
  <c r="BO212" i="7"/>
  <c r="BM212" i="7"/>
  <c r="BP212" i="7"/>
  <c r="BK212" i="7"/>
  <c r="BJ212" i="7"/>
  <c r="BL212" i="7"/>
  <c r="BG212" i="7"/>
  <c r="BQ212" i="7"/>
  <c r="BI212" i="7"/>
  <c r="BH212" i="7"/>
  <c r="BN212" i="7"/>
  <c r="BL95" i="7"/>
  <c r="BG95" i="7"/>
  <c r="BQ95" i="7"/>
  <c r="BH95" i="7"/>
  <c r="BN95" i="7"/>
  <c r="BI95" i="7"/>
  <c r="BO95" i="7"/>
  <c r="BM95" i="7"/>
  <c r="BP95" i="7"/>
  <c r="BK95" i="7"/>
  <c r="BJ95" i="7"/>
  <c r="BH116" i="7"/>
  <c r="BJ116" i="7"/>
  <c r="BM116" i="7"/>
  <c r="BO116" i="7"/>
  <c r="BQ116" i="7"/>
  <c r="BP116" i="7"/>
  <c r="BK116" i="7"/>
  <c r="BI116" i="7"/>
  <c r="BN116" i="7"/>
  <c r="BL116" i="7"/>
  <c r="BG116" i="7"/>
  <c r="BK25" i="7"/>
  <c r="BQ25" i="7"/>
  <c r="BN25" i="7"/>
  <c r="BG25" i="7"/>
  <c r="BL25" i="7"/>
  <c r="BI25" i="7"/>
  <c r="BM25" i="7"/>
  <c r="BP25" i="7"/>
  <c r="BO25" i="7"/>
  <c r="BH25" i="7"/>
  <c r="BJ25" i="7"/>
  <c r="BQ223" i="7"/>
  <c r="BN223" i="7"/>
  <c r="BO223" i="7"/>
  <c r="BL223" i="7"/>
  <c r="BI223" i="7"/>
  <c r="BK223" i="7"/>
  <c r="BP223" i="7"/>
  <c r="BM223" i="7"/>
  <c r="BG223" i="7"/>
  <c r="BJ223" i="7"/>
  <c r="BH223" i="7"/>
  <c r="BH130" i="7"/>
  <c r="BJ130" i="7"/>
  <c r="BM130" i="7"/>
  <c r="BO130" i="7"/>
  <c r="BQ130" i="7"/>
  <c r="BP130" i="7"/>
  <c r="BK130" i="7"/>
  <c r="BI130" i="7"/>
  <c r="BL130" i="7"/>
  <c r="BG130" i="7"/>
  <c r="BN130" i="7"/>
  <c r="BO58" i="7"/>
  <c r="BQ58" i="7"/>
  <c r="BP58" i="7"/>
  <c r="BK58" i="7"/>
  <c r="BI58" i="7"/>
  <c r="BL58" i="7"/>
  <c r="BG58" i="7"/>
  <c r="BN58" i="7"/>
  <c r="BM58" i="7"/>
  <c r="BH58" i="7"/>
  <c r="BJ58" i="7"/>
  <c r="BN393" i="7"/>
  <c r="BQ393" i="7"/>
  <c r="BO393" i="7"/>
  <c r="BI393" i="7"/>
  <c r="BL393" i="7"/>
  <c r="BK393" i="7"/>
  <c r="BM393" i="7"/>
  <c r="BP393" i="7"/>
  <c r="BJ393" i="7"/>
  <c r="BG393" i="7"/>
  <c r="BH393" i="7"/>
  <c r="BL214" i="7"/>
  <c r="BG214" i="7"/>
  <c r="BQ214" i="7"/>
  <c r="BH214" i="7"/>
  <c r="BN214" i="7"/>
  <c r="BI214" i="7"/>
  <c r="BO214" i="7"/>
  <c r="BM214" i="7"/>
  <c r="BJ214" i="7"/>
  <c r="BP214" i="7"/>
  <c r="BK214" i="7"/>
  <c r="BK302" i="7"/>
  <c r="BP302" i="7"/>
  <c r="BM302" i="7"/>
  <c r="BG302" i="7"/>
  <c r="BJ302" i="7"/>
  <c r="BH302" i="7"/>
  <c r="BQ302" i="7"/>
  <c r="BN302" i="7"/>
  <c r="BO302" i="7"/>
  <c r="BL302" i="7"/>
  <c r="BI302" i="7"/>
  <c r="BP167" i="7"/>
  <c r="BK167" i="7"/>
  <c r="BJ167" i="7"/>
  <c r="BL167" i="7"/>
  <c r="BG167" i="7"/>
  <c r="BQ167" i="7"/>
  <c r="BH167" i="7"/>
  <c r="BN167" i="7"/>
  <c r="BI167" i="7"/>
  <c r="BO167" i="7"/>
  <c r="BM167" i="7"/>
  <c r="BK323" i="7"/>
  <c r="BN323" i="7"/>
  <c r="BQ323" i="7"/>
  <c r="BG323" i="7"/>
  <c r="BI323" i="7"/>
  <c r="BL323" i="7"/>
  <c r="BP323" i="7"/>
  <c r="BM323" i="7"/>
  <c r="BO323" i="7"/>
  <c r="BJ323" i="7"/>
  <c r="BH323" i="7"/>
  <c r="BH137" i="7"/>
  <c r="BN137" i="7"/>
  <c r="BI137" i="7"/>
  <c r="BO137" i="7"/>
  <c r="BM137" i="7"/>
  <c r="BP137" i="7"/>
  <c r="BK137" i="7"/>
  <c r="BJ137" i="7"/>
  <c r="BQ137" i="7"/>
  <c r="BL137" i="7"/>
  <c r="BG137" i="7"/>
  <c r="BO16" i="7"/>
  <c r="BL16" i="7"/>
  <c r="BM16" i="7"/>
  <c r="BK16" i="7"/>
  <c r="BN16" i="7"/>
  <c r="BG16" i="7"/>
  <c r="BI16" i="7"/>
  <c r="BH16" i="7"/>
  <c r="BP16" i="7"/>
  <c r="BJ16" i="7"/>
  <c r="BQ16" i="7"/>
  <c r="BH150" i="7"/>
  <c r="BJ150" i="7"/>
  <c r="BM150" i="7"/>
  <c r="BO150" i="7"/>
  <c r="BQ150" i="7"/>
  <c r="BP150" i="7"/>
  <c r="BK150" i="7"/>
  <c r="BI150" i="7"/>
  <c r="BG150" i="7"/>
  <c r="BN150" i="7"/>
  <c r="BL150" i="7"/>
  <c r="BH51" i="7"/>
  <c r="BN51" i="7"/>
  <c r="BI51" i="7"/>
  <c r="BO51" i="7"/>
  <c r="BM51" i="7"/>
  <c r="BP51" i="7"/>
  <c r="BK51" i="7"/>
  <c r="BJ51" i="7"/>
  <c r="BL51" i="7"/>
  <c r="BG51" i="7"/>
  <c r="BQ51" i="7"/>
  <c r="BO179" i="7"/>
  <c r="BQ179" i="7"/>
  <c r="BP179" i="7"/>
  <c r="BK179" i="7"/>
  <c r="BI179" i="7"/>
  <c r="BL179" i="7"/>
  <c r="BG179" i="7"/>
  <c r="BN179" i="7"/>
  <c r="BJ179" i="7"/>
  <c r="BM179" i="7"/>
  <c r="BH179" i="7"/>
  <c r="BO287" i="7"/>
  <c r="BJ287" i="7"/>
  <c r="BH287" i="7"/>
  <c r="BK287" i="7"/>
  <c r="BN287" i="7"/>
  <c r="BQ287" i="7"/>
  <c r="BG287" i="7"/>
  <c r="BI287" i="7"/>
  <c r="BL287" i="7"/>
  <c r="BP287" i="7"/>
  <c r="BM287" i="7"/>
  <c r="BG316" i="7"/>
  <c r="BJ316" i="7"/>
  <c r="BL316" i="7"/>
  <c r="BM316" i="7"/>
  <c r="BI316" i="7"/>
  <c r="BO316" i="7"/>
  <c r="BH316" i="7"/>
  <c r="BQ316" i="7"/>
  <c r="BP316" i="7"/>
  <c r="BN316" i="7"/>
  <c r="BK316" i="7"/>
  <c r="BO17" i="7"/>
  <c r="BJ17" i="7"/>
  <c r="BP17" i="7"/>
  <c r="BK17" i="7"/>
  <c r="BM17" i="7"/>
  <c r="BL17" i="7"/>
  <c r="BG17" i="7"/>
  <c r="BI17" i="7"/>
  <c r="BH17" i="7"/>
  <c r="BN17" i="7"/>
  <c r="BQ17" i="7"/>
  <c r="BO84" i="7"/>
  <c r="BM84" i="7"/>
  <c r="BP84" i="7"/>
  <c r="BK84" i="7"/>
  <c r="BJ84" i="7"/>
  <c r="BL84" i="7"/>
  <c r="BG84" i="7"/>
  <c r="BQ84" i="7"/>
  <c r="BH84" i="7"/>
  <c r="BN84" i="7"/>
  <c r="BI84" i="7"/>
  <c r="BK9" i="7"/>
  <c r="BQ9" i="7"/>
  <c r="BI9" i="7"/>
  <c r="BG9" i="7"/>
  <c r="BL9" i="7"/>
  <c r="BN9" i="7"/>
  <c r="BM9" i="7"/>
  <c r="BP9" i="7"/>
  <c r="BO9" i="7"/>
  <c r="BH9" i="7"/>
  <c r="BJ9" i="7"/>
  <c r="BO224" i="7"/>
  <c r="BM224" i="7"/>
  <c r="BP224" i="7"/>
  <c r="BK224" i="7"/>
  <c r="BJ224" i="7"/>
  <c r="BL224" i="7"/>
  <c r="BG224" i="7"/>
  <c r="BQ224" i="7"/>
  <c r="BH224" i="7"/>
  <c r="BN224" i="7"/>
  <c r="BI224" i="7"/>
  <c r="BO181" i="7"/>
  <c r="BM181" i="7"/>
  <c r="BP181" i="7"/>
  <c r="BK181" i="7"/>
  <c r="BJ181" i="7"/>
  <c r="BL181" i="7"/>
  <c r="BG181" i="7"/>
  <c r="BQ181" i="7"/>
  <c r="BH181" i="7"/>
  <c r="BN181" i="7"/>
  <c r="BI181" i="7"/>
  <c r="BO125" i="7"/>
  <c r="BL125" i="7"/>
  <c r="BH125" i="7"/>
  <c r="BG125" i="7"/>
  <c r="BI125" i="7"/>
  <c r="BM125" i="7"/>
  <c r="BQ125" i="7"/>
  <c r="BN125" i="7"/>
  <c r="BJ125" i="7"/>
  <c r="BK125" i="7"/>
  <c r="BP125" i="7"/>
  <c r="BP78" i="7"/>
  <c r="BK78" i="7"/>
  <c r="BI78" i="7"/>
  <c r="BL78" i="7"/>
  <c r="BG78" i="7"/>
  <c r="BN78" i="7"/>
  <c r="BH78" i="7"/>
  <c r="BJ78" i="7"/>
  <c r="BM78" i="7"/>
  <c r="BQ78" i="7"/>
  <c r="BO78" i="7"/>
  <c r="BL267" i="7"/>
  <c r="BG267" i="7"/>
  <c r="BN267" i="7"/>
  <c r="BH267" i="7"/>
  <c r="BJ267" i="7"/>
  <c r="BM267" i="7"/>
  <c r="BO267" i="7"/>
  <c r="BQ267" i="7"/>
  <c r="BI267" i="7"/>
  <c r="BP267" i="7"/>
  <c r="BK267" i="7"/>
  <c r="BL265" i="7"/>
  <c r="BG265" i="7"/>
  <c r="BQ265" i="7"/>
  <c r="BH265" i="7"/>
  <c r="BN265" i="7"/>
  <c r="BI265" i="7"/>
  <c r="BO265" i="7"/>
  <c r="BM265" i="7"/>
  <c r="BK265" i="7"/>
  <c r="BJ265" i="7"/>
  <c r="BP265" i="7"/>
  <c r="BP222" i="7"/>
  <c r="BK222" i="7"/>
  <c r="BI222" i="7"/>
  <c r="BL222" i="7"/>
  <c r="BG222" i="7"/>
  <c r="BN222" i="7"/>
  <c r="BH222" i="7"/>
  <c r="BJ222" i="7"/>
  <c r="BM222" i="7"/>
  <c r="BQ222" i="7"/>
  <c r="BO222" i="7"/>
  <c r="BL176" i="7"/>
  <c r="BG176" i="7"/>
  <c r="BQ176" i="7"/>
  <c r="BH176" i="7"/>
  <c r="BN176" i="7"/>
  <c r="BI176" i="7"/>
  <c r="BO176" i="7"/>
  <c r="BM176" i="7"/>
  <c r="BJ176" i="7"/>
  <c r="BP176" i="7"/>
  <c r="BK176" i="7"/>
  <c r="BO255" i="7"/>
  <c r="BI255" i="7"/>
  <c r="BL255" i="7"/>
  <c r="BK255" i="7"/>
  <c r="BM255" i="7"/>
  <c r="BP255" i="7"/>
  <c r="BG255" i="7"/>
  <c r="BH255" i="7"/>
  <c r="BJ255" i="7"/>
  <c r="BN255" i="7"/>
  <c r="BQ255" i="7"/>
  <c r="BH247" i="7"/>
  <c r="BN247" i="7"/>
  <c r="BQ247" i="7"/>
  <c r="BO247" i="7"/>
  <c r="BM247" i="7"/>
  <c r="BP247" i="7"/>
  <c r="BK247" i="7"/>
  <c r="BJ247" i="7"/>
  <c r="BG247" i="7"/>
  <c r="BI247" i="7"/>
  <c r="BL247" i="7"/>
  <c r="BO219" i="7"/>
  <c r="BQ219" i="7"/>
  <c r="BP219" i="7"/>
  <c r="BK219" i="7"/>
  <c r="BI219" i="7"/>
  <c r="BL219" i="7"/>
  <c r="BG219" i="7"/>
  <c r="BN219" i="7"/>
  <c r="BJ219" i="7"/>
  <c r="BM219" i="7"/>
  <c r="BH219" i="7"/>
  <c r="BO163" i="7"/>
  <c r="BM163" i="7"/>
  <c r="BP163" i="7"/>
  <c r="BK163" i="7"/>
  <c r="BJ163" i="7"/>
  <c r="BL163" i="7"/>
  <c r="BG163" i="7"/>
  <c r="BQ163" i="7"/>
  <c r="BN163" i="7"/>
  <c r="BI163" i="7"/>
  <c r="BH163" i="7"/>
  <c r="BM278" i="7"/>
  <c r="BP278" i="7"/>
  <c r="BO278" i="7"/>
  <c r="BH278" i="7"/>
  <c r="BJ278" i="7"/>
  <c r="BK278" i="7"/>
  <c r="BQ278" i="7"/>
  <c r="BN278" i="7"/>
  <c r="BL278" i="7"/>
  <c r="BI278" i="7"/>
  <c r="BG278" i="7"/>
  <c r="BP270" i="7"/>
  <c r="BK270" i="7"/>
  <c r="BQ270" i="7"/>
  <c r="BL270" i="7"/>
  <c r="BG270" i="7"/>
  <c r="BM270" i="7"/>
  <c r="BH270" i="7"/>
  <c r="BN270" i="7"/>
  <c r="BI270" i="7"/>
  <c r="BO270" i="7"/>
  <c r="BJ270" i="7"/>
  <c r="BO306" i="7"/>
  <c r="BJ306" i="7"/>
  <c r="BP306" i="7"/>
  <c r="BK306" i="7"/>
  <c r="BM306" i="7"/>
  <c r="BL306" i="7"/>
  <c r="BG306" i="7"/>
  <c r="BI306" i="7"/>
  <c r="BH306" i="7"/>
  <c r="BN306" i="7"/>
  <c r="BQ306" i="7"/>
  <c r="BO141" i="7"/>
  <c r="BM141" i="7"/>
  <c r="BP141" i="7"/>
  <c r="BK141" i="7"/>
  <c r="BJ141" i="7"/>
  <c r="BL141" i="7"/>
  <c r="BG141" i="7"/>
  <c r="BQ141" i="7"/>
  <c r="BH141" i="7"/>
  <c r="BN141" i="7"/>
  <c r="BI141" i="7"/>
  <c r="BO94" i="7"/>
  <c r="BQ94" i="7"/>
  <c r="BP94" i="7"/>
  <c r="BK94" i="7"/>
  <c r="BI94" i="7"/>
  <c r="BL94" i="7"/>
  <c r="BG94" i="7"/>
  <c r="BN94" i="7"/>
  <c r="BJ94" i="7"/>
  <c r="BM94" i="7"/>
  <c r="BH94" i="7"/>
  <c r="BK345" i="7"/>
  <c r="BM345" i="7"/>
  <c r="BP345" i="7"/>
  <c r="BG345" i="7"/>
  <c r="BH345" i="7"/>
  <c r="BJ345" i="7"/>
  <c r="BN345" i="7"/>
  <c r="BQ345" i="7"/>
  <c r="BI345" i="7"/>
  <c r="BL345" i="7"/>
  <c r="BO345" i="7"/>
  <c r="BG126" i="7"/>
  <c r="BH126" i="7"/>
  <c r="BP126" i="7"/>
  <c r="BN126" i="7"/>
  <c r="BQ126" i="7"/>
  <c r="BO126" i="7"/>
  <c r="BI126" i="7"/>
  <c r="BL126" i="7"/>
  <c r="BJ126" i="7"/>
  <c r="BK126" i="7"/>
  <c r="BM126" i="7"/>
  <c r="BK294" i="7"/>
  <c r="BQ294" i="7"/>
  <c r="BN294" i="7"/>
  <c r="BG294" i="7"/>
  <c r="BL294" i="7"/>
  <c r="BI294" i="7"/>
  <c r="BM294" i="7"/>
  <c r="BP294" i="7"/>
  <c r="BO294" i="7"/>
  <c r="BH294" i="7"/>
  <c r="BJ294" i="7"/>
  <c r="BG220" i="7"/>
  <c r="BI220" i="7"/>
  <c r="BL220" i="7"/>
  <c r="BP220" i="7"/>
  <c r="BM220" i="7"/>
  <c r="BO220" i="7"/>
  <c r="BJ220" i="7"/>
  <c r="BH220" i="7"/>
  <c r="BK220" i="7"/>
  <c r="BN220" i="7"/>
  <c r="BQ220" i="7"/>
  <c r="BO13" i="7"/>
  <c r="BL13" i="7"/>
  <c r="BI13" i="7"/>
  <c r="BK13" i="7"/>
  <c r="BP13" i="7"/>
  <c r="BM13" i="7"/>
  <c r="BG13" i="7"/>
  <c r="BJ13" i="7"/>
  <c r="BH13" i="7"/>
  <c r="BQ13" i="7"/>
  <c r="BN13" i="7"/>
  <c r="BO394" i="7"/>
  <c r="BM394" i="7"/>
  <c r="BP394" i="7"/>
  <c r="BK394" i="7"/>
  <c r="BJ394" i="7"/>
  <c r="BL394" i="7"/>
  <c r="BG394" i="7"/>
  <c r="BI394" i="7"/>
  <c r="BN394" i="7"/>
  <c r="BQ394" i="7"/>
  <c r="BH394" i="7"/>
  <c r="BL54" i="7"/>
  <c r="BG54" i="7"/>
  <c r="BN54" i="7"/>
  <c r="BH54" i="7"/>
  <c r="BJ54" i="7"/>
  <c r="BM54" i="7"/>
  <c r="BO54" i="7"/>
  <c r="BQ54" i="7"/>
  <c r="BP54" i="7"/>
  <c r="BK54" i="7"/>
  <c r="BI54" i="7"/>
  <c r="BH351" i="7"/>
  <c r="BN351" i="7"/>
  <c r="BM351" i="7"/>
  <c r="BO351" i="7"/>
  <c r="BJ351" i="7"/>
  <c r="BP351" i="7"/>
  <c r="BK351" i="7"/>
  <c r="BI351" i="7"/>
  <c r="BL351" i="7"/>
  <c r="BG351" i="7"/>
  <c r="BQ351" i="7"/>
  <c r="AG8" i="7"/>
  <c r="W8" i="7"/>
  <c r="AE8" i="7"/>
  <c r="AF8" i="7"/>
  <c r="AB8" i="7"/>
  <c r="AC8" i="7"/>
  <c r="AD8" i="7"/>
  <c r="AA8" i="7"/>
  <c r="Z8" i="7"/>
  <c r="X8" i="7"/>
  <c r="Y8" i="7"/>
  <c r="AE70" i="7"/>
  <c r="AG70" i="7"/>
  <c r="AC70" i="7"/>
  <c r="AD70" i="7"/>
  <c r="AF70" i="7"/>
  <c r="AA70" i="7"/>
  <c r="AB70" i="7"/>
  <c r="X70" i="7"/>
  <c r="Y70" i="7"/>
  <c r="Z70" i="7"/>
  <c r="W70" i="7"/>
  <c r="BG12" i="7"/>
  <c r="BH12" i="7"/>
  <c r="BJ12" i="7"/>
  <c r="BN12" i="7"/>
  <c r="BQ12" i="7"/>
  <c r="BO12" i="7"/>
  <c r="BI12" i="7"/>
  <c r="BL12" i="7"/>
  <c r="BP12" i="7"/>
  <c r="BK12" i="7"/>
  <c r="BM12" i="7"/>
  <c r="BH178" i="7"/>
  <c r="BN178" i="7"/>
  <c r="BQ178" i="7"/>
  <c r="BO178" i="7"/>
  <c r="BM178" i="7"/>
  <c r="BP178" i="7"/>
  <c r="BK178" i="7"/>
  <c r="BJ178" i="7"/>
  <c r="BL178" i="7"/>
  <c r="BG178" i="7"/>
  <c r="BI178" i="7"/>
  <c r="BH97" i="7"/>
  <c r="BN97" i="7"/>
  <c r="BI97" i="7"/>
  <c r="BO97" i="7"/>
  <c r="BM97" i="7"/>
  <c r="BP97" i="7"/>
  <c r="BK97" i="7"/>
  <c r="BJ97" i="7"/>
  <c r="BL97" i="7"/>
  <c r="BG97" i="7"/>
  <c r="BQ97" i="7"/>
  <c r="BG339" i="7"/>
  <c r="BH339" i="7"/>
  <c r="BP339" i="7"/>
  <c r="BN339" i="7"/>
  <c r="BQ339" i="7"/>
  <c r="BO339" i="7"/>
  <c r="BI339" i="7"/>
  <c r="BL339" i="7"/>
  <c r="BM339" i="7"/>
  <c r="BJ339" i="7"/>
  <c r="BK339" i="7"/>
  <c r="AG257" i="7"/>
  <c r="AF257" i="7"/>
  <c r="AA257" i="7"/>
  <c r="AC257" i="7"/>
  <c r="AD257" i="7"/>
  <c r="Y257" i="7"/>
  <c r="Z257" i="7"/>
  <c r="AB257" i="7"/>
  <c r="X257" i="7"/>
  <c r="W257" i="7"/>
  <c r="AE257" i="7"/>
  <c r="BO28" i="7"/>
  <c r="BH28" i="7"/>
  <c r="BJ28" i="7"/>
  <c r="BK28" i="7"/>
  <c r="BQ28" i="7"/>
  <c r="BI28" i="7"/>
  <c r="BG28" i="7"/>
  <c r="BL28" i="7"/>
  <c r="BN28" i="7"/>
  <c r="BM28" i="7"/>
  <c r="BP28" i="7"/>
  <c r="BG3" i="7"/>
  <c r="BI3" i="7"/>
  <c r="BQ3" i="7"/>
  <c r="BP3" i="7"/>
  <c r="BH3" i="7"/>
  <c r="BO3" i="7"/>
  <c r="BJ3" i="7"/>
  <c r="BM3" i="7"/>
  <c r="BK3" i="7"/>
  <c r="BN3" i="7"/>
  <c r="BL3" i="7"/>
  <c r="Z318" i="7"/>
  <c r="X318" i="7"/>
  <c r="AF318" i="7"/>
  <c r="AG318" i="7"/>
  <c r="AC318" i="7"/>
  <c r="AD318" i="7"/>
  <c r="AE318" i="7"/>
  <c r="AB318" i="7"/>
  <c r="AA318" i="7"/>
  <c r="W318" i="7"/>
  <c r="Y318" i="7"/>
  <c r="BL98" i="7"/>
  <c r="BG98" i="7"/>
  <c r="BN98" i="7"/>
  <c r="BH98" i="7"/>
  <c r="BJ98" i="7"/>
  <c r="BM98" i="7"/>
  <c r="BO98" i="7"/>
  <c r="BQ98" i="7"/>
  <c r="BP98" i="7"/>
  <c r="BK98" i="7"/>
  <c r="BI98" i="7"/>
  <c r="AD111" i="7"/>
  <c r="AE111" i="7"/>
  <c r="AG111" i="7"/>
  <c r="AB111" i="7"/>
  <c r="X111" i="7"/>
  <c r="Y111" i="7"/>
  <c r="AC111" i="7"/>
  <c r="W111" i="7"/>
  <c r="Z111" i="7"/>
  <c r="AF111" i="7"/>
  <c r="AA111" i="7"/>
  <c r="BL140" i="7"/>
  <c r="BG140" i="7"/>
  <c r="BN140" i="7"/>
  <c r="BH140" i="7"/>
  <c r="BJ140" i="7"/>
  <c r="BM140" i="7"/>
  <c r="BO140" i="7"/>
  <c r="BQ140" i="7"/>
  <c r="BP140" i="7"/>
  <c r="BK140" i="7"/>
  <c r="BI140" i="7"/>
  <c r="BK101" i="7"/>
  <c r="BP101" i="7"/>
  <c r="BM101" i="7"/>
  <c r="BG101" i="7"/>
  <c r="BJ101" i="7"/>
  <c r="BH101" i="7"/>
  <c r="BQ101" i="7"/>
  <c r="BN101" i="7"/>
  <c r="BO101" i="7"/>
  <c r="BL101" i="7"/>
  <c r="BI101" i="7"/>
  <c r="AF113" i="7"/>
  <c r="AE113" i="7"/>
  <c r="AG113" i="7"/>
  <c r="AA113" i="7"/>
  <c r="AC113" i="7"/>
  <c r="Z113" i="7"/>
  <c r="W113" i="7"/>
  <c r="X113" i="7"/>
  <c r="AB113" i="7"/>
  <c r="AD113" i="7"/>
  <c r="Y113" i="7"/>
  <c r="AF170" i="7"/>
  <c r="AD170" i="7"/>
  <c r="AB170" i="7"/>
  <c r="X170" i="7"/>
  <c r="AA170" i="7"/>
  <c r="AC170" i="7"/>
  <c r="Y170" i="7"/>
  <c r="AG170" i="7"/>
  <c r="W170" i="7"/>
  <c r="AE170" i="7"/>
  <c r="Z170" i="7"/>
  <c r="Y184" i="7"/>
  <c r="X184" i="7"/>
  <c r="AF184" i="7"/>
  <c r="AB184" i="7"/>
  <c r="AG184" i="7"/>
  <c r="AE184" i="7"/>
  <c r="AD184" i="7"/>
  <c r="AC184" i="7"/>
  <c r="Z184" i="7"/>
  <c r="AA184" i="7"/>
  <c r="W184" i="7"/>
  <c r="BH240" i="7"/>
  <c r="BJ240" i="7"/>
  <c r="BM240" i="7"/>
  <c r="BO240" i="7"/>
  <c r="BQ240" i="7"/>
  <c r="BP240" i="7"/>
  <c r="BK240" i="7"/>
  <c r="BI240" i="7"/>
  <c r="BN240" i="7"/>
  <c r="BL240" i="7"/>
  <c r="BG240" i="7"/>
  <c r="BL168" i="7"/>
  <c r="BG168" i="7"/>
  <c r="BQ168" i="7"/>
  <c r="BH168" i="7"/>
  <c r="BN168" i="7"/>
  <c r="BI168" i="7"/>
  <c r="BO168" i="7"/>
  <c r="BM168" i="7"/>
  <c r="BP168" i="7"/>
  <c r="BK168" i="7"/>
  <c r="BJ168" i="7"/>
  <c r="BQ10" i="7"/>
  <c r="BN10" i="7"/>
  <c r="BO10" i="7"/>
  <c r="BL10" i="7"/>
  <c r="BI10" i="7"/>
  <c r="BK10" i="7"/>
  <c r="BP10" i="7"/>
  <c r="BM10" i="7"/>
  <c r="BG10" i="7"/>
  <c r="BJ10" i="7"/>
  <c r="BH10" i="7"/>
  <c r="X337" i="7"/>
  <c r="AF337" i="7"/>
  <c r="AC337" i="7"/>
  <c r="Z337" i="7"/>
  <c r="W337" i="7"/>
  <c r="AE337" i="7"/>
  <c r="AB337" i="7"/>
  <c r="Y337" i="7"/>
  <c r="AG337" i="7"/>
  <c r="AD337" i="7"/>
  <c r="AA337" i="7"/>
  <c r="BO47" i="7"/>
  <c r="BL47" i="7"/>
  <c r="BI47" i="7"/>
  <c r="BK47" i="7"/>
  <c r="BP47" i="7"/>
  <c r="BM47" i="7"/>
  <c r="BG47" i="7"/>
  <c r="BJ47" i="7"/>
  <c r="BH47" i="7"/>
  <c r="BN47" i="7"/>
  <c r="BQ47" i="7"/>
  <c r="BL187" i="7"/>
  <c r="BG187" i="7"/>
  <c r="BQ187" i="7"/>
  <c r="BH187" i="7"/>
  <c r="BN187" i="7"/>
  <c r="BI187" i="7"/>
  <c r="BO187" i="7"/>
  <c r="BM187" i="7"/>
  <c r="BP187" i="7"/>
  <c r="BK187" i="7"/>
  <c r="BJ187" i="7"/>
  <c r="BH56" i="7"/>
  <c r="BJ56" i="7"/>
  <c r="BM56" i="7"/>
  <c r="BO56" i="7"/>
  <c r="BQ56" i="7"/>
  <c r="BP56" i="7"/>
  <c r="BK56" i="7"/>
  <c r="BI56" i="7"/>
  <c r="BG56" i="7"/>
  <c r="BN56" i="7"/>
  <c r="BL56" i="7"/>
  <c r="BO329" i="7"/>
  <c r="BJ329" i="7"/>
  <c r="BN329" i="7"/>
  <c r="BK329" i="7"/>
  <c r="BM329" i="7"/>
  <c r="BL329" i="7"/>
  <c r="BG329" i="7"/>
  <c r="BH329" i="7"/>
  <c r="BI329" i="7"/>
  <c r="BP329" i="7"/>
  <c r="BQ329" i="7"/>
  <c r="BG153" i="7"/>
  <c r="BJ153" i="7"/>
  <c r="BM153" i="7"/>
  <c r="BQ153" i="7"/>
  <c r="BN153" i="7"/>
  <c r="BO153" i="7"/>
  <c r="BL153" i="7"/>
  <c r="BI153" i="7"/>
  <c r="BK153" i="7"/>
  <c r="BP153" i="7"/>
  <c r="BH153" i="7"/>
  <c r="BO118" i="7"/>
  <c r="BM118" i="7"/>
  <c r="BL118" i="7"/>
  <c r="BG118" i="7"/>
  <c r="BI118" i="7"/>
  <c r="BK118" i="7"/>
  <c r="BN118" i="7"/>
  <c r="BP118" i="7"/>
  <c r="BJ118" i="7"/>
  <c r="BH118" i="7"/>
  <c r="BQ118" i="7"/>
  <c r="AD93" i="7"/>
  <c r="AF93" i="7"/>
  <c r="AA93" i="7"/>
  <c r="Y93" i="7"/>
  <c r="AG93" i="7"/>
  <c r="X93" i="7"/>
  <c r="AC93" i="7"/>
  <c r="AB93" i="7"/>
  <c r="W93" i="7"/>
  <c r="AE93" i="7"/>
  <c r="Z93" i="7"/>
  <c r="BG258" i="7"/>
  <c r="BJ258" i="7"/>
  <c r="BH258" i="7"/>
  <c r="BQ258" i="7"/>
  <c r="BN258" i="7"/>
  <c r="BO258" i="7"/>
  <c r="BL258" i="7"/>
  <c r="BI258" i="7"/>
  <c r="BK258" i="7"/>
  <c r="BP258" i="7"/>
  <c r="BM258" i="7"/>
  <c r="BO66" i="7"/>
  <c r="BQ66" i="7"/>
  <c r="BP66" i="7"/>
  <c r="BK66" i="7"/>
  <c r="BI66" i="7"/>
  <c r="BL66" i="7"/>
  <c r="BG66" i="7"/>
  <c r="BN66" i="7"/>
  <c r="BM66" i="7"/>
  <c r="BH66" i="7"/>
  <c r="BJ66" i="7"/>
  <c r="BH177" i="7"/>
  <c r="BJ177" i="7"/>
  <c r="BM177" i="7"/>
  <c r="BO177" i="7"/>
  <c r="BQ177" i="7"/>
  <c r="BP177" i="7"/>
  <c r="BK177" i="7"/>
  <c r="BI177" i="7"/>
  <c r="BL177" i="7"/>
  <c r="BG177" i="7"/>
  <c r="BN177" i="7"/>
  <c r="BK184" i="7"/>
  <c r="BQ184" i="7"/>
  <c r="BJ184" i="7"/>
  <c r="BG184" i="7"/>
  <c r="BL184" i="7"/>
  <c r="BH184" i="7"/>
  <c r="BN184" i="7"/>
  <c r="BP184" i="7"/>
  <c r="BI184" i="7"/>
  <c r="BM184" i="7"/>
  <c r="BO184" i="7"/>
  <c r="BH189" i="7"/>
  <c r="BN189" i="7"/>
  <c r="BI189" i="7"/>
  <c r="BO189" i="7"/>
  <c r="BM189" i="7"/>
  <c r="BP189" i="7"/>
  <c r="BK189" i="7"/>
  <c r="BJ189" i="7"/>
  <c r="BL189" i="7"/>
  <c r="BG189" i="7"/>
  <c r="BQ189" i="7"/>
  <c r="BQ18" i="7"/>
  <c r="BM18" i="7"/>
  <c r="BO18" i="7"/>
  <c r="BL18" i="7"/>
  <c r="BJ18" i="7"/>
  <c r="BK18" i="7"/>
  <c r="BN18" i="7"/>
  <c r="BP18" i="7"/>
  <c r="BI18" i="7"/>
  <c r="BG18" i="7"/>
  <c r="BH18" i="7"/>
  <c r="BO22" i="7"/>
  <c r="BJ22" i="7"/>
  <c r="BH22" i="7"/>
  <c r="BK22" i="7"/>
  <c r="BN22" i="7"/>
  <c r="BQ22" i="7"/>
  <c r="BG22" i="7"/>
  <c r="BI22" i="7"/>
  <c r="BL22" i="7"/>
  <c r="BP22" i="7"/>
  <c r="BM22" i="7"/>
  <c r="BQ326" i="7"/>
  <c r="BN326" i="7"/>
  <c r="BO326" i="7"/>
  <c r="BL326" i="7"/>
  <c r="BI326" i="7"/>
  <c r="BK326" i="7"/>
  <c r="BP326" i="7"/>
  <c r="BH326" i="7"/>
  <c r="BJ326" i="7"/>
  <c r="BM326" i="7"/>
  <c r="BG326" i="7"/>
  <c r="BP123" i="7"/>
  <c r="BK123" i="7"/>
  <c r="BI123" i="7"/>
  <c r="BL123" i="7"/>
  <c r="BG123" i="7"/>
  <c r="BN123" i="7"/>
  <c r="BH123" i="7"/>
  <c r="BJ123" i="7"/>
  <c r="BM123" i="7"/>
  <c r="BO123" i="7"/>
  <c r="BQ123" i="7"/>
  <c r="BM38" i="7"/>
  <c r="BN38" i="7"/>
  <c r="BO38" i="7"/>
  <c r="BH38" i="7"/>
  <c r="BL38" i="7"/>
  <c r="BK38" i="7"/>
  <c r="BP38" i="7"/>
  <c r="BI38" i="7"/>
  <c r="BG38" i="7"/>
  <c r="BJ38" i="7"/>
  <c r="BQ38" i="7"/>
  <c r="BO40" i="7"/>
  <c r="BI40" i="7"/>
  <c r="BJ40" i="7"/>
  <c r="BK40" i="7"/>
  <c r="BQ40" i="7"/>
  <c r="BH40" i="7"/>
  <c r="BG40" i="7"/>
  <c r="BL40" i="7"/>
  <c r="BP40" i="7"/>
  <c r="BN40" i="7"/>
  <c r="BM40" i="7"/>
  <c r="AF139" i="7"/>
  <c r="AE139" i="7"/>
  <c r="AB139" i="7"/>
  <c r="AG139" i="7"/>
  <c r="AD139" i="7"/>
  <c r="X139" i="7"/>
  <c r="AC139" i="7"/>
  <c r="AA139" i="7"/>
  <c r="Z139" i="7"/>
  <c r="W139" i="7"/>
  <c r="Y139" i="7"/>
  <c r="BP138" i="7"/>
  <c r="BK138" i="7"/>
  <c r="BI138" i="7"/>
  <c r="BL138" i="7"/>
  <c r="BG138" i="7"/>
  <c r="BN138" i="7"/>
  <c r="BH138" i="7"/>
  <c r="BJ138" i="7"/>
  <c r="BM138" i="7"/>
  <c r="BQ138" i="7"/>
  <c r="BO138" i="7"/>
  <c r="BL111" i="7"/>
  <c r="BG111" i="7"/>
  <c r="BI111" i="7"/>
  <c r="BH111" i="7"/>
  <c r="BN111" i="7"/>
  <c r="BQ111" i="7"/>
  <c r="BO111" i="7"/>
  <c r="BM111" i="7"/>
  <c r="BP111" i="7"/>
  <c r="BK111" i="7"/>
  <c r="BJ111" i="7"/>
  <c r="Y377" i="7"/>
  <c r="Z377" i="7"/>
  <c r="X377" i="7"/>
  <c r="AF377" i="7"/>
  <c r="AB377" i="7"/>
  <c r="AC377" i="7"/>
  <c r="AG377" i="7"/>
  <c r="AE377" i="7"/>
  <c r="AD377" i="7"/>
  <c r="AA377" i="7"/>
  <c r="W377" i="7"/>
  <c r="AE353" i="7"/>
  <c r="Y353" i="7"/>
  <c r="AC353" i="7"/>
  <c r="X353" i="7"/>
  <c r="W353" i="7"/>
  <c r="AG353" i="7"/>
  <c r="AB353" i="7"/>
  <c r="AF353" i="7"/>
  <c r="AD353" i="7"/>
  <c r="Z353" i="7"/>
  <c r="AA353" i="7"/>
  <c r="AC119" i="7"/>
  <c r="AB119" i="7"/>
  <c r="Y119" i="7"/>
  <c r="Z119" i="7"/>
  <c r="AA119" i="7"/>
  <c r="W119" i="7"/>
  <c r="X119" i="7"/>
  <c r="AF119" i="7"/>
  <c r="AD119" i="7"/>
  <c r="AE119" i="7"/>
  <c r="AG119" i="7"/>
  <c r="BL122" i="7"/>
  <c r="BG122" i="7"/>
  <c r="BQ122" i="7"/>
  <c r="BH122" i="7"/>
  <c r="BN122" i="7"/>
  <c r="BI122" i="7"/>
  <c r="BO122" i="7"/>
  <c r="BM122" i="7"/>
  <c r="BP122" i="7"/>
  <c r="BK122" i="7"/>
  <c r="BJ122" i="7"/>
  <c r="BL173" i="7"/>
  <c r="BG173" i="7"/>
  <c r="BN173" i="7"/>
  <c r="BH173" i="7"/>
  <c r="BJ173" i="7"/>
  <c r="BM173" i="7"/>
  <c r="BO173" i="7"/>
  <c r="BQ173" i="7"/>
  <c r="BI173" i="7"/>
  <c r="BP173" i="7"/>
  <c r="BK173" i="7"/>
  <c r="BK398" i="7"/>
  <c r="BM398" i="7"/>
  <c r="BI398" i="7"/>
  <c r="BG398" i="7"/>
  <c r="BH398" i="7"/>
  <c r="BQ398" i="7"/>
  <c r="BP398" i="7"/>
  <c r="BN398" i="7"/>
  <c r="BJ398" i="7"/>
  <c r="BL398" i="7"/>
  <c r="BO398" i="7"/>
  <c r="X264" i="7"/>
  <c r="AD264" i="7"/>
  <c r="Y264" i="7"/>
  <c r="AA264" i="7"/>
  <c r="W264" i="7"/>
  <c r="AF264" i="7"/>
  <c r="AE264" i="7"/>
  <c r="Z264" i="7"/>
  <c r="AC264" i="7"/>
  <c r="AG264" i="7"/>
  <c r="AB264" i="7"/>
  <c r="AC215" i="7"/>
  <c r="AA215" i="7"/>
  <c r="Z215" i="7"/>
  <c r="X215" i="7"/>
  <c r="AG215" i="7"/>
  <c r="W215" i="7"/>
  <c r="AB215" i="7"/>
  <c r="AF215" i="7"/>
  <c r="Y215" i="7"/>
  <c r="AE215" i="7"/>
  <c r="AD215" i="7"/>
  <c r="Z276" i="7"/>
  <c r="X276" i="7"/>
  <c r="AF276" i="7"/>
  <c r="AG276" i="7"/>
  <c r="AC276" i="7"/>
  <c r="AD276" i="7"/>
  <c r="W276" i="7"/>
  <c r="AB276" i="7"/>
  <c r="Y276" i="7"/>
  <c r="AE276" i="7"/>
  <c r="AA276" i="7"/>
  <c r="BK350" i="7"/>
  <c r="BM350" i="7"/>
  <c r="BP350" i="7"/>
  <c r="BG350" i="7"/>
  <c r="BH350" i="7"/>
  <c r="BJ350" i="7"/>
  <c r="BN350" i="7"/>
  <c r="BQ350" i="7"/>
  <c r="BL350" i="7"/>
  <c r="BO350" i="7"/>
  <c r="BI350" i="7"/>
  <c r="AA314" i="7"/>
  <c r="W314" i="7"/>
  <c r="AF314" i="7"/>
  <c r="AE314" i="7"/>
  <c r="Z314" i="7"/>
  <c r="AD314" i="7"/>
  <c r="Y314" i="7"/>
  <c r="AB314" i="7"/>
  <c r="X314" i="7"/>
  <c r="AC314" i="7"/>
  <c r="AG314" i="7"/>
  <c r="BG6" i="7"/>
  <c r="BJ6" i="7"/>
  <c r="BH6" i="7"/>
  <c r="BQ6" i="7"/>
  <c r="BN6" i="7"/>
  <c r="BO6" i="7"/>
  <c r="BL6" i="7"/>
  <c r="BI6" i="7"/>
  <c r="BM6" i="7"/>
  <c r="BK6" i="7"/>
  <c r="BP6" i="7"/>
  <c r="BO289" i="7"/>
  <c r="BH289" i="7"/>
  <c r="BJ289" i="7"/>
  <c r="BK289" i="7"/>
  <c r="BQ289" i="7"/>
  <c r="BN289" i="7"/>
  <c r="BG289" i="7"/>
  <c r="BL289" i="7"/>
  <c r="BI289" i="7"/>
  <c r="BM289" i="7"/>
  <c r="BP289" i="7"/>
  <c r="AB390" i="7"/>
  <c r="Z390" i="7"/>
  <c r="Y390" i="7"/>
  <c r="AE390" i="7"/>
  <c r="W390" i="7"/>
  <c r="AD390" i="7"/>
  <c r="AG390" i="7"/>
  <c r="AC390" i="7"/>
  <c r="AA390" i="7"/>
  <c r="X390" i="7"/>
  <c r="AF390" i="7"/>
  <c r="BP144" i="7"/>
  <c r="BK144" i="7"/>
  <c r="BJ144" i="7"/>
  <c r="BL144" i="7"/>
  <c r="BG144" i="7"/>
  <c r="BQ144" i="7"/>
  <c r="BH144" i="7"/>
  <c r="BN144" i="7"/>
  <c r="BI144" i="7"/>
  <c r="BO144" i="7"/>
  <c r="BM144" i="7"/>
  <c r="BK36" i="7"/>
  <c r="BP36" i="7"/>
  <c r="BM36" i="7"/>
  <c r="BG36" i="7"/>
  <c r="BJ36" i="7"/>
  <c r="BH36" i="7"/>
  <c r="BQ36" i="7"/>
  <c r="BN36" i="7"/>
  <c r="BI36" i="7"/>
  <c r="BO36" i="7"/>
  <c r="BL36" i="7"/>
  <c r="AF76" i="7"/>
  <c r="AD76" i="7"/>
  <c r="AB76" i="7"/>
  <c r="X76" i="7"/>
  <c r="Y76" i="7"/>
  <c r="Z76" i="7"/>
  <c r="W76" i="7"/>
  <c r="AE76" i="7"/>
  <c r="AA76" i="7"/>
  <c r="AC76" i="7"/>
  <c r="AG76" i="7"/>
  <c r="Z207" i="7"/>
  <c r="W207" i="7"/>
  <c r="AA207" i="7"/>
  <c r="AB207" i="7"/>
  <c r="Y207" i="7"/>
  <c r="AG207" i="7"/>
  <c r="AD207" i="7"/>
  <c r="AE207" i="7"/>
  <c r="X207" i="7"/>
  <c r="AF207" i="7"/>
  <c r="AC207" i="7"/>
  <c r="Y71" i="7"/>
  <c r="Z71" i="7"/>
  <c r="AB71" i="7"/>
  <c r="W71" i="7"/>
  <c r="AE71" i="7"/>
  <c r="AC71" i="7"/>
  <c r="AD71" i="7"/>
  <c r="AF71" i="7"/>
  <c r="AG71" i="7"/>
  <c r="AA71" i="7"/>
  <c r="X71" i="7"/>
  <c r="AB202" i="7"/>
  <c r="AF202" i="7"/>
  <c r="AG202" i="7"/>
  <c r="AA202" i="7"/>
  <c r="AD202" i="7"/>
  <c r="Z202" i="7"/>
  <c r="AC202" i="7"/>
  <c r="Y202" i="7"/>
  <c r="AE202" i="7"/>
  <c r="W202" i="7"/>
  <c r="X202" i="7"/>
  <c r="BH112" i="7"/>
  <c r="BN112" i="7"/>
  <c r="BI112" i="7"/>
  <c r="BO112" i="7"/>
  <c r="BM112" i="7"/>
  <c r="BP112" i="7"/>
  <c r="BK112" i="7"/>
  <c r="BJ112" i="7"/>
  <c r="BG112" i="7"/>
  <c r="BQ112" i="7"/>
  <c r="BL112" i="7"/>
  <c r="BK24" i="7"/>
  <c r="BN24" i="7"/>
  <c r="BQ24" i="7"/>
  <c r="BG24" i="7"/>
  <c r="BI24" i="7"/>
  <c r="BL24" i="7"/>
  <c r="BP24" i="7"/>
  <c r="BM24" i="7"/>
  <c r="BO24" i="7"/>
  <c r="BJ24" i="7"/>
  <c r="BH24" i="7"/>
  <c r="BO65" i="7"/>
  <c r="BM65" i="7"/>
  <c r="BP65" i="7"/>
  <c r="BK65" i="7"/>
  <c r="BJ65" i="7"/>
  <c r="BL65" i="7"/>
  <c r="BG65" i="7"/>
  <c r="BI65" i="7"/>
  <c r="BQ65" i="7"/>
  <c r="BH65" i="7"/>
  <c r="BN65" i="7"/>
  <c r="AB360" i="7"/>
  <c r="AD360" i="7"/>
  <c r="AG360" i="7"/>
  <c r="Y360" i="7"/>
  <c r="AA360" i="7"/>
  <c r="W360" i="7"/>
  <c r="Z360" i="7"/>
  <c r="X360" i="7"/>
  <c r="AF360" i="7"/>
  <c r="AE360" i="7"/>
  <c r="AC360" i="7"/>
  <c r="BL188" i="7"/>
  <c r="BG188" i="7"/>
  <c r="BN188" i="7"/>
  <c r="BH188" i="7"/>
  <c r="BJ188" i="7"/>
  <c r="BM188" i="7"/>
  <c r="BO188" i="7"/>
  <c r="BQ188" i="7"/>
  <c r="BP188" i="7"/>
  <c r="BK188" i="7"/>
  <c r="BI188" i="7"/>
  <c r="AG336" i="7"/>
  <c r="X336" i="7"/>
  <c r="Z336" i="7"/>
  <c r="AB336" i="7"/>
  <c r="AD336" i="7"/>
  <c r="AC336" i="7"/>
  <c r="W336" i="7"/>
  <c r="Y336" i="7"/>
  <c r="AF336" i="7"/>
  <c r="AE336" i="7"/>
  <c r="AA336" i="7"/>
  <c r="BZ151" i="7"/>
  <c r="CA151" i="7"/>
  <c r="CC151" i="7"/>
  <c r="CG151" i="7"/>
  <c r="CE151" i="7"/>
  <c r="CH151" i="7"/>
  <c r="CB151" i="7"/>
  <c r="BY151" i="7"/>
  <c r="CD151" i="7"/>
  <c r="CF151" i="7"/>
  <c r="CI151" i="7"/>
  <c r="AV60" i="7"/>
  <c r="AO60" i="7"/>
  <c r="AW60" i="7"/>
  <c r="AT60" i="7"/>
  <c r="AR60" i="7"/>
  <c r="AQ60" i="7"/>
  <c r="AS60" i="7"/>
  <c r="AY60" i="7"/>
  <c r="AX60" i="7"/>
  <c r="AP60" i="7"/>
  <c r="AU60" i="7"/>
  <c r="BM61" i="7"/>
  <c r="BI61" i="7"/>
  <c r="BQ61" i="7"/>
  <c r="BJ61" i="7"/>
  <c r="BH61" i="7"/>
  <c r="BN61" i="7"/>
  <c r="BO61" i="7"/>
  <c r="BP61" i="7"/>
  <c r="BK61" i="7"/>
  <c r="BL61" i="7"/>
  <c r="BG61" i="7"/>
  <c r="AR308" i="7"/>
  <c r="AW308" i="7"/>
  <c r="AP308" i="7"/>
  <c r="AV308" i="7"/>
  <c r="AO308" i="7"/>
  <c r="AT308" i="7"/>
  <c r="AS308" i="7"/>
  <c r="AU308" i="7"/>
  <c r="AQ308" i="7"/>
  <c r="AX308" i="7"/>
  <c r="AY308" i="7"/>
  <c r="CF344" i="7"/>
  <c r="CE344" i="7"/>
  <c r="CB344" i="7"/>
  <c r="BZ344" i="7"/>
  <c r="CH344" i="7"/>
  <c r="BY344" i="7"/>
  <c r="CG344" i="7"/>
  <c r="CI344" i="7"/>
  <c r="CD344" i="7"/>
  <c r="CA344" i="7"/>
  <c r="CC344" i="7"/>
  <c r="CH61" i="7"/>
  <c r="CA61" i="7"/>
  <c r="CF61" i="7"/>
  <c r="CG61" i="7"/>
  <c r="CI61" i="7"/>
  <c r="CC61" i="7"/>
  <c r="BY61" i="7"/>
  <c r="CE61" i="7"/>
  <c r="CD61" i="7"/>
  <c r="CB61" i="7"/>
  <c r="BZ61" i="7"/>
  <c r="CG91" i="7"/>
  <c r="CE91" i="7"/>
  <c r="CF91" i="7"/>
  <c r="CC91" i="7"/>
  <c r="CA91" i="7"/>
  <c r="CD91" i="7"/>
  <c r="BY91" i="7"/>
  <c r="CH91" i="7"/>
  <c r="CB91" i="7"/>
  <c r="CI91" i="7"/>
  <c r="BZ91" i="7"/>
  <c r="BJ19" i="7"/>
  <c r="BQ19" i="7"/>
  <c r="BL19" i="7"/>
  <c r="BK19" i="7"/>
  <c r="BM19" i="7"/>
  <c r="BP19" i="7"/>
  <c r="BG19" i="7"/>
  <c r="BN19" i="7"/>
  <c r="BO19" i="7"/>
  <c r="BI19" i="7"/>
  <c r="BH19" i="7"/>
  <c r="CI156" i="7"/>
  <c r="CC156" i="7"/>
  <c r="BZ156" i="7"/>
  <c r="CA156" i="7"/>
  <c r="CH156" i="7"/>
  <c r="CB156" i="7"/>
  <c r="BY156" i="7"/>
  <c r="CG156" i="7"/>
  <c r="CD156" i="7"/>
  <c r="CF156" i="7"/>
  <c r="CE156" i="7"/>
  <c r="BM93" i="7"/>
  <c r="BQ93" i="7"/>
  <c r="BJ93" i="7"/>
  <c r="BI93" i="7"/>
  <c r="BH93" i="7"/>
  <c r="BN93" i="7"/>
  <c r="BO93" i="7"/>
  <c r="BP93" i="7"/>
  <c r="BK93" i="7"/>
  <c r="BL93" i="7"/>
  <c r="BG93" i="7"/>
  <c r="CG277" i="7"/>
  <c r="BY277" i="7"/>
  <c r="CE277" i="7"/>
  <c r="CB277" i="7"/>
  <c r="CA277" i="7"/>
  <c r="CD277" i="7"/>
  <c r="CC277" i="7"/>
  <c r="CH277" i="7"/>
  <c r="BZ277" i="7"/>
  <c r="CF277" i="7"/>
  <c r="CI277" i="7"/>
  <c r="AW72" i="7"/>
  <c r="AV72" i="7"/>
  <c r="AP72" i="7"/>
  <c r="AY72" i="7"/>
  <c r="AX72" i="7"/>
  <c r="AU72" i="7"/>
  <c r="AO72" i="7"/>
  <c r="AQ72" i="7"/>
  <c r="AT72" i="7"/>
  <c r="AR72" i="7"/>
  <c r="AS72" i="7"/>
  <c r="CF357" i="7"/>
  <c r="CB357" i="7"/>
  <c r="BZ357" i="7"/>
  <c r="CH357" i="7"/>
  <c r="CE357" i="7"/>
  <c r="CD357" i="7"/>
  <c r="CA357" i="7"/>
  <c r="CC357" i="7"/>
  <c r="CI357" i="7"/>
  <c r="CG357" i="7"/>
  <c r="BY357" i="7"/>
  <c r="AP157" i="7"/>
  <c r="AX157" i="7"/>
  <c r="AW157" i="7"/>
  <c r="AR157" i="7"/>
  <c r="AT157" i="7"/>
  <c r="AY157" i="7"/>
  <c r="AO157" i="7"/>
  <c r="AU157" i="7"/>
  <c r="AV157" i="7"/>
  <c r="AQ157" i="7"/>
  <c r="AS157" i="7"/>
  <c r="AW76" i="7"/>
  <c r="AV76" i="7"/>
  <c r="AP76" i="7"/>
  <c r="AR76" i="7"/>
  <c r="AU76" i="7"/>
  <c r="AQ76" i="7"/>
  <c r="AS76" i="7"/>
  <c r="AO76" i="7"/>
  <c r="AT76" i="7"/>
  <c r="AY76" i="7"/>
  <c r="AX76" i="7"/>
  <c r="AY106" i="7"/>
  <c r="AP106" i="7"/>
  <c r="AR106" i="7"/>
  <c r="AQ106" i="7"/>
  <c r="AO106" i="7"/>
  <c r="AW106" i="7"/>
  <c r="AU106" i="7"/>
  <c r="AV106" i="7"/>
  <c r="AS106" i="7"/>
  <c r="AX106" i="7"/>
  <c r="AT106" i="7"/>
  <c r="CH73" i="7"/>
  <c r="CA73" i="7"/>
  <c r="CF73" i="7"/>
  <c r="BZ73" i="7"/>
  <c r="CE73" i="7"/>
  <c r="CB73" i="7"/>
  <c r="CD73" i="7"/>
  <c r="CG73" i="7"/>
  <c r="CI73" i="7"/>
  <c r="CC73" i="7"/>
  <c r="BY73" i="7"/>
  <c r="CH13" i="7"/>
  <c r="CA13" i="7"/>
  <c r="CF13" i="7"/>
  <c r="BZ13" i="7"/>
  <c r="CE13" i="7"/>
  <c r="CB13" i="7"/>
  <c r="BY13" i="7"/>
  <c r="CD13" i="7"/>
  <c r="CG13" i="7"/>
  <c r="CI13" i="7"/>
  <c r="CC13" i="7"/>
  <c r="AV283" i="7"/>
  <c r="AW283" i="7"/>
  <c r="AT283" i="7"/>
  <c r="AR283" i="7"/>
  <c r="AO283" i="7"/>
  <c r="AS283" i="7"/>
  <c r="AP283" i="7"/>
  <c r="AY283" i="7"/>
  <c r="AX283" i="7"/>
  <c r="AU283" i="7"/>
  <c r="AQ283" i="7"/>
  <c r="AT378" i="7"/>
  <c r="AP378" i="7"/>
  <c r="AY378" i="7"/>
  <c r="AV378" i="7"/>
  <c r="AQ378" i="7"/>
  <c r="AX378" i="7"/>
  <c r="AS378" i="7"/>
  <c r="AU378" i="7"/>
  <c r="AW378" i="7"/>
  <c r="AO378" i="7"/>
  <c r="AR378" i="7"/>
  <c r="CH290" i="7"/>
  <c r="CA290" i="7"/>
  <c r="CF290" i="7"/>
  <c r="BY290" i="7"/>
  <c r="CE290" i="7"/>
  <c r="CB290" i="7"/>
  <c r="CD290" i="7"/>
  <c r="CG290" i="7"/>
  <c r="CI290" i="7"/>
  <c r="CC290" i="7"/>
  <c r="BZ290" i="7"/>
  <c r="AR202" i="7"/>
  <c r="AP202" i="7"/>
  <c r="AX202" i="7"/>
  <c r="AW202" i="7"/>
  <c r="AY202" i="7"/>
  <c r="AO202" i="7"/>
  <c r="AS202" i="7"/>
  <c r="AU202" i="7"/>
  <c r="AV202" i="7"/>
  <c r="AQ202" i="7"/>
  <c r="AT202" i="7"/>
  <c r="AV13" i="7"/>
  <c r="AP13" i="7"/>
  <c r="AW13" i="7"/>
  <c r="AO13" i="7"/>
  <c r="AT13" i="7"/>
  <c r="AR13" i="7"/>
  <c r="AY13" i="7"/>
  <c r="AX13" i="7"/>
  <c r="AU13" i="7"/>
  <c r="AQ13" i="7"/>
  <c r="AS13" i="7"/>
  <c r="CH265" i="7"/>
  <c r="CF265" i="7"/>
  <c r="CA265" i="7"/>
  <c r="BY265" i="7"/>
  <c r="CE265" i="7"/>
  <c r="CB265" i="7"/>
  <c r="CD265" i="7"/>
  <c r="CG265" i="7"/>
  <c r="CI265" i="7"/>
  <c r="BZ265" i="7"/>
  <c r="CC265" i="7"/>
  <c r="CI37" i="7"/>
  <c r="BZ37" i="7"/>
  <c r="CA37" i="7"/>
  <c r="CH37" i="7"/>
  <c r="CB37" i="7"/>
  <c r="BY37" i="7"/>
  <c r="CC37" i="7"/>
  <c r="CG37" i="7"/>
  <c r="CF37" i="7"/>
  <c r="CE37" i="7"/>
  <c r="CD37" i="7"/>
  <c r="CI311" i="7"/>
  <c r="CD311" i="7"/>
  <c r="CH311" i="7"/>
  <c r="CE311" i="7"/>
  <c r="CG311" i="7"/>
  <c r="CB311" i="7"/>
  <c r="BZ311" i="7"/>
  <c r="CC311" i="7"/>
  <c r="CF311" i="7"/>
  <c r="BY311" i="7"/>
  <c r="CA311" i="7"/>
  <c r="CF85" i="7"/>
  <c r="CB85" i="7"/>
  <c r="CG85" i="7"/>
  <c r="CE85" i="7"/>
  <c r="CC85" i="7"/>
  <c r="CA85" i="7"/>
  <c r="BY85" i="7"/>
  <c r="CH85" i="7"/>
  <c r="CI85" i="7"/>
  <c r="CD85" i="7"/>
  <c r="BZ85" i="7"/>
  <c r="CG154" i="7"/>
  <c r="CF154" i="7"/>
  <c r="CA154" i="7"/>
  <c r="CC154" i="7"/>
  <c r="BY154" i="7"/>
  <c r="CD154" i="7"/>
  <c r="CI154" i="7"/>
  <c r="CB154" i="7"/>
  <c r="CH154" i="7"/>
  <c r="CE154" i="7"/>
  <c r="BZ154" i="7"/>
  <c r="CD104" i="7"/>
  <c r="CB104" i="7"/>
  <c r="BY104" i="7"/>
  <c r="CF104" i="7"/>
  <c r="CH104" i="7"/>
  <c r="CG104" i="7"/>
  <c r="CE104" i="7"/>
  <c r="CC104" i="7"/>
  <c r="CI104" i="7"/>
  <c r="CA104" i="7"/>
  <c r="BZ104" i="7"/>
  <c r="AW46" i="7"/>
  <c r="AV46" i="7"/>
  <c r="AP46" i="7"/>
  <c r="AS46" i="7"/>
  <c r="AT46" i="7"/>
  <c r="AR46" i="7"/>
  <c r="AY46" i="7"/>
  <c r="AX46" i="7"/>
  <c r="AU46" i="7"/>
  <c r="AQ46" i="7"/>
  <c r="AO46" i="7"/>
  <c r="AT15" i="7"/>
  <c r="AR15" i="7"/>
  <c r="AO15" i="7"/>
  <c r="AW15" i="7"/>
  <c r="AY15" i="7"/>
  <c r="AX15" i="7"/>
  <c r="AQ15" i="7"/>
  <c r="AS15" i="7"/>
  <c r="AV15" i="7"/>
  <c r="AU15" i="7"/>
  <c r="AP15" i="7"/>
  <c r="CE60" i="7"/>
  <c r="CB60" i="7"/>
  <c r="CH60" i="7"/>
  <c r="CA60" i="7"/>
  <c r="CF60" i="7"/>
  <c r="BZ60" i="7"/>
  <c r="BY60" i="7"/>
  <c r="CD60" i="7"/>
  <c r="CG60" i="7"/>
  <c r="CI60" i="7"/>
  <c r="CC60" i="7"/>
  <c r="CF186" i="7"/>
  <c r="BY186" i="7"/>
  <c r="CG186" i="7"/>
  <c r="CE186" i="7"/>
  <c r="CB186" i="7"/>
  <c r="CA186" i="7"/>
  <c r="BZ186" i="7"/>
  <c r="CH186" i="7"/>
  <c r="CI186" i="7"/>
  <c r="CD186" i="7"/>
  <c r="CC186" i="7"/>
  <c r="AT248" i="7"/>
  <c r="AO248" i="7"/>
  <c r="AY248" i="7"/>
  <c r="AX248" i="7"/>
  <c r="AR248" i="7"/>
  <c r="AU248" i="7"/>
  <c r="AW248" i="7"/>
  <c r="AQ248" i="7"/>
  <c r="AP248" i="7"/>
  <c r="AV248" i="7"/>
  <c r="AS248" i="7"/>
  <c r="CF77" i="7"/>
  <c r="CH77" i="7"/>
  <c r="CE77" i="7"/>
  <c r="CB77" i="7"/>
  <c r="BZ77" i="7"/>
  <c r="BY77" i="7"/>
  <c r="CG77" i="7"/>
  <c r="CI77" i="7"/>
  <c r="CC77" i="7"/>
  <c r="CD77" i="7"/>
  <c r="CA77" i="7"/>
  <c r="CF252" i="7"/>
  <c r="CH252" i="7"/>
  <c r="CE252" i="7"/>
  <c r="CB252" i="7"/>
  <c r="BZ252" i="7"/>
  <c r="CD252" i="7"/>
  <c r="CA252" i="7"/>
  <c r="CC252" i="7"/>
  <c r="CI252" i="7"/>
  <c r="CG252" i="7"/>
  <c r="BY252" i="7"/>
  <c r="BM104" i="7"/>
  <c r="BO104" i="7"/>
  <c r="BI104" i="7"/>
  <c r="BP104" i="7"/>
  <c r="BK104" i="7"/>
  <c r="BQ104" i="7"/>
  <c r="BJ104" i="7"/>
  <c r="BL104" i="7"/>
  <c r="BG104" i="7"/>
  <c r="BH104" i="7"/>
  <c r="BN104" i="7"/>
  <c r="AW70" i="7"/>
  <c r="AV70" i="7"/>
  <c r="AP70" i="7"/>
  <c r="AS70" i="7"/>
  <c r="AO70" i="7"/>
  <c r="AY70" i="7"/>
  <c r="AX70" i="7"/>
  <c r="AT70" i="7"/>
  <c r="AR70" i="7"/>
  <c r="AU70" i="7"/>
  <c r="AQ70" i="7"/>
  <c r="AW166" i="7"/>
  <c r="AP166" i="7"/>
  <c r="AV166" i="7"/>
  <c r="AO166" i="7"/>
  <c r="AT166" i="7"/>
  <c r="AR166" i="7"/>
  <c r="AQ166" i="7"/>
  <c r="AY166" i="7"/>
  <c r="AX166" i="7"/>
  <c r="AS166" i="7"/>
  <c r="AU166" i="7"/>
  <c r="CG244" i="7"/>
  <c r="CE244" i="7"/>
  <c r="CB244" i="7"/>
  <c r="BY244" i="7"/>
  <c r="BZ244" i="7"/>
  <c r="CH244" i="7"/>
  <c r="CI244" i="7"/>
  <c r="CF244" i="7"/>
  <c r="CD244" i="7"/>
  <c r="CC244" i="7"/>
  <c r="CA244" i="7"/>
  <c r="AV342" i="7"/>
  <c r="AW342" i="7"/>
  <c r="AT342" i="7"/>
  <c r="AR342" i="7"/>
  <c r="AO342" i="7"/>
  <c r="AQ342" i="7"/>
  <c r="AP342" i="7"/>
  <c r="AS342" i="7"/>
  <c r="AY342" i="7"/>
  <c r="AX342" i="7"/>
  <c r="AU342" i="7"/>
  <c r="AV210" i="7"/>
  <c r="AS210" i="7"/>
  <c r="AP210" i="7"/>
  <c r="AT210" i="7"/>
  <c r="AX210" i="7"/>
  <c r="AY210" i="7"/>
  <c r="AO210" i="7"/>
  <c r="AU210" i="7"/>
  <c r="AW210" i="7"/>
  <c r="AQ210" i="7"/>
  <c r="AR210" i="7"/>
  <c r="BM312" i="7"/>
  <c r="BH312" i="7"/>
  <c r="BN312" i="7"/>
  <c r="BO312" i="7"/>
  <c r="BP312" i="7"/>
  <c r="BK312" i="7"/>
  <c r="BI312" i="7"/>
  <c r="BJ312" i="7"/>
  <c r="BQ312" i="7"/>
  <c r="BL312" i="7"/>
  <c r="BG312" i="7"/>
  <c r="AV56" i="7"/>
  <c r="AO56" i="7"/>
  <c r="AW56" i="7"/>
  <c r="AT56" i="7"/>
  <c r="AR56" i="7"/>
  <c r="AP56" i="7"/>
  <c r="AS56" i="7"/>
  <c r="AY56" i="7"/>
  <c r="AX56" i="7"/>
  <c r="AU56" i="7"/>
  <c r="AQ56" i="7"/>
  <c r="AW222" i="7"/>
  <c r="AP222" i="7"/>
  <c r="AV222" i="7"/>
  <c r="AO222" i="7"/>
  <c r="AT222" i="7"/>
  <c r="AR222" i="7"/>
  <c r="AQ222" i="7"/>
  <c r="AY222" i="7"/>
  <c r="AX222" i="7"/>
  <c r="AU222" i="7"/>
  <c r="AS222" i="7"/>
  <c r="AW324" i="7"/>
  <c r="AT324" i="7"/>
  <c r="AR324" i="7"/>
  <c r="AO324" i="7"/>
  <c r="AU324" i="7"/>
  <c r="AS324" i="7"/>
  <c r="AX324" i="7"/>
  <c r="AY324" i="7"/>
  <c r="AP324" i="7"/>
  <c r="AQ324" i="7"/>
  <c r="AV324" i="7"/>
  <c r="BY56" i="7" a="1"/>
  <c r="BL44" i="7"/>
  <c r="BQ44" i="7"/>
  <c r="BG44" i="7"/>
  <c r="BI44" i="7"/>
  <c r="BO44" i="7"/>
  <c r="BJ44" i="7"/>
  <c r="BH44" i="7"/>
  <c r="BP44" i="7"/>
  <c r="BN44" i="7"/>
  <c r="BM44" i="7"/>
  <c r="BK44" i="7"/>
  <c r="CH332" i="7"/>
  <c r="CF332" i="7"/>
  <c r="CA332" i="7"/>
  <c r="CG332" i="7"/>
  <c r="CI332" i="7"/>
  <c r="CC332" i="7"/>
  <c r="BY332" i="7"/>
  <c r="CE332" i="7"/>
  <c r="CB332" i="7"/>
  <c r="BZ332" i="7"/>
  <c r="CD332" i="7"/>
  <c r="AP141" i="7"/>
  <c r="AO141" i="7"/>
  <c r="AV141" i="7"/>
  <c r="AT141" i="7"/>
  <c r="AS141" i="7"/>
  <c r="AY141" i="7"/>
  <c r="AX141" i="7"/>
  <c r="AU141" i="7"/>
  <c r="AR141" i="7"/>
  <c r="AQ141" i="7"/>
  <c r="AW141" i="7"/>
  <c r="BM170" i="7"/>
  <c r="BQ170" i="7"/>
  <c r="BI170" i="7"/>
  <c r="BJ170" i="7"/>
  <c r="BH170" i="7"/>
  <c r="BN170" i="7"/>
  <c r="BO170" i="7"/>
  <c r="BP170" i="7"/>
  <c r="BK170" i="7"/>
  <c r="BL170" i="7"/>
  <c r="BG170" i="7"/>
  <c r="CF76" i="7"/>
  <c r="CG76" i="7"/>
  <c r="CD76" i="7"/>
  <c r="CH76" i="7"/>
  <c r="CI76" i="7"/>
  <c r="BY76" i="7"/>
  <c r="BZ76" i="7"/>
  <c r="CE76" i="7"/>
  <c r="CC76" i="7"/>
  <c r="CA76" i="7"/>
  <c r="CB76" i="7"/>
  <c r="AX163" i="7"/>
  <c r="AS163" i="7"/>
  <c r="AY163" i="7"/>
  <c r="AR163" i="7"/>
  <c r="AU163" i="7"/>
  <c r="AT163" i="7"/>
  <c r="AP163" i="7"/>
  <c r="AQ163" i="7"/>
  <c r="AV163" i="7"/>
  <c r="AW163" i="7"/>
  <c r="AO163" i="7"/>
  <c r="AV312" i="7"/>
  <c r="AO312" i="7"/>
  <c r="AW312" i="7"/>
  <c r="AT312" i="7"/>
  <c r="AR312" i="7"/>
  <c r="AU312" i="7"/>
  <c r="AQ312" i="7"/>
  <c r="AP312" i="7"/>
  <c r="AS312" i="7"/>
  <c r="AY312" i="7"/>
  <c r="AX312" i="7"/>
  <c r="BM308" i="7"/>
  <c r="BL308" i="7"/>
  <c r="BG308" i="7"/>
  <c r="BI308" i="7"/>
  <c r="BH308" i="7"/>
  <c r="BN308" i="7"/>
  <c r="BQ308" i="7"/>
  <c r="BO308" i="7"/>
  <c r="BJ308" i="7"/>
  <c r="BP308" i="7"/>
  <c r="BK308" i="7"/>
  <c r="CB64" i="7"/>
  <c r="CH64" i="7"/>
  <c r="CA64" i="7"/>
  <c r="CF64" i="7"/>
  <c r="BZ64" i="7"/>
  <c r="CE64" i="7"/>
  <c r="CD64" i="7"/>
  <c r="CG64" i="7"/>
  <c r="CI64" i="7"/>
  <c r="CC64" i="7"/>
  <c r="BY64" i="7"/>
  <c r="CE6" i="7"/>
  <c r="CB6" i="7"/>
  <c r="CH6" i="7"/>
  <c r="CA6" i="7"/>
  <c r="CF6" i="7"/>
  <c r="BZ6" i="7"/>
  <c r="CG6" i="7"/>
  <c r="CI6" i="7"/>
  <c r="CC6" i="7"/>
  <c r="BY6" i="7"/>
  <c r="CD6" i="7"/>
  <c r="AW305" i="7"/>
  <c r="AP305" i="7"/>
  <c r="AV305" i="7"/>
  <c r="AO305" i="7"/>
  <c r="AT305" i="7"/>
  <c r="AR305" i="7"/>
  <c r="AY305" i="7"/>
  <c r="AX305" i="7"/>
  <c r="AQ305" i="7"/>
  <c r="AU305" i="7"/>
  <c r="AS305" i="7"/>
  <c r="AW6" i="7"/>
  <c r="AP6" i="7"/>
  <c r="AV6" i="7"/>
  <c r="AO6" i="7"/>
  <c r="AT6" i="7"/>
  <c r="AR6" i="7"/>
  <c r="AQ6" i="7"/>
  <c r="AS6" i="7"/>
  <c r="AY6" i="7"/>
  <c r="AX6" i="7"/>
  <c r="AU6" i="7"/>
  <c r="CH34" i="7"/>
  <c r="CF34" i="7"/>
  <c r="CA34" i="7"/>
  <c r="CB34" i="7"/>
  <c r="CC34" i="7"/>
  <c r="BY34" i="7"/>
  <c r="CD34" i="7"/>
  <c r="BZ34" i="7"/>
  <c r="CE34" i="7"/>
  <c r="CG34" i="7"/>
  <c r="CI34" i="7"/>
  <c r="AX154" i="7"/>
  <c r="AW154" i="7"/>
  <c r="AR154" i="7"/>
  <c r="AP154" i="7"/>
  <c r="AQ154" i="7"/>
  <c r="AT154" i="7"/>
  <c r="AY154" i="7"/>
  <c r="AO154" i="7"/>
  <c r="AS154" i="7"/>
  <c r="AU154" i="7"/>
  <c r="AV154" i="7"/>
  <c r="CC83" i="7"/>
  <c r="CA83" i="7"/>
  <c r="CD83" i="7"/>
  <c r="BY83" i="7"/>
  <c r="CH83" i="7"/>
  <c r="CB83" i="7"/>
  <c r="CI83" i="7"/>
  <c r="BZ83" i="7"/>
  <c r="CG83" i="7"/>
  <c r="CE83" i="7"/>
  <c r="CF83" i="7"/>
  <c r="CG25" i="7"/>
  <c r="CD25" i="7"/>
  <c r="BZ25" i="7"/>
  <c r="CH25" i="7"/>
  <c r="CE25" i="7"/>
  <c r="CC25" i="7"/>
  <c r="BY25" i="7"/>
  <c r="CI25" i="7"/>
  <c r="CF25" i="7"/>
  <c r="CA25" i="7"/>
  <c r="CB25" i="7"/>
  <c r="CF173" i="7"/>
  <c r="CG173" i="7"/>
  <c r="BY173" i="7"/>
  <c r="CE173" i="7"/>
  <c r="CB173" i="7"/>
  <c r="CA173" i="7"/>
  <c r="BZ173" i="7"/>
  <c r="CH173" i="7"/>
  <c r="CI173" i="7"/>
  <c r="CD173" i="7"/>
  <c r="CC173" i="7"/>
  <c r="AV95" i="7"/>
  <c r="AT95" i="7"/>
  <c r="AP95" i="7"/>
  <c r="AO95" i="7"/>
  <c r="AQ95" i="7"/>
  <c r="AS95" i="7"/>
  <c r="AY95" i="7"/>
  <c r="AX95" i="7"/>
  <c r="AR95" i="7"/>
  <c r="AW95" i="7"/>
  <c r="AU95" i="7"/>
  <c r="AR357" i="7"/>
  <c r="AW357" i="7"/>
  <c r="AP357" i="7"/>
  <c r="AV357" i="7"/>
  <c r="AO357" i="7"/>
  <c r="AT357" i="7"/>
  <c r="AY357" i="7"/>
  <c r="AX357" i="7"/>
  <c r="AQ357" i="7"/>
  <c r="AS357" i="7"/>
  <c r="AU357" i="7"/>
  <c r="AV17" i="7"/>
  <c r="AO17" i="7"/>
  <c r="AT17" i="7"/>
  <c r="AR17" i="7"/>
  <c r="AW17" i="7"/>
  <c r="AP17" i="7"/>
  <c r="AU17" i="7"/>
  <c r="AS17" i="7"/>
  <c r="AQ17" i="7"/>
  <c r="AX17" i="7"/>
  <c r="AY17" i="7"/>
  <c r="BM48" i="7"/>
  <c r="BJ48" i="7"/>
  <c r="BP48" i="7"/>
  <c r="BI48" i="7"/>
  <c r="BH48" i="7"/>
  <c r="BN48" i="7"/>
  <c r="BG48" i="7"/>
  <c r="BL48" i="7"/>
  <c r="BO48" i="7"/>
  <c r="BQ48" i="7"/>
  <c r="BK48" i="7"/>
  <c r="BM160" i="7"/>
  <c r="BP160" i="7"/>
  <c r="BK160" i="7"/>
  <c r="BJ160" i="7"/>
  <c r="BL160" i="7"/>
  <c r="BG160" i="7"/>
  <c r="BH160" i="7"/>
  <c r="BN160" i="7"/>
  <c r="BI160" i="7"/>
  <c r="BO160" i="7"/>
  <c r="BQ160" i="7"/>
  <c r="CF50" i="7"/>
  <c r="BZ50" i="7"/>
  <c r="CH50" i="7"/>
  <c r="CE50" i="7"/>
  <c r="CB50" i="7"/>
  <c r="BY50" i="7"/>
  <c r="CG50" i="7"/>
  <c r="CI50" i="7"/>
  <c r="CA50" i="7"/>
  <c r="CC50" i="7"/>
  <c r="CD50" i="7"/>
  <c r="CH22" i="7"/>
  <c r="CF22" i="7"/>
  <c r="CA22" i="7"/>
  <c r="CG22" i="7"/>
  <c r="CI22" i="7"/>
  <c r="CC22" i="7"/>
  <c r="BY22" i="7"/>
  <c r="CE22" i="7"/>
  <c r="BZ22" i="7"/>
  <c r="CB22" i="7"/>
  <c r="CD22" i="7"/>
  <c r="CD212" i="7"/>
  <c r="CF212" i="7"/>
  <c r="CI212" i="7"/>
  <c r="BZ212" i="7"/>
  <c r="CA212" i="7"/>
  <c r="CC212" i="7"/>
  <c r="CG212" i="7"/>
  <c r="CE212" i="7"/>
  <c r="BY212" i="7"/>
  <c r="CH212" i="7"/>
  <c r="CB212" i="7"/>
  <c r="CF15" i="7"/>
  <c r="CH15" i="7"/>
  <c r="CE15" i="7"/>
  <c r="CB15" i="7"/>
  <c r="BZ15" i="7"/>
  <c r="CA15" i="7"/>
  <c r="CC15" i="7"/>
  <c r="CD15" i="7"/>
  <c r="CG15" i="7"/>
  <c r="BY15" i="7"/>
  <c r="CI15" i="7"/>
  <c r="CB40" i="7"/>
  <c r="CE40" i="7"/>
  <c r="BZ40" i="7"/>
  <c r="CH40" i="7"/>
  <c r="CC40" i="7"/>
  <c r="CG40" i="7"/>
  <c r="CF40" i="7"/>
  <c r="CI40" i="7"/>
  <c r="BY40" i="7"/>
  <c r="CD40" i="7"/>
  <c r="CA40" i="7"/>
  <c r="BY326" i="7" a="1"/>
  <c r="AU79" i="7"/>
  <c r="AS79" i="7"/>
  <c r="AX79" i="7"/>
  <c r="AP79" i="7"/>
  <c r="AV79" i="7"/>
  <c r="AR79" i="7"/>
  <c r="AY79" i="7"/>
  <c r="AO79" i="7"/>
  <c r="AW79" i="7"/>
  <c r="AT79" i="7"/>
  <c r="AQ79" i="7"/>
  <c r="AR4" i="7"/>
  <c r="AO4" i="7"/>
  <c r="AW4" i="7"/>
  <c r="AT4" i="7"/>
  <c r="AS4" i="7"/>
  <c r="AU4" i="7"/>
  <c r="AQ4" i="7"/>
  <c r="AX4" i="7"/>
  <c r="AP4" i="7"/>
  <c r="AV4" i="7"/>
  <c r="AY4" i="7"/>
  <c r="CD106" i="7"/>
  <c r="CB106" i="7"/>
  <c r="BY106" i="7"/>
  <c r="CF106" i="7"/>
  <c r="CG106" i="7"/>
  <c r="CE106" i="7"/>
  <c r="CH106" i="7"/>
  <c r="BZ106" i="7"/>
  <c r="CC106" i="7"/>
  <c r="CI106" i="7"/>
  <c r="CA106" i="7"/>
  <c r="BY284" i="7" a="1"/>
  <c r="CF279" i="7"/>
  <c r="CB279" i="7"/>
  <c r="CI279" i="7"/>
  <c r="CD279" i="7"/>
  <c r="BY279" i="7"/>
  <c r="CE279" i="7"/>
  <c r="BZ279" i="7"/>
  <c r="CH279" i="7"/>
  <c r="CA279" i="7"/>
  <c r="CG279" i="7"/>
  <c r="CC279" i="7"/>
  <c r="BY111" i="7" a="1"/>
  <c r="AV355" i="7"/>
  <c r="AW355" i="7"/>
  <c r="AP355" i="7"/>
  <c r="AX355" i="7"/>
  <c r="AO355" i="7"/>
  <c r="AY355" i="7"/>
  <c r="AS355" i="7"/>
  <c r="AQ355" i="7"/>
  <c r="AU355" i="7"/>
  <c r="AT355" i="7"/>
  <c r="AR355" i="7"/>
  <c r="AT386" i="7"/>
  <c r="AQ386" i="7"/>
  <c r="AP386" i="7"/>
  <c r="AY386" i="7"/>
  <c r="AV386" i="7"/>
  <c r="AX386" i="7"/>
  <c r="AS386" i="7"/>
  <c r="AU386" i="7"/>
  <c r="AW386" i="7"/>
  <c r="AO386" i="7"/>
  <c r="AR386" i="7"/>
  <c r="AS171" i="7"/>
  <c r="AY171" i="7"/>
  <c r="AP171" i="7"/>
  <c r="AU171" i="7"/>
  <c r="AT171" i="7"/>
  <c r="AQ171" i="7"/>
  <c r="AO171" i="7"/>
  <c r="AX171" i="7"/>
  <c r="AR171" i="7"/>
  <c r="AV171" i="7"/>
  <c r="AW171" i="7"/>
  <c r="AS394" i="7"/>
  <c r="AV394" i="7"/>
  <c r="AU394" i="7"/>
  <c r="AW394" i="7"/>
  <c r="AQ394" i="7"/>
  <c r="AR394" i="7"/>
  <c r="AT394" i="7"/>
  <c r="AX394" i="7"/>
  <c r="AP394" i="7"/>
  <c r="AY394" i="7"/>
  <c r="AO394" i="7"/>
  <c r="AT346" i="7"/>
  <c r="AR346" i="7"/>
  <c r="AW346" i="7"/>
  <c r="AP346" i="7"/>
  <c r="AO346" i="7"/>
  <c r="AV346" i="7"/>
  <c r="AS346" i="7"/>
  <c r="AU346" i="7"/>
  <c r="AY346" i="7"/>
  <c r="AQ346" i="7"/>
  <c r="AX346" i="7"/>
  <c r="BP327" i="7"/>
  <c r="BQ327" i="7"/>
  <c r="BM327" i="7"/>
  <c r="BI327" i="7"/>
  <c r="BJ327" i="7"/>
  <c r="BO327" i="7"/>
  <c r="BN327" i="7"/>
  <c r="BG327" i="7"/>
  <c r="BH327" i="7"/>
  <c r="BL327" i="7"/>
  <c r="BK327" i="7"/>
  <c r="AP310" i="7"/>
  <c r="AV310" i="7"/>
  <c r="AS310" i="7"/>
  <c r="AY310" i="7"/>
  <c r="AO310" i="7"/>
  <c r="AU310" i="7"/>
  <c r="AW310" i="7"/>
  <c r="AQ310" i="7"/>
  <c r="AR310" i="7"/>
  <c r="AT310" i="7"/>
  <c r="AX310" i="7"/>
  <c r="CD114" i="7"/>
  <c r="CB114" i="7"/>
  <c r="CI114" i="7"/>
  <c r="CC114" i="7"/>
  <c r="CA114" i="7"/>
  <c r="CH114" i="7"/>
  <c r="CG114" i="7"/>
  <c r="BZ114" i="7"/>
  <c r="BY114" i="7"/>
  <c r="CE114" i="7"/>
  <c r="CF114" i="7"/>
  <c r="AW63" i="7"/>
  <c r="AV63" i="7"/>
  <c r="AP63" i="7"/>
  <c r="AS63" i="7"/>
  <c r="AY63" i="7"/>
  <c r="AX63" i="7"/>
  <c r="AO63" i="7"/>
  <c r="AU63" i="7"/>
  <c r="AT63" i="7"/>
  <c r="AR63" i="7"/>
  <c r="AQ63" i="7"/>
  <c r="AV49" i="7"/>
  <c r="AO49" i="7"/>
  <c r="AX49" i="7"/>
  <c r="AP49" i="7"/>
  <c r="AU49" i="7"/>
  <c r="AR49" i="7"/>
  <c r="AQ49" i="7"/>
  <c r="AW49" i="7"/>
  <c r="AS49" i="7"/>
  <c r="AT49" i="7"/>
  <c r="AY49" i="7"/>
  <c r="AR145" i="7"/>
  <c r="AP145" i="7"/>
  <c r="AX145" i="7"/>
  <c r="AW145" i="7"/>
  <c r="AY145" i="7"/>
  <c r="AO145" i="7"/>
  <c r="AS145" i="7"/>
  <c r="AU145" i="7"/>
  <c r="AV145" i="7"/>
  <c r="AQ145" i="7"/>
  <c r="AT145" i="7"/>
  <c r="AV122" i="7"/>
  <c r="AT122" i="7"/>
  <c r="AP122" i="7"/>
  <c r="AO122" i="7"/>
  <c r="AS122" i="7"/>
  <c r="AY122" i="7"/>
  <c r="AX122" i="7"/>
  <c r="AU122" i="7"/>
  <c r="AR122" i="7"/>
  <c r="AQ122" i="7"/>
  <c r="AW122" i="7"/>
  <c r="BM108" i="7"/>
  <c r="BP108" i="7"/>
  <c r="BK108" i="7"/>
  <c r="BJ108" i="7"/>
  <c r="BL108" i="7"/>
  <c r="BG108" i="7"/>
  <c r="BH108" i="7"/>
  <c r="BN108" i="7"/>
  <c r="BI108" i="7"/>
  <c r="BO108" i="7"/>
  <c r="BQ108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87" i="7"/>
  <c r="CD87" i="7"/>
  <c r="BY87" i="7"/>
  <c r="CH87" i="7"/>
  <c r="CI87" i="7"/>
  <c r="BZ87" i="7"/>
  <c r="CG87" i="7"/>
  <c r="CE87" i="7"/>
  <c r="CB87" i="7"/>
  <c r="CC87" i="7"/>
  <c r="CA87" i="7"/>
  <c r="CD102" i="7"/>
  <c r="CH102" i="7"/>
  <c r="BZ102" i="7"/>
  <c r="CG102" i="7"/>
  <c r="CE102" i="7"/>
  <c r="BY102" i="7"/>
  <c r="CF102" i="7"/>
  <c r="CB102" i="7"/>
  <c r="CC102" i="7"/>
  <c r="CI102" i="7"/>
  <c r="CA102" i="7"/>
  <c r="CI313" i="7"/>
  <c r="CC313" i="7"/>
  <c r="CF313" i="7"/>
  <c r="BY313" i="7"/>
  <c r="CA313" i="7"/>
  <c r="CH313" i="7"/>
  <c r="CE313" i="7"/>
  <c r="CG313" i="7"/>
  <c r="CB313" i="7"/>
  <c r="BZ313" i="7"/>
  <c r="CD313" i="7"/>
  <c r="BY271" i="7" a="1"/>
  <c r="CC167" i="7"/>
  <c r="CI167" i="7"/>
  <c r="CD167" i="7"/>
  <c r="CF167" i="7"/>
  <c r="CG167" i="7"/>
  <c r="CE167" i="7"/>
  <c r="BZ167" i="7"/>
  <c r="CB167" i="7"/>
  <c r="CA167" i="7"/>
  <c r="CH167" i="7"/>
  <c r="BY167" i="7"/>
  <c r="CI38" i="7"/>
  <c r="CD38" i="7"/>
  <c r="BY38" i="7"/>
  <c r="CA38" i="7"/>
  <c r="CG38" i="7"/>
  <c r="CB38" i="7"/>
  <c r="CE38" i="7"/>
  <c r="CF38" i="7"/>
  <c r="CH38" i="7"/>
  <c r="BZ38" i="7"/>
  <c r="CC38" i="7"/>
  <c r="AV281" i="7"/>
  <c r="AR281" i="7"/>
  <c r="AO281" i="7"/>
  <c r="AW281" i="7"/>
  <c r="AT281" i="7"/>
  <c r="AP281" i="7"/>
  <c r="AS281" i="7"/>
  <c r="AU281" i="7"/>
  <c r="AY281" i="7"/>
  <c r="AQ281" i="7"/>
  <c r="AX281" i="7"/>
  <c r="AW347" i="7"/>
  <c r="AV347" i="7"/>
  <c r="AP347" i="7"/>
  <c r="AS347" i="7"/>
  <c r="AR347" i="7"/>
  <c r="AY347" i="7"/>
  <c r="AX347" i="7"/>
  <c r="AU347" i="7"/>
  <c r="AO347" i="7"/>
  <c r="AT347" i="7"/>
  <c r="AQ347" i="7"/>
  <c r="AQ74" i="7"/>
  <c r="AY74" i="7"/>
  <c r="AX74" i="7"/>
  <c r="AU74" i="7"/>
  <c r="AR74" i="7"/>
  <c r="AS74" i="7"/>
  <c r="AO74" i="7"/>
  <c r="AP74" i="7"/>
  <c r="AW74" i="7"/>
  <c r="AT74" i="7"/>
  <c r="AV74" i="7"/>
  <c r="AV22" i="7"/>
  <c r="AO22" i="7"/>
  <c r="AU22" i="7"/>
  <c r="AP22" i="7"/>
  <c r="AQ22" i="7"/>
  <c r="AR22" i="7"/>
  <c r="AS22" i="7"/>
  <c r="AT22" i="7"/>
  <c r="AX22" i="7"/>
  <c r="AW22" i="7"/>
  <c r="AY22" i="7"/>
  <c r="AX212" i="7"/>
  <c r="AS212" i="7"/>
  <c r="AY212" i="7"/>
  <c r="AR212" i="7"/>
  <c r="AO212" i="7"/>
  <c r="AU212" i="7"/>
  <c r="AT212" i="7"/>
  <c r="AQ212" i="7"/>
  <c r="AP212" i="7"/>
  <c r="AW212" i="7"/>
  <c r="AV212" i="7"/>
  <c r="BM60" i="7"/>
  <c r="BO60" i="7"/>
  <c r="BI60" i="7"/>
  <c r="BP60" i="7"/>
  <c r="BK60" i="7"/>
  <c r="BQ60" i="7"/>
  <c r="BJ60" i="7"/>
  <c r="BL60" i="7"/>
  <c r="BG60" i="7"/>
  <c r="BH60" i="7"/>
  <c r="BN60" i="7"/>
  <c r="AS97" i="7"/>
  <c r="AR97" i="7"/>
  <c r="AW97" i="7"/>
  <c r="AQ97" i="7"/>
  <c r="AP97" i="7"/>
  <c r="AT97" i="7"/>
  <c r="AX97" i="7"/>
  <c r="AY97" i="7"/>
  <c r="AO97" i="7"/>
  <c r="AU97" i="7"/>
  <c r="AV97" i="7"/>
  <c r="CA355" i="7"/>
  <c r="CG355" i="7"/>
  <c r="CB355" i="7"/>
  <c r="CI355" i="7"/>
  <c r="CD355" i="7"/>
  <c r="BY355" i="7"/>
  <c r="CH355" i="7"/>
  <c r="BZ355" i="7"/>
  <c r="CC355" i="7"/>
  <c r="CE355" i="7"/>
  <c r="CF355" i="7"/>
  <c r="CC348" i="7"/>
  <c r="CA348" i="7"/>
  <c r="CD348" i="7"/>
  <c r="CI348" i="7"/>
  <c r="BZ348" i="7"/>
  <c r="BY348" i="7"/>
  <c r="CB348" i="7"/>
  <c r="CF348" i="7"/>
  <c r="CE348" i="7"/>
  <c r="CH348" i="7"/>
  <c r="CG348" i="7"/>
  <c r="CF195" i="7"/>
  <c r="BZ195" i="7"/>
  <c r="CE195" i="7"/>
  <c r="CB195" i="7"/>
  <c r="CH195" i="7"/>
  <c r="CA195" i="7"/>
  <c r="CC195" i="7"/>
  <c r="BY195" i="7"/>
  <c r="CD195" i="7"/>
  <c r="CI195" i="7"/>
  <c r="CG195" i="7"/>
  <c r="BM207" i="7"/>
  <c r="BO207" i="7"/>
  <c r="BI207" i="7"/>
  <c r="BJ207" i="7"/>
  <c r="BP207" i="7"/>
  <c r="BK207" i="7"/>
  <c r="BQ207" i="7"/>
  <c r="BL207" i="7"/>
  <c r="BG207" i="7"/>
  <c r="BH207" i="7"/>
  <c r="BN207" i="7"/>
  <c r="BY84" i="7" a="1"/>
  <c r="CD123" i="7"/>
  <c r="CB123" i="7"/>
  <c r="CG123" i="7"/>
  <c r="CE123" i="7"/>
  <c r="BY123" i="7"/>
  <c r="CF123" i="7"/>
  <c r="CH123" i="7"/>
  <c r="CC123" i="7"/>
  <c r="BZ123" i="7"/>
  <c r="CI123" i="7"/>
  <c r="CA123" i="7"/>
  <c r="BM115" i="7"/>
  <c r="BI115" i="7"/>
  <c r="BQ115" i="7"/>
  <c r="BJ115" i="7"/>
  <c r="BO115" i="7"/>
  <c r="BP115" i="7"/>
  <c r="BK115" i="7"/>
  <c r="BL115" i="7"/>
  <c r="BG115" i="7"/>
  <c r="BH115" i="7"/>
  <c r="BN115" i="7"/>
  <c r="AV104" i="7"/>
  <c r="AO104" i="7"/>
  <c r="AT104" i="7"/>
  <c r="AR104" i="7"/>
  <c r="AP104" i="7"/>
  <c r="AW104" i="7"/>
  <c r="AS104" i="7"/>
  <c r="AU104" i="7"/>
  <c r="AX104" i="7"/>
  <c r="AY104" i="7"/>
  <c r="AQ104" i="7"/>
  <c r="AW98" i="7"/>
  <c r="AP98" i="7"/>
  <c r="AV98" i="7"/>
  <c r="AO98" i="7"/>
  <c r="AT98" i="7"/>
  <c r="AR98" i="7"/>
  <c r="AY98" i="7"/>
  <c r="AX98" i="7"/>
  <c r="AQ98" i="7"/>
  <c r="AU98" i="7"/>
  <c r="AS98" i="7"/>
  <c r="BY224" i="7" a="1"/>
  <c r="CI55" i="7"/>
  <c r="CD55" i="7"/>
  <c r="BY55" i="7"/>
  <c r="CA55" i="7"/>
  <c r="CH55" i="7"/>
  <c r="CE55" i="7"/>
  <c r="CG55" i="7"/>
  <c r="CB55" i="7"/>
  <c r="BZ55" i="7"/>
  <c r="CC55" i="7"/>
  <c r="CF55" i="7"/>
  <c r="CF322" i="7"/>
  <c r="CE322" i="7"/>
  <c r="CB322" i="7"/>
  <c r="BY322" i="7"/>
  <c r="CG322" i="7"/>
  <c r="CH322" i="7"/>
  <c r="CI322" i="7"/>
  <c r="CA322" i="7"/>
  <c r="BZ322" i="7"/>
  <c r="CD322" i="7"/>
  <c r="CC322" i="7"/>
  <c r="AR211" i="7"/>
  <c r="AW211" i="7"/>
  <c r="AP211" i="7"/>
  <c r="AV211" i="7"/>
  <c r="AO211" i="7"/>
  <c r="AT211" i="7"/>
  <c r="AY211" i="7"/>
  <c r="AX211" i="7"/>
  <c r="AQ211" i="7"/>
  <c r="AU211" i="7"/>
  <c r="AS211" i="7"/>
  <c r="AS221" i="7"/>
  <c r="AY221" i="7"/>
  <c r="AP221" i="7"/>
  <c r="AX221" i="7"/>
  <c r="AU221" i="7"/>
  <c r="AT221" i="7"/>
  <c r="AQ221" i="7"/>
  <c r="AO221" i="7"/>
  <c r="AV221" i="7"/>
  <c r="AR221" i="7"/>
  <c r="AW221" i="7"/>
  <c r="BY353" i="7" a="1"/>
  <c r="CB221" i="7"/>
  <c r="CA221" i="7"/>
  <c r="CG221" i="7"/>
  <c r="BY221" i="7"/>
  <c r="CE221" i="7"/>
  <c r="CC221" i="7"/>
  <c r="CD221" i="7"/>
  <c r="CH221" i="7"/>
  <c r="CF221" i="7"/>
  <c r="BZ221" i="7"/>
  <c r="CI221" i="7"/>
  <c r="BY70" i="7" a="1"/>
  <c r="AU61" i="7"/>
  <c r="AX61" i="7"/>
  <c r="AO61" i="7"/>
  <c r="AY61" i="7"/>
  <c r="AT61" i="7"/>
  <c r="AV61" i="7"/>
  <c r="AW61" i="7"/>
  <c r="AQ61" i="7"/>
  <c r="AR61" i="7"/>
  <c r="AP61" i="7"/>
  <c r="AS61" i="7"/>
  <c r="AV143" i="7"/>
  <c r="AO143" i="7"/>
  <c r="AT143" i="7"/>
  <c r="AR143" i="7"/>
  <c r="AW143" i="7"/>
  <c r="AP143" i="7"/>
  <c r="AY143" i="7"/>
  <c r="AX143" i="7"/>
  <c r="AQ143" i="7"/>
  <c r="AU143" i="7"/>
  <c r="AS143" i="7"/>
  <c r="BY318" i="7" a="1"/>
  <c r="BY23" i="7" a="1"/>
  <c r="CB341" i="7"/>
  <c r="CH341" i="7"/>
  <c r="CC341" i="7"/>
  <c r="CE341" i="7"/>
  <c r="BZ341" i="7"/>
  <c r="CD341" i="7"/>
  <c r="CG341" i="7"/>
  <c r="CI341" i="7"/>
  <c r="BY341" i="7"/>
  <c r="CF341" i="7"/>
  <c r="CA341" i="7"/>
  <c r="CF21" i="7"/>
  <c r="CB21" i="7"/>
  <c r="CI21" i="7"/>
  <c r="CD21" i="7"/>
  <c r="BY21" i="7"/>
  <c r="BZ21" i="7"/>
  <c r="CC21" i="7"/>
  <c r="CE21" i="7"/>
  <c r="CA21" i="7"/>
  <c r="CG21" i="7"/>
  <c r="CH21" i="7"/>
  <c r="AW136" i="7"/>
  <c r="AP136" i="7"/>
  <c r="AV136" i="7"/>
  <c r="AO136" i="7"/>
  <c r="AT136" i="7"/>
  <c r="AR136" i="7"/>
  <c r="AY136" i="7"/>
  <c r="AX136" i="7"/>
  <c r="AQ136" i="7"/>
  <c r="AU136" i="7"/>
  <c r="AS136" i="7"/>
  <c r="BP37" i="7"/>
  <c r="BQ37" i="7"/>
  <c r="BM37" i="7"/>
  <c r="BI37" i="7"/>
  <c r="BJ37" i="7"/>
  <c r="BO37" i="7"/>
  <c r="BN37" i="7"/>
  <c r="BG37" i="7"/>
  <c r="BH37" i="7"/>
  <c r="BK37" i="7"/>
  <c r="BL37" i="7"/>
  <c r="CH343" i="7"/>
  <c r="CF343" i="7"/>
  <c r="CA343" i="7"/>
  <c r="CD343" i="7"/>
  <c r="BZ343" i="7"/>
  <c r="CG343" i="7"/>
  <c r="CI343" i="7"/>
  <c r="CB343" i="7"/>
  <c r="CC343" i="7"/>
  <c r="BY343" i="7"/>
  <c r="CE343" i="7"/>
  <c r="BP356" i="7"/>
  <c r="BQ356" i="7"/>
  <c r="BM356" i="7"/>
  <c r="BI356" i="7"/>
  <c r="BH356" i="7"/>
  <c r="BG356" i="7"/>
  <c r="BL356" i="7"/>
  <c r="BJ356" i="7"/>
  <c r="BK356" i="7"/>
  <c r="BN356" i="7"/>
  <c r="BO356" i="7"/>
  <c r="AR303" i="7"/>
  <c r="AW303" i="7"/>
  <c r="AP303" i="7"/>
  <c r="AV303" i="7"/>
  <c r="AO303" i="7"/>
  <c r="AT303" i="7"/>
  <c r="AY303" i="7"/>
  <c r="AX303" i="7"/>
  <c r="AQ303" i="7"/>
  <c r="AS303" i="7"/>
  <c r="AU303" i="7"/>
  <c r="AV201" i="7"/>
  <c r="AO201" i="7"/>
  <c r="AY201" i="7"/>
  <c r="AW201" i="7"/>
  <c r="AP201" i="7"/>
  <c r="AX201" i="7"/>
  <c r="AR201" i="7"/>
  <c r="AS201" i="7"/>
  <c r="AQ201" i="7"/>
  <c r="AU201" i="7"/>
  <c r="AT201" i="7"/>
  <c r="AT261" i="7"/>
  <c r="AQ261" i="7"/>
  <c r="AV261" i="7"/>
  <c r="AP261" i="7"/>
  <c r="AY261" i="7"/>
  <c r="AS261" i="7"/>
  <c r="AU261" i="7"/>
  <c r="AX261" i="7"/>
  <c r="AO261" i="7"/>
  <c r="AR261" i="7"/>
  <c r="AW261" i="7"/>
  <c r="CA182" i="7"/>
  <c r="CG182" i="7"/>
  <c r="BY182" i="7"/>
  <c r="CE182" i="7"/>
  <c r="CB182" i="7"/>
  <c r="BZ182" i="7"/>
  <c r="CH182" i="7"/>
  <c r="CI182" i="7"/>
  <c r="CC182" i="7"/>
  <c r="CD182" i="7"/>
  <c r="CF182" i="7"/>
  <c r="BY203" i="7" a="1"/>
  <c r="AV267" i="7"/>
  <c r="AO267" i="7"/>
  <c r="AW267" i="7"/>
  <c r="AT267" i="7"/>
  <c r="AR267" i="7"/>
  <c r="AQ267" i="7"/>
  <c r="AS267" i="7"/>
  <c r="AY267" i="7"/>
  <c r="AX267" i="7"/>
  <c r="AU267" i="7"/>
  <c r="AP267" i="7"/>
  <c r="BP390" i="7"/>
  <c r="BJ390" i="7"/>
  <c r="BO390" i="7"/>
  <c r="BQ390" i="7"/>
  <c r="BK390" i="7"/>
  <c r="BG390" i="7"/>
  <c r="BH390" i="7"/>
  <c r="BI390" i="7"/>
  <c r="BL390" i="7"/>
  <c r="BM390" i="7"/>
  <c r="BN390" i="7"/>
  <c r="AU21" i="7"/>
  <c r="AR21" i="7"/>
  <c r="AX21" i="7"/>
  <c r="AQ21" i="7"/>
  <c r="AV21" i="7"/>
  <c r="AP21" i="7"/>
  <c r="AW21" i="7"/>
  <c r="AY21" i="7"/>
  <c r="AS21" i="7"/>
  <c r="AO21" i="7"/>
  <c r="AT21" i="7"/>
  <c r="BM49" i="7"/>
  <c r="BQ49" i="7"/>
  <c r="BJ49" i="7"/>
  <c r="BI49" i="7"/>
  <c r="BL49" i="7"/>
  <c r="BG49" i="7"/>
  <c r="BH49" i="7"/>
  <c r="BN49" i="7"/>
  <c r="BO49" i="7"/>
  <c r="BP49" i="7"/>
  <c r="BK49" i="7"/>
  <c r="CG185" i="7"/>
  <c r="CF185" i="7"/>
  <c r="CA185" i="7"/>
  <c r="CD185" i="7"/>
  <c r="BY185" i="7"/>
  <c r="CC185" i="7"/>
  <c r="BZ185" i="7"/>
  <c r="CE185" i="7"/>
  <c r="CI185" i="7"/>
  <c r="CB185" i="7"/>
  <c r="CH185" i="7"/>
  <c r="CH187" i="7"/>
  <c r="CB187" i="7"/>
  <c r="BY187" i="7"/>
  <c r="CI187" i="7"/>
  <c r="BZ187" i="7"/>
  <c r="CA187" i="7"/>
  <c r="CC187" i="7"/>
  <c r="CD187" i="7"/>
  <c r="CG187" i="7"/>
  <c r="CF187" i="7"/>
  <c r="CE187" i="7"/>
  <c r="AS377" i="7"/>
  <c r="AV377" i="7"/>
  <c r="AP377" i="7"/>
  <c r="AY377" i="7"/>
  <c r="AR377" i="7"/>
  <c r="AU377" i="7"/>
  <c r="AT377" i="7"/>
  <c r="AQ377" i="7"/>
  <c r="AO377" i="7"/>
  <c r="AW377" i="7"/>
  <c r="AX377" i="7"/>
  <c r="AR174" i="7"/>
  <c r="AW174" i="7"/>
  <c r="AP174" i="7"/>
  <c r="AV174" i="7"/>
  <c r="AO174" i="7"/>
  <c r="AT174" i="7"/>
  <c r="AU174" i="7"/>
  <c r="AS174" i="7"/>
  <c r="AQ174" i="7"/>
  <c r="AX174" i="7"/>
  <c r="AY174" i="7"/>
  <c r="AT389" i="7"/>
  <c r="AQ389" i="7"/>
  <c r="AP389" i="7"/>
  <c r="AY389" i="7"/>
  <c r="AV389" i="7"/>
  <c r="AS389" i="7"/>
  <c r="AU389" i="7"/>
  <c r="AX389" i="7"/>
  <c r="AW389" i="7"/>
  <c r="AO389" i="7"/>
  <c r="AR389" i="7"/>
  <c r="CF78" i="7"/>
  <c r="CD78" i="7"/>
  <c r="BY78" i="7"/>
  <c r="CH78" i="7"/>
  <c r="CI78" i="7"/>
  <c r="BZ78" i="7"/>
  <c r="CG78" i="7"/>
  <c r="CE78" i="7"/>
  <c r="CC78" i="7"/>
  <c r="CA78" i="7"/>
  <c r="CB78" i="7"/>
  <c r="CF287" i="7"/>
  <c r="CB287" i="7"/>
  <c r="CD287" i="7"/>
  <c r="CC287" i="7"/>
  <c r="CA287" i="7"/>
  <c r="CI287" i="7"/>
  <c r="BZ287" i="7"/>
  <c r="BY287" i="7"/>
  <c r="CE287" i="7"/>
  <c r="CG287" i="7"/>
  <c r="CH287" i="7"/>
  <c r="BY164" i="7" a="1"/>
  <c r="AW131" i="7"/>
  <c r="AT131" i="7"/>
  <c r="AO131" i="7"/>
  <c r="AP131" i="7"/>
  <c r="AY131" i="7"/>
  <c r="AX131" i="7"/>
  <c r="AU131" i="7"/>
  <c r="AQ131" i="7"/>
  <c r="AV131" i="7"/>
  <c r="AS131" i="7"/>
  <c r="AR131" i="7"/>
  <c r="AT219" i="7"/>
  <c r="AU219" i="7"/>
  <c r="AX219" i="7"/>
  <c r="AS219" i="7"/>
  <c r="AQ219" i="7"/>
  <c r="AR219" i="7"/>
  <c r="AV219" i="7"/>
  <c r="AW219" i="7"/>
  <c r="AO219" i="7"/>
  <c r="AY219" i="7"/>
  <c r="AP219" i="7"/>
  <c r="BM107" i="7"/>
  <c r="BI107" i="7"/>
  <c r="BQ107" i="7"/>
  <c r="BJ107" i="7"/>
  <c r="BO107" i="7"/>
  <c r="BP107" i="7"/>
  <c r="BK107" i="7"/>
  <c r="BL107" i="7"/>
  <c r="BG107" i="7"/>
  <c r="BH107" i="7"/>
  <c r="BN107" i="7"/>
  <c r="BM233" i="7"/>
  <c r="BP233" i="7"/>
  <c r="BK233" i="7"/>
  <c r="BJ233" i="7"/>
  <c r="BL233" i="7"/>
  <c r="BG233" i="7"/>
  <c r="BH233" i="7"/>
  <c r="BN233" i="7"/>
  <c r="BI233" i="7"/>
  <c r="BO233" i="7"/>
  <c r="BQ233" i="7"/>
  <c r="CF69" i="7"/>
  <c r="CE69" i="7"/>
  <c r="CB69" i="7"/>
  <c r="BZ69" i="7"/>
  <c r="CH69" i="7"/>
  <c r="CG69" i="7"/>
  <c r="CI69" i="7"/>
  <c r="CA69" i="7"/>
  <c r="BY69" i="7"/>
  <c r="CC69" i="7"/>
  <c r="CD69" i="7"/>
  <c r="AP318" i="7"/>
  <c r="AV318" i="7"/>
  <c r="AS318" i="7"/>
  <c r="AW318" i="7"/>
  <c r="AX318" i="7"/>
  <c r="AY318" i="7"/>
  <c r="AR318" i="7"/>
  <c r="AU318" i="7"/>
  <c r="AT318" i="7"/>
  <c r="AQ318" i="7"/>
  <c r="AO318" i="7"/>
  <c r="AS207" i="7"/>
  <c r="AY207" i="7"/>
  <c r="AP207" i="7"/>
  <c r="AU207" i="7"/>
  <c r="AT207" i="7"/>
  <c r="AQ207" i="7"/>
  <c r="AO207" i="7"/>
  <c r="AX207" i="7"/>
  <c r="AV207" i="7"/>
  <c r="AR207" i="7"/>
  <c r="AW207" i="7"/>
  <c r="AV102" i="7"/>
  <c r="AW102" i="7"/>
  <c r="AR102" i="7"/>
  <c r="AP102" i="7"/>
  <c r="AY102" i="7"/>
  <c r="AX102" i="7"/>
  <c r="AT102" i="7"/>
  <c r="AU102" i="7"/>
  <c r="AQ102" i="7"/>
  <c r="AS102" i="7"/>
  <c r="AO102" i="7"/>
  <c r="AS147" i="7"/>
  <c r="AY147" i="7"/>
  <c r="AP147" i="7"/>
  <c r="AX147" i="7"/>
  <c r="AU147" i="7"/>
  <c r="AT147" i="7"/>
  <c r="AQ147" i="7"/>
  <c r="AO147" i="7"/>
  <c r="AV147" i="7"/>
  <c r="AR147" i="7"/>
  <c r="AW147" i="7"/>
  <c r="CB103" i="7"/>
  <c r="CI103" i="7"/>
  <c r="CA103" i="7"/>
  <c r="CG103" i="7"/>
  <c r="CC103" i="7"/>
  <c r="CF103" i="7"/>
  <c r="CE103" i="7"/>
  <c r="CH103" i="7"/>
  <c r="CD103" i="7"/>
  <c r="BY103" i="7"/>
  <c r="BZ103" i="7"/>
  <c r="CI217" i="7"/>
  <c r="CH217" i="7"/>
  <c r="CB217" i="7"/>
  <c r="BY217" i="7"/>
  <c r="BZ217" i="7"/>
  <c r="CA217" i="7"/>
  <c r="CC217" i="7"/>
  <c r="CF217" i="7"/>
  <c r="CE217" i="7"/>
  <c r="CD217" i="7"/>
  <c r="CG217" i="7"/>
  <c r="BY150" i="7" a="1"/>
  <c r="CF255" i="7"/>
  <c r="CB255" i="7"/>
  <c r="BZ255" i="7"/>
  <c r="CG255" i="7"/>
  <c r="CE255" i="7"/>
  <c r="BY255" i="7"/>
  <c r="CD255" i="7"/>
  <c r="CA255" i="7"/>
  <c r="CH255" i="7"/>
  <c r="CC255" i="7"/>
  <c r="CI255" i="7"/>
  <c r="AV304" i="7"/>
  <c r="AO304" i="7"/>
  <c r="AW304" i="7"/>
  <c r="AT304" i="7"/>
  <c r="AR304" i="7"/>
  <c r="AP304" i="7"/>
  <c r="AQ304" i="7"/>
  <c r="AS304" i="7"/>
  <c r="AY304" i="7"/>
  <c r="AX304" i="7"/>
  <c r="AU304" i="7"/>
  <c r="AV162" i="7"/>
  <c r="AO162" i="7"/>
  <c r="AT162" i="7"/>
  <c r="AR162" i="7"/>
  <c r="AP162" i="7"/>
  <c r="AW162" i="7"/>
  <c r="AS162" i="7"/>
  <c r="AU162" i="7"/>
  <c r="AY162" i="7"/>
  <c r="AQ162" i="7"/>
  <c r="AX162" i="7"/>
  <c r="AW294" i="7"/>
  <c r="AV294" i="7"/>
  <c r="AP294" i="7"/>
  <c r="AR294" i="7"/>
  <c r="AU294" i="7"/>
  <c r="AQ294" i="7"/>
  <c r="AS294" i="7"/>
  <c r="AO294" i="7"/>
  <c r="AY294" i="7"/>
  <c r="AX294" i="7"/>
  <c r="AT294" i="7"/>
  <c r="AR12" i="7"/>
  <c r="AO12" i="7"/>
  <c r="AW12" i="7"/>
  <c r="AT12" i="7"/>
  <c r="AY12" i="7"/>
  <c r="AX12" i="7"/>
  <c r="AQ12" i="7"/>
  <c r="AS12" i="7"/>
  <c r="AP12" i="7"/>
  <c r="AV12" i="7"/>
  <c r="AU12" i="7"/>
  <c r="AX130" i="7"/>
  <c r="AU130" i="7"/>
  <c r="AT130" i="7"/>
  <c r="AQ130" i="7"/>
  <c r="AO130" i="7"/>
  <c r="AS130" i="7"/>
  <c r="AV130" i="7"/>
  <c r="AW130" i="7"/>
  <c r="AY130" i="7"/>
  <c r="AP130" i="7"/>
  <c r="AR130" i="7"/>
  <c r="AW264" i="7"/>
  <c r="AV264" i="7"/>
  <c r="AP264" i="7"/>
  <c r="AU264" i="7"/>
  <c r="AR264" i="7"/>
  <c r="AS264" i="7"/>
  <c r="AY264" i="7"/>
  <c r="AQ264" i="7"/>
  <c r="AO264" i="7"/>
  <c r="AX264" i="7"/>
  <c r="AT264" i="7"/>
  <c r="CF79" i="7"/>
  <c r="CB79" i="7"/>
  <c r="BY79" i="7"/>
  <c r="CD79" i="7"/>
  <c r="BZ79" i="7"/>
  <c r="CI79" i="7"/>
  <c r="CH79" i="7"/>
  <c r="CG79" i="7"/>
  <c r="CE79" i="7"/>
  <c r="CC79" i="7"/>
  <c r="CA79" i="7"/>
  <c r="BM88" i="7"/>
  <c r="BQ88" i="7"/>
  <c r="BJ88" i="7"/>
  <c r="BI88" i="7"/>
  <c r="BH88" i="7"/>
  <c r="BN88" i="7"/>
  <c r="BO88" i="7"/>
  <c r="BP88" i="7"/>
  <c r="BK88" i="7"/>
  <c r="BL88" i="7"/>
  <c r="BG88" i="7"/>
  <c r="BM85" i="7"/>
  <c r="BO85" i="7"/>
  <c r="BI85" i="7"/>
  <c r="BJ85" i="7"/>
  <c r="BP85" i="7"/>
  <c r="BK85" i="7"/>
  <c r="BQ85" i="7"/>
  <c r="BL85" i="7"/>
  <c r="BG85" i="7"/>
  <c r="BN85" i="7"/>
  <c r="BH85" i="7"/>
  <c r="CF86" i="7"/>
  <c r="CB86" i="7"/>
  <c r="BZ86" i="7"/>
  <c r="CG86" i="7"/>
  <c r="CE86" i="7"/>
  <c r="CC86" i="7"/>
  <c r="CA86" i="7"/>
  <c r="BY86" i="7"/>
  <c r="CD86" i="7"/>
  <c r="CH86" i="7"/>
  <c r="CI86" i="7"/>
  <c r="BY390" i="7" a="1"/>
  <c r="CG148" i="7"/>
  <c r="CF148" i="7"/>
  <c r="CA148" i="7"/>
  <c r="CH148" i="7"/>
  <c r="CI148" i="7"/>
  <c r="CE148" i="7"/>
  <c r="BZ148" i="7"/>
  <c r="CD148" i="7"/>
  <c r="CC148" i="7"/>
  <c r="BY148" i="7"/>
  <c r="CB148" i="7"/>
  <c r="CD118" i="7"/>
  <c r="CH118" i="7"/>
  <c r="CB118" i="7"/>
  <c r="BZ118" i="7"/>
  <c r="CI118" i="7"/>
  <c r="CC118" i="7"/>
  <c r="CA118" i="7"/>
  <c r="CE118" i="7"/>
  <c r="CF118" i="7"/>
  <c r="CG118" i="7"/>
  <c r="BY118" i="7"/>
  <c r="CG202" i="7"/>
  <c r="CF202" i="7"/>
  <c r="CA202" i="7"/>
  <c r="CD202" i="7"/>
  <c r="BY202" i="7"/>
  <c r="CC202" i="7"/>
  <c r="CE202" i="7"/>
  <c r="CH202" i="7"/>
  <c r="CB202" i="7"/>
  <c r="CI202" i="7"/>
  <c r="BZ202" i="7"/>
  <c r="AQ86" i="7"/>
  <c r="AY86" i="7"/>
  <c r="AR86" i="7"/>
  <c r="AU86" i="7"/>
  <c r="AV86" i="7"/>
  <c r="AS86" i="7"/>
  <c r="AW86" i="7"/>
  <c r="AT86" i="7"/>
  <c r="AP86" i="7"/>
  <c r="AO86" i="7"/>
  <c r="AX86" i="7"/>
  <c r="AW288" i="7"/>
  <c r="AT288" i="7"/>
  <c r="AP288" i="7"/>
  <c r="AO288" i="7"/>
  <c r="AV288" i="7"/>
  <c r="AY288" i="7"/>
  <c r="AX288" i="7"/>
  <c r="AQ288" i="7"/>
  <c r="AR288" i="7"/>
  <c r="AU288" i="7"/>
  <c r="AS288" i="7"/>
  <c r="AT7" i="7"/>
  <c r="AU7" i="7"/>
  <c r="AW7" i="7"/>
  <c r="AQ7" i="7"/>
  <c r="AO7" i="7"/>
  <c r="AS7" i="7"/>
  <c r="AP7" i="7"/>
  <c r="AX7" i="7"/>
  <c r="AV7" i="7"/>
  <c r="AR7" i="7"/>
  <c r="AY7" i="7"/>
  <c r="AV124" i="7"/>
  <c r="AW124" i="7"/>
  <c r="AR124" i="7"/>
  <c r="AS124" i="7"/>
  <c r="AO124" i="7"/>
  <c r="AY124" i="7"/>
  <c r="AX124" i="7"/>
  <c r="AP124" i="7"/>
  <c r="AU124" i="7"/>
  <c r="AT124" i="7"/>
  <c r="AQ124" i="7"/>
  <c r="BQ113" i="7"/>
  <c r="BL113" i="7"/>
  <c r="BG113" i="7"/>
  <c r="BI113" i="7"/>
  <c r="BP113" i="7"/>
  <c r="BM113" i="7"/>
  <c r="BO113" i="7"/>
  <c r="BJ113" i="7"/>
  <c r="BH113" i="7"/>
  <c r="BN113" i="7"/>
  <c r="BK113" i="7"/>
  <c r="BM79" i="7"/>
  <c r="BQ79" i="7"/>
  <c r="BJ79" i="7"/>
  <c r="BI79" i="7"/>
  <c r="BH79" i="7"/>
  <c r="BN79" i="7"/>
  <c r="BO79" i="7"/>
  <c r="BP79" i="7"/>
  <c r="BK79" i="7"/>
  <c r="BL79" i="7"/>
  <c r="BG79" i="7"/>
  <c r="AX183" i="7"/>
  <c r="AT183" i="7"/>
  <c r="AR183" i="7"/>
  <c r="AY183" i="7"/>
  <c r="AP183" i="7"/>
  <c r="AW183" i="7"/>
  <c r="AQ183" i="7"/>
  <c r="AO183" i="7"/>
  <c r="AS183" i="7"/>
  <c r="AV183" i="7"/>
  <c r="AU183" i="7"/>
  <c r="CB32" i="7"/>
  <c r="BZ32" i="7"/>
  <c r="CF32" i="7"/>
  <c r="CC32" i="7"/>
  <c r="CA32" i="7"/>
  <c r="CI32" i="7"/>
  <c r="CH32" i="7"/>
  <c r="CD32" i="7"/>
  <c r="CG32" i="7"/>
  <c r="BY32" i="7"/>
  <c r="CE32" i="7"/>
  <c r="CI48" i="7"/>
  <c r="CC48" i="7"/>
  <c r="CF48" i="7"/>
  <c r="BY48" i="7"/>
  <c r="CA48" i="7"/>
  <c r="CH48" i="7"/>
  <c r="CE48" i="7"/>
  <c r="BZ48" i="7"/>
  <c r="CD48" i="7"/>
  <c r="CG48" i="7"/>
  <c r="CB48" i="7"/>
  <c r="CI278" i="7"/>
  <c r="CD278" i="7"/>
  <c r="CH278" i="7"/>
  <c r="CE278" i="7"/>
  <c r="CG278" i="7"/>
  <c r="CB278" i="7"/>
  <c r="BZ278" i="7"/>
  <c r="CC278" i="7"/>
  <c r="CF278" i="7"/>
  <c r="CA278" i="7"/>
  <c r="BY278" i="7"/>
  <c r="BY201" i="7" a="1"/>
  <c r="CG135" i="7"/>
  <c r="CA135" i="7"/>
  <c r="CF135" i="7"/>
  <c r="CH135" i="7"/>
  <c r="CI135" i="7"/>
  <c r="CE135" i="7"/>
  <c r="BZ135" i="7"/>
  <c r="CB135" i="7"/>
  <c r="CD135" i="7"/>
  <c r="CC135" i="7"/>
  <c r="BY135" i="7"/>
  <c r="CA280" i="7"/>
  <c r="CG280" i="7"/>
  <c r="CB280" i="7"/>
  <c r="CI280" i="7"/>
  <c r="CD280" i="7"/>
  <c r="BY280" i="7"/>
  <c r="CC280" i="7"/>
  <c r="CE280" i="7"/>
  <c r="CF280" i="7"/>
  <c r="BZ280" i="7"/>
  <c r="CH280" i="7"/>
  <c r="AP109" i="7"/>
  <c r="AO109" i="7"/>
  <c r="AV109" i="7"/>
  <c r="AT109" i="7"/>
  <c r="AU109" i="7"/>
  <c r="AW109" i="7"/>
  <c r="AQ109" i="7"/>
  <c r="AS109" i="7"/>
  <c r="AR109" i="7"/>
  <c r="AY109" i="7"/>
  <c r="AX109" i="7"/>
  <c r="AV139" i="7"/>
  <c r="AW139" i="7"/>
  <c r="AR139" i="7"/>
  <c r="AP139" i="7"/>
  <c r="AY139" i="7"/>
  <c r="AX139" i="7"/>
  <c r="AT139" i="7"/>
  <c r="AU139" i="7"/>
  <c r="AQ139" i="7"/>
  <c r="AO139" i="7"/>
  <c r="AS139" i="7"/>
  <c r="AV262" i="7"/>
  <c r="AP262" i="7"/>
  <c r="AU262" i="7"/>
  <c r="AR262" i="7"/>
  <c r="AX262" i="7"/>
  <c r="AQ262" i="7"/>
  <c r="AT262" i="7"/>
  <c r="AW262" i="7"/>
  <c r="AY262" i="7"/>
  <c r="AS262" i="7"/>
  <c r="AO262" i="7"/>
  <c r="AV301" i="7"/>
  <c r="AO301" i="7"/>
  <c r="AT301" i="7"/>
  <c r="AR301" i="7"/>
  <c r="AW301" i="7"/>
  <c r="AP301" i="7"/>
  <c r="AS301" i="7"/>
  <c r="AU301" i="7"/>
  <c r="AY301" i="7"/>
  <c r="AQ301" i="7"/>
  <c r="AX301" i="7"/>
  <c r="BJ318" i="7"/>
  <c r="BP318" i="7"/>
  <c r="BI318" i="7"/>
  <c r="BN318" i="7"/>
  <c r="BH318" i="7"/>
  <c r="BM318" i="7"/>
  <c r="BO318" i="7"/>
  <c r="BQ318" i="7"/>
  <c r="BK318" i="7"/>
  <c r="BG318" i="7"/>
  <c r="BL318" i="7"/>
  <c r="AV16" i="7"/>
  <c r="AP16" i="7"/>
  <c r="AU16" i="7"/>
  <c r="AR16" i="7"/>
  <c r="AQ16" i="7"/>
  <c r="AX16" i="7"/>
  <c r="AO16" i="7"/>
  <c r="AT16" i="7"/>
  <c r="AW16" i="7"/>
  <c r="AY16" i="7"/>
  <c r="AS16" i="7"/>
  <c r="CI59" i="7"/>
  <c r="CH59" i="7"/>
  <c r="CE59" i="7"/>
  <c r="CG59" i="7"/>
  <c r="CB59" i="7"/>
  <c r="BZ59" i="7"/>
  <c r="CD59" i="7"/>
  <c r="CC59" i="7"/>
  <c r="CF59" i="7"/>
  <c r="CA59" i="7"/>
  <c r="BY59" i="7"/>
  <c r="CF333" i="7"/>
  <c r="CH333" i="7"/>
  <c r="CE333" i="7"/>
  <c r="CB333" i="7"/>
  <c r="BZ333" i="7"/>
  <c r="CA333" i="7"/>
  <c r="CC333" i="7"/>
  <c r="CD333" i="7"/>
  <c r="BY333" i="7"/>
  <c r="CI333" i="7"/>
  <c r="CG333" i="7"/>
  <c r="CF117" i="7"/>
  <c r="CB117" i="7"/>
  <c r="CG117" i="7"/>
  <c r="CE117" i="7"/>
  <c r="BY117" i="7"/>
  <c r="CH117" i="7"/>
  <c r="CA117" i="7"/>
  <c r="BZ117" i="7"/>
  <c r="CI117" i="7"/>
  <c r="CC117" i="7"/>
  <c r="CD117" i="7"/>
  <c r="CF140" i="7"/>
  <c r="CA140" i="7"/>
  <c r="CG140" i="7"/>
  <c r="BY140" i="7"/>
  <c r="CE140" i="7"/>
  <c r="CB140" i="7"/>
  <c r="BZ140" i="7"/>
  <c r="CH140" i="7"/>
  <c r="CI140" i="7"/>
  <c r="CD140" i="7"/>
  <c r="CC140" i="7"/>
  <c r="CH254" i="7"/>
  <c r="CF254" i="7"/>
  <c r="CA254" i="7"/>
  <c r="CB254" i="7"/>
  <c r="CC254" i="7"/>
  <c r="BY254" i="7"/>
  <c r="CD254" i="7"/>
  <c r="BZ254" i="7"/>
  <c r="CG254" i="7"/>
  <c r="CI254" i="7"/>
  <c r="CE254" i="7"/>
  <c r="CG142" i="7"/>
  <c r="CF142" i="7"/>
  <c r="CA142" i="7"/>
  <c r="BZ142" i="7"/>
  <c r="CH142" i="7"/>
  <c r="CI142" i="7"/>
  <c r="CE142" i="7"/>
  <c r="CB142" i="7"/>
  <c r="CC142" i="7"/>
  <c r="BY142" i="7"/>
  <c r="CD142" i="7"/>
  <c r="AR87" i="7"/>
  <c r="AX87" i="7"/>
  <c r="AS87" i="7"/>
  <c r="AO87" i="7"/>
  <c r="AV87" i="7"/>
  <c r="AY87" i="7"/>
  <c r="AP87" i="7"/>
  <c r="AU87" i="7"/>
  <c r="AW87" i="7"/>
  <c r="AQ87" i="7"/>
  <c r="AT87" i="7"/>
  <c r="AS37" i="7"/>
  <c r="AP37" i="7"/>
  <c r="AV37" i="7"/>
  <c r="AT37" i="7"/>
  <c r="AX37" i="7"/>
  <c r="AY37" i="7"/>
  <c r="AO37" i="7"/>
  <c r="AU37" i="7"/>
  <c r="AW37" i="7"/>
  <c r="AQ37" i="7"/>
  <c r="AR37" i="7"/>
  <c r="AV390" i="7"/>
  <c r="AT390" i="7"/>
  <c r="AR390" i="7"/>
  <c r="AO390" i="7"/>
  <c r="AW390" i="7"/>
  <c r="AY390" i="7"/>
  <c r="AX390" i="7"/>
  <c r="AU390" i="7"/>
  <c r="AQ390" i="7"/>
  <c r="AP390" i="7"/>
  <c r="AS390" i="7"/>
  <c r="AV120" i="7"/>
  <c r="AW120" i="7"/>
  <c r="AR120" i="7"/>
  <c r="AP120" i="7"/>
  <c r="AY120" i="7"/>
  <c r="AX120" i="7"/>
  <c r="AT120" i="7"/>
  <c r="AU120" i="7"/>
  <c r="AQ120" i="7"/>
  <c r="AS120" i="7"/>
  <c r="AO120" i="7"/>
  <c r="AV142" i="7"/>
  <c r="AW142" i="7"/>
  <c r="AR142" i="7"/>
  <c r="AS142" i="7"/>
  <c r="AO142" i="7"/>
  <c r="AY142" i="7"/>
  <c r="AX142" i="7"/>
  <c r="AP142" i="7"/>
  <c r="AU142" i="7"/>
  <c r="AT142" i="7"/>
  <c r="AQ142" i="7"/>
  <c r="CF337" i="7"/>
  <c r="BZ337" i="7"/>
  <c r="CE337" i="7"/>
  <c r="CB337" i="7"/>
  <c r="CH337" i="7"/>
  <c r="CA337" i="7"/>
  <c r="CD337" i="7"/>
  <c r="CG337" i="7"/>
  <c r="CI337" i="7"/>
  <c r="CC337" i="7"/>
  <c r="BY337" i="7"/>
  <c r="CI294" i="7"/>
  <c r="CD294" i="7"/>
  <c r="BY294" i="7"/>
  <c r="CA294" i="7"/>
  <c r="CH294" i="7"/>
  <c r="CE294" i="7"/>
  <c r="CG294" i="7"/>
  <c r="CB294" i="7"/>
  <c r="BZ294" i="7"/>
  <c r="CC294" i="7"/>
  <c r="CF294" i="7"/>
  <c r="CI394" i="7"/>
  <c r="CC394" i="7"/>
  <c r="CG394" i="7"/>
  <c r="CE394" i="7"/>
  <c r="CD394" i="7"/>
  <c r="CF394" i="7"/>
  <c r="CH394" i="7"/>
  <c r="BY394" i="7"/>
  <c r="BZ394" i="7"/>
  <c r="CB394" i="7"/>
  <c r="CA394" i="7"/>
  <c r="AW88" i="7"/>
  <c r="AS88" i="7"/>
  <c r="AR88" i="7"/>
  <c r="AT88" i="7"/>
  <c r="AX88" i="7"/>
  <c r="AY88" i="7"/>
  <c r="AO88" i="7"/>
  <c r="AU88" i="7"/>
  <c r="AV88" i="7"/>
  <c r="AQ88" i="7"/>
  <c r="AP88" i="7"/>
  <c r="AY103" i="7"/>
  <c r="AP103" i="7"/>
  <c r="AX103" i="7"/>
  <c r="AT103" i="7"/>
  <c r="AR103" i="7"/>
  <c r="AO103" i="7"/>
  <c r="AW103" i="7"/>
  <c r="AQ103" i="7"/>
  <c r="AV103" i="7"/>
  <c r="AU103" i="7"/>
  <c r="AS103" i="7"/>
  <c r="AT116" i="7"/>
  <c r="AR116" i="7"/>
  <c r="AW116" i="7"/>
  <c r="AP116" i="7"/>
  <c r="AV116" i="7"/>
  <c r="AO116" i="7"/>
  <c r="AY116" i="7"/>
  <c r="AX116" i="7"/>
  <c r="AQ116" i="7"/>
  <c r="AU116" i="7"/>
  <c r="AS116" i="7"/>
  <c r="AS225" i="7"/>
  <c r="AQ225" i="7"/>
  <c r="AR225" i="7"/>
  <c r="AV225" i="7"/>
  <c r="AY225" i="7"/>
  <c r="AP225" i="7"/>
  <c r="AO225" i="7"/>
  <c r="AX225" i="7"/>
  <c r="AW225" i="7"/>
  <c r="AU225" i="7"/>
  <c r="AT225" i="7"/>
  <c r="AX321" i="7"/>
  <c r="AQ321" i="7"/>
  <c r="AV321" i="7"/>
  <c r="AP321" i="7"/>
  <c r="AU321" i="7"/>
  <c r="AR321" i="7"/>
  <c r="AO321" i="7"/>
  <c r="AT321" i="7"/>
  <c r="AW321" i="7"/>
  <c r="AY321" i="7"/>
  <c r="AS321" i="7"/>
  <c r="AT3" i="7"/>
  <c r="AO3" i="7"/>
  <c r="AU3" i="7"/>
  <c r="AP3" i="7"/>
  <c r="AR3" i="7"/>
  <c r="AQ3" i="7"/>
  <c r="AV3" i="7"/>
  <c r="AW3" i="7"/>
  <c r="AX3" i="7"/>
  <c r="AS3" i="7"/>
  <c r="AY3" i="7"/>
  <c r="AV334" i="7"/>
  <c r="AR334" i="7"/>
  <c r="AO334" i="7"/>
  <c r="AW334" i="7"/>
  <c r="AT334" i="7"/>
  <c r="AP334" i="7"/>
  <c r="AQ334" i="7"/>
  <c r="AS334" i="7"/>
  <c r="AY334" i="7"/>
  <c r="AX334" i="7"/>
  <c r="AU334" i="7"/>
  <c r="BM136" i="7"/>
  <c r="BP136" i="7"/>
  <c r="BK136" i="7"/>
  <c r="BL136" i="7"/>
  <c r="BG136" i="7"/>
  <c r="BJ136" i="7"/>
  <c r="BH136" i="7"/>
  <c r="BN136" i="7"/>
  <c r="BI136" i="7"/>
  <c r="BQ136" i="7"/>
  <c r="BO136" i="7"/>
  <c r="AT298" i="7"/>
  <c r="AY298" i="7"/>
  <c r="AV298" i="7"/>
  <c r="AQ298" i="7"/>
  <c r="AP298" i="7"/>
  <c r="AX298" i="7"/>
  <c r="AS298" i="7"/>
  <c r="AU298" i="7"/>
  <c r="AR298" i="7"/>
  <c r="AW298" i="7"/>
  <c r="AO298" i="7"/>
  <c r="AT326" i="7"/>
  <c r="AR326" i="7"/>
  <c r="AW326" i="7"/>
  <c r="AP326" i="7"/>
  <c r="AV326" i="7"/>
  <c r="AO326" i="7"/>
  <c r="AY326" i="7"/>
  <c r="AX326" i="7"/>
  <c r="AQ326" i="7"/>
  <c r="AU326" i="7"/>
  <c r="AS326" i="7"/>
  <c r="CF325" i="7"/>
  <c r="BZ325" i="7"/>
  <c r="CH325" i="7"/>
  <c r="CE325" i="7"/>
  <c r="CB325" i="7"/>
  <c r="CG325" i="7"/>
  <c r="CI325" i="7"/>
  <c r="CA325" i="7"/>
  <c r="BY325" i="7"/>
  <c r="CC325" i="7"/>
  <c r="CD325" i="7"/>
  <c r="AR169" i="7"/>
  <c r="AW169" i="7"/>
  <c r="AP169" i="7"/>
  <c r="AV169" i="7"/>
  <c r="AO169" i="7"/>
  <c r="AT169" i="7"/>
  <c r="AU169" i="7"/>
  <c r="AS169" i="7"/>
  <c r="AY169" i="7"/>
  <c r="AQ169" i="7"/>
  <c r="AX169" i="7"/>
  <c r="AT173" i="7"/>
  <c r="AR173" i="7"/>
  <c r="AW173" i="7"/>
  <c r="AP173" i="7"/>
  <c r="AO173" i="7"/>
  <c r="AV173" i="7"/>
  <c r="AY173" i="7"/>
  <c r="AX173" i="7"/>
  <c r="AQ173" i="7"/>
  <c r="AU173" i="7"/>
  <c r="AS173" i="7"/>
  <c r="AX100" i="7"/>
  <c r="AV100" i="7"/>
  <c r="AW100" i="7"/>
  <c r="AY100" i="7"/>
  <c r="AP100" i="7"/>
  <c r="AR100" i="7"/>
  <c r="AU100" i="7"/>
  <c r="AT100" i="7"/>
  <c r="AS100" i="7"/>
  <c r="AQ100" i="7"/>
  <c r="AO100" i="7"/>
  <c r="AT196" i="7"/>
  <c r="AR196" i="7"/>
  <c r="AW196" i="7"/>
  <c r="AP196" i="7"/>
  <c r="AO196" i="7"/>
  <c r="AV196" i="7"/>
  <c r="AS196" i="7"/>
  <c r="AU196" i="7"/>
  <c r="AX196" i="7"/>
  <c r="AY196" i="7"/>
  <c r="AQ196" i="7"/>
  <c r="CD211" i="7"/>
  <c r="CH211" i="7"/>
  <c r="CB211" i="7"/>
  <c r="BZ211" i="7"/>
  <c r="BY211" i="7"/>
  <c r="CF211" i="7"/>
  <c r="CG211" i="7"/>
  <c r="CE211" i="7"/>
  <c r="CI211" i="7"/>
  <c r="CA211" i="7"/>
  <c r="CC211" i="7"/>
  <c r="CD128" i="7"/>
  <c r="CB128" i="7"/>
  <c r="BZ128" i="7"/>
  <c r="CG128" i="7"/>
  <c r="CE128" i="7"/>
  <c r="BY128" i="7"/>
  <c r="CF128" i="7"/>
  <c r="CC128" i="7"/>
  <c r="CI128" i="7"/>
  <c r="CH128" i="7"/>
  <c r="CA128" i="7"/>
  <c r="CF223" i="7"/>
  <c r="CB223" i="7"/>
  <c r="BZ223" i="7"/>
  <c r="CC223" i="7"/>
  <c r="CA223" i="7"/>
  <c r="CI223" i="7"/>
  <c r="CH223" i="7"/>
  <c r="BY223" i="7"/>
  <c r="CE223" i="7"/>
  <c r="CG223" i="7"/>
  <c r="CD223" i="7"/>
  <c r="BQ251" i="7"/>
  <c r="BO251" i="7"/>
  <c r="BJ251" i="7"/>
  <c r="BH251" i="7"/>
  <c r="BK251" i="7"/>
  <c r="BN251" i="7"/>
  <c r="BG251" i="7"/>
  <c r="BI251" i="7"/>
  <c r="BP251" i="7"/>
  <c r="BM251" i="7"/>
  <c r="BL251" i="7"/>
  <c r="CI358" i="7"/>
  <c r="BZ358" i="7"/>
  <c r="CG358" i="7"/>
  <c r="CE358" i="7"/>
  <c r="CF358" i="7"/>
  <c r="CC358" i="7"/>
  <c r="CA358" i="7"/>
  <c r="CD358" i="7"/>
  <c r="BY358" i="7"/>
  <c r="CH358" i="7"/>
  <c r="CB358" i="7"/>
  <c r="AQ11" i="7"/>
  <c r="AY11" i="7"/>
  <c r="AX11" i="7"/>
  <c r="AO11" i="7"/>
  <c r="AU11" i="7"/>
  <c r="AV11" i="7"/>
  <c r="AS11" i="7"/>
  <c r="AT11" i="7"/>
  <c r="AR11" i="7"/>
  <c r="AW11" i="7"/>
  <c r="AP11" i="7"/>
  <c r="AR263" i="7"/>
  <c r="AX263" i="7"/>
  <c r="AQ263" i="7"/>
  <c r="AV263" i="7"/>
  <c r="AP263" i="7"/>
  <c r="AU263" i="7"/>
  <c r="AS263" i="7"/>
  <c r="AO263" i="7"/>
  <c r="AT263" i="7"/>
  <c r="AW263" i="7"/>
  <c r="AY263" i="7"/>
  <c r="AV181" i="7"/>
  <c r="AS181" i="7"/>
  <c r="AQ181" i="7"/>
  <c r="AR181" i="7"/>
  <c r="AT181" i="7"/>
  <c r="AX181" i="7"/>
  <c r="AY181" i="7"/>
  <c r="AO181" i="7"/>
  <c r="AP181" i="7"/>
  <c r="AU181" i="7"/>
  <c r="AW181" i="7"/>
  <c r="AU125" i="7"/>
  <c r="AR125" i="7"/>
  <c r="AX125" i="7"/>
  <c r="AQ125" i="7"/>
  <c r="AV125" i="7"/>
  <c r="AP125" i="7"/>
  <c r="AW125" i="7"/>
  <c r="AY125" i="7"/>
  <c r="AS125" i="7"/>
  <c r="AO125" i="7"/>
  <c r="AT125" i="7"/>
  <c r="AS276" i="7"/>
  <c r="AV276" i="7"/>
  <c r="AY276" i="7"/>
  <c r="AR276" i="7"/>
  <c r="AU276" i="7"/>
  <c r="AT276" i="7"/>
  <c r="AQ276" i="7"/>
  <c r="AO276" i="7"/>
  <c r="AW276" i="7"/>
  <c r="AX276" i="7"/>
  <c r="AP276" i="7"/>
  <c r="AX220" i="7"/>
  <c r="AO220" i="7"/>
  <c r="AV220" i="7"/>
  <c r="AT220" i="7"/>
  <c r="AP220" i="7"/>
  <c r="AW220" i="7"/>
  <c r="AY220" i="7"/>
  <c r="AQ220" i="7"/>
  <c r="AR220" i="7"/>
  <c r="AU220" i="7"/>
  <c r="AS220" i="7"/>
  <c r="BY264" i="7" a="1"/>
  <c r="CF155" i="7"/>
  <c r="BY155" i="7"/>
  <c r="CE155" i="7"/>
  <c r="CB155" i="7"/>
  <c r="CG155" i="7"/>
  <c r="CA155" i="7"/>
  <c r="BZ155" i="7"/>
  <c r="CH155" i="7"/>
  <c r="CI155" i="7"/>
  <c r="CC155" i="7"/>
  <c r="CD155" i="7"/>
  <c r="CB297" i="7"/>
  <c r="CE297" i="7"/>
  <c r="BZ297" i="7"/>
  <c r="CA297" i="7"/>
  <c r="CG297" i="7"/>
  <c r="CI297" i="7"/>
  <c r="CD297" i="7"/>
  <c r="CH297" i="7"/>
  <c r="CC297" i="7"/>
  <c r="CF297" i="7"/>
  <c r="BY297" i="7"/>
  <c r="AS152" i="7"/>
  <c r="AQ152" i="7"/>
  <c r="AR152" i="7"/>
  <c r="AV152" i="7"/>
  <c r="AY152" i="7"/>
  <c r="AP152" i="7"/>
  <c r="AO152" i="7"/>
  <c r="AX152" i="7"/>
  <c r="AW152" i="7"/>
  <c r="AU152" i="7"/>
  <c r="AT152" i="7"/>
  <c r="AT44" i="7"/>
  <c r="AO44" i="7"/>
  <c r="AU44" i="7"/>
  <c r="AP44" i="7"/>
  <c r="AS44" i="7"/>
  <c r="AQ44" i="7"/>
  <c r="AV44" i="7"/>
  <c r="AR44" i="7"/>
  <c r="AX44" i="7"/>
  <c r="AW44" i="7"/>
  <c r="AY44" i="7"/>
  <c r="AR306" i="7"/>
  <c r="AW306" i="7"/>
  <c r="AP306" i="7"/>
  <c r="AV306" i="7"/>
  <c r="AO306" i="7"/>
  <c r="AT306" i="7"/>
  <c r="AU306" i="7"/>
  <c r="AS306" i="7"/>
  <c r="AY306" i="7"/>
  <c r="AQ306" i="7"/>
  <c r="AX306" i="7"/>
  <c r="AT137" i="7"/>
  <c r="AP137" i="7"/>
  <c r="AO137" i="7"/>
  <c r="AV137" i="7"/>
  <c r="AU137" i="7"/>
  <c r="AQ137" i="7"/>
  <c r="AS137" i="7"/>
  <c r="AW137" i="7"/>
  <c r="AX137" i="7"/>
  <c r="AR137" i="7"/>
  <c r="AY137" i="7"/>
  <c r="AR233" i="7"/>
  <c r="AW233" i="7"/>
  <c r="AP233" i="7"/>
  <c r="AV233" i="7"/>
  <c r="AO233" i="7"/>
  <c r="AT233" i="7"/>
  <c r="AU233" i="7"/>
  <c r="AS233" i="7"/>
  <c r="AY233" i="7"/>
  <c r="AQ233" i="7"/>
  <c r="AX233" i="7"/>
  <c r="AV314" i="7"/>
  <c r="AW314" i="7"/>
  <c r="AP314" i="7"/>
  <c r="AX314" i="7"/>
  <c r="AO314" i="7"/>
  <c r="AY314" i="7"/>
  <c r="AS314" i="7"/>
  <c r="AQ314" i="7"/>
  <c r="AU314" i="7"/>
  <c r="AT314" i="7"/>
  <c r="AR314" i="7"/>
  <c r="AW291" i="7"/>
  <c r="AP291" i="7"/>
  <c r="AO291" i="7"/>
  <c r="AV291" i="7"/>
  <c r="AT291" i="7"/>
  <c r="AQ291" i="7"/>
  <c r="AY291" i="7"/>
  <c r="AX291" i="7"/>
  <c r="AS291" i="7"/>
  <c r="AR291" i="7"/>
  <c r="AU291" i="7"/>
  <c r="CG189" i="7"/>
  <c r="CF189" i="7"/>
  <c r="CA189" i="7"/>
  <c r="CH189" i="7"/>
  <c r="CI189" i="7"/>
  <c r="CE189" i="7"/>
  <c r="CB189" i="7"/>
  <c r="BZ189" i="7"/>
  <c r="CC189" i="7"/>
  <c r="CD189" i="7"/>
  <c r="BY189" i="7"/>
  <c r="AW325" i="7"/>
  <c r="AP325" i="7"/>
  <c r="AV325" i="7"/>
  <c r="AO325" i="7"/>
  <c r="AT325" i="7"/>
  <c r="AR325" i="7"/>
  <c r="AU325" i="7"/>
  <c r="AS325" i="7"/>
  <c r="AX325" i="7"/>
  <c r="AY325" i="7"/>
  <c r="AQ325" i="7"/>
  <c r="CD99" i="7"/>
  <c r="BZ99" i="7"/>
  <c r="CH99" i="7"/>
  <c r="CI99" i="7"/>
  <c r="CC99" i="7"/>
  <c r="CA99" i="7"/>
  <c r="CB99" i="7"/>
  <c r="CG99" i="7"/>
  <c r="CF99" i="7"/>
  <c r="BY99" i="7"/>
  <c r="CE99" i="7"/>
  <c r="AU265" i="7"/>
  <c r="AS265" i="7"/>
  <c r="AX265" i="7"/>
  <c r="AP265" i="7"/>
  <c r="AR265" i="7"/>
  <c r="AY265" i="7"/>
  <c r="AO265" i="7"/>
  <c r="AV265" i="7"/>
  <c r="AW265" i="7"/>
  <c r="AQ265" i="7"/>
  <c r="AT265" i="7"/>
  <c r="CD89" i="7"/>
  <c r="CF89" i="7"/>
  <c r="CB89" i="7"/>
  <c r="CG89" i="7"/>
  <c r="CE89" i="7"/>
  <c r="BY89" i="7"/>
  <c r="CH89" i="7"/>
  <c r="CA89" i="7"/>
  <c r="BZ89" i="7"/>
  <c r="CC89" i="7"/>
  <c r="CI89" i="7"/>
  <c r="CE240" i="7"/>
  <c r="CB240" i="7"/>
  <c r="BY240" i="7"/>
  <c r="CG240" i="7"/>
  <c r="BZ240" i="7"/>
  <c r="CH240" i="7"/>
  <c r="CI240" i="7"/>
  <c r="CA240" i="7"/>
  <c r="CC240" i="7"/>
  <c r="CD240" i="7"/>
  <c r="CF240" i="7"/>
  <c r="BM114" i="7"/>
  <c r="BL114" i="7"/>
  <c r="BG114" i="7"/>
  <c r="BI114" i="7"/>
  <c r="BJ114" i="7"/>
  <c r="BH114" i="7"/>
  <c r="BN114" i="7"/>
  <c r="BQ114" i="7"/>
  <c r="BO114" i="7"/>
  <c r="BP114" i="7"/>
  <c r="BK114" i="7"/>
  <c r="AX159" i="7"/>
  <c r="AS159" i="7"/>
  <c r="AY159" i="7"/>
  <c r="AR159" i="7"/>
  <c r="AO159" i="7"/>
  <c r="AU159" i="7"/>
  <c r="AT159" i="7"/>
  <c r="AQ159" i="7"/>
  <c r="AW159" i="7"/>
  <c r="AV159" i="7"/>
  <c r="AP159" i="7"/>
  <c r="AX214" i="7"/>
  <c r="AS214" i="7"/>
  <c r="AY214" i="7"/>
  <c r="AR214" i="7"/>
  <c r="AU214" i="7"/>
  <c r="AT214" i="7"/>
  <c r="AP214" i="7"/>
  <c r="AQ214" i="7"/>
  <c r="AV214" i="7"/>
  <c r="AO214" i="7"/>
  <c r="AW214" i="7"/>
  <c r="BZ181" i="7"/>
  <c r="CA181" i="7"/>
  <c r="CC181" i="7"/>
  <c r="CG181" i="7"/>
  <c r="CE181" i="7"/>
  <c r="CH181" i="7"/>
  <c r="CB181" i="7"/>
  <c r="BY181" i="7"/>
  <c r="CD181" i="7"/>
  <c r="CF181" i="7"/>
  <c r="CI181" i="7"/>
  <c r="CF259" i="7"/>
  <c r="CB259" i="7"/>
  <c r="CI259" i="7"/>
  <c r="BZ259" i="7"/>
  <c r="CC259" i="7"/>
  <c r="CA259" i="7"/>
  <c r="CE259" i="7"/>
  <c r="CH259" i="7"/>
  <c r="BY259" i="7"/>
  <c r="CD259" i="7"/>
  <c r="CG259" i="7"/>
  <c r="BZ319" i="7"/>
  <c r="CF319" i="7"/>
  <c r="CB319" i="7"/>
  <c r="CC319" i="7"/>
  <c r="CA319" i="7"/>
  <c r="CI319" i="7"/>
  <c r="CH319" i="7"/>
  <c r="BY319" i="7"/>
  <c r="CE319" i="7"/>
  <c r="CD319" i="7"/>
  <c r="CG319" i="7"/>
  <c r="CG276" i="7"/>
  <c r="CF276" i="7"/>
  <c r="CA276" i="7"/>
  <c r="CB276" i="7"/>
  <c r="BZ276" i="7"/>
  <c r="CH276" i="7"/>
  <c r="CI276" i="7"/>
  <c r="BY276" i="7"/>
  <c r="CC276" i="7"/>
  <c r="CD276" i="7"/>
  <c r="CE276" i="7"/>
  <c r="AV146" i="7"/>
  <c r="AO146" i="7"/>
  <c r="AT146" i="7"/>
  <c r="AR146" i="7"/>
  <c r="AW146" i="7"/>
  <c r="AP146" i="7"/>
  <c r="AS146" i="7"/>
  <c r="AU146" i="7"/>
  <c r="AX146" i="7"/>
  <c r="AY146" i="7"/>
  <c r="AQ146" i="7"/>
  <c r="AS356" i="7"/>
  <c r="AP356" i="7"/>
  <c r="AV356" i="7"/>
  <c r="AQ356" i="7"/>
  <c r="AR356" i="7"/>
  <c r="AY356" i="7"/>
  <c r="AO356" i="7"/>
  <c r="AT356" i="7"/>
  <c r="AW356" i="7"/>
  <c r="AX356" i="7"/>
  <c r="AU356" i="7"/>
  <c r="CF339" i="7"/>
  <c r="CB339" i="7"/>
  <c r="BZ339" i="7"/>
  <c r="CI339" i="7"/>
  <c r="CH339" i="7"/>
  <c r="CC339" i="7"/>
  <c r="CA339" i="7"/>
  <c r="CE339" i="7"/>
  <c r="CD339" i="7"/>
  <c r="CG339" i="7"/>
  <c r="BY339" i="7"/>
  <c r="AT89" i="7"/>
  <c r="AR89" i="7"/>
  <c r="AW89" i="7"/>
  <c r="AP89" i="7"/>
  <c r="AO89" i="7"/>
  <c r="AV89" i="7"/>
  <c r="AQ89" i="7"/>
  <c r="AY89" i="7"/>
  <c r="AX89" i="7"/>
  <c r="AS89" i="7"/>
  <c r="AU89" i="7"/>
  <c r="AV177" i="7"/>
  <c r="AR177" i="7"/>
  <c r="AO177" i="7"/>
  <c r="AW177" i="7"/>
  <c r="AT177" i="7"/>
  <c r="AP177" i="7"/>
  <c r="AS177" i="7"/>
  <c r="AU177" i="7"/>
  <c r="AY177" i="7"/>
  <c r="AQ177" i="7"/>
  <c r="AX177" i="7"/>
  <c r="CI170" i="7"/>
  <c r="CC170" i="7"/>
  <c r="CG170" i="7"/>
  <c r="CE170" i="7"/>
  <c r="CD170" i="7"/>
  <c r="CF170" i="7"/>
  <c r="CB170" i="7"/>
  <c r="BZ170" i="7"/>
  <c r="CA170" i="7"/>
  <c r="CH170" i="7"/>
  <c r="BY170" i="7"/>
  <c r="CH3" i="7"/>
  <c r="CF3" i="7"/>
  <c r="CA3" i="7"/>
  <c r="CD3" i="7"/>
  <c r="BZ3" i="7"/>
  <c r="CG3" i="7"/>
  <c r="CI3" i="7"/>
  <c r="CB3" i="7"/>
  <c r="CC3" i="7"/>
  <c r="BY3" i="7"/>
  <c r="CE3" i="7"/>
  <c r="AT53" i="7"/>
  <c r="AU53" i="7"/>
  <c r="AQ53" i="7"/>
  <c r="AR53" i="7"/>
  <c r="AS53" i="7"/>
  <c r="AP53" i="7"/>
  <c r="AW53" i="7"/>
  <c r="AY53" i="7"/>
  <c r="AX53" i="7"/>
  <c r="AO53" i="7"/>
  <c r="AV53" i="7"/>
  <c r="AW286" i="7"/>
  <c r="AO286" i="7"/>
  <c r="AT286" i="7"/>
  <c r="AP286" i="7"/>
  <c r="AQ286" i="7"/>
  <c r="AR286" i="7"/>
  <c r="AS286" i="7"/>
  <c r="AY286" i="7"/>
  <c r="AX286" i="7"/>
  <c r="AV286" i="7"/>
  <c r="AU286" i="7"/>
  <c r="AR252" i="7"/>
  <c r="AW252" i="7"/>
  <c r="AP252" i="7"/>
  <c r="AV252" i="7"/>
  <c r="AO252" i="7"/>
  <c r="AT252" i="7"/>
  <c r="AY252" i="7"/>
  <c r="AX252" i="7"/>
  <c r="AU252" i="7"/>
  <c r="AQ252" i="7"/>
  <c r="AS252" i="7"/>
  <c r="CH283" i="7"/>
  <c r="CA283" i="7"/>
  <c r="CF283" i="7"/>
  <c r="BZ283" i="7"/>
  <c r="CE283" i="7"/>
  <c r="CB283" i="7"/>
  <c r="BY283" i="7"/>
  <c r="CD283" i="7"/>
  <c r="CG283" i="7"/>
  <c r="CI283" i="7"/>
  <c r="CC283" i="7"/>
  <c r="CI266" i="7"/>
  <c r="CD266" i="7"/>
  <c r="CG266" i="7"/>
  <c r="CB266" i="7"/>
  <c r="BZ266" i="7"/>
  <c r="CC266" i="7"/>
  <c r="CF266" i="7"/>
  <c r="BY266" i="7"/>
  <c r="CA266" i="7"/>
  <c r="CE266" i="7"/>
  <c r="CH266" i="7"/>
  <c r="AV47" i="7"/>
  <c r="AO47" i="7"/>
  <c r="AW47" i="7"/>
  <c r="AT47" i="7"/>
  <c r="AR47" i="7"/>
  <c r="AP47" i="7"/>
  <c r="AY47" i="7"/>
  <c r="AX47" i="7"/>
  <c r="AU47" i="7"/>
  <c r="AQ47" i="7"/>
  <c r="AS47" i="7"/>
  <c r="CF33" i="7"/>
  <c r="CB33" i="7"/>
  <c r="BZ33" i="7"/>
  <c r="CH33" i="7"/>
  <c r="CE33" i="7"/>
  <c r="CD33" i="7"/>
  <c r="CA33" i="7"/>
  <c r="CC33" i="7"/>
  <c r="CG33" i="7"/>
  <c r="BY33" i="7"/>
  <c r="CI33" i="7"/>
  <c r="AS287" i="7"/>
  <c r="AV287" i="7"/>
  <c r="AP287" i="7"/>
  <c r="AQ287" i="7"/>
  <c r="AR287" i="7"/>
  <c r="AY287" i="7"/>
  <c r="AO287" i="7"/>
  <c r="AT287" i="7"/>
  <c r="AW287" i="7"/>
  <c r="AX287" i="7"/>
  <c r="AU287" i="7"/>
  <c r="AT258" i="7"/>
  <c r="AR258" i="7"/>
  <c r="AW258" i="7"/>
  <c r="AP258" i="7"/>
  <c r="AV258" i="7"/>
  <c r="AO258" i="7"/>
  <c r="AY258" i="7"/>
  <c r="AX258" i="7"/>
  <c r="AQ258" i="7"/>
  <c r="AU258" i="7"/>
  <c r="AS258" i="7"/>
  <c r="CG139" i="7"/>
  <c r="CA139" i="7"/>
  <c r="CF139" i="7"/>
  <c r="CC139" i="7"/>
  <c r="BY139" i="7"/>
  <c r="CD139" i="7"/>
  <c r="CH139" i="7"/>
  <c r="CE139" i="7"/>
  <c r="BZ139" i="7"/>
  <c r="CB139" i="7"/>
  <c r="CI139" i="7"/>
  <c r="CD116" i="7"/>
  <c r="CI116" i="7"/>
  <c r="CH116" i="7"/>
  <c r="CB116" i="7"/>
  <c r="CC116" i="7"/>
  <c r="CA116" i="7"/>
  <c r="CG116" i="7"/>
  <c r="BY116" i="7"/>
  <c r="BZ116" i="7"/>
  <c r="CE116" i="7"/>
  <c r="CF116" i="7"/>
  <c r="CF196" i="7"/>
  <c r="CG196" i="7"/>
  <c r="CE196" i="7"/>
  <c r="CB196" i="7"/>
  <c r="BY196" i="7"/>
  <c r="CH196" i="7"/>
  <c r="CI196" i="7"/>
  <c r="BZ196" i="7"/>
  <c r="CA196" i="7"/>
  <c r="CD196" i="7"/>
  <c r="CC196" i="7"/>
  <c r="AT352" i="7"/>
  <c r="AS352" i="7"/>
  <c r="AU352" i="7"/>
  <c r="AQ352" i="7"/>
  <c r="AR352" i="7"/>
  <c r="AO352" i="7"/>
  <c r="AX352" i="7"/>
  <c r="AP352" i="7"/>
  <c r="AW352" i="7"/>
  <c r="AY352" i="7"/>
  <c r="AV352" i="7"/>
  <c r="AX144" i="7"/>
  <c r="AS144" i="7"/>
  <c r="AQ144" i="7"/>
  <c r="AW144" i="7"/>
  <c r="AY144" i="7"/>
  <c r="AR144" i="7"/>
  <c r="AO144" i="7"/>
  <c r="AU144" i="7"/>
  <c r="AT144" i="7"/>
  <c r="AP144" i="7"/>
  <c r="AV144" i="7"/>
  <c r="BM89" i="7"/>
  <c r="BL89" i="7"/>
  <c r="BG89" i="7"/>
  <c r="BI89" i="7"/>
  <c r="BH89" i="7"/>
  <c r="BN89" i="7"/>
  <c r="BQ89" i="7"/>
  <c r="BJ89" i="7"/>
  <c r="BO89" i="7"/>
  <c r="BP89" i="7"/>
  <c r="BK89" i="7"/>
  <c r="AV114" i="7"/>
  <c r="AW114" i="7"/>
  <c r="AU114" i="7"/>
  <c r="AT114" i="7"/>
  <c r="AO114" i="7"/>
  <c r="AX114" i="7"/>
  <c r="AY114" i="7"/>
  <c r="AR114" i="7"/>
  <c r="AQ114" i="7"/>
  <c r="AP114" i="7"/>
  <c r="AS114" i="7"/>
  <c r="CD107" i="7"/>
  <c r="CH107" i="7"/>
  <c r="CB107" i="7"/>
  <c r="BZ107" i="7"/>
  <c r="BY107" i="7"/>
  <c r="CF107" i="7"/>
  <c r="CG107" i="7"/>
  <c r="CE107" i="7"/>
  <c r="CI107" i="7"/>
  <c r="CC107" i="7"/>
  <c r="CA107" i="7"/>
  <c r="CF263" i="7"/>
  <c r="CB263" i="7"/>
  <c r="CI263" i="7"/>
  <c r="CD263" i="7"/>
  <c r="BY263" i="7"/>
  <c r="BZ263" i="7"/>
  <c r="CH263" i="7"/>
  <c r="CE263" i="7"/>
  <c r="CC263" i="7"/>
  <c r="CA263" i="7"/>
  <c r="CG263" i="7"/>
  <c r="BM266" i="7"/>
  <c r="BI266" i="7"/>
  <c r="BQ266" i="7"/>
  <c r="BJ266" i="7"/>
  <c r="BL266" i="7"/>
  <c r="BG266" i="7"/>
  <c r="BH266" i="7"/>
  <c r="BN266" i="7"/>
  <c r="BO266" i="7"/>
  <c r="BP266" i="7"/>
  <c r="BK266" i="7"/>
  <c r="AT398" i="7"/>
  <c r="AV398" i="7"/>
  <c r="AQ398" i="7"/>
  <c r="AP398" i="7"/>
  <c r="AY398" i="7"/>
  <c r="AS398" i="7"/>
  <c r="AU398" i="7"/>
  <c r="AX398" i="7"/>
  <c r="AO398" i="7"/>
  <c r="AR398" i="7"/>
  <c r="AW398" i="7"/>
  <c r="AT158" i="7"/>
  <c r="AR158" i="7"/>
  <c r="AW158" i="7"/>
  <c r="AP158" i="7"/>
  <c r="AV158" i="7"/>
  <c r="AO158" i="7"/>
  <c r="AY158" i="7"/>
  <c r="AX158" i="7"/>
  <c r="AQ158" i="7"/>
  <c r="AU158" i="7"/>
  <c r="AS158" i="7"/>
  <c r="CD93" i="7"/>
  <c r="CH93" i="7"/>
  <c r="CB93" i="7"/>
  <c r="BZ93" i="7"/>
  <c r="CG93" i="7"/>
  <c r="CE93" i="7"/>
  <c r="BY93" i="7"/>
  <c r="CF93" i="7"/>
  <c r="CA93" i="7"/>
  <c r="CC93" i="7"/>
  <c r="CI93" i="7"/>
  <c r="BY288" i="7" a="1"/>
  <c r="CI300" i="7"/>
  <c r="CC300" i="7"/>
  <c r="CH300" i="7"/>
  <c r="CB300" i="7"/>
  <c r="BY300" i="7"/>
  <c r="BZ300" i="7"/>
  <c r="CA300" i="7"/>
  <c r="CF300" i="7"/>
  <c r="CE300" i="7"/>
  <c r="CG300" i="7"/>
  <c r="CD300" i="7"/>
  <c r="BY316" i="7" a="1"/>
  <c r="CI141" i="7"/>
  <c r="CC141" i="7"/>
  <c r="BZ141" i="7"/>
  <c r="CA141" i="7"/>
  <c r="CH141" i="7"/>
  <c r="CB141" i="7"/>
  <c r="BY141" i="7"/>
  <c r="CG141" i="7"/>
  <c r="CD141" i="7"/>
  <c r="CF141" i="7"/>
  <c r="CE141" i="7"/>
  <c r="BM119" i="7"/>
  <c r="BH119" i="7"/>
  <c r="BN119" i="7"/>
  <c r="BJ119" i="7"/>
  <c r="BO119" i="7"/>
  <c r="BP119" i="7"/>
  <c r="BK119" i="7"/>
  <c r="BI119" i="7"/>
  <c r="BG119" i="7"/>
  <c r="BL119" i="7"/>
  <c r="BQ119" i="7"/>
  <c r="AX167" i="7"/>
  <c r="AS167" i="7"/>
  <c r="AY167" i="7"/>
  <c r="AR167" i="7"/>
  <c r="AP167" i="7"/>
  <c r="AU167" i="7"/>
  <c r="AT167" i="7"/>
  <c r="AQ167" i="7"/>
  <c r="AO167" i="7"/>
  <c r="AW167" i="7"/>
  <c r="AV167" i="7"/>
  <c r="CF54" i="7"/>
  <c r="CH54" i="7"/>
  <c r="CE54" i="7"/>
  <c r="CB54" i="7"/>
  <c r="BZ54" i="7"/>
  <c r="CD54" i="7"/>
  <c r="CA54" i="7"/>
  <c r="CC54" i="7"/>
  <c r="CG54" i="7"/>
  <c r="BY54" i="7"/>
  <c r="CI54" i="7"/>
  <c r="CF71" i="7"/>
  <c r="BZ71" i="7"/>
  <c r="CH71" i="7"/>
  <c r="CE71" i="7"/>
  <c r="CB71" i="7"/>
  <c r="CA71" i="7"/>
  <c r="CC71" i="7"/>
  <c r="CD71" i="7"/>
  <c r="CG71" i="7"/>
  <c r="BY71" i="7"/>
  <c r="CI71" i="7"/>
  <c r="CB188" i="7"/>
  <c r="CG188" i="7"/>
  <c r="CA188" i="7"/>
  <c r="CF188" i="7"/>
  <c r="BY188" i="7"/>
  <c r="CE188" i="7"/>
  <c r="CC188" i="7"/>
  <c r="CD188" i="7"/>
  <c r="CI188" i="7"/>
  <c r="CH188" i="7"/>
  <c r="BZ188" i="7"/>
  <c r="CF286" i="7"/>
  <c r="CB286" i="7"/>
  <c r="CI286" i="7"/>
  <c r="CD286" i="7"/>
  <c r="BY286" i="7"/>
  <c r="CE286" i="7"/>
  <c r="BZ286" i="7"/>
  <c r="CC286" i="7"/>
  <c r="CH286" i="7"/>
  <c r="CA286" i="7"/>
  <c r="CG286" i="7"/>
  <c r="CI9" i="7"/>
  <c r="CD9" i="7"/>
  <c r="CG9" i="7"/>
  <c r="CB9" i="7"/>
  <c r="BZ9" i="7"/>
  <c r="CC9" i="7"/>
  <c r="CF9" i="7"/>
  <c r="BY9" i="7"/>
  <c r="CA9" i="7"/>
  <c r="CH9" i="7"/>
  <c r="CE9" i="7"/>
  <c r="AV107" i="7"/>
  <c r="AW107" i="7"/>
  <c r="AR107" i="7"/>
  <c r="AS107" i="7"/>
  <c r="AO107" i="7"/>
  <c r="AY107" i="7"/>
  <c r="AX107" i="7"/>
  <c r="AP107" i="7"/>
  <c r="AU107" i="7"/>
  <c r="AQ107" i="7"/>
  <c r="AT107" i="7"/>
  <c r="AX353" i="7"/>
  <c r="AQ353" i="7"/>
  <c r="AV353" i="7"/>
  <c r="AP353" i="7"/>
  <c r="AU353" i="7"/>
  <c r="AR353" i="7"/>
  <c r="AS353" i="7"/>
  <c r="AO353" i="7"/>
  <c r="AT353" i="7"/>
  <c r="AW353" i="7"/>
  <c r="AY353" i="7"/>
  <c r="AV73" i="7"/>
  <c r="AO73" i="7"/>
  <c r="AW73" i="7"/>
  <c r="AT73" i="7"/>
  <c r="AR73" i="7"/>
  <c r="AP73" i="7"/>
  <c r="AU73" i="7"/>
  <c r="AQ73" i="7"/>
  <c r="AS73" i="7"/>
  <c r="AY73" i="7"/>
  <c r="AX73" i="7"/>
  <c r="AR161" i="7"/>
  <c r="AP161" i="7"/>
  <c r="AX161" i="7"/>
  <c r="AW161" i="7"/>
  <c r="AY161" i="7"/>
  <c r="AO161" i="7"/>
  <c r="AS161" i="7"/>
  <c r="AU161" i="7"/>
  <c r="AV161" i="7"/>
  <c r="AQ161" i="7"/>
  <c r="AT161" i="7"/>
  <c r="AO118" i="7"/>
  <c r="AV118" i="7"/>
  <c r="AT118" i="7"/>
  <c r="AP118" i="7"/>
  <c r="AU118" i="7"/>
  <c r="AQ118" i="7"/>
  <c r="AS118" i="7"/>
  <c r="AW118" i="7"/>
  <c r="AY118" i="7"/>
  <c r="AX118" i="7"/>
  <c r="AR118" i="7"/>
  <c r="AV35" i="7"/>
  <c r="AO35" i="7"/>
  <c r="AT35" i="7"/>
  <c r="AR35" i="7"/>
  <c r="AW35" i="7"/>
  <c r="AP35" i="7"/>
  <c r="AU35" i="7"/>
  <c r="AS35" i="7"/>
  <c r="AQ35" i="7"/>
  <c r="AX35" i="7"/>
  <c r="AY35" i="7"/>
  <c r="AT329" i="7"/>
  <c r="AY329" i="7"/>
  <c r="AV329" i="7"/>
  <c r="AQ329" i="7"/>
  <c r="AP329" i="7"/>
  <c r="AX329" i="7"/>
  <c r="AS329" i="7"/>
  <c r="AU329" i="7"/>
  <c r="AR329" i="7"/>
  <c r="AW329" i="7"/>
  <c r="AO329" i="7"/>
  <c r="CB82" i="7"/>
  <c r="BZ82" i="7"/>
  <c r="CF82" i="7"/>
  <c r="CI82" i="7"/>
  <c r="CH82" i="7"/>
  <c r="CC82" i="7"/>
  <c r="CA82" i="7"/>
  <c r="CG82" i="7"/>
  <c r="BY82" i="7"/>
  <c r="CE82" i="7"/>
  <c r="CD82" i="7"/>
  <c r="CG136" i="7"/>
  <c r="CA136" i="7"/>
  <c r="CF136" i="7"/>
  <c r="BY136" i="7"/>
  <c r="CE136" i="7"/>
  <c r="CB136" i="7"/>
  <c r="CC136" i="7"/>
  <c r="CD136" i="7"/>
  <c r="CH136" i="7"/>
  <c r="BZ136" i="7"/>
  <c r="CI136" i="7"/>
  <c r="CF262" i="7"/>
  <c r="CB262" i="7"/>
  <c r="CA262" i="7"/>
  <c r="CG262" i="7"/>
  <c r="CH262" i="7"/>
  <c r="BZ262" i="7"/>
  <c r="CC262" i="7"/>
  <c r="CI262" i="7"/>
  <c r="CD262" i="7"/>
  <c r="BY262" i="7"/>
  <c r="CE262" i="7"/>
  <c r="CD393" i="7"/>
  <c r="CB393" i="7"/>
  <c r="BZ393" i="7"/>
  <c r="CH393" i="7"/>
  <c r="BY393" i="7"/>
  <c r="CF393" i="7"/>
  <c r="CG393" i="7"/>
  <c r="CE393" i="7"/>
  <c r="CI393" i="7"/>
  <c r="CA393" i="7"/>
  <c r="CC393" i="7"/>
  <c r="BY144" i="7" a="1"/>
  <c r="BM254" i="7"/>
  <c r="BI254" i="7"/>
  <c r="BQ254" i="7"/>
  <c r="BJ254" i="7"/>
  <c r="BH254" i="7"/>
  <c r="BN254" i="7"/>
  <c r="BO254" i="7"/>
  <c r="BP254" i="7"/>
  <c r="BK254" i="7"/>
  <c r="BL254" i="7"/>
  <c r="BG254" i="7"/>
  <c r="CI291" i="7"/>
  <c r="CD291" i="7"/>
  <c r="BY291" i="7"/>
  <c r="CA291" i="7"/>
  <c r="CG291" i="7"/>
  <c r="CB291" i="7"/>
  <c r="BZ291" i="7"/>
  <c r="CC291" i="7"/>
  <c r="CE291" i="7"/>
  <c r="CF291" i="7"/>
  <c r="CH291" i="7"/>
  <c r="AW5" i="7"/>
  <c r="AP5" i="7"/>
  <c r="AV5" i="7"/>
  <c r="AR5" i="7"/>
  <c r="AS5" i="7"/>
  <c r="AO5" i="7"/>
  <c r="AY5" i="7"/>
  <c r="AX5" i="7"/>
  <c r="AT5" i="7"/>
  <c r="AU5" i="7"/>
  <c r="AQ5" i="7"/>
  <c r="AR179" i="7"/>
  <c r="AW179" i="7"/>
  <c r="AP179" i="7"/>
  <c r="AV179" i="7"/>
  <c r="AO179" i="7"/>
  <c r="AT179" i="7"/>
  <c r="AS179" i="7"/>
  <c r="AU179" i="7"/>
  <c r="AX179" i="7"/>
  <c r="AY179" i="7"/>
  <c r="AQ179" i="7"/>
  <c r="AX279" i="7"/>
  <c r="AQ279" i="7"/>
  <c r="AV279" i="7"/>
  <c r="AP279" i="7"/>
  <c r="AU279" i="7"/>
  <c r="AR279" i="7"/>
  <c r="AO279" i="7"/>
  <c r="AT279" i="7"/>
  <c r="AW279" i="7"/>
  <c r="AY279" i="7"/>
  <c r="AS279" i="7"/>
  <c r="AV316" i="7"/>
  <c r="AO316" i="7"/>
  <c r="AY316" i="7"/>
  <c r="AW316" i="7"/>
  <c r="AP316" i="7"/>
  <c r="AX316" i="7"/>
  <c r="AU316" i="7"/>
  <c r="AT316" i="7"/>
  <c r="AR316" i="7"/>
  <c r="AQ316" i="7"/>
  <c r="AS316" i="7"/>
  <c r="AS328" i="7"/>
  <c r="AV328" i="7"/>
  <c r="AP328" i="7"/>
  <c r="AQ328" i="7"/>
  <c r="AO328" i="7"/>
  <c r="AW328" i="7"/>
  <c r="AY328" i="7"/>
  <c r="AR328" i="7"/>
  <c r="AU328" i="7"/>
  <c r="AT328" i="7"/>
  <c r="AX328" i="7"/>
  <c r="AT184" i="7"/>
  <c r="AR184" i="7"/>
  <c r="AY184" i="7"/>
  <c r="AP184" i="7"/>
  <c r="AX184" i="7"/>
  <c r="AO184" i="7"/>
  <c r="AW184" i="7"/>
  <c r="AQ184" i="7"/>
  <c r="AS184" i="7"/>
  <c r="AV184" i="7"/>
  <c r="AU184" i="7"/>
  <c r="CF268" i="7"/>
  <c r="CD268" i="7"/>
  <c r="CC268" i="7"/>
  <c r="CA268" i="7"/>
  <c r="CB268" i="7"/>
  <c r="CI268" i="7"/>
  <c r="BZ268" i="7"/>
  <c r="BY268" i="7"/>
  <c r="CE268" i="7"/>
  <c r="CH268" i="7"/>
  <c r="CG268" i="7"/>
  <c r="CD269" i="7"/>
  <c r="CH269" i="7"/>
  <c r="CB269" i="7"/>
  <c r="BZ269" i="7"/>
  <c r="BY269" i="7"/>
  <c r="CF269" i="7"/>
  <c r="CG269" i="7"/>
  <c r="CE269" i="7"/>
  <c r="CI269" i="7"/>
  <c r="CA269" i="7"/>
  <c r="CC269" i="7"/>
  <c r="BY171" i="7" a="1"/>
  <c r="CG178" i="7"/>
  <c r="CF178" i="7"/>
  <c r="CA178" i="7"/>
  <c r="CB178" i="7"/>
  <c r="BZ178" i="7"/>
  <c r="BY178" i="7"/>
  <c r="CH178" i="7"/>
  <c r="CI178" i="7"/>
  <c r="CE178" i="7"/>
  <c r="CD178" i="7"/>
  <c r="CC178" i="7"/>
  <c r="BM68" i="7"/>
  <c r="BL68" i="7"/>
  <c r="BG68" i="7"/>
  <c r="BI68" i="7"/>
  <c r="BH68" i="7"/>
  <c r="BN68" i="7"/>
  <c r="BQ68" i="7"/>
  <c r="BO68" i="7"/>
  <c r="BJ68" i="7"/>
  <c r="BK68" i="7"/>
  <c r="BP68" i="7"/>
  <c r="AR31" i="7"/>
  <c r="AW31" i="7"/>
  <c r="AP31" i="7"/>
  <c r="AV31" i="7"/>
  <c r="AO31" i="7"/>
  <c r="AT31" i="7"/>
  <c r="AY31" i="7"/>
  <c r="AQ31" i="7"/>
  <c r="AU31" i="7"/>
  <c r="AS31" i="7"/>
  <c r="AX31" i="7"/>
  <c r="AV57" i="7"/>
  <c r="AT57" i="7"/>
  <c r="AQ57" i="7"/>
  <c r="AP57" i="7"/>
  <c r="AS57" i="7"/>
  <c r="AY57" i="7"/>
  <c r="AX57" i="7"/>
  <c r="AR57" i="7"/>
  <c r="AU57" i="7"/>
  <c r="AW57" i="7"/>
  <c r="AO57" i="7"/>
  <c r="AX83" i="7"/>
  <c r="AW83" i="7"/>
  <c r="AS83" i="7"/>
  <c r="AO83" i="7"/>
  <c r="AY83" i="7"/>
  <c r="AP83" i="7"/>
  <c r="AU83" i="7"/>
  <c r="AT83" i="7"/>
  <c r="AR83" i="7"/>
  <c r="AQ83" i="7"/>
  <c r="AV83" i="7"/>
  <c r="AW48" i="7"/>
  <c r="AV48" i="7"/>
  <c r="AP48" i="7"/>
  <c r="AY48" i="7"/>
  <c r="AX48" i="7"/>
  <c r="AO48" i="7"/>
  <c r="AR48" i="7"/>
  <c r="AU48" i="7"/>
  <c r="AT48" i="7"/>
  <c r="AQ48" i="7"/>
  <c r="AS48" i="7"/>
  <c r="AV300" i="7"/>
  <c r="AS300" i="7"/>
  <c r="AP300" i="7"/>
  <c r="AT300" i="7"/>
  <c r="AX300" i="7"/>
  <c r="AY300" i="7"/>
  <c r="AO300" i="7"/>
  <c r="AU300" i="7"/>
  <c r="AW300" i="7"/>
  <c r="AQ300" i="7"/>
  <c r="AR300" i="7"/>
  <c r="AS178" i="7"/>
  <c r="AV178" i="7"/>
  <c r="AQ178" i="7"/>
  <c r="AO178" i="7"/>
  <c r="AW178" i="7"/>
  <c r="AX178" i="7"/>
  <c r="AY178" i="7"/>
  <c r="AR178" i="7"/>
  <c r="AT178" i="7"/>
  <c r="AP178" i="7"/>
  <c r="AU178" i="7"/>
  <c r="BN353" i="7"/>
  <c r="BH353" i="7"/>
  <c r="BP353" i="7"/>
  <c r="BM353" i="7"/>
  <c r="BJ353" i="7"/>
  <c r="BO353" i="7"/>
  <c r="BQ353" i="7"/>
  <c r="BK353" i="7"/>
  <c r="BG353" i="7"/>
  <c r="BI353" i="7"/>
  <c r="BL353" i="7"/>
  <c r="BM132" i="7"/>
  <c r="BO132" i="7"/>
  <c r="BI132" i="7"/>
  <c r="BJ132" i="7"/>
  <c r="BP132" i="7"/>
  <c r="BK132" i="7"/>
  <c r="BQ132" i="7"/>
  <c r="BL132" i="7"/>
  <c r="BG132" i="7"/>
  <c r="BH132" i="7"/>
  <c r="BN132" i="7"/>
  <c r="BM105" i="7"/>
  <c r="BI105" i="7"/>
  <c r="BQ105" i="7"/>
  <c r="BJ105" i="7"/>
  <c r="BH105" i="7"/>
  <c r="BN105" i="7"/>
  <c r="BO105" i="7"/>
  <c r="BP105" i="7"/>
  <c r="BK105" i="7"/>
  <c r="BL105" i="7"/>
  <c r="BG105" i="7"/>
  <c r="AS270" i="7"/>
  <c r="AP270" i="7"/>
  <c r="AV270" i="7"/>
  <c r="AW270" i="7"/>
  <c r="AX270" i="7"/>
  <c r="AY270" i="7"/>
  <c r="AR270" i="7"/>
  <c r="AU270" i="7"/>
  <c r="AT270" i="7"/>
  <c r="AQ270" i="7"/>
  <c r="AO270" i="7"/>
  <c r="CD131" i="7"/>
  <c r="CB131" i="7"/>
  <c r="BZ131" i="7"/>
  <c r="CH131" i="7"/>
  <c r="BY131" i="7"/>
  <c r="CF131" i="7"/>
  <c r="CG131" i="7"/>
  <c r="CE131" i="7"/>
  <c r="CI131" i="7"/>
  <c r="CA131" i="7"/>
  <c r="CC131" i="7"/>
  <c r="CF386" i="7"/>
  <c r="CH386" i="7"/>
  <c r="CC386" i="7"/>
  <c r="CB386" i="7"/>
  <c r="CI386" i="7"/>
  <c r="CD386" i="7"/>
  <c r="BY386" i="7"/>
  <c r="CA386" i="7"/>
  <c r="CE386" i="7"/>
  <c r="BZ386" i="7"/>
  <c r="CG386" i="7"/>
  <c r="CD282" i="7"/>
  <c r="BY282" i="7"/>
  <c r="CF282" i="7"/>
  <c r="CG282" i="7"/>
  <c r="CE282" i="7"/>
  <c r="CH282" i="7"/>
  <c r="CI282" i="7"/>
  <c r="CA282" i="7"/>
  <c r="BZ282" i="7"/>
  <c r="CB282" i="7"/>
  <c r="CC282" i="7"/>
  <c r="CD115" i="7"/>
  <c r="BZ115" i="7"/>
  <c r="CH115" i="7"/>
  <c r="CB115" i="7"/>
  <c r="CI115" i="7"/>
  <c r="CC115" i="7"/>
  <c r="CA115" i="7"/>
  <c r="CE115" i="7"/>
  <c r="BY115" i="7"/>
  <c r="CF115" i="7"/>
  <c r="CG115" i="7"/>
  <c r="AV277" i="7"/>
  <c r="AT277" i="7"/>
  <c r="AR277" i="7"/>
  <c r="AO277" i="7"/>
  <c r="AW277" i="7"/>
  <c r="AP277" i="7"/>
  <c r="AS277" i="7"/>
  <c r="AU277" i="7"/>
  <c r="AX277" i="7"/>
  <c r="AY277" i="7"/>
  <c r="AQ277" i="7"/>
  <c r="AT269" i="7"/>
  <c r="AR269" i="7"/>
  <c r="AW269" i="7"/>
  <c r="AP269" i="7"/>
  <c r="AO269" i="7"/>
  <c r="AV269" i="7"/>
  <c r="AY269" i="7"/>
  <c r="AX269" i="7"/>
  <c r="AQ269" i="7"/>
  <c r="AU269" i="7"/>
  <c r="AS269" i="7"/>
  <c r="AW393" i="7"/>
  <c r="AT393" i="7"/>
  <c r="AO393" i="7"/>
  <c r="AP393" i="7"/>
  <c r="AS393" i="7"/>
  <c r="AY393" i="7"/>
  <c r="AX393" i="7"/>
  <c r="AR393" i="7"/>
  <c r="AU393" i="7"/>
  <c r="AQ393" i="7"/>
  <c r="AV393" i="7"/>
  <c r="AV140" i="7"/>
  <c r="AO140" i="7"/>
  <c r="AT140" i="7"/>
  <c r="AR140" i="7"/>
  <c r="AW140" i="7"/>
  <c r="AP140" i="7"/>
  <c r="AS140" i="7"/>
  <c r="AU140" i="7"/>
  <c r="AX140" i="7"/>
  <c r="AY140" i="7"/>
  <c r="AQ140" i="7"/>
  <c r="BM338" i="7"/>
  <c r="BJ338" i="7"/>
  <c r="BP338" i="7"/>
  <c r="BI338" i="7"/>
  <c r="BN338" i="7"/>
  <c r="BH338" i="7"/>
  <c r="BL338" i="7"/>
  <c r="BO338" i="7"/>
  <c r="BQ338" i="7"/>
  <c r="BK338" i="7"/>
  <c r="BG338" i="7"/>
  <c r="CD323" i="7"/>
  <c r="CI323" i="7"/>
  <c r="CH323" i="7"/>
  <c r="CC323" i="7"/>
  <c r="CA323" i="7"/>
  <c r="CG323" i="7"/>
  <c r="BY323" i="7"/>
  <c r="CF323" i="7"/>
  <c r="BZ323" i="7"/>
  <c r="CE323" i="7"/>
  <c r="CB323" i="7"/>
  <c r="AW313" i="7"/>
  <c r="AP313" i="7"/>
  <c r="AV313" i="7"/>
  <c r="AY313" i="7"/>
  <c r="AX313" i="7"/>
  <c r="AR313" i="7"/>
  <c r="AU313" i="7"/>
  <c r="AQ313" i="7"/>
  <c r="AO313" i="7"/>
  <c r="AS313" i="7"/>
  <c r="AT313" i="7"/>
  <c r="BM152" i="7"/>
  <c r="BH152" i="7"/>
  <c r="BN152" i="7"/>
  <c r="BJ152" i="7"/>
  <c r="BO152" i="7"/>
  <c r="BP152" i="7"/>
  <c r="BK152" i="7"/>
  <c r="BI152" i="7"/>
  <c r="BQ152" i="7"/>
  <c r="BL152" i="7"/>
  <c r="BG152" i="7"/>
  <c r="BM62" i="7"/>
  <c r="BP62" i="7"/>
  <c r="BK62" i="7"/>
  <c r="BL62" i="7"/>
  <c r="BG62" i="7"/>
  <c r="BJ62" i="7"/>
  <c r="BH62" i="7"/>
  <c r="BN62" i="7"/>
  <c r="BI62" i="7"/>
  <c r="BO62" i="7"/>
  <c r="BQ62" i="7"/>
  <c r="BP337" i="7"/>
  <c r="BM337" i="7"/>
  <c r="BH337" i="7"/>
  <c r="BI337" i="7"/>
  <c r="BK337" i="7"/>
  <c r="BN337" i="7"/>
  <c r="BG337" i="7"/>
  <c r="BL337" i="7"/>
  <c r="BO337" i="7"/>
  <c r="BJ337" i="7"/>
  <c r="BQ337" i="7"/>
  <c r="BY67" i="7" a="1"/>
  <c r="CH49" i="7"/>
  <c r="CF49" i="7"/>
  <c r="CA49" i="7"/>
  <c r="CD49" i="7"/>
  <c r="BZ49" i="7"/>
  <c r="CG49" i="7"/>
  <c r="CI49" i="7"/>
  <c r="CB49" i="7"/>
  <c r="CC49" i="7"/>
  <c r="CE49" i="7"/>
  <c r="BY49" i="7"/>
  <c r="CG172" i="7"/>
  <c r="CF172" i="7"/>
  <c r="CA172" i="7"/>
  <c r="CC172" i="7"/>
  <c r="BY172" i="7"/>
  <c r="CD172" i="7"/>
  <c r="CI172" i="7"/>
  <c r="CE172" i="7"/>
  <c r="CB172" i="7"/>
  <c r="CH172" i="7"/>
  <c r="BZ172" i="7"/>
  <c r="CG161" i="7"/>
  <c r="CF161" i="7"/>
  <c r="CA161" i="7"/>
  <c r="CD161" i="7"/>
  <c r="CC161" i="7"/>
  <c r="BY161" i="7"/>
  <c r="BZ161" i="7"/>
  <c r="CB161" i="7"/>
  <c r="CH161" i="7"/>
  <c r="CI161" i="7"/>
  <c r="CE161" i="7"/>
  <c r="BM218" i="7"/>
  <c r="BL218" i="7"/>
  <c r="BG218" i="7"/>
  <c r="BI218" i="7"/>
  <c r="BH218" i="7"/>
  <c r="BN218" i="7"/>
  <c r="BQ218" i="7"/>
  <c r="BJ218" i="7"/>
  <c r="BO218" i="7"/>
  <c r="BP218" i="7"/>
  <c r="BK218" i="7"/>
  <c r="AV133" i="7"/>
  <c r="AW133" i="7"/>
  <c r="AT133" i="7"/>
  <c r="AR133" i="7"/>
  <c r="AO133" i="7"/>
  <c r="AP133" i="7"/>
  <c r="AU133" i="7"/>
  <c r="AS133" i="7"/>
  <c r="AQ133" i="7"/>
  <c r="AX133" i="7"/>
  <c r="AY133" i="7"/>
  <c r="AV36" i="7"/>
  <c r="AW36" i="7"/>
  <c r="AT36" i="7"/>
  <c r="AR36" i="7"/>
  <c r="AO36" i="7"/>
  <c r="AY36" i="7"/>
  <c r="AX36" i="7"/>
  <c r="AP36" i="7"/>
  <c r="AU36" i="7"/>
  <c r="AQ36" i="7"/>
  <c r="AS36" i="7"/>
  <c r="AS187" i="7"/>
  <c r="AP187" i="7"/>
  <c r="AT187" i="7"/>
  <c r="AX187" i="7"/>
  <c r="AV187" i="7"/>
  <c r="AY187" i="7"/>
  <c r="AO187" i="7"/>
  <c r="AU187" i="7"/>
  <c r="AW187" i="7"/>
  <c r="AQ187" i="7"/>
  <c r="AR187" i="7"/>
  <c r="BP304" i="7"/>
  <c r="BH304" i="7"/>
  <c r="BN304" i="7"/>
  <c r="BM304" i="7"/>
  <c r="BI304" i="7"/>
  <c r="BL304" i="7"/>
  <c r="BO304" i="7"/>
  <c r="BQ304" i="7"/>
  <c r="BK304" i="7"/>
  <c r="BJ304" i="7"/>
  <c r="BG304" i="7"/>
  <c r="CF146" i="7"/>
  <c r="CE146" i="7"/>
  <c r="CB146" i="7"/>
  <c r="CA146" i="7"/>
  <c r="CG146" i="7"/>
  <c r="BY146" i="7"/>
  <c r="CH146" i="7"/>
  <c r="CI146" i="7"/>
  <c r="BZ146" i="7"/>
  <c r="CC146" i="7"/>
  <c r="CD146" i="7"/>
  <c r="CG315" i="7"/>
  <c r="CF315" i="7"/>
  <c r="CA315" i="7"/>
  <c r="CD315" i="7"/>
  <c r="CE315" i="7"/>
  <c r="CC315" i="7"/>
  <c r="CH315" i="7"/>
  <c r="CB315" i="7"/>
  <c r="BZ315" i="7"/>
  <c r="CI315" i="7"/>
  <c r="BY315" i="7"/>
  <c r="CB36" i="7"/>
  <c r="CH36" i="7"/>
  <c r="CA36" i="7"/>
  <c r="CF36" i="7"/>
  <c r="BZ36" i="7"/>
  <c r="CE36" i="7"/>
  <c r="CC36" i="7"/>
  <c r="BY36" i="7"/>
  <c r="CD36" i="7"/>
  <c r="CG36" i="7"/>
  <c r="CI3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3" i="7"/>
  <c r="AO123" i="7"/>
  <c r="AY123" i="7"/>
  <c r="AP123" i="7"/>
  <c r="AR123" i="7"/>
  <c r="AT123" i="7"/>
  <c r="AS123" i="7"/>
  <c r="AW123" i="7"/>
  <c r="AU123" i="7"/>
  <c r="AX123" i="7"/>
  <c r="AV123" i="7"/>
  <c r="AX341" i="7"/>
  <c r="AT341" i="7"/>
  <c r="AR341" i="7"/>
  <c r="AY341" i="7"/>
  <c r="AP341" i="7"/>
  <c r="AW341" i="7"/>
  <c r="AQ341" i="7"/>
  <c r="AO341" i="7"/>
  <c r="AS341" i="7"/>
  <c r="AV341" i="7"/>
  <c r="AU341" i="7"/>
  <c r="BM133" i="7"/>
  <c r="BL133" i="7"/>
  <c r="BG133" i="7"/>
  <c r="BI133" i="7"/>
  <c r="BH133" i="7"/>
  <c r="BN133" i="7"/>
  <c r="BQ133" i="7"/>
  <c r="BJ133" i="7"/>
  <c r="BO133" i="7"/>
  <c r="BP133" i="7"/>
  <c r="BK133" i="7"/>
  <c r="AS361" i="7"/>
  <c r="AQ361" i="7"/>
  <c r="AV361" i="7"/>
  <c r="AY361" i="7"/>
  <c r="AP361" i="7"/>
  <c r="AO361" i="7"/>
  <c r="AR361" i="7"/>
  <c r="AT361" i="7"/>
  <c r="AW361" i="7"/>
  <c r="AU361" i="7"/>
  <c r="AX361" i="7"/>
  <c r="CF312" i="7"/>
  <c r="BZ312" i="7"/>
  <c r="CE312" i="7"/>
  <c r="CB312" i="7"/>
  <c r="CH312" i="7"/>
  <c r="CA312" i="7"/>
  <c r="CD312" i="7"/>
  <c r="CG312" i="7"/>
  <c r="CI312" i="7"/>
  <c r="CC312" i="7"/>
  <c r="BY312" i="7"/>
  <c r="CF210" i="7"/>
  <c r="CB210" i="7"/>
  <c r="CC210" i="7"/>
  <c r="CA210" i="7"/>
  <c r="CD210" i="7"/>
  <c r="CI210" i="7"/>
  <c r="BZ210" i="7"/>
  <c r="CH210" i="7"/>
  <c r="CG210" i="7"/>
  <c r="CE210" i="7"/>
  <c r="BY210" i="7"/>
  <c r="CB267" i="7"/>
  <c r="CH267" i="7"/>
  <c r="CA267" i="7"/>
  <c r="CF267" i="7"/>
  <c r="BZ267" i="7"/>
  <c r="CE267" i="7"/>
  <c r="BY267" i="7"/>
  <c r="CD267" i="7"/>
  <c r="CG267" i="7"/>
  <c r="CI267" i="7"/>
  <c r="CC267" i="7"/>
  <c r="BY381" i="7" a="1"/>
  <c r="CH68" i="7"/>
  <c r="CA68" i="7"/>
  <c r="CF68" i="7"/>
  <c r="BZ68" i="7"/>
  <c r="CE68" i="7"/>
  <c r="CB68" i="7"/>
  <c r="CG68" i="7"/>
  <c r="CI68" i="7"/>
  <c r="CC68" i="7"/>
  <c r="BY68" i="7"/>
  <c r="CD68" i="7"/>
  <c r="AX25" i="7"/>
  <c r="AS25" i="7"/>
  <c r="AU25" i="7"/>
  <c r="AV25" i="7"/>
  <c r="AQ25" i="7"/>
  <c r="AP25" i="7"/>
  <c r="AW25" i="7"/>
  <c r="AT25" i="7"/>
  <c r="AO25" i="7"/>
  <c r="AY25" i="7"/>
  <c r="AR25" i="7"/>
  <c r="AV190" i="7"/>
  <c r="AO190" i="7"/>
  <c r="AT190" i="7"/>
  <c r="AR190" i="7"/>
  <c r="AP190" i="7"/>
  <c r="AW190" i="7"/>
  <c r="AS190" i="7"/>
  <c r="AU190" i="7"/>
  <c r="AY190" i="7"/>
  <c r="AQ190" i="7"/>
  <c r="AX190" i="7"/>
  <c r="AV45" i="7"/>
  <c r="AW45" i="7"/>
  <c r="AT45" i="7"/>
  <c r="AR45" i="7"/>
  <c r="AO45" i="7"/>
  <c r="AP45" i="7"/>
  <c r="AS45" i="7"/>
  <c r="AY45" i="7"/>
  <c r="AX45" i="7"/>
  <c r="AU45" i="7"/>
  <c r="AQ45" i="7"/>
  <c r="CH52" i="7"/>
  <c r="CA52" i="7"/>
  <c r="CF52" i="7"/>
  <c r="BZ52" i="7"/>
  <c r="CE52" i="7"/>
  <c r="CB52" i="7"/>
  <c r="CG52" i="7"/>
  <c r="CI52" i="7"/>
  <c r="CC52" i="7"/>
  <c r="BY52" i="7"/>
  <c r="CD52" i="7"/>
  <c r="CI127" i="7"/>
  <c r="CD127" i="7"/>
  <c r="BY127" i="7"/>
  <c r="CA127" i="7"/>
  <c r="CG127" i="7"/>
  <c r="CB127" i="7"/>
  <c r="BZ127" i="7"/>
  <c r="CC127" i="7"/>
  <c r="CE127" i="7"/>
  <c r="CF127" i="7"/>
  <c r="CH127" i="7"/>
  <c r="CF12" i="7"/>
  <c r="BZ12" i="7"/>
  <c r="CH12" i="7"/>
  <c r="CE12" i="7"/>
  <c r="CB12" i="7"/>
  <c r="CG12" i="7"/>
  <c r="CI12" i="7"/>
  <c r="CA12" i="7"/>
  <c r="BY12" i="7"/>
  <c r="CC12" i="7"/>
  <c r="CD12" i="7"/>
  <c r="AS191" i="7"/>
  <c r="AV191" i="7"/>
  <c r="AU191" i="7"/>
  <c r="AQ191" i="7"/>
  <c r="AY191" i="7"/>
  <c r="AO191" i="7"/>
  <c r="AR191" i="7"/>
  <c r="AP191" i="7"/>
  <c r="AW191" i="7"/>
  <c r="AX191" i="7"/>
  <c r="AT191" i="7"/>
  <c r="AW148" i="7"/>
  <c r="AR148" i="7"/>
  <c r="AP148" i="7"/>
  <c r="AX148" i="7"/>
  <c r="AU148" i="7"/>
  <c r="AV148" i="7"/>
  <c r="AQ148" i="7"/>
  <c r="AT148" i="7"/>
  <c r="AY148" i="7"/>
  <c r="AO148" i="7"/>
  <c r="AS148" i="7"/>
  <c r="AS160" i="7"/>
  <c r="AQ160" i="7"/>
  <c r="AV160" i="7"/>
  <c r="AY160" i="7"/>
  <c r="AP160" i="7"/>
  <c r="AO160" i="7"/>
  <c r="AR160" i="7"/>
  <c r="AU160" i="7"/>
  <c r="AW160" i="7"/>
  <c r="AX160" i="7"/>
  <c r="AT160" i="7"/>
  <c r="AT99" i="7"/>
  <c r="AP99" i="7"/>
  <c r="AO99" i="7"/>
  <c r="AV99" i="7"/>
  <c r="AU99" i="7"/>
  <c r="AQ99" i="7"/>
  <c r="AS99" i="7"/>
  <c r="AW99" i="7"/>
  <c r="AX99" i="7"/>
  <c r="AR99" i="7"/>
  <c r="AY99" i="7"/>
  <c r="AT216" i="7"/>
  <c r="AP216" i="7"/>
  <c r="AY216" i="7"/>
  <c r="AV216" i="7"/>
  <c r="AQ216" i="7"/>
  <c r="AS216" i="7"/>
  <c r="AU216" i="7"/>
  <c r="AX216" i="7"/>
  <c r="AW216" i="7"/>
  <c r="AO216" i="7"/>
  <c r="AR216" i="7"/>
  <c r="BY8" i="7" a="1"/>
  <c r="CB138" i="7"/>
  <c r="BY138" i="7"/>
  <c r="CG138" i="7"/>
  <c r="CE138" i="7"/>
  <c r="BZ138" i="7"/>
  <c r="CH138" i="7"/>
  <c r="CI138" i="7"/>
  <c r="CA138" i="7"/>
  <c r="CC138" i="7"/>
  <c r="CF138" i="7"/>
  <c r="CD138" i="7"/>
  <c r="BY119" i="7" a="1"/>
  <c r="AX156" i="7"/>
  <c r="AS156" i="7"/>
  <c r="AP156" i="7"/>
  <c r="AY156" i="7"/>
  <c r="AR156" i="7"/>
  <c r="AV156" i="7"/>
  <c r="AU156" i="7"/>
  <c r="AT156" i="7"/>
  <c r="AQ156" i="7"/>
  <c r="AO156" i="7"/>
  <c r="AW156" i="7"/>
  <c r="AS189" i="7"/>
  <c r="AV189" i="7"/>
  <c r="AU189" i="7"/>
  <c r="AT189" i="7"/>
  <c r="AQ189" i="7"/>
  <c r="AO189" i="7"/>
  <c r="AW189" i="7"/>
  <c r="AX189" i="7"/>
  <c r="AR189" i="7"/>
  <c r="AP189" i="7"/>
  <c r="AY189" i="7"/>
  <c r="AW150" i="7"/>
  <c r="AP150" i="7"/>
  <c r="AV150" i="7"/>
  <c r="AO150" i="7"/>
  <c r="AT150" i="7"/>
  <c r="AR150" i="7"/>
  <c r="AQ150" i="7"/>
  <c r="AY150" i="7"/>
  <c r="AX150" i="7"/>
  <c r="AU150" i="7"/>
  <c r="AS150" i="7"/>
  <c r="BN292" i="7"/>
  <c r="BH292" i="7"/>
  <c r="BM292" i="7"/>
  <c r="BJ292" i="7"/>
  <c r="BP292" i="7"/>
  <c r="BI292" i="7"/>
  <c r="BO292" i="7"/>
  <c r="BQ292" i="7"/>
  <c r="BK292" i="7"/>
  <c r="BG292" i="7"/>
  <c r="BL292" i="7"/>
  <c r="BM87" i="7"/>
  <c r="BP87" i="7"/>
  <c r="BK87" i="7"/>
  <c r="BL87" i="7"/>
  <c r="BG87" i="7"/>
  <c r="BJ87" i="7"/>
  <c r="BH87" i="7"/>
  <c r="BN87" i="7"/>
  <c r="BI87" i="7"/>
  <c r="BQ87" i="7"/>
  <c r="BO87" i="7"/>
  <c r="BM39" i="7"/>
  <c r="BJ39" i="7"/>
  <c r="BP39" i="7"/>
  <c r="BI39" i="7"/>
  <c r="BN39" i="7"/>
  <c r="BH39" i="7"/>
  <c r="BG39" i="7"/>
  <c r="BL39" i="7"/>
  <c r="BO39" i="7"/>
  <c r="BQ39" i="7"/>
  <c r="BK39" i="7"/>
  <c r="AW280" i="7"/>
  <c r="AP280" i="7"/>
  <c r="AX280" i="7"/>
  <c r="AO280" i="7"/>
  <c r="AY280" i="7"/>
  <c r="AV280" i="7"/>
  <c r="AT280" i="7"/>
  <c r="AR280" i="7"/>
  <c r="AS280" i="7"/>
  <c r="AQ280" i="7"/>
  <c r="AU280" i="7"/>
  <c r="BY110" i="7" a="1"/>
  <c r="BY66" i="7" a="1"/>
  <c r="BY222" i="7" a="1"/>
  <c r="BM142" i="7"/>
  <c r="BI142" i="7"/>
  <c r="BQ142" i="7"/>
  <c r="BJ142" i="7"/>
  <c r="BH142" i="7"/>
  <c r="BN142" i="7"/>
  <c r="BO142" i="7"/>
  <c r="BP142" i="7"/>
  <c r="BK142" i="7"/>
  <c r="BL142" i="7"/>
  <c r="BG142" i="7"/>
  <c r="CD251" i="7"/>
  <c r="CI251" i="7"/>
  <c r="CH251" i="7"/>
  <c r="CC251" i="7"/>
  <c r="CA251" i="7"/>
  <c r="CE251" i="7"/>
  <c r="CF251" i="7"/>
  <c r="BY251" i="7"/>
  <c r="CG251" i="7"/>
  <c r="CB251" i="7"/>
  <c r="BZ251" i="7"/>
  <c r="AW67" i="7"/>
  <c r="AV67" i="7"/>
  <c r="AP67" i="7"/>
  <c r="AR67" i="7"/>
  <c r="AY67" i="7"/>
  <c r="AX67" i="7"/>
  <c r="AU67" i="7"/>
  <c r="AQ67" i="7"/>
  <c r="AO67" i="7"/>
  <c r="AS67" i="7"/>
  <c r="AT67" i="7"/>
  <c r="AW317" i="7"/>
  <c r="AV317" i="7"/>
  <c r="AP317" i="7"/>
  <c r="AR317" i="7"/>
  <c r="AQ317" i="7"/>
  <c r="AT317" i="7"/>
  <c r="AS317" i="7"/>
  <c r="AY317" i="7"/>
  <c r="AX317" i="7"/>
  <c r="AO317" i="7"/>
  <c r="AU317" i="7"/>
  <c r="AR121" i="7"/>
  <c r="AW121" i="7"/>
  <c r="AP121" i="7"/>
  <c r="AV121" i="7"/>
  <c r="AO121" i="7"/>
  <c r="AT121" i="7"/>
  <c r="AS121" i="7"/>
  <c r="AU121" i="7"/>
  <c r="AY121" i="7"/>
  <c r="AQ121" i="7"/>
  <c r="AX121" i="7"/>
  <c r="AW126" i="7"/>
  <c r="AT126" i="7"/>
  <c r="AO126" i="7"/>
  <c r="AP126" i="7"/>
  <c r="AS126" i="7"/>
  <c r="AY126" i="7"/>
  <c r="AX126" i="7"/>
  <c r="AR126" i="7"/>
  <c r="AU126" i="7"/>
  <c r="AV126" i="7"/>
  <c r="AQ126" i="7"/>
  <c r="BP211" i="7"/>
  <c r="BI211" i="7"/>
  <c r="BH211" i="7"/>
  <c r="BN211" i="7"/>
  <c r="BM211" i="7"/>
  <c r="BO211" i="7"/>
  <c r="BQ211" i="7"/>
  <c r="BJ211" i="7"/>
  <c r="BK211" i="7"/>
  <c r="BG211" i="7"/>
  <c r="BL211" i="7"/>
  <c r="CD105" i="7"/>
  <c r="BZ105" i="7"/>
  <c r="CH105" i="7"/>
  <c r="CC105" i="7"/>
  <c r="CA105" i="7"/>
  <c r="CI105" i="7"/>
  <c r="CB105" i="7"/>
  <c r="BY105" i="7"/>
  <c r="CE105" i="7"/>
  <c r="CF105" i="7"/>
  <c r="CG105" i="7"/>
  <c r="CG335" i="7"/>
  <c r="CF335" i="7"/>
  <c r="CA335" i="7"/>
  <c r="CC335" i="7"/>
  <c r="BY335" i="7"/>
  <c r="CD335" i="7"/>
  <c r="CI335" i="7"/>
  <c r="CE335" i="7"/>
  <c r="CB335" i="7"/>
  <c r="BZ335" i="7"/>
  <c r="CH335" i="7"/>
  <c r="CC35" i="7"/>
  <c r="CA35" i="7"/>
  <c r="BZ35" i="7"/>
  <c r="CI35" i="7"/>
  <c r="CF35" i="7"/>
  <c r="BY35" i="7"/>
  <c r="CH35" i="7"/>
  <c r="CE35" i="7"/>
  <c r="CD35" i="7"/>
  <c r="CG35" i="7"/>
  <c r="CB35" i="7"/>
  <c r="AV215" i="7"/>
  <c r="AR215" i="7"/>
  <c r="AW215" i="7"/>
  <c r="AP215" i="7"/>
  <c r="AQ215" i="7"/>
  <c r="AS215" i="7"/>
  <c r="AY215" i="7"/>
  <c r="AX215" i="7"/>
  <c r="AT215" i="7"/>
  <c r="AO215" i="7"/>
  <c r="AU215" i="7"/>
  <c r="AV366" i="7"/>
  <c r="AO366" i="7"/>
  <c r="AY366" i="7"/>
  <c r="AW366" i="7"/>
  <c r="AP366" i="7"/>
  <c r="AX366" i="7"/>
  <c r="AR366" i="7"/>
  <c r="AS366" i="7"/>
  <c r="AQ366" i="7"/>
  <c r="AU366" i="7"/>
  <c r="AT366" i="7"/>
  <c r="AO112" i="7"/>
  <c r="AV112" i="7"/>
  <c r="AT112" i="7"/>
  <c r="AP112" i="7"/>
  <c r="AS112" i="7"/>
  <c r="AR112" i="7"/>
  <c r="AY112" i="7"/>
  <c r="AX112" i="7"/>
  <c r="AU112" i="7"/>
  <c r="AQ112" i="7"/>
  <c r="AW112" i="7"/>
  <c r="AW266" i="7"/>
  <c r="AV266" i="7"/>
  <c r="AP266" i="7"/>
  <c r="AU266" i="7"/>
  <c r="AT266" i="7"/>
  <c r="AR266" i="7"/>
  <c r="AQ266" i="7"/>
  <c r="AS266" i="7"/>
  <c r="AY266" i="7"/>
  <c r="AO266" i="7"/>
  <c r="AX266" i="7"/>
  <c r="AV38" i="7"/>
  <c r="AW38" i="7"/>
  <c r="AP38" i="7"/>
  <c r="AX38" i="7"/>
  <c r="AO38" i="7"/>
  <c r="AY38" i="7"/>
  <c r="AT38" i="7"/>
  <c r="AR38" i="7"/>
  <c r="AS38" i="7"/>
  <c r="AQ38" i="7"/>
  <c r="AU38" i="7"/>
  <c r="CF398" i="7"/>
  <c r="CA398" i="7"/>
  <c r="CG398" i="7"/>
  <c r="CH398" i="7"/>
  <c r="CC398" i="7"/>
  <c r="CE398" i="7"/>
  <c r="BZ398" i="7"/>
  <c r="CI398" i="7"/>
  <c r="CD398" i="7"/>
  <c r="BY398" i="7"/>
  <c r="CB398" i="7"/>
  <c r="CI72" i="7"/>
  <c r="CD72" i="7"/>
  <c r="CH72" i="7"/>
  <c r="CE72" i="7"/>
  <c r="CG72" i="7"/>
  <c r="CB72" i="7"/>
  <c r="BZ72" i="7"/>
  <c r="CC72" i="7"/>
  <c r="CF72" i="7"/>
  <c r="BY72" i="7"/>
  <c r="CA72" i="7"/>
  <c r="CB183" i="7"/>
  <c r="CI183" i="7"/>
  <c r="CD183" i="7"/>
  <c r="BY183" i="7"/>
  <c r="CE183" i="7"/>
  <c r="BZ183" i="7"/>
  <c r="CF183" i="7"/>
  <c r="CH183" i="7"/>
  <c r="CA183" i="7"/>
  <c r="CG183" i="7"/>
  <c r="CC183" i="7"/>
  <c r="AU127" i="7"/>
  <c r="AS127" i="7"/>
  <c r="AV127" i="7"/>
  <c r="AQ127" i="7"/>
  <c r="AY127" i="7"/>
  <c r="AP127" i="7"/>
  <c r="AR127" i="7"/>
  <c r="AT127" i="7"/>
  <c r="AW127" i="7"/>
  <c r="AO127" i="7"/>
  <c r="AX127" i="7"/>
  <c r="CD100" i="7"/>
  <c r="CB100" i="7"/>
  <c r="BY100" i="7"/>
  <c r="CF100" i="7"/>
  <c r="CG100" i="7"/>
  <c r="CE100" i="7"/>
  <c r="CH100" i="7"/>
  <c r="CC100" i="7"/>
  <c r="CI100" i="7"/>
  <c r="BZ100" i="7"/>
  <c r="CA100" i="7"/>
  <c r="AP344" i="7"/>
  <c r="AW344" i="7"/>
  <c r="AO344" i="7"/>
  <c r="AT344" i="7"/>
  <c r="AR344" i="7"/>
  <c r="AY344" i="7"/>
  <c r="AX344" i="7"/>
  <c r="AQ344" i="7"/>
  <c r="AS344" i="7"/>
  <c r="AV344" i="7"/>
  <c r="AU344" i="7"/>
  <c r="AP185" i="7"/>
  <c r="AW185" i="7"/>
  <c r="AX185" i="7"/>
  <c r="AY185" i="7"/>
  <c r="AR185" i="7"/>
  <c r="AU185" i="7"/>
  <c r="AT185" i="7"/>
  <c r="AS185" i="7"/>
  <c r="AQ185" i="7"/>
  <c r="AO185" i="7"/>
  <c r="AV185" i="7"/>
  <c r="CD112" i="7"/>
  <c r="CH112" i="7"/>
  <c r="BZ112" i="7"/>
  <c r="CB112" i="7"/>
  <c r="BY112" i="7"/>
  <c r="CF112" i="7"/>
  <c r="CG112" i="7"/>
  <c r="CE112" i="7"/>
  <c r="CI112" i="7"/>
  <c r="CA112" i="7"/>
  <c r="CC112" i="7"/>
  <c r="CH24" i="7"/>
  <c r="CD24" i="7"/>
  <c r="BZ24" i="7"/>
  <c r="CC24" i="7"/>
  <c r="CA24" i="7"/>
  <c r="CI24" i="7"/>
  <c r="CF24" i="7"/>
  <c r="CG24" i="7"/>
  <c r="BY24" i="7"/>
  <c r="CB24" i="7"/>
  <c r="CE24" i="7"/>
  <c r="CF351" i="7"/>
  <c r="CB351" i="7"/>
  <c r="BZ351" i="7"/>
  <c r="CC351" i="7"/>
  <c r="CA351" i="7"/>
  <c r="CI351" i="7"/>
  <c r="CH351" i="7"/>
  <c r="BY351" i="7"/>
  <c r="CE351" i="7"/>
  <c r="CG351" i="7"/>
  <c r="CD351" i="7"/>
  <c r="AV64" i="7"/>
  <c r="AO64" i="7"/>
  <c r="AW64" i="7"/>
  <c r="AT64" i="7"/>
  <c r="AR64" i="7"/>
  <c r="AP64" i="7"/>
  <c r="AU64" i="7"/>
  <c r="AQ64" i="7"/>
  <c r="AS64" i="7"/>
  <c r="AY64" i="7"/>
  <c r="AX64" i="7"/>
  <c r="AV302" i="7"/>
  <c r="AO302" i="7"/>
  <c r="AW302" i="7"/>
  <c r="AT302" i="7"/>
  <c r="AR302" i="7"/>
  <c r="AP302" i="7"/>
  <c r="AS302" i="7"/>
  <c r="AY302" i="7"/>
  <c r="AX302" i="7"/>
  <c r="AU302" i="7"/>
  <c r="AQ302" i="7"/>
  <c r="AV339" i="7"/>
  <c r="AO339" i="7"/>
  <c r="AW339" i="7"/>
  <c r="AT339" i="7"/>
  <c r="AR339" i="7"/>
  <c r="AP339" i="7"/>
  <c r="AS339" i="7"/>
  <c r="AY339" i="7"/>
  <c r="AX339" i="7"/>
  <c r="AU339" i="7"/>
  <c r="AQ339" i="7"/>
  <c r="BM215" i="7"/>
  <c r="BQ215" i="7"/>
  <c r="BJ215" i="7"/>
  <c r="BI215" i="7"/>
  <c r="BO215" i="7"/>
  <c r="BP215" i="7"/>
  <c r="BK215" i="7"/>
  <c r="BL215" i="7"/>
  <c r="BG215" i="7"/>
  <c r="BH215" i="7"/>
  <c r="BN215" i="7"/>
  <c r="AX119" i="7"/>
  <c r="AV119" i="7"/>
  <c r="AW119" i="7"/>
  <c r="AS119" i="7"/>
  <c r="AY119" i="7"/>
  <c r="AP119" i="7"/>
  <c r="AR119" i="7"/>
  <c r="AU119" i="7"/>
  <c r="AT119" i="7"/>
  <c r="AQ119" i="7"/>
  <c r="AO119" i="7"/>
  <c r="CI51" i="7"/>
  <c r="CG51" i="7"/>
  <c r="CB51" i="7"/>
  <c r="BZ51" i="7"/>
  <c r="CD51" i="7"/>
  <c r="CC51" i="7"/>
  <c r="CF51" i="7"/>
  <c r="BY51" i="7"/>
  <c r="CA51" i="7"/>
  <c r="CH51" i="7"/>
  <c r="CE51" i="7"/>
  <c r="CH228" i="7"/>
  <c r="CF228" i="7"/>
  <c r="CA228" i="7"/>
  <c r="CG228" i="7"/>
  <c r="CI228" i="7"/>
  <c r="CC228" i="7"/>
  <c r="BY228" i="7"/>
  <c r="CE228" i="7"/>
  <c r="CD228" i="7"/>
  <c r="BZ228" i="7"/>
  <c r="CB228" i="7"/>
  <c r="CD121" i="7"/>
  <c r="CG121" i="7"/>
  <c r="CE121" i="7"/>
  <c r="CH121" i="7"/>
  <c r="CB121" i="7"/>
  <c r="BY121" i="7"/>
  <c r="CF121" i="7"/>
  <c r="CC121" i="7"/>
  <c r="BZ121" i="7"/>
  <c r="CI121" i="7"/>
  <c r="CA121" i="7"/>
  <c r="CB18" i="7"/>
  <c r="CA18" i="7"/>
  <c r="CG18" i="7"/>
  <c r="CI18" i="7"/>
  <c r="CD18" i="7"/>
  <c r="BY18" i="7"/>
  <c r="CC18" i="7"/>
  <c r="CE18" i="7"/>
  <c r="CF18" i="7"/>
  <c r="CH18" i="7"/>
  <c r="BZ18" i="7"/>
  <c r="CI258" i="7"/>
  <c r="CF258" i="7"/>
  <c r="CC258" i="7"/>
  <c r="CA258" i="7"/>
  <c r="BZ258" i="7"/>
  <c r="CE258" i="7"/>
  <c r="CD258" i="7"/>
  <c r="CH258" i="7"/>
  <c r="CG258" i="7"/>
  <c r="CB258" i="7"/>
  <c r="BY258" i="7"/>
  <c r="AT65" i="7"/>
  <c r="AO65" i="7"/>
  <c r="AY65" i="7"/>
  <c r="AX65" i="7"/>
  <c r="AR65" i="7"/>
  <c r="AU65" i="7"/>
  <c r="AW65" i="7"/>
  <c r="AQ65" i="7"/>
  <c r="AP65" i="7"/>
  <c r="AS65" i="7"/>
  <c r="AV65" i="7"/>
  <c r="AR54" i="7"/>
  <c r="AW54" i="7"/>
  <c r="AP54" i="7"/>
  <c r="AV54" i="7"/>
  <c r="AO54" i="7"/>
  <c r="AT54" i="7"/>
  <c r="AQ54" i="7"/>
  <c r="AY54" i="7"/>
  <c r="AX54" i="7"/>
  <c r="AU54" i="7"/>
  <c r="AS54" i="7"/>
  <c r="AS292" i="7"/>
  <c r="AW292" i="7"/>
  <c r="AT292" i="7"/>
  <c r="AX292" i="7"/>
  <c r="AY292" i="7"/>
  <c r="AR292" i="7"/>
  <c r="AO292" i="7"/>
  <c r="AU292" i="7"/>
  <c r="AV292" i="7"/>
  <c r="AQ292" i="7"/>
  <c r="AP292" i="7"/>
  <c r="AV319" i="7"/>
  <c r="AW319" i="7"/>
  <c r="AT319" i="7"/>
  <c r="AR319" i="7"/>
  <c r="AO319" i="7"/>
  <c r="AP319" i="7"/>
  <c r="AY319" i="7"/>
  <c r="AX319" i="7"/>
  <c r="AU319" i="7"/>
  <c r="AQ319" i="7"/>
  <c r="AS319" i="7"/>
  <c r="AX18" i="7"/>
  <c r="AT18" i="7"/>
  <c r="AR18" i="7"/>
  <c r="AY18" i="7"/>
  <c r="AP18" i="7"/>
  <c r="AO18" i="7"/>
  <c r="AW18" i="7"/>
  <c r="AQ18" i="7"/>
  <c r="AV18" i="7"/>
  <c r="AU18" i="7"/>
  <c r="AS18" i="7"/>
  <c r="BM360" i="7"/>
  <c r="BJ360" i="7"/>
  <c r="BP360" i="7"/>
  <c r="BI360" i="7"/>
  <c r="BN360" i="7"/>
  <c r="BH360" i="7"/>
  <c r="BL360" i="7"/>
  <c r="BO360" i="7"/>
  <c r="BQ360" i="7"/>
  <c r="BK360" i="7"/>
  <c r="BG360" i="7"/>
  <c r="AX358" i="7"/>
  <c r="AS358" i="7"/>
  <c r="AU358" i="7"/>
  <c r="AV358" i="7"/>
  <c r="AW358" i="7"/>
  <c r="AT358" i="7"/>
  <c r="AQ358" i="7"/>
  <c r="AR358" i="7"/>
  <c r="AP358" i="7"/>
  <c r="AY358" i="7"/>
  <c r="AO358" i="7"/>
  <c r="BY31" i="7" a="1"/>
  <c r="CF174" i="7"/>
  <c r="BY174" i="7"/>
  <c r="CG174" i="7"/>
  <c r="CE174" i="7"/>
  <c r="CB174" i="7"/>
  <c r="BZ174" i="7"/>
  <c r="CA174" i="7"/>
  <c r="CH174" i="7"/>
  <c r="CI174" i="7"/>
  <c r="CD174" i="7"/>
  <c r="CC174" i="7"/>
  <c r="BM165" i="7"/>
  <c r="BI165" i="7"/>
  <c r="BJ165" i="7"/>
  <c r="BQ165" i="7"/>
  <c r="BH165" i="7"/>
  <c r="BN165" i="7"/>
  <c r="BO165" i="7"/>
  <c r="BP165" i="7"/>
  <c r="BK165" i="7"/>
  <c r="BL165" i="7"/>
  <c r="BG165" i="7"/>
  <c r="CB245" i="7"/>
  <c r="BY245" i="7"/>
  <c r="CG245" i="7"/>
  <c r="CE245" i="7"/>
  <c r="BZ245" i="7"/>
  <c r="CH245" i="7"/>
  <c r="CI245" i="7"/>
  <c r="CF245" i="7"/>
  <c r="CC245" i="7"/>
  <c r="CD245" i="7"/>
  <c r="CA245" i="7"/>
  <c r="AY228" i="7"/>
  <c r="AX228" i="7"/>
  <c r="AT228" i="7"/>
  <c r="AQ228" i="7"/>
  <c r="AW228" i="7"/>
  <c r="AU228" i="7"/>
  <c r="AP228" i="7"/>
  <c r="AS228" i="7"/>
  <c r="AO228" i="7"/>
  <c r="AV228" i="7"/>
  <c r="AR228" i="7"/>
  <c r="AP23" i="7"/>
  <c r="AW23" i="7"/>
  <c r="AX23" i="7"/>
  <c r="AY23" i="7"/>
  <c r="AR23" i="7"/>
  <c r="AU23" i="7"/>
  <c r="AT23" i="7"/>
  <c r="AV23" i="7"/>
  <c r="AQ23" i="7"/>
  <c r="AS23" i="7"/>
  <c r="AO23" i="7"/>
  <c r="CH270" i="7"/>
  <c r="CA270" i="7"/>
  <c r="CF270" i="7"/>
  <c r="CD270" i="7"/>
  <c r="BY270" i="7"/>
  <c r="CG270" i="7"/>
  <c r="CC270" i="7"/>
  <c r="CB270" i="7"/>
  <c r="CE270" i="7"/>
  <c r="CI270" i="7"/>
  <c r="BZ270" i="7"/>
  <c r="AV135" i="7"/>
  <c r="AR135" i="7"/>
  <c r="AW135" i="7"/>
  <c r="AU135" i="7"/>
  <c r="AQ135" i="7"/>
  <c r="AP135" i="7"/>
  <c r="AS135" i="7"/>
  <c r="AO135" i="7"/>
  <c r="AY135" i="7"/>
  <c r="AX135" i="7"/>
  <c r="AT135" i="7"/>
  <c r="BY65" i="7" a="1"/>
  <c r="CF303" i="7"/>
  <c r="BZ303" i="7"/>
  <c r="CH303" i="7"/>
  <c r="CE303" i="7"/>
  <c r="CB303" i="7"/>
  <c r="CG303" i="7"/>
  <c r="CI303" i="7"/>
  <c r="CA303" i="7"/>
  <c r="BY303" i="7"/>
  <c r="CC303" i="7"/>
  <c r="CD303" i="7"/>
  <c r="CG299" i="7"/>
  <c r="CE299" i="7"/>
  <c r="CD299" i="7"/>
  <c r="CF299" i="7"/>
  <c r="CI299" i="7"/>
  <c r="CH299" i="7"/>
  <c r="BY299" i="7"/>
  <c r="BZ299" i="7"/>
  <c r="CC299" i="7"/>
  <c r="CB299" i="7"/>
  <c r="CA299" i="7"/>
  <c r="CA225" i="7"/>
  <c r="CG225" i="7"/>
  <c r="BY225" i="7"/>
  <c r="CE225" i="7"/>
  <c r="CB225" i="7"/>
  <c r="CH225" i="7"/>
  <c r="CI225" i="7"/>
  <c r="BZ225" i="7"/>
  <c r="CD225" i="7"/>
  <c r="CC225" i="7"/>
  <c r="CF225" i="7"/>
  <c r="BY328" i="7" a="1"/>
  <c r="AV32" i="7"/>
  <c r="AT32" i="7"/>
  <c r="AR32" i="7"/>
  <c r="AO32" i="7"/>
  <c r="AW32" i="7"/>
  <c r="AQ32" i="7"/>
  <c r="AP32" i="7"/>
  <c r="AY32" i="7"/>
  <c r="AX32" i="7"/>
  <c r="AS32" i="7"/>
  <c r="AU32" i="7"/>
  <c r="AR81" i="7"/>
  <c r="AW81" i="7"/>
  <c r="AP81" i="7"/>
  <c r="AV81" i="7"/>
  <c r="AO81" i="7"/>
  <c r="AT81" i="7"/>
  <c r="AY81" i="7"/>
  <c r="AX81" i="7"/>
  <c r="AQ81" i="7"/>
  <c r="AU81" i="7"/>
  <c r="AS81" i="7"/>
  <c r="AW284" i="7"/>
  <c r="AT284" i="7"/>
  <c r="AO284" i="7"/>
  <c r="AP284" i="7"/>
  <c r="AQ284" i="7"/>
  <c r="AR284" i="7"/>
  <c r="AS284" i="7"/>
  <c r="AY284" i="7"/>
  <c r="AX284" i="7"/>
  <c r="AU284" i="7"/>
  <c r="AV284" i="7"/>
  <c r="AV322" i="7"/>
  <c r="AO322" i="7"/>
  <c r="AT322" i="7"/>
  <c r="AR322" i="7"/>
  <c r="AP322" i="7"/>
  <c r="AW322" i="7"/>
  <c r="AU322" i="7"/>
  <c r="AS322" i="7"/>
  <c r="AQ322" i="7"/>
  <c r="AX322" i="7"/>
  <c r="AY322" i="7"/>
  <c r="AW271" i="7"/>
  <c r="AR271" i="7"/>
  <c r="AP271" i="7"/>
  <c r="AX271" i="7"/>
  <c r="AU271" i="7"/>
  <c r="AV271" i="7"/>
  <c r="AQ271" i="7"/>
  <c r="AT271" i="7"/>
  <c r="AY271" i="7"/>
  <c r="AS271" i="7"/>
  <c r="AO271" i="7"/>
  <c r="BM82" i="7"/>
  <c r="BQ82" i="7"/>
  <c r="BJ82" i="7"/>
  <c r="BI82" i="7"/>
  <c r="BO82" i="7"/>
  <c r="BP82" i="7"/>
  <c r="BK82" i="7"/>
  <c r="BL82" i="7"/>
  <c r="BG82" i="7"/>
  <c r="BH82" i="7"/>
  <c r="BN82" i="7"/>
  <c r="BY80" i="7" a="1"/>
  <c r="BY360" i="7" a="1"/>
  <c r="CI176" i="7"/>
  <c r="CC176" i="7"/>
  <c r="CD176" i="7"/>
  <c r="CF176" i="7"/>
  <c r="CG176" i="7"/>
  <c r="CE176" i="7"/>
  <c r="BZ176" i="7"/>
  <c r="BY176" i="7"/>
  <c r="CB176" i="7"/>
  <c r="CA176" i="7"/>
  <c r="CH176" i="7"/>
  <c r="BM361" i="7"/>
  <c r="BO361" i="7"/>
  <c r="BI361" i="7"/>
  <c r="BP361" i="7"/>
  <c r="BK361" i="7"/>
  <c r="BQ361" i="7"/>
  <c r="BJ361" i="7"/>
  <c r="BL361" i="7"/>
  <c r="BG361" i="7"/>
  <c r="BN361" i="7"/>
  <c r="BH361" i="7"/>
  <c r="CA361" i="7"/>
  <c r="CG361" i="7"/>
  <c r="BY361" i="7"/>
  <c r="CE361" i="7"/>
  <c r="CB361" i="7"/>
  <c r="BZ361" i="7"/>
  <c r="CH361" i="7"/>
  <c r="CI361" i="7"/>
  <c r="CD361" i="7"/>
  <c r="CC361" i="7"/>
  <c r="CF361" i="7"/>
  <c r="AV240" i="7"/>
  <c r="AO240" i="7"/>
  <c r="AW240" i="7"/>
  <c r="AT240" i="7"/>
  <c r="AR240" i="7"/>
  <c r="AY240" i="7"/>
  <c r="AX240" i="7"/>
  <c r="AP240" i="7"/>
  <c r="AQ240" i="7"/>
  <c r="AU240" i="7"/>
  <c r="AS240" i="7"/>
  <c r="AS164" i="7"/>
  <c r="AY164" i="7"/>
  <c r="AP164" i="7"/>
  <c r="AX164" i="7"/>
  <c r="AU164" i="7"/>
  <c r="AT164" i="7"/>
  <c r="AQ164" i="7"/>
  <c r="AO164" i="7"/>
  <c r="AR164" i="7"/>
  <c r="AV164" i="7"/>
  <c r="AW164" i="7"/>
  <c r="AW381" i="7"/>
  <c r="AP381" i="7"/>
  <c r="AV381" i="7"/>
  <c r="AO381" i="7"/>
  <c r="AT381" i="7"/>
  <c r="AR381" i="7"/>
  <c r="AS381" i="7"/>
  <c r="AU381" i="7"/>
  <c r="AX381" i="7"/>
  <c r="AY381" i="7"/>
  <c r="AQ381" i="7"/>
  <c r="CH248" i="7"/>
  <c r="CF248" i="7"/>
  <c r="CA248" i="7"/>
  <c r="CD248" i="7"/>
  <c r="BZ248" i="7"/>
  <c r="CG248" i="7"/>
  <c r="CI248" i="7"/>
  <c r="CB248" i="7"/>
  <c r="CC248" i="7"/>
  <c r="CE248" i="7"/>
  <c r="BY248" i="7"/>
  <c r="CH44" i="7"/>
  <c r="CF44" i="7"/>
  <c r="CA44" i="7"/>
  <c r="CB44" i="7"/>
  <c r="CC44" i="7"/>
  <c r="BY44" i="7"/>
  <c r="CD44" i="7"/>
  <c r="BZ44" i="7"/>
  <c r="CG44" i="7"/>
  <c r="CI44" i="7"/>
  <c r="CE44" i="7"/>
  <c r="CF261" i="7"/>
  <c r="CA261" i="7"/>
  <c r="CG261" i="7"/>
  <c r="CH261" i="7"/>
  <c r="CC261" i="7"/>
  <c r="BZ261" i="7"/>
  <c r="CE261" i="7"/>
  <c r="CI261" i="7"/>
  <c r="CD261" i="7"/>
  <c r="BY261" i="7"/>
  <c r="CB261" i="7"/>
  <c r="CF356" i="7"/>
  <c r="CB356" i="7"/>
  <c r="CI356" i="7"/>
  <c r="BZ356" i="7"/>
  <c r="CC356" i="7"/>
  <c r="CA356" i="7"/>
  <c r="CE356" i="7"/>
  <c r="CH356" i="7"/>
  <c r="BY356" i="7"/>
  <c r="CD356" i="7"/>
  <c r="CG356" i="7"/>
  <c r="CD289" i="7"/>
  <c r="CG289" i="7"/>
  <c r="CE289" i="7"/>
  <c r="BY289" i="7"/>
  <c r="CF289" i="7"/>
  <c r="CH289" i="7"/>
  <c r="CA289" i="7"/>
  <c r="BZ289" i="7"/>
  <c r="CI289" i="7"/>
  <c r="CC289" i="7"/>
  <c r="CB289" i="7"/>
  <c r="AR77" i="7"/>
  <c r="AW77" i="7"/>
  <c r="AP77" i="7"/>
  <c r="AV77" i="7"/>
  <c r="AO77" i="7"/>
  <c r="AT77" i="7"/>
  <c r="AU77" i="7"/>
  <c r="AQ77" i="7"/>
  <c r="AS77" i="7"/>
  <c r="AY77" i="7"/>
  <c r="AX77" i="7"/>
  <c r="AV182" i="7"/>
  <c r="AO182" i="7"/>
  <c r="AW182" i="7"/>
  <c r="AT182" i="7"/>
  <c r="AR182" i="7"/>
  <c r="AQ182" i="7"/>
  <c r="AP182" i="7"/>
  <c r="AY182" i="7"/>
  <c r="AX182" i="7"/>
  <c r="AS182" i="7"/>
  <c r="AU182" i="7"/>
  <c r="AT217" i="7"/>
  <c r="AP217" i="7"/>
  <c r="AO217" i="7"/>
  <c r="AV217" i="7"/>
  <c r="AS217" i="7"/>
  <c r="AR217" i="7"/>
  <c r="AY217" i="7"/>
  <c r="AX217" i="7"/>
  <c r="AU217" i="7"/>
  <c r="AW217" i="7"/>
  <c r="AQ217" i="7"/>
  <c r="BP317" i="7"/>
  <c r="BI317" i="7"/>
  <c r="BN317" i="7"/>
  <c r="BH317" i="7"/>
  <c r="BM317" i="7"/>
  <c r="BJ317" i="7"/>
  <c r="BL317" i="7"/>
  <c r="BO317" i="7"/>
  <c r="BQ317" i="7"/>
  <c r="BK317" i="7"/>
  <c r="BG317" i="7"/>
  <c r="CB302" i="7"/>
  <c r="CH302" i="7"/>
  <c r="CA302" i="7"/>
  <c r="CF302" i="7"/>
  <c r="BZ302" i="7"/>
  <c r="CE302" i="7"/>
  <c r="CC302" i="7"/>
  <c r="BY302" i="7"/>
  <c r="CD302" i="7"/>
  <c r="CG302" i="7"/>
  <c r="CI302" i="7"/>
  <c r="CD345" i="7"/>
  <c r="CB345" i="7"/>
  <c r="BZ345" i="7"/>
  <c r="CH345" i="7"/>
  <c r="BY345" i="7"/>
  <c r="CF345" i="7"/>
  <c r="CG345" i="7"/>
  <c r="CE345" i="7"/>
  <c r="CI345" i="7"/>
  <c r="CA345" i="7"/>
  <c r="CC345" i="7"/>
  <c r="BY17" i="7" a="1"/>
  <c r="AV327" i="7"/>
  <c r="AS327" i="7"/>
  <c r="AP327" i="7"/>
  <c r="AT327" i="7"/>
  <c r="AX327" i="7"/>
  <c r="AY327" i="7"/>
  <c r="AO327" i="7"/>
  <c r="AU327" i="7"/>
  <c r="AW327" i="7"/>
  <c r="AQ327" i="7"/>
  <c r="AR327" i="7"/>
  <c r="AX39" i="7"/>
  <c r="AS39" i="7"/>
  <c r="AU39" i="7"/>
  <c r="AV39" i="7"/>
  <c r="AW39" i="7"/>
  <c r="AT39" i="7"/>
  <c r="AP39" i="7"/>
  <c r="AY39" i="7"/>
  <c r="AO39" i="7"/>
  <c r="AQ39" i="7"/>
  <c r="AR39" i="7"/>
  <c r="AT149" i="7"/>
  <c r="AR149" i="7"/>
  <c r="AW149" i="7"/>
  <c r="AP149" i="7"/>
  <c r="AV149" i="7"/>
  <c r="AO149" i="7"/>
  <c r="AU149" i="7"/>
  <c r="AS149" i="7"/>
  <c r="AY149" i="7"/>
  <c r="AQ149" i="7"/>
  <c r="AX149" i="7"/>
  <c r="BM182" i="7"/>
  <c r="BL182" i="7"/>
  <c r="BG182" i="7"/>
  <c r="BI182" i="7"/>
  <c r="BH182" i="7"/>
  <c r="BN182" i="7"/>
  <c r="BQ182" i="7"/>
  <c r="BO182" i="7"/>
  <c r="BP182" i="7"/>
  <c r="BJ182" i="7"/>
  <c r="BK182" i="7"/>
  <c r="CB184" i="7"/>
  <c r="CI184" i="7"/>
  <c r="CD184" i="7"/>
  <c r="BY184" i="7"/>
  <c r="CA184" i="7"/>
  <c r="CG184" i="7"/>
  <c r="BZ184" i="7"/>
  <c r="CC184" i="7"/>
  <c r="CF184" i="7"/>
  <c r="CH184" i="7"/>
  <c r="CE184" i="7"/>
  <c r="AV338" i="7"/>
  <c r="AP338" i="7"/>
  <c r="AU338" i="7"/>
  <c r="AR338" i="7"/>
  <c r="AQ338" i="7"/>
  <c r="AX338" i="7"/>
  <c r="AT338" i="7"/>
  <c r="AW338" i="7"/>
  <c r="AY338" i="7"/>
  <c r="AS338" i="7"/>
  <c r="AO338" i="7"/>
  <c r="BM315" i="7"/>
  <c r="BI315" i="7"/>
  <c r="BQ315" i="7"/>
  <c r="BJ315" i="7"/>
  <c r="BO315" i="7"/>
  <c r="BP315" i="7"/>
  <c r="BK315" i="7"/>
  <c r="BL315" i="7"/>
  <c r="BG315" i="7"/>
  <c r="BH315" i="7"/>
  <c r="BN315" i="7"/>
  <c r="BM346" i="7"/>
  <c r="BH346" i="7"/>
  <c r="BN346" i="7"/>
  <c r="BO346" i="7"/>
  <c r="BJ346" i="7"/>
  <c r="BP346" i="7"/>
  <c r="BK346" i="7"/>
  <c r="BI346" i="7"/>
  <c r="BG346" i="7"/>
  <c r="BL346" i="7"/>
  <c r="BQ346" i="7"/>
  <c r="AT20" i="7"/>
  <c r="AP20" i="7"/>
  <c r="AY20" i="7"/>
  <c r="AV20" i="7"/>
  <c r="AQ20" i="7"/>
  <c r="AS20" i="7"/>
  <c r="AU20" i="7"/>
  <c r="AX20" i="7"/>
  <c r="AW20" i="7"/>
  <c r="AO20" i="7"/>
  <c r="AR20" i="7"/>
  <c r="BQ310" i="7"/>
  <c r="BM310" i="7"/>
  <c r="BJ310" i="7"/>
  <c r="BI310" i="7"/>
  <c r="BH310" i="7"/>
  <c r="BN310" i="7"/>
  <c r="BO310" i="7"/>
  <c r="BP310" i="7"/>
  <c r="BK310" i="7"/>
  <c r="BL310" i="7"/>
  <c r="BG310" i="7"/>
  <c r="CF324" i="7"/>
  <c r="CE324" i="7"/>
  <c r="CB324" i="7"/>
  <c r="BZ324" i="7"/>
  <c r="CH324" i="7"/>
  <c r="BY324" i="7"/>
  <c r="CG324" i="7"/>
  <c r="CI324" i="7"/>
  <c r="CC324" i="7"/>
  <c r="CD324" i="7"/>
  <c r="CA324" i="7"/>
  <c r="CD175" i="7"/>
  <c r="CF175" i="7"/>
  <c r="CC175" i="7"/>
  <c r="CG175" i="7"/>
  <c r="CE175" i="7"/>
  <c r="CI175" i="7"/>
  <c r="BZ175" i="7"/>
  <c r="CB175" i="7"/>
  <c r="CA175" i="7"/>
  <c r="CH175" i="7"/>
  <c r="BY175" i="7"/>
  <c r="AW59" i="7"/>
  <c r="AV59" i="7"/>
  <c r="AP59" i="7"/>
  <c r="AR59" i="7"/>
  <c r="AQ59" i="7"/>
  <c r="AO59" i="7"/>
  <c r="AS59" i="7"/>
  <c r="AT59" i="7"/>
  <c r="AY59" i="7"/>
  <c r="AX59" i="7"/>
  <c r="AU59" i="7"/>
  <c r="AV337" i="7"/>
  <c r="AR337" i="7"/>
  <c r="AP337" i="7"/>
  <c r="AW337" i="7"/>
  <c r="AO337" i="7"/>
  <c r="AT337" i="7"/>
  <c r="AU337" i="7"/>
  <c r="AQ337" i="7"/>
  <c r="AS337" i="7"/>
  <c r="AY337" i="7"/>
  <c r="AX337" i="7"/>
  <c r="AV66" i="7"/>
  <c r="AW66" i="7"/>
  <c r="AT66" i="7"/>
  <c r="AR66" i="7"/>
  <c r="AO66" i="7"/>
  <c r="AY66" i="7"/>
  <c r="AX66" i="7"/>
  <c r="AP66" i="7"/>
  <c r="AQ66" i="7"/>
  <c r="AU66" i="7"/>
  <c r="AS66" i="7"/>
  <c r="AW24" i="7"/>
  <c r="AV24" i="7"/>
  <c r="AT24" i="7"/>
  <c r="AP24" i="7"/>
  <c r="AO24" i="7"/>
  <c r="AY24" i="7"/>
  <c r="AX24" i="7"/>
  <c r="AQ24" i="7"/>
  <c r="AU24" i="7"/>
  <c r="AS24" i="7"/>
  <c r="AR24" i="7"/>
  <c r="AW165" i="7"/>
  <c r="AR165" i="7"/>
  <c r="AP165" i="7"/>
  <c r="AX165" i="7"/>
  <c r="AU165" i="7"/>
  <c r="AV165" i="7"/>
  <c r="AQ165" i="7"/>
  <c r="AT165" i="7"/>
  <c r="AO165" i="7"/>
  <c r="AS165" i="7"/>
  <c r="AY165" i="7"/>
  <c r="BY95" i="7" a="1"/>
  <c r="BY120" i="7" a="1"/>
  <c r="CI214" i="7"/>
  <c r="CC214" i="7"/>
  <c r="CD214" i="7"/>
  <c r="CF214" i="7"/>
  <c r="CG214" i="7"/>
  <c r="CE214" i="7"/>
  <c r="CA214" i="7"/>
  <c r="CB214" i="7"/>
  <c r="CH214" i="7"/>
  <c r="BY214" i="7"/>
  <c r="BZ214" i="7"/>
  <c r="BJ297" i="7"/>
  <c r="BH297" i="7"/>
  <c r="BP297" i="7"/>
  <c r="BM297" i="7"/>
  <c r="BL297" i="7"/>
  <c r="BI297" i="7"/>
  <c r="BO297" i="7"/>
  <c r="BQ297" i="7"/>
  <c r="BN297" i="7"/>
  <c r="BK297" i="7"/>
  <c r="BG297" i="7"/>
  <c r="BY257" i="7" a="1"/>
  <c r="CF350" i="7"/>
  <c r="CB350" i="7"/>
  <c r="CH350" i="7"/>
  <c r="CC350" i="7"/>
  <c r="CI350" i="7"/>
  <c r="CD350" i="7"/>
  <c r="BY350" i="7"/>
  <c r="CG350" i="7"/>
  <c r="CA350" i="7"/>
  <c r="CE350" i="7"/>
  <c r="BZ350" i="7"/>
  <c r="AX170" i="7"/>
  <c r="AS170" i="7"/>
  <c r="AP170" i="7"/>
  <c r="AY170" i="7"/>
  <c r="AR170" i="7"/>
  <c r="AV170" i="7"/>
  <c r="AU170" i="7"/>
  <c r="AT170" i="7"/>
  <c r="AQ170" i="7"/>
  <c r="AW170" i="7"/>
  <c r="AO170" i="7"/>
  <c r="AR71" i="7"/>
  <c r="AW71" i="7"/>
  <c r="AP71" i="7"/>
  <c r="AV71" i="7"/>
  <c r="AO71" i="7"/>
  <c r="AT71" i="7"/>
  <c r="AQ71" i="7"/>
  <c r="AS71" i="7"/>
  <c r="AY71" i="7"/>
  <c r="AX71" i="7"/>
  <c r="AU71" i="7"/>
  <c r="AV335" i="7"/>
  <c r="AP335" i="7"/>
  <c r="AW335" i="7"/>
  <c r="AX335" i="7"/>
  <c r="AS335" i="7"/>
  <c r="AY335" i="7"/>
  <c r="AR335" i="7"/>
  <c r="AU335" i="7"/>
  <c r="AT335" i="7"/>
  <c r="AQ335" i="7"/>
  <c r="AO335" i="7"/>
  <c r="BM90" i="7"/>
  <c r="BI90" i="7"/>
  <c r="BQ90" i="7"/>
  <c r="BJ90" i="7"/>
  <c r="BH90" i="7"/>
  <c r="BN90" i="7"/>
  <c r="BO90" i="7"/>
  <c r="BP90" i="7"/>
  <c r="BK90" i="7"/>
  <c r="BL90" i="7"/>
  <c r="BG90" i="7"/>
  <c r="BP281" i="7"/>
  <c r="BQ281" i="7"/>
  <c r="BM281" i="7"/>
  <c r="BI281" i="7"/>
  <c r="BH281" i="7"/>
  <c r="BG281" i="7"/>
  <c r="BL281" i="7"/>
  <c r="BJ281" i="7"/>
  <c r="BK281" i="7"/>
  <c r="BO281" i="7"/>
  <c r="BN281" i="7"/>
  <c r="AV254" i="7"/>
  <c r="AS254" i="7"/>
  <c r="AT254" i="7"/>
  <c r="AP254" i="7"/>
  <c r="AY254" i="7"/>
  <c r="AU254" i="7"/>
  <c r="AQ254" i="7"/>
  <c r="AR254" i="7"/>
  <c r="AX254" i="7"/>
  <c r="AO254" i="7"/>
  <c r="AW254" i="7"/>
  <c r="AW9" i="7"/>
  <c r="AP9" i="7"/>
  <c r="AV9" i="7"/>
  <c r="AQ9" i="7"/>
  <c r="AT9" i="7"/>
  <c r="AR9" i="7"/>
  <c r="AS9" i="7"/>
  <c r="AY9" i="7"/>
  <c r="AX9" i="7"/>
  <c r="AU9" i="7"/>
  <c r="AO9" i="7"/>
  <c r="CE47" i="7"/>
  <c r="CB47" i="7"/>
  <c r="CH47" i="7"/>
  <c r="CA47" i="7"/>
  <c r="BZ47" i="7"/>
  <c r="CF47" i="7"/>
  <c r="CG47" i="7"/>
  <c r="CI47" i="7"/>
  <c r="CC47" i="7"/>
  <c r="BY47" i="7"/>
  <c r="CD47" i="7"/>
  <c r="CI247" i="7"/>
  <c r="CH247" i="7"/>
  <c r="CB247" i="7"/>
  <c r="BY247" i="7"/>
  <c r="BZ247" i="7"/>
  <c r="CA247" i="7"/>
  <c r="CF247" i="7"/>
  <c r="CG247" i="7"/>
  <c r="CE247" i="7"/>
  <c r="CC247" i="7"/>
  <c r="CD247" i="7"/>
  <c r="CI272" i="7"/>
  <c r="BZ272" i="7"/>
  <c r="CG272" i="7"/>
  <c r="CE272" i="7"/>
  <c r="CF272" i="7"/>
  <c r="CC272" i="7"/>
  <c r="CA272" i="7"/>
  <c r="CD272" i="7"/>
  <c r="CH272" i="7"/>
  <c r="CB272" i="7"/>
  <c r="BY272" i="7"/>
  <c r="CF16" i="7"/>
  <c r="CB16" i="7"/>
  <c r="CA16" i="7"/>
  <c r="CG16" i="7"/>
  <c r="CH16" i="7"/>
  <c r="CC16" i="7"/>
  <c r="BZ16" i="7"/>
  <c r="CI16" i="7"/>
  <c r="CD16" i="7"/>
  <c r="BY16" i="7"/>
  <c r="CE16" i="7"/>
  <c r="AW345" i="7"/>
  <c r="AT345" i="7"/>
  <c r="AO345" i="7"/>
  <c r="AP345" i="7"/>
  <c r="AR345" i="7"/>
  <c r="AU345" i="7"/>
  <c r="AQ345" i="7"/>
  <c r="AS345" i="7"/>
  <c r="AY345" i="7"/>
  <c r="AV345" i="7"/>
  <c r="AX345" i="7"/>
  <c r="AW223" i="7"/>
  <c r="AP223" i="7"/>
  <c r="AV223" i="7"/>
  <c r="AO223" i="7"/>
  <c r="AT223" i="7"/>
  <c r="AR223" i="7"/>
  <c r="AS223" i="7"/>
  <c r="AU223" i="7"/>
  <c r="AX223" i="7"/>
  <c r="AY223" i="7"/>
  <c r="AQ223" i="7"/>
  <c r="BM156" i="7"/>
  <c r="BQ156" i="7"/>
  <c r="BJ156" i="7"/>
  <c r="BI156" i="7"/>
  <c r="BO156" i="7"/>
  <c r="BP156" i="7"/>
  <c r="BK156" i="7"/>
  <c r="BL156" i="7"/>
  <c r="BG156" i="7"/>
  <c r="BH156" i="7"/>
  <c r="BN156" i="7"/>
  <c r="AX151" i="7"/>
  <c r="AS151" i="7"/>
  <c r="AY151" i="7"/>
  <c r="AR151" i="7"/>
  <c r="AP151" i="7"/>
  <c r="AU151" i="7"/>
  <c r="AT151" i="7"/>
  <c r="AQ151" i="7"/>
  <c r="AO151" i="7"/>
  <c r="AW151" i="7"/>
  <c r="AV151" i="7"/>
  <c r="AU19" i="7"/>
  <c r="AR19" i="7"/>
  <c r="AX19" i="7"/>
  <c r="AQ19" i="7"/>
  <c r="AP19" i="7"/>
  <c r="AV19" i="7"/>
  <c r="AT19" i="7"/>
  <c r="AW19" i="7"/>
  <c r="AY19" i="7"/>
  <c r="AS19" i="7"/>
  <c r="AO19" i="7"/>
  <c r="CH57" i="7"/>
  <c r="CF57" i="7"/>
  <c r="CA57" i="7"/>
  <c r="CB57" i="7"/>
  <c r="CC57" i="7"/>
  <c r="BY57" i="7"/>
  <c r="CD57" i="7"/>
  <c r="BZ57" i="7"/>
  <c r="CI57" i="7"/>
  <c r="CG57" i="7"/>
  <c r="CE57" i="7"/>
  <c r="CH74" i="7"/>
  <c r="CF74" i="7"/>
  <c r="CA74" i="7"/>
  <c r="CD74" i="7"/>
  <c r="BZ74" i="7"/>
  <c r="CG74" i="7"/>
  <c r="CI74" i="7"/>
  <c r="CB74" i="7"/>
  <c r="CC74" i="7"/>
  <c r="CE74" i="7"/>
  <c r="BY74" i="7"/>
  <c r="CH137" i="7"/>
  <c r="CB137" i="7"/>
  <c r="BY137" i="7"/>
  <c r="CD137" i="7"/>
  <c r="CF137" i="7"/>
  <c r="CI137" i="7"/>
  <c r="BZ137" i="7"/>
  <c r="CA137" i="7"/>
  <c r="CC137" i="7"/>
  <c r="CG137" i="7"/>
  <c r="CE137" i="7"/>
  <c r="BY216" i="7" a="1"/>
  <c r="AR128" i="7"/>
  <c r="AW128" i="7"/>
  <c r="AP128" i="7"/>
  <c r="AV128" i="7"/>
  <c r="AO128" i="7"/>
  <c r="AT128" i="7"/>
  <c r="AQ128" i="7"/>
  <c r="AY128" i="7"/>
  <c r="AX128" i="7"/>
  <c r="AU128" i="7"/>
  <c r="AS128" i="7"/>
  <c r="CF166" i="7"/>
  <c r="CB166" i="7"/>
  <c r="CA166" i="7"/>
  <c r="CG166" i="7"/>
  <c r="BY166" i="7"/>
  <c r="CE166" i="7"/>
  <c r="CH166" i="7"/>
  <c r="CI166" i="7"/>
  <c r="BZ166" i="7"/>
  <c r="CD166" i="7"/>
  <c r="CC166" i="7"/>
  <c r="CF346" i="7"/>
  <c r="CA346" i="7"/>
  <c r="CG346" i="7"/>
  <c r="BY346" i="7"/>
  <c r="CE346" i="7"/>
  <c r="CB346" i="7"/>
  <c r="CC346" i="7"/>
  <c r="CD346" i="7"/>
  <c r="CH346" i="7"/>
  <c r="BZ346" i="7"/>
  <c r="CI346" i="7"/>
  <c r="BM91" i="7"/>
  <c r="BH91" i="7"/>
  <c r="BN91" i="7"/>
  <c r="BO91" i="7"/>
  <c r="BJ91" i="7"/>
  <c r="BP91" i="7"/>
  <c r="BK91" i="7"/>
  <c r="BI91" i="7"/>
  <c r="BL91" i="7"/>
  <c r="BG91" i="7"/>
  <c r="BQ91" i="7"/>
  <c r="CI46" i="7"/>
  <c r="CD46" i="7"/>
  <c r="CG46" i="7"/>
  <c r="CB46" i="7"/>
  <c r="BZ46" i="7"/>
  <c r="CC46" i="7"/>
  <c r="CF46" i="7"/>
  <c r="BY46" i="7"/>
  <c r="CA46" i="7"/>
  <c r="CH46" i="7"/>
  <c r="CE46" i="7"/>
  <c r="AR50" i="7"/>
  <c r="AW50" i="7"/>
  <c r="AP50" i="7"/>
  <c r="AV50" i="7"/>
  <c r="AO50" i="7"/>
  <c r="AT50" i="7"/>
  <c r="AQ50" i="7"/>
  <c r="AY50" i="7"/>
  <c r="AX50" i="7"/>
  <c r="AU50" i="7"/>
  <c r="AS50" i="7"/>
  <c r="BM71" i="7"/>
  <c r="BH71" i="7"/>
  <c r="BN71" i="7"/>
  <c r="BO71" i="7"/>
  <c r="BJ71" i="7"/>
  <c r="BP71" i="7"/>
  <c r="BK71" i="7"/>
  <c r="BI71" i="7"/>
  <c r="BL71" i="7"/>
  <c r="BG71" i="7"/>
  <c r="BQ71" i="7"/>
  <c r="AY350" i="7"/>
  <c r="AP350" i="7"/>
  <c r="AX350" i="7"/>
  <c r="AT350" i="7"/>
  <c r="AR350" i="7"/>
  <c r="AW350" i="7"/>
  <c r="AQ350" i="7"/>
  <c r="AO350" i="7"/>
  <c r="AS350" i="7"/>
  <c r="AV350" i="7"/>
  <c r="AU350" i="7"/>
  <c r="CI63" i="7"/>
  <c r="CD63" i="7"/>
  <c r="CC63" i="7"/>
  <c r="CF63" i="7"/>
  <c r="BY63" i="7"/>
  <c r="CA63" i="7"/>
  <c r="CH63" i="7"/>
  <c r="CE63" i="7"/>
  <c r="CG63" i="7"/>
  <c r="CB63" i="7"/>
  <c r="BZ63" i="7"/>
  <c r="CF327" i="7"/>
  <c r="CB327" i="7"/>
  <c r="CC327" i="7"/>
  <c r="CA327" i="7"/>
  <c r="CI327" i="7"/>
  <c r="BZ327" i="7"/>
  <c r="CH327" i="7"/>
  <c r="CD327" i="7"/>
  <c r="CG327" i="7"/>
  <c r="BY327" i="7"/>
  <c r="CE327" i="7"/>
  <c r="CH11" i="7"/>
  <c r="CF11" i="7"/>
  <c r="CA11" i="7"/>
  <c r="CB11" i="7"/>
  <c r="CC11" i="7"/>
  <c r="BY11" i="7"/>
  <c r="CD11" i="7"/>
  <c r="BZ11" i="7"/>
  <c r="CG11" i="7"/>
  <c r="CI11" i="7"/>
  <c r="CE11" i="7"/>
  <c r="CF132" i="7"/>
  <c r="CE132" i="7"/>
  <c r="BZ132" i="7"/>
  <c r="CH132" i="7"/>
  <c r="CI132" i="7"/>
  <c r="CB132" i="7"/>
  <c r="BY132" i="7"/>
  <c r="CD132" i="7"/>
  <c r="CG132" i="7"/>
  <c r="CC132" i="7"/>
  <c r="CA132" i="7"/>
  <c r="CB134" i="7"/>
  <c r="BY134" i="7"/>
  <c r="CG134" i="7"/>
  <c r="CE134" i="7"/>
  <c r="CH134" i="7"/>
  <c r="CI134" i="7"/>
  <c r="BZ134" i="7"/>
  <c r="CF134" i="7"/>
  <c r="CD134" i="7"/>
  <c r="CC134" i="7"/>
  <c r="CA134" i="7"/>
  <c r="BM196" i="7"/>
  <c r="BO196" i="7"/>
  <c r="BI196" i="7"/>
  <c r="BJ196" i="7"/>
  <c r="BP196" i="7"/>
  <c r="BK196" i="7"/>
  <c r="BQ196" i="7"/>
  <c r="BL196" i="7"/>
  <c r="BG196" i="7"/>
  <c r="BH196" i="7"/>
  <c r="BN196" i="7"/>
  <c r="AR94" i="7"/>
  <c r="AW94" i="7"/>
  <c r="AP94" i="7"/>
  <c r="AV94" i="7"/>
  <c r="AO94" i="7"/>
  <c r="AT94" i="7"/>
  <c r="AS94" i="7"/>
  <c r="AU94" i="7"/>
  <c r="AX94" i="7"/>
  <c r="AY94" i="7"/>
  <c r="AQ94" i="7"/>
  <c r="AW311" i="7"/>
  <c r="AV311" i="7"/>
  <c r="AP311" i="7"/>
  <c r="AR311" i="7"/>
  <c r="AU311" i="7"/>
  <c r="AQ311" i="7"/>
  <c r="AO311" i="7"/>
  <c r="AS311" i="7"/>
  <c r="AT311" i="7"/>
  <c r="AX311" i="7"/>
  <c r="AY311" i="7"/>
  <c r="AX172" i="7"/>
  <c r="AW172" i="7"/>
  <c r="AR172" i="7"/>
  <c r="AP172" i="7"/>
  <c r="AQ172" i="7"/>
  <c r="AT172" i="7"/>
  <c r="AY172" i="7"/>
  <c r="AO172" i="7"/>
  <c r="AS172" i="7"/>
  <c r="AU172" i="7"/>
  <c r="AV172" i="7"/>
  <c r="AV115" i="7"/>
  <c r="AW115" i="7"/>
  <c r="AR115" i="7"/>
  <c r="AU115" i="7"/>
  <c r="AQ115" i="7"/>
  <c r="AP115" i="7"/>
  <c r="AS115" i="7"/>
  <c r="AO115" i="7"/>
  <c r="AX115" i="7"/>
  <c r="AT115" i="7"/>
  <c r="AY115" i="7"/>
  <c r="CG377" i="7"/>
  <c r="CA377" i="7"/>
  <c r="CF377" i="7"/>
  <c r="CH377" i="7"/>
  <c r="CI377" i="7"/>
  <c r="CE377" i="7"/>
  <c r="BZ377" i="7"/>
  <c r="CD377" i="7"/>
  <c r="CC377" i="7"/>
  <c r="BY377" i="7"/>
  <c r="CB377" i="7"/>
  <c r="CA314" i="7"/>
  <c r="CG314" i="7"/>
  <c r="CB314" i="7"/>
  <c r="CI314" i="7"/>
  <c r="CD314" i="7"/>
  <c r="BY314" i="7"/>
  <c r="CC314" i="7"/>
  <c r="CE314" i="7"/>
  <c r="CF314" i="7"/>
  <c r="CH314" i="7"/>
  <c r="BZ314" i="7"/>
  <c r="AT34" i="7"/>
  <c r="AQ34" i="7"/>
  <c r="AS34" i="7"/>
  <c r="AO34" i="7"/>
  <c r="AY34" i="7"/>
  <c r="AX34" i="7"/>
  <c r="AP34" i="7"/>
  <c r="AR34" i="7"/>
  <c r="AV34" i="7"/>
  <c r="AW34" i="7"/>
  <c r="AU34" i="7"/>
  <c r="AS247" i="7"/>
  <c r="AV247" i="7"/>
  <c r="AY247" i="7"/>
  <c r="AO247" i="7"/>
  <c r="AU247" i="7"/>
  <c r="AW247" i="7"/>
  <c r="AQ247" i="7"/>
  <c r="AR247" i="7"/>
  <c r="AP247" i="7"/>
  <c r="AT247" i="7"/>
  <c r="AX247" i="7"/>
  <c r="BL264" i="7"/>
  <c r="BP264" i="7"/>
  <c r="BM264" i="7"/>
  <c r="BO264" i="7"/>
  <c r="BJ264" i="7"/>
  <c r="BH264" i="7"/>
  <c r="BQ264" i="7"/>
  <c r="BK264" i="7"/>
  <c r="BN264" i="7"/>
  <c r="BG264" i="7"/>
  <c r="BI264" i="7"/>
  <c r="BM162" i="7"/>
  <c r="BL162" i="7"/>
  <c r="BG162" i="7"/>
  <c r="BI162" i="7"/>
  <c r="BH162" i="7"/>
  <c r="BN162" i="7"/>
  <c r="BQ162" i="7"/>
  <c r="BJ162" i="7"/>
  <c r="BO162" i="7"/>
  <c r="BK162" i="7"/>
  <c r="BP162" i="7"/>
  <c r="AY218" i="7"/>
  <c r="AP218" i="7"/>
  <c r="AR218" i="7"/>
  <c r="AQ218" i="7"/>
  <c r="AO218" i="7"/>
  <c r="AV218" i="7"/>
  <c r="AT218" i="7"/>
  <c r="AW218" i="7"/>
  <c r="AS218" i="7"/>
  <c r="AX218" i="7"/>
  <c r="AU218" i="7"/>
  <c r="CD81" i="7"/>
  <c r="CB81" i="7"/>
  <c r="CF81" i="7"/>
  <c r="CI81" i="7"/>
  <c r="BZ81" i="7"/>
  <c r="CC81" i="7"/>
  <c r="CA81" i="7"/>
  <c r="CG81" i="7"/>
  <c r="BY81" i="7"/>
  <c r="CE81" i="7"/>
  <c r="CH81" i="7"/>
  <c r="CF169" i="7"/>
  <c r="CA169" i="7"/>
  <c r="CG169" i="7"/>
  <c r="BY169" i="7"/>
  <c r="CE169" i="7"/>
  <c r="CB169" i="7"/>
  <c r="CC169" i="7"/>
  <c r="CD169" i="7"/>
  <c r="CH169" i="7"/>
  <c r="BZ169" i="7"/>
  <c r="CI169" i="7"/>
  <c r="AW51" i="7"/>
  <c r="AV51" i="7"/>
  <c r="AP51" i="7"/>
  <c r="AS51" i="7"/>
  <c r="AY51" i="7"/>
  <c r="AX51" i="7"/>
  <c r="AR51" i="7"/>
  <c r="AU51" i="7"/>
  <c r="AO51" i="7"/>
  <c r="AQ51" i="7"/>
  <c r="AT51" i="7"/>
  <c r="AS315" i="7"/>
  <c r="AP315" i="7"/>
  <c r="AW315" i="7"/>
  <c r="AX315" i="7"/>
  <c r="AY315" i="7"/>
  <c r="AR315" i="7"/>
  <c r="AU315" i="7"/>
  <c r="AT315" i="7"/>
  <c r="AQ315" i="7"/>
  <c r="AO315" i="7"/>
  <c r="AV315" i="7"/>
  <c r="AX168" i="7"/>
  <c r="AW168" i="7"/>
  <c r="AR168" i="7"/>
  <c r="AP168" i="7"/>
  <c r="AQ168" i="7"/>
  <c r="AT168" i="7"/>
  <c r="AY168" i="7"/>
  <c r="AO168" i="7"/>
  <c r="AS168" i="7"/>
  <c r="AU168" i="7"/>
  <c r="AV168" i="7"/>
  <c r="AT351" i="7"/>
  <c r="AR351" i="7"/>
  <c r="AW351" i="7"/>
  <c r="AP351" i="7"/>
  <c r="AO351" i="7"/>
  <c r="AV351" i="7"/>
  <c r="AS351" i="7"/>
  <c r="AU351" i="7"/>
  <c r="AY351" i="7"/>
  <c r="AQ351" i="7"/>
  <c r="AX351" i="7"/>
  <c r="CH304" i="7"/>
  <c r="CA304" i="7"/>
  <c r="CF304" i="7"/>
  <c r="BZ304" i="7"/>
  <c r="CE304" i="7"/>
  <c r="CB304" i="7"/>
  <c r="BY304" i="7"/>
  <c r="CD304" i="7"/>
  <c r="CG304" i="7"/>
  <c r="CI304" i="7"/>
  <c r="CC304" i="7"/>
  <c r="CI317" i="7"/>
  <c r="CH317" i="7"/>
  <c r="CE317" i="7"/>
  <c r="CG317" i="7"/>
  <c r="CB317" i="7"/>
  <c r="BZ317" i="7"/>
  <c r="CD317" i="7"/>
  <c r="CC317" i="7"/>
  <c r="CF317" i="7"/>
  <c r="BY317" i="7"/>
  <c r="CA317" i="7"/>
  <c r="CG147" i="7"/>
  <c r="CE147" i="7"/>
  <c r="CB147" i="7"/>
  <c r="BY147" i="7"/>
  <c r="CH147" i="7"/>
  <c r="CI147" i="7"/>
  <c r="BZ147" i="7"/>
  <c r="CF147" i="7"/>
  <c r="CD147" i="7"/>
  <c r="CA147" i="7"/>
  <c r="CC147" i="7"/>
  <c r="BM245" i="7"/>
  <c r="BH245" i="7"/>
  <c r="BN245" i="7"/>
  <c r="BO245" i="7"/>
  <c r="BJ245" i="7"/>
  <c r="BP245" i="7"/>
  <c r="BK245" i="7"/>
  <c r="BI245" i="7"/>
  <c r="BL245" i="7"/>
  <c r="BG245" i="7"/>
  <c r="BQ245" i="7"/>
  <c r="CF389" i="7"/>
  <c r="CH389" i="7"/>
  <c r="CC389" i="7"/>
  <c r="CI389" i="7"/>
  <c r="CD389" i="7"/>
  <c r="BY389" i="7"/>
  <c r="CA389" i="7"/>
  <c r="CB389" i="7"/>
  <c r="CE389" i="7"/>
  <c r="BZ389" i="7"/>
  <c r="CG389" i="7"/>
  <c r="AX282" i="7"/>
  <c r="AS282" i="7"/>
  <c r="AQ282" i="7"/>
  <c r="AP282" i="7"/>
  <c r="AW282" i="7"/>
  <c r="AT282" i="7"/>
  <c r="AY282" i="7"/>
  <c r="AR282" i="7"/>
  <c r="AO282" i="7"/>
  <c r="AU282" i="7"/>
  <c r="AV282" i="7"/>
  <c r="BQ352" i="7"/>
  <c r="BL352" i="7"/>
  <c r="BK352" i="7"/>
  <c r="BN352" i="7"/>
  <c r="BP352" i="7"/>
  <c r="BM352" i="7"/>
  <c r="BG352" i="7"/>
  <c r="BJ352" i="7"/>
  <c r="BI352" i="7"/>
  <c r="BO352" i="7"/>
  <c r="BH352" i="7"/>
  <c r="CF342" i="7"/>
  <c r="BZ342" i="7"/>
  <c r="CE342" i="7"/>
  <c r="CB342" i="7"/>
  <c r="CA342" i="7"/>
  <c r="CH342" i="7"/>
  <c r="CD342" i="7"/>
  <c r="CG342" i="7"/>
  <c r="CI342" i="7"/>
  <c r="CC342" i="7"/>
  <c r="BY342" i="7"/>
  <c r="CF19" i="7"/>
  <c r="CB19" i="7"/>
  <c r="CE19" i="7"/>
  <c r="BZ19" i="7"/>
  <c r="CA19" i="7"/>
  <c r="CG19" i="7"/>
  <c r="CD19" i="7"/>
  <c r="BY19" i="7"/>
  <c r="CH19" i="7"/>
  <c r="CC19" i="7"/>
  <c r="CI19" i="7"/>
  <c r="AS257" i="7"/>
  <c r="AU257" i="7"/>
  <c r="AO257" i="7"/>
  <c r="AW257" i="7"/>
  <c r="AY257" i="7"/>
  <c r="AT257" i="7"/>
  <c r="AQ257" i="7"/>
  <c r="AP257" i="7"/>
  <c r="AV257" i="7"/>
  <c r="AR257" i="7"/>
  <c r="AX257" i="7"/>
  <c r="AS84" i="7"/>
  <c r="AX84" i="7"/>
  <c r="AR84" i="7"/>
  <c r="AY84" i="7"/>
  <c r="AO84" i="7"/>
  <c r="AU84" i="7"/>
  <c r="AV84" i="7"/>
  <c r="AQ84" i="7"/>
  <c r="AP84" i="7"/>
  <c r="AW84" i="7"/>
  <c r="AT84" i="7"/>
  <c r="BK228" i="7"/>
  <c r="BN228" i="7"/>
  <c r="BQ228" i="7"/>
  <c r="BP228" i="7"/>
  <c r="BM228" i="7"/>
  <c r="BL228" i="7"/>
  <c r="BI228" i="7"/>
  <c r="BO228" i="7"/>
  <c r="BH228" i="7"/>
  <c r="BG228" i="7"/>
  <c r="BJ228" i="7"/>
  <c r="AR101" i="7"/>
  <c r="AW101" i="7"/>
  <c r="AP101" i="7"/>
  <c r="AV101" i="7"/>
  <c r="AO101" i="7"/>
  <c r="AT101" i="7"/>
  <c r="AY101" i="7"/>
  <c r="AX101" i="7"/>
  <c r="AQ101" i="7"/>
  <c r="AU101" i="7"/>
  <c r="AS101" i="7"/>
  <c r="AW251" i="7"/>
  <c r="AO251" i="7"/>
  <c r="AV251" i="7"/>
  <c r="AT251" i="7"/>
  <c r="AP251" i="7"/>
  <c r="AQ251" i="7"/>
  <c r="AY251" i="7"/>
  <c r="AX251" i="7"/>
  <c r="AU251" i="7"/>
  <c r="AR251" i="7"/>
  <c r="AS251" i="7"/>
  <c r="CH163" i="7"/>
  <c r="CB163" i="7"/>
  <c r="BY163" i="7"/>
  <c r="BZ163" i="7"/>
  <c r="CA163" i="7"/>
  <c r="CC163" i="7"/>
  <c r="CF163" i="7"/>
  <c r="CE163" i="7"/>
  <c r="CD163" i="7"/>
  <c r="CI163" i="7"/>
  <c r="CG163" i="7"/>
  <c r="BY152" i="7"/>
  <c r="CG152" i="7"/>
  <c r="CE152" i="7"/>
  <c r="CB152" i="7"/>
  <c r="BZ152" i="7"/>
  <c r="CH152" i="7"/>
  <c r="CI152" i="7"/>
  <c r="CA152" i="7"/>
  <c r="CC152" i="7"/>
  <c r="CF152" i="7"/>
  <c r="CD152" i="7"/>
  <c r="CH191" i="7"/>
  <c r="CC191" i="7"/>
  <c r="CE191" i="7"/>
  <c r="BZ191" i="7"/>
  <c r="CF191" i="7"/>
  <c r="CI191" i="7"/>
  <c r="BY191" i="7"/>
  <c r="CA191" i="7"/>
  <c r="CB191" i="7"/>
  <c r="CD191" i="7"/>
  <c r="CG191" i="7"/>
  <c r="CD122" i="7"/>
  <c r="BZ122" i="7"/>
  <c r="CH122" i="7"/>
  <c r="CI122" i="7"/>
  <c r="CC122" i="7"/>
  <c r="CA122" i="7"/>
  <c r="CE122" i="7"/>
  <c r="CF122" i="7"/>
  <c r="CG122" i="7"/>
  <c r="CB122" i="7"/>
  <c r="BY122" i="7"/>
  <c r="CG177" i="7"/>
  <c r="BY177" i="7"/>
  <c r="CE177" i="7"/>
  <c r="CB177" i="7"/>
  <c r="CA177" i="7"/>
  <c r="CD177" i="7"/>
  <c r="CC177" i="7"/>
  <c r="BZ177" i="7"/>
  <c r="CH177" i="7"/>
  <c r="CI177" i="7"/>
  <c r="CF177" i="7"/>
  <c r="AP259" i="7"/>
  <c r="AV259" i="7"/>
  <c r="AS259" i="7"/>
  <c r="AT259" i="7"/>
  <c r="AX259" i="7"/>
  <c r="AY259" i="7"/>
  <c r="AO259" i="7"/>
  <c r="AU259" i="7"/>
  <c r="AW259" i="7"/>
  <c r="AQ259" i="7"/>
  <c r="AR259" i="7"/>
  <c r="AW113" i="7"/>
  <c r="AO113" i="7"/>
  <c r="AV113" i="7"/>
  <c r="AT113" i="7"/>
  <c r="AP113" i="7"/>
  <c r="AY113" i="7"/>
  <c r="AX113" i="7"/>
  <c r="AQ113" i="7"/>
  <c r="AU113" i="7"/>
  <c r="AS113" i="7"/>
  <c r="AR113" i="7"/>
  <c r="AY40" i="7"/>
  <c r="AP40" i="7"/>
  <c r="AX40" i="7"/>
  <c r="AT40" i="7"/>
  <c r="AR40" i="7"/>
  <c r="AW40" i="7"/>
  <c r="AQ40" i="7"/>
  <c r="AO40" i="7"/>
  <c r="AU40" i="7"/>
  <c r="AS40" i="7"/>
  <c r="AV40" i="7"/>
  <c r="CD292" i="7"/>
  <c r="BY292" i="7"/>
  <c r="CF292" i="7"/>
  <c r="CG292" i="7"/>
  <c r="CE292" i="7"/>
  <c r="CH292" i="7"/>
  <c r="CC292" i="7"/>
  <c r="CI292" i="7"/>
  <c r="BZ292" i="7"/>
  <c r="CB292" i="7"/>
  <c r="CA292" i="7"/>
  <c r="CE285" i="7"/>
  <c r="CB285" i="7"/>
  <c r="CH285" i="7"/>
  <c r="CA285" i="7"/>
  <c r="CF285" i="7"/>
  <c r="BZ285" i="7"/>
  <c r="CG285" i="7"/>
  <c r="CI285" i="7"/>
  <c r="CC285" i="7"/>
  <c r="BY285" i="7"/>
  <c r="CD285" i="7"/>
  <c r="AY82" i="7"/>
  <c r="AR82" i="7"/>
  <c r="AQ82" i="7"/>
  <c r="AO82" i="7"/>
  <c r="AU82" i="7"/>
  <c r="AV82" i="7"/>
  <c r="AW82" i="7"/>
  <c r="AP82" i="7"/>
  <c r="AT82" i="7"/>
  <c r="AX82" i="7"/>
  <c r="AS82" i="7"/>
  <c r="AX176" i="7"/>
  <c r="AS176" i="7"/>
  <c r="AP176" i="7"/>
  <c r="AY176" i="7"/>
  <c r="AR176" i="7"/>
  <c r="AV176" i="7"/>
  <c r="AU176" i="7"/>
  <c r="AT176" i="7"/>
  <c r="AQ176" i="7"/>
  <c r="AO176" i="7"/>
  <c r="AW176" i="7"/>
  <c r="BJ377" i="7"/>
  <c r="BI377" i="7"/>
  <c r="BQ377" i="7"/>
  <c r="BM377" i="7"/>
  <c r="BH377" i="7"/>
  <c r="BN377" i="7"/>
  <c r="BO377" i="7"/>
  <c r="BP377" i="7"/>
  <c r="BK377" i="7"/>
  <c r="BG377" i="7"/>
  <c r="BL377" i="7"/>
  <c r="AS245" i="7"/>
  <c r="AQ245" i="7"/>
  <c r="AR245" i="7"/>
  <c r="AV245" i="7"/>
  <c r="AY245" i="7"/>
  <c r="AP245" i="7"/>
  <c r="AO245" i="7"/>
  <c r="AU245" i="7"/>
  <c r="AT245" i="7"/>
  <c r="AW245" i="7"/>
  <c r="AX245" i="7"/>
  <c r="CD94" i="7"/>
  <c r="CB94" i="7"/>
  <c r="BY94" i="7"/>
  <c r="CF94" i="7"/>
  <c r="CH94" i="7"/>
  <c r="CG94" i="7"/>
  <c r="CE94" i="7"/>
  <c r="CC94" i="7"/>
  <c r="CI94" i="7"/>
  <c r="CA94" i="7"/>
  <c r="BZ94" i="7"/>
  <c r="CF39" i="7"/>
  <c r="CI39" i="7"/>
  <c r="CD39" i="7"/>
  <c r="BY39" i="7"/>
  <c r="CE39" i="7"/>
  <c r="BZ39" i="7"/>
  <c r="CB39" i="7"/>
  <c r="CH39" i="7"/>
  <c r="CC39" i="7"/>
  <c r="CA39" i="7"/>
  <c r="CG39" i="7"/>
  <c r="CF4" i="7"/>
  <c r="CE4" i="7"/>
  <c r="CB4" i="7"/>
  <c r="BZ4" i="7"/>
  <c r="CH4" i="7"/>
  <c r="BY4" i="7"/>
  <c r="CG4" i="7"/>
  <c r="CI4" i="7"/>
  <c r="CA4" i="7"/>
  <c r="CD4" i="7"/>
  <c r="CC4" i="7"/>
  <c r="AV348" i="7"/>
  <c r="AP348" i="7"/>
  <c r="AW348" i="7"/>
  <c r="AX348" i="7"/>
  <c r="AY348" i="7"/>
  <c r="AR348" i="7"/>
  <c r="AS348" i="7"/>
  <c r="AU348" i="7"/>
  <c r="AT348" i="7"/>
  <c r="AQ348" i="7"/>
  <c r="AO348" i="7"/>
  <c r="AW132" i="7"/>
  <c r="AP132" i="7"/>
  <c r="AV132" i="7"/>
  <c r="AO132" i="7"/>
  <c r="AT132" i="7"/>
  <c r="AR132" i="7"/>
  <c r="AU132" i="7"/>
  <c r="AS132" i="7"/>
  <c r="AY132" i="7"/>
  <c r="AQ132" i="7"/>
  <c r="AX132" i="7"/>
  <c r="AV203" i="7"/>
  <c r="AO203" i="7"/>
  <c r="AT203" i="7"/>
  <c r="AR203" i="7"/>
  <c r="AP203" i="7"/>
  <c r="AW203" i="7"/>
  <c r="AS203" i="7"/>
  <c r="AU203" i="7"/>
  <c r="AX203" i="7"/>
  <c r="AY203" i="7"/>
  <c r="AQ203" i="7"/>
  <c r="CD307" i="7"/>
  <c r="CG307" i="7"/>
  <c r="CE307" i="7"/>
  <c r="BY307" i="7"/>
  <c r="CF307" i="7"/>
  <c r="CH307" i="7"/>
  <c r="CC307" i="7"/>
  <c r="BZ307" i="7"/>
  <c r="CI307" i="7"/>
  <c r="CA307" i="7"/>
  <c r="CB307" i="7"/>
  <c r="CF301" i="7"/>
  <c r="CB301" i="7"/>
  <c r="BZ301" i="7"/>
  <c r="CC301" i="7"/>
  <c r="CA301" i="7"/>
  <c r="CI301" i="7"/>
  <c r="CH301" i="7"/>
  <c r="BY301" i="7"/>
  <c r="CE301" i="7"/>
  <c r="CG301" i="7"/>
  <c r="CD301" i="7"/>
  <c r="CH130" i="7"/>
  <c r="CD130" i="7"/>
  <c r="CB130" i="7"/>
  <c r="BZ130" i="7"/>
  <c r="CC130" i="7"/>
  <c r="CA130" i="7"/>
  <c r="CI130" i="7"/>
  <c r="BY130" i="7"/>
  <c r="CE130" i="7"/>
  <c r="CF130" i="7"/>
  <c r="CG130" i="7"/>
  <c r="CF233" i="7"/>
  <c r="CE233" i="7"/>
  <c r="CB233" i="7"/>
  <c r="CA233" i="7"/>
  <c r="CG233" i="7"/>
  <c r="BY233" i="7"/>
  <c r="CC233" i="7"/>
  <c r="CD233" i="7"/>
  <c r="CH233" i="7"/>
  <c r="BZ233" i="7"/>
  <c r="CI233" i="7"/>
  <c r="AR58" i="7"/>
  <c r="AW58" i="7"/>
  <c r="AP58" i="7"/>
  <c r="AV58" i="7"/>
  <c r="AO58" i="7"/>
  <c r="AT58" i="7"/>
  <c r="AU58" i="7"/>
  <c r="AS58" i="7"/>
  <c r="AY58" i="7"/>
  <c r="AQ58" i="7"/>
  <c r="AX58" i="7"/>
  <c r="AV129" i="7"/>
  <c r="AT129" i="7"/>
  <c r="AP129" i="7"/>
  <c r="AO129" i="7"/>
  <c r="AU129" i="7"/>
  <c r="AW129" i="7"/>
  <c r="AQ129" i="7"/>
  <c r="AS129" i="7"/>
  <c r="AY129" i="7"/>
  <c r="AX129" i="7"/>
  <c r="AR129" i="7"/>
  <c r="AV285" i="7"/>
  <c r="AT285" i="7"/>
  <c r="AR285" i="7"/>
  <c r="AP285" i="7"/>
  <c r="AO285" i="7"/>
  <c r="AW285" i="7"/>
  <c r="AQ285" i="7"/>
  <c r="AS285" i="7"/>
  <c r="AY285" i="7"/>
  <c r="AX285" i="7"/>
  <c r="AU285" i="7"/>
  <c r="AV111" i="7"/>
  <c r="AW111" i="7"/>
  <c r="AR111" i="7"/>
  <c r="AP111" i="7"/>
  <c r="AQ111" i="7"/>
  <c r="AS111" i="7"/>
  <c r="AY111" i="7"/>
  <c r="AX111" i="7"/>
  <c r="AT111" i="7"/>
  <c r="AU111" i="7"/>
  <c r="AO111" i="7"/>
  <c r="CB281" i="7"/>
  <c r="CA281" i="7"/>
  <c r="CG281" i="7"/>
  <c r="BY281" i="7"/>
  <c r="CE281" i="7"/>
  <c r="CH281" i="7"/>
  <c r="CI281" i="7"/>
  <c r="BZ281" i="7"/>
  <c r="CC281" i="7"/>
  <c r="CF281" i="7"/>
  <c r="CD281" i="7"/>
  <c r="CE160" i="7"/>
  <c r="CB160" i="7"/>
  <c r="BY160" i="7"/>
  <c r="CG160" i="7"/>
  <c r="BZ160" i="7"/>
  <c r="CA160" i="7"/>
  <c r="CH160" i="7"/>
  <c r="CI160" i="7"/>
  <c r="CD160" i="7"/>
  <c r="CC160" i="7"/>
  <c r="CF160" i="7"/>
  <c r="CI28" i="7"/>
  <c r="CG28" i="7"/>
  <c r="CB28" i="7"/>
  <c r="BZ28" i="7"/>
  <c r="CD28" i="7"/>
  <c r="CC28" i="7"/>
  <c r="CF28" i="7"/>
  <c r="BY28" i="7"/>
  <c r="CA28" i="7"/>
  <c r="CH28" i="7"/>
  <c r="CE28" i="7"/>
  <c r="AO90" i="7"/>
  <c r="AV90" i="7"/>
  <c r="AT90" i="7"/>
  <c r="AP90" i="7"/>
  <c r="AS90" i="7"/>
  <c r="AW90" i="7"/>
  <c r="AY90" i="7"/>
  <c r="AX90" i="7"/>
  <c r="AU90" i="7"/>
  <c r="AQ90" i="7"/>
  <c r="AR90" i="7"/>
  <c r="AW278" i="7"/>
  <c r="AV278" i="7"/>
  <c r="AP278" i="7"/>
  <c r="AS278" i="7"/>
  <c r="AR278" i="7"/>
  <c r="AY278" i="7"/>
  <c r="AX278" i="7"/>
  <c r="AO278" i="7"/>
  <c r="AU278" i="7"/>
  <c r="AT278" i="7"/>
  <c r="AQ278" i="7"/>
  <c r="AV188" i="7"/>
  <c r="AW188" i="7"/>
  <c r="AT188" i="7"/>
  <c r="AR188" i="7"/>
  <c r="AO188" i="7"/>
  <c r="AP188" i="7"/>
  <c r="AU188" i="7"/>
  <c r="AS188" i="7"/>
  <c r="AY188" i="7"/>
  <c r="AQ188" i="7"/>
  <c r="AX188" i="7"/>
  <c r="AU134" i="7"/>
  <c r="AT134" i="7"/>
  <c r="AV134" i="7"/>
  <c r="AW134" i="7"/>
  <c r="AP134" i="7"/>
  <c r="AX134" i="7"/>
  <c r="AO134" i="7"/>
  <c r="AS134" i="7"/>
  <c r="AY134" i="7"/>
  <c r="AR134" i="7"/>
  <c r="AQ134" i="7"/>
  <c r="CF88" i="7"/>
  <c r="CB88" i="7"/>
  <c r="BY88" i="7"/>
  <c r="CD88" i="7"/>
  <c r="CI88" i="7"/>
  <c r="CH88" i="7"/>
  <c r="CG88" i="7"/>
  <c r="CE88" i="7"/>
  <c r="BZ88" i="7"/>
  <c r="CC88" i="7"/>
  <c r="CA88" i="7"/>
  <c r="BY207" i="7" a="1"/>
  <c r="CF338" i="7"/>
  <c r="CB338" i="7"/>
  <c r="CE338" i="7"/>
  <c r="BZ338" i="7"/>
  <c r="CA338" i="7"/>
  <c r="CG338" i="7"/>
  <c r="BY338" i="7"/>
  <c r="CI338" i="7"/>
  <c r="CH338" i="7"/>
  <c r="CC338" i="7"/>
  <c r="CD338" i="7"/>
  <c r="CC149" i="7"/>
  <c r="CA149" i="7"/>
  <c r="BZ149" i="7"/>
  <c r="CI149" i="7"/>
  <c r="CF149" i="7"/>
  <c r="CH149" i="7"/>
  <c r="CD149" i="7"/>
  <c r="CG149" i="7"/>
  <c r="CB149" i="7"/>
  <c r="BY149" i="7"/>
  <c r="CE149" i="7"/>
  <c r="BM276" i="7"/>
  <c r="BQ276" i="7"/>
  <c r="BJ276" i="7"/>
  <c r="BI276" i="7"/>
  <c r="BO276" i="7"/>
  <c r="BP276" i="7"/>
  <c r="BK276" i="7"/>
  <c r="BL276" i="7"/>
  <c r="BG276" i="7"/>
  <c r="BN276" i="7"/>
  <c r="BH276" i="7"/>
  <c r="AX307" i="7"/>
  <c r="AS307" i="7"/>
  <c r="AW307" i="7"/>
  <c r="AT307" i="7"/>
  <c r="AU307" i="7"/>
  <c r="AV307" i="7"/>
  <c r="AY307" i="7"/>
  <c r="AO307" i="7"/>
  <c r="AQ307" i="7"/>
  <c r="AR307" i="7"/>
  <c r="AP307" i="7"/>
  <c r="W288" i="7"/>
  <c r="Y288" i="7"/>
  <c r="AD17" i="7"/>
  <c r="W17" i="7"/>
  <c r="AB316" i="7"/>
  <c r="AF316" i="7"/>
  <c r="AD31" i="7"/>
  <c r="AG31" i="7"/>
  <c r="AW333" i="7"/>
  <c r="AP333" i="7"/>
  <c r="AV333" i="7"/>
  <c r="AO333" i="7"/>
  <c r="AT333" i="7"/>
  <c r="AR333" i="7"/>
  <c r="AU333" i="7"/>
  <c r="AS333" i="7"/>
  <c r="AX333" i="7"/>
  <c r="AY333" i="7"/>
  <c r="AQ333" i="7"/>
  <c r="AB306" i="7"/>
  <c r="Z306" i="7"/>
  <c r="AD261" i="7"/>
  <c r="AE261" i="7"/>
  <c r="W80" i="7"/>
  <c r="AB80" i="7"/>
  <c r="AE67" i="7"/>
  <c r="Y67" i="7"/>
  <c r="AV244" i="7"/>
  <c r="AT244" i="7"/>
  <c r="AR244" i="7"/>
  <c r="AO244" i="7"/>
  <c r="AW244" i="7"/>
  <c r="AQ244" i="7"/>
  <c r="AP244" i="7"/>
  <c r="AY244" i="7"/>
  <c r="AX244" i="7"/>
  <c r="AU244" i="7"/>
  <c r="AS244" i="7"/>
  <c r="AA326" i="7"/>
  <c r="BM277" i="7"/>
  <c r="BH277" i="7"/>
  <c r="BN277" i="7"/>
  <c r="BJ277" i="7"/>
  <c r="BO277" i="7"/>
  <c r="BP277" i="7"/>
  <c r="BK277" i="7"/>
  <c r="BI277" i="7"/>
  <c r="BL277" i="7"/>
  <c r="BG277" i="7"/>
  <c r="BQ277" i="7"/>
  <c r="CD108" i="7"/>
  <c r="CI108" i="7"/>
  <c r="CH108" i="7"/>
  <c r="CC108" i="7"/>
  <c r="CA108" i="7"/>
  <c r="CG108" i="7"/>
  <c r="BY108" i="7"/>
  <c r="BZ108" i="7"/>
  <c r="CE108" i="7"/>
  <c r="CB108" i="7"/>
  <c r="CF108" i="7"/>
  <c r="AX224" i="7"/>
  <c r="AS224" i="7"/>
  <c r="AY224" i="7"/>
  <c r="AR224" i="7"/>
  <c r="AP224" i="7"/>
  <c r="AU224" i="7"/>
  <c r="AT224" i="7"/>
  <c r="AQ224" i="7"/>
  <c r="AO224" i="7"/>
  <c r="AW224" i="7"/>
  <c r="AV224" i="7"/>
  <c r="BN355" i="7"/>
  <c r="BI355" i="7"/>
  <c r="BO355" i="7"/>
  <c r="BH355" i="7"/>
  <c r="BL355" i="7"/>
  <c r="BK355" i="7"/>
  <c r="BP355" i="7"/>
  <c r="BG355" i="7"/>
  <c r="BJ355" i="7"/>
  <c r="BM355" i="7"/>
  <c r="BQ355" i="7"/>
  <c r="BP286" i="7"/>
  <c r="BJ286" i="7"/>
  <c r="BI286" i="7"/>
  <c r="BG286" i="7"/>
  <c r="BH286" i="7"/>
  <c r="BL286" i="7"/>
  <c r="BM286" i="7"/>
  <c r="BO286" i="7"/>
  <c r="BQ286" i="7"/>
  <c r="BN286" i="7"/>
  <c r="BK286" i="7"/>
  <c r="BP32" i="7"/>
  <c r="BQ32" i="7"/>
  <c r="BM32" i="7"/>
  <c r="BI32" i="7"/>
  <c r="BJ32" i="7"/>
  <c r="BG32" i="7"/>
  <c r="BN32" i="7"/>
  <c r="BK32" i="7"/>
  <c r="BO32" i="7"/>
  <c r="BH32" i="7"/>
  <c r="BL32" i="7"/>
  <c r="AV272" i="7"/>
  <c r="AP272" i="7"/>
  <c r="AW272" i="7"/>
  <c r="AX272" i="7"/>
  <c r="AY272" i="7"/>
  <c r="AR272" i="7"/>
  <c r="AU272" i="7"/>
  <c r="AT272" i="7"/>
  <c r="AS272" i="7"/>
  <c r="AQ272" i="7"/>
  <c r="AO272" i="7"/>
  <c r="AV68" i="7"/>
  <c r="AO68" i="7"/>
  <c r="AW68" i="7"/>
  <c r="AT68" i="7"/>
  <c r="AR68" i="7"/>
  <c r="AY68" i="7"/>
  <c r="AX68" i="7"/>
  <c r="AP68" i="7"/>
  <c r="AU68" i="7"/>
  <c r="AQ68" i="7"/>
  <c r="AS68" i="7"/>
  <c r="CI159" i="7"/>
  <c r="CC159" i="7"/>
  <c r="CH159" i="7"/>
  <c r="CB159" i="7"/>
  <c r="BY159" i="7"/>
  <c r="BZ159" i="7"/>
  <c r="CA159" i="7"/>
  <c r="CF159" i="7"/>
  <c r="CE159" i="7"/>
  <c r="CD159" i="7"/>
  <c r="CG159" i="7"/>
  <c r="CG215" i="7"/>
  <c r="CH215" i="7"/>
  <c r="CD215" i="7"/>
  <c r="BZ215" i="7"/>
  <c r="CA215" i="7"/>
  <c r="BY215" i="7"/>
  <c r="CI215" i="7"/>
  <c r="CB215" i="7"/>
  <c r="CC215" i="7"/>
  <c r="CF215" i="7"/>
  <c r="CE215" i="7"/>
  <c r="CG180" i="7"/>
  <c r="CF180" i="7"/>
  <c r="CA180" i="7"/>
  <c r="BZ180" i="7"/>
  <c r="BY180" i="7"/>
  <c r="CH180" i="7"/>
  <c r="CI180" i="7"/>
  <c r="CB180" i="7"/>
  <c r="CC180" i="7"/>
  <c r="CE180" i="7"/>
  <c r="CD180" i="7"/>
  <c r="CF190" i="7"/>
  <c r="BY190" i="7"/>
  <c r="CG190" i="7"/>
  <c r="CE190" i="7"/>
  <c r="CB190" i="7"/>
  <c r="CC190" i="7"/>
  <c r="CD190" i="7"/>
  <c r="CH190" i="7"/>
  <c r="BZ190" i="7"/>
  <c r="CA190" i="7"/>
  <c r="CI190" i="7"/>
  <c r="CG219" i="7"/>
  <c r="CE219" i="7"/>
  <c r="CB219" i="7"/>
  <c r="BY219" i="7"/>
  <c r="BZ219" i="7"/>
  <c r="CA219" i="7"/>
  <c r="CH219" i="7"/>
  <c r="CI219" i="7"/>
  <c r="CF219" i="7"/>
  <c r="CD219" i="7"/>
  <c r="CC219" i="7"/>
  <c r="CE220" i="7"/>
  <c r="BZ220" i="7"/>
  <c r="CF220" i="7"/>
  <c r="CH220" i="7"/>
  <c r="CC220" i="7"/>
  <c r="CA220" i="7"/>
  <c r="CB220" i="7"/>
  <c r="CD220" i="7"/>
  <c r="CG220" i="7"/>
  <c r="CI220" i="7"/>
  <c r="BY220" i="7"/>
  <c r="AP180" i="7"/>
  <c r="AX180" i="7"/>
  <c r="AW180" i="7"/>
  <c r="AR180" i="7"/>
  <c r="AT180" i="7"/>
  <c r="AY180" i="7"/>
  <c r="AO180" i="7"/>
  <c r="AU180" i="7"/>
  <c r="AV180" i="7"/>
  <c r="AS180" i="7"/>
  <c r="AQ180" i="7"/>
  <c r="AX138" i="7"/>
  <c r="AV138" i="7"/>
  <c r="AW138" i="7"/>
  <c r="AY138" i="7"/>
  <c r="AP138" i="7"/>
  <c r="AR138" i="7"/>
  <c r="AU138" i="7"/>
  <c r="AT138" i="7"/>
  <c r="AS138" i="7"/>
  <c r="AO138" i="7"/>
  <c r="AQ138" i="7"/>
  <c r="BM174" i="7"/>
  <c r="BP174" i="7"/>
  <c r="BK174" i="7"/>
  <c r="BL174" i="7"/>
  <c r="BG174" i="7"/>
  <c r="BH174" i="7"/>
  <c r="BN174" i="7"/>
  <c r="BI174" i="7"/>
  <c r="BJ174" i="7"/>
  <c r="BQ174" i="7"/>
  <c r="BO174" i="7"/>
  <c r="CD109" i="7"/>
  <c r="BZ109" i="7"/>
  <c r="CH109" i="7"/>
  <c r="CB109" i="7"/>
  <c r="BY109" i="7"/>
  <c r="CF109" i="7"/>
  <c r="CG109" i="7"/>
  <c r="CE109" i="7"/>
  <c r="CI109" i="7"/>
  <c r="CA109" i="7"/>
  <c r="CC109" i="7"/>
  <c r="CE366" i="7"/>
  <c r="BZ366" i="7"/>
  <c r="CF366" i="7"/>
  <c r="CH366" i="7"/>
  <c r="CC366" i="7"/>
  <c r="CG366" i="7"/>
  <c r="CI366" i="7"/>
  <c r="BY366" i="7"/>
  <c r="CD366" i="7"/>
  <c r="CA366" i="7"/>
  <c r="CB366" i="7"/>
  <c r="BZ310" i="7"/>
  <c r="CA310" i="7"/>
  <c r="CH310" i="7"/>
  <c r="CB310" i="7"/>
  <c r="BY310" i="7"/>
  <c r="CE310" i="7"/>
  <c r="CD310" i="7"/>
  <c r="CG310" i="7"/>
  <c r="CC310" i="7"/>
  <c r="CI310" i="7"/>
  <c r="CF310" i="7"/>
  <c r="AS360" i="7"/>
  <c r="AP360" i="7"/>
  <c r="AV360" i="7"/>
  <c r="AQ360" i="7"/>
  <c r="AO360" i="7"/>
  <c r="AY360" i="7"/>
  <c r="AR360" i="7"/>
  <c r="AW360" i="7"/>
  <c r="AT360" i="7"/>
  <c r="AX360" i="7"/>
  <c r="AU360" i="7"/>
  <c r="BP131" i="7"/>
  <c r="BJ131" i="7"/>
  <c r="BL131" i="7"/>
  <c r="BO131" i="7"/>
  <c r="BQ131" i="7"/>
  <c r="BI131" i="7"/>
  <c r="BK131" i="7"/>
  <c r="BH131" i="7"/>
  <c r="BN131" i="7"/>
  <c r="BM131" i="7"/>
  <c r="BG131" i="7"/>
  <c r="AW28" i="7"/>
  <c r="AV28" i="7"/>
  <c r="AP28" i="7"/>
  <c r="AR28" i="7"/>
  <c r="AU28" i="7"/>
  <c r="AO28" i="7"/>
  <c r="AQ28" i="7"/>
  <c r="AT28" i="7"/>
  <c r="AS28" i="7"/>
  <c r="AY28" i="7"/>
  <c r="AX28" i="7"/>
  <c r="BZ90" i="7"/>
  <c r="CF90" i="7"/>
  <c r="CB90" i="7"/>
  <c r="CG90" i="7"/>
  <c r="CE90" i="7"/>
  <c r="BY90" i="7"/>
  <c r="CD90" i="7"/>
  <c r="CA90" i="7"/>
  <c r="CH90" i="7"/>
  <c r="CC90" i="7"/>
  <c r="CI90" i="7"/>
  <c r="CF179" i="7"/>
  <c r="CG179" i="7"/>
  <c r="CE179" i="7"/>
  <c r="CB179" i="7"/>
  <c r="BY179" i="7"/>
  <c r="BZ179" i="7"/>
  <c r="CH179" i="7"/>
  <c r="CI179" i="7"/>
  <c r="CD179" i="7"/>
  <c r="CA179" i="7"/>
  <c r="CC179" i="7"/>
  <c r="CH306" i="7"/>
  <c r="CC306" i="7"/>
  <c r="CA306" i="7"/>
  <c r="BZ306" i="7"/>
  <c r="CI306" i="7"/>
  <c r="CF306" i="7"/>
  <c r="BY306" i="7"/>
  <c r="CG306" i="7"/>
  <c r="CE306" i="7"/>
  <c r="CD306" i="7"/>
  <c r="CB306" i="7"/>
  <c r="CH101" i="7"/>
  <c r="CD101" i="7"/>
  <c r="CB101" i="7"/>
  <c r="BZ101" i="7"/>
  <c r="BY101" i="7"/>
  <c r="CF101" i="7"/>
  <c r="CG101" i="7"/>
  <c r="CE101" i="7"/>
  <c r="CI101" i="7"/>
  <c r="CA101" i="7"/>
  <c r="CC101" i="7"/>
  <c r="AT85" i="7"/>
  <c r="AR85" i="7"/>
  <c r="AW85" i="7"/>
  <c r="AP85" i="7"/>
  <c r="AO85" i="7"/>
  <c r="AV85" i="7"/>
  <c r="AS85" i="7"/>
  <c r="AU85" i="7"/>
  <c r="AY85" i="7"/>
  <c r="AQ85" i="7"/>
  <c r="AX85" i="7"/>
  <c r="AS299" i="7"/>
  <c r="AP299" i="7"/>
  <c r="AT299" i="7"/>
  <c r="AX299" i="7"/>
  <c r="AV299" i="7"/>
  <c r="AY299" i="7"/>
  <c r="AO299" i="7"/>
  <c r="AU299" i="7"/>
  <c r="AW299" i="7"/>
  <c r="AQ299" i="7"/>
  <c r="AR299" i="7"/>
  <c r="AT297" i="7"/>
  <c r="AR297" i="7"/>
  <c r="AY297" i="7"/>
  <c r="AP297" i="7"/>
  <c r="AX297" i="7"/>
  <c r="AO297" i="7"/>
  <c r="AW297" i="7"/>
  <c r="AQ297" i="7"/>
  <c r="AS297" i="7"/>
  <c r="AV297" i="7"/>
  <c r="AU297" i="7"/>
  <c r="CH53" i="7"/>
  <c r="CF53" i="7"/>
  <c r="CA53" i="7"/>
  <c r="BY53" i="7"/>
  <c r="CE53" i="7"/>
  <c r="CB53" i="7"/>
  <c r="CD53" i="7"/>
  <c r="CG53" i="7"/>
  <c r="CI53" i="7"/>
  <c r="CC53" i="7"/>
  <c r="BZ53" i="7"/>
  <c r="CH352" i="7"/>
  <c r="CA352" i="7"/>
  <c r="CF352" i="7"/>
  <c r="BY352" i="7"/>
  <c r="CE352" i="7"/>
  <c r="CB352" i="7"/>
  <c r="CD352" i="7"/>
  <c r="CG352" i="7"/>
  <c r="CI352" i="7"/>
  <c r="CC352" i="7"/>
  <c r="BZ352" i="7"/>
  <c r="CH7" i="7"/>
  <c r="CA7" i="7"/>
  <c r="CF7" i="7"/>
  <c r="BY7" i="7"/>
  <c r="CE7" i="7"/>
  <c r="CB7" i="7"/>
  <c r="CD7" i="7"/>
  <c r="CG7" i="7"/>
  <c r="CI7" i="7"/>
  <c r="BZ7" i="7"/>
  <c r="CC7" i="7"/>
  <c r="CB129" i="7"/>
  <c r="CH129" i="7"/>
  <c r="CD129" i="7"/>
  <c r="BZ129" i="7"/>
  <c r="CC129" i="7"/>
  <c r="CA129" i="7"/>
  <c r="CI129" i="7"/>
  <c r="CF129" i="7"/>
  <c r="CG129" i="7"/>
  <c r="BY129" i="7"/>
  <c r="CE129" i="7"/>
  <c r="CG165" i="7"/>
  <c r="CF165" i="7"/>
  <c r="CA165" i="7"/>
  <c r="CH165" i="7"/>
  <c r="CI165" i="7"/>
  <c r="BZ165" i="7"/>
  <c r="BY165" i="7"/>
  <c r="CE165" i="7"/>
  <c r="CB165" i="7"/>
  <c r="CD165" i="7"/>
  <c r="CC165" i="7"/>
  <c r="AV52" i="7"/>
  <c r="AO52" i="7"/>
  <c r="AW52" i="7"/>
  <c r="AT52" i="7"/>
  <c r="AR52" i="7"/>
  <c r="AP52" i="7"/>
  <c r="AY52" i="7"/>
  <c r="AX52" i="7"/>
  <c r="AU52" i="7"/>
  <c r="AQ52" i="7"/>
  <c r="AS52" i="7"/>
  <c r="CF329" i="7"/>
  <c r="CE329" i="7"/>
  <c r="BZ329" i="7"/>
  <c r="CA329" i="7"/>
  <c r="CG329" i="7"/>
  <c r="BY329" i="7"/>
  <c r="CD329" i="7"/>
  <c r="CH329" i="7"/>
  <c r="CC329" i="7"/>
  <c r="CB329" i="7"/>
  <c r="CI329" i="7"/>
  <c r="AW336" i="7"/>
  <c r="AV336" i="7"/>
  <c r="AP336" i="7"/>
  <c r="AR336" i="7"/>
  <c r="AQ336" i="7"/>
  <c r="AO336" i="7"/>
  <c r="AS336" i="7"/>
  <c r="AT336" i="7"/>
  <c r="AY336" i="7"/>
  <c r="AX336" i="7"/>
  <c r="AU336" i="7"/>
  <c r="BM109" i="7"/>
  <c r="BQ109" i="7"/>
  <c r="BJ109" i="7"/>
  <c r="BI109" i="7"/>
  <c r="BO109" i="7"/>
  <c r="BP109" i="7"/>
  <c r="BK109" i="7"/>
  <c r="BL109" i="7"/>
  <c r="BG109" i="7"/>
  <c r="BH109" i="7"/>
  <c r="BN109" i="7"/>
  <c r="BM59" i="7"/>
  <c r="BQ59" i="7"/>
  <c r="BJ59" i="7"/>
  <c r="BI59" i="7"/>
  <c r="BH59" i="7"/>
  <c r="BN59" i="7"/>
  <c r="BO59" i="7"/>
  <c r="BP59" i="7"/>
  <c r="BK59" i="7"/>
  <c r="BL59" i="7"/>
  <c r="BG59" i="7"/>
  <c r="AW323" i="7"/>
  <c r="AV323" i="7"/>
  <c r="AT323" i="7"/>
  <c r="AP323" i="7"/>
  <c r="AO323" i="7"/>
  <c r="AQ323" i="7"/>
  <c r="AY323" i="7"/>
  <c r="AX323" i="7"/>
  <c r="AS323" i="7"/>
  <c r="AR323" i="7"/>
  <c r="AU323" i="7"/>
  <c r="AX289" i="7"/>
  <c r="AS289" i="7"/>
  <c r="AQ289" i="7"/>
  <c r="AP289" i="7"/>
  <c r="AY289" i="7"/>
  <c r="AR289" i="7"/>
  <c r="AO289" i="7"/>
  <c r="AT289" i="7"/>
  <c r="AU289" i="7"/>
  <c r="AW289" i="7"/>
  <c r="AV289" i="7"/>
  <c r="CB133" i="7"/>
  <c r="CA133" i="7"/>
  <c r="CG133" i="7"/>
  <c r="BY133" i="7"/>
  <c r="CE133" i="7"/>
  <c r="CH133" i="7"/>
  <c r="CI133" i="7"/>
  <c r="BZ133" i="7"/>
  <c r="CF133" i="7"/>
  <c r="CD133" i="7"/>
  <c r="CC133" i="7"/>
  <c r="CI347" i="7"/>
  <c r="BY347" i="7"/>
  <c r="CA347" i="7"/>
  <c r="CH347" i="7"/>
  <c r="CE347" i="7"/>
  <c r="CG347" i="7"/>
  <c r="CB347" i="7"/>
  <c r="BZ347" i="7"/>
  <c r="CD347" i="7"/>
  <c r="CC347" i="7"/>
  <c r="CF347" i="7"/>
  <c r="CF162" i="7"/>
  <c r="CB162" i="7"/>
  <c r="CA162" i="7"/>
  <c r="CG162" i="7"/>
  <c r="BY162" i="7"/>
  <c r="CE162" i="7"/>
  <c r="CH162" i="7"/>
  <c r="CI162" i="7"/>
  <c r="BZ162" i="7"/>
  <c r="CD162" i="7"/>
  <c r="CC162" i="7"/>
  <c r="CF125" i="7"/>
  <c r="CB125" i="7"/>
  <c r="CE125" i="7"/>
  <c r="BZ125" i="7"/>
  <c r="CA125" i="7"/>
  <c r="CI125" i="7"/>
  <c r="CG125" i="7"/>
  <c r="BY125" i="7"/>
  <c r="CH125" i="7"/>
  <c r="CC125" i="7"/>
  <c r="CD125" i="7"/>
  <c r="CE153" i="7"/>
  <c r="CD153" i="7"/>
  <c r="BZ153" i="7"/>
  <c r="CA153" i="7"/>
  <c r="CI153" i="7"/>
  <c r="CG153" i="7"/>
  <c r="BY153" i="7"/>
  <c r="CB153" i="7"/>
  <c r="CC153" i="7"/>
  <c r="CF153" i="7"/>
  <c r="CH153" i="7"/>
  <c r="BY218" i="7"/>
  <c r="CG218" i="7"/>
  <c r="CE218" i="7"/>
  <c r="CB218" i="7"/>
  <c r="CH218" i="7"/>
  <c r="CI218" i="7"/>
  <c r="CF218" i="7"/>
  <c r="BZ218" i="7"/>
  <c r="CC218" i="7"/>
  <c r="CA218" i="7"/>
  <c r="CD218" i="7"/>
  <c r="AS268" i="7"/>
  <c r="AV268" i="7"/>
  <c r="AP268" i="7"/>
  <c r="AU268" i="7"/>
  <c r="AT268" i="7"/>
  <c r="AW268" i="7"/>
  <c r="AX268" i="7"/>
  <c r="AQ268" i="7"/>
  <c r="AR268" i="7"/>
  <c r="AO268" i="7"/>
  <c r="AY268" i="7"/>
  <c r="BM139" i="7"/>
  <c r="BQ139" i="7"/>
  <c r="BJ139" i="7"/>
  <c r="BI139" i="7"/>
  <c r="BH139" i="7"/>
  <c r="BN139" i="7"/>
  <c r="BO139" i="7"/>
  <c r="BP139" i="7"/>
  <c r="BK139" i="7"/>
  <c r="BL139" i="7"/>
  <c r="BG139" i="7"/>
  <c r="CF58" i="7"/>
  <c r="CE58" i="7"/>
  <c r="CB58" i="7"/>
  <c r="BZ58" i="7"/>
  <c r="CH58" i="7"/>
  <c r="CG58" i="7"/>
  <c r="CI58" i="7"/>
  <c r="CA58" i="7"/>
  <c r="BY58" i="7"/>
  <c r="CC58" i="7"/>
  <c r="CD58" i="7"/>
  <c r="CF113" i="7"/>
  <c r="BY113" i="7"/>
  <c r="CH113" i="7"/>
  <c r="CG113" i="7"/>
  <c r="CE113" i="7"/>
  <c r="CI113" i="7"/>
  <c r="CD113" i="7"/>
  <c r="CA113" i="7"/>
  <c r="CB113" i="7"/>
  <c r="CC113" i="7"/>
  <c r="BZ113" i="7"/>
  <c r="CD97" i="7"/>
  <c r="CH97" i="7"/>
  <c r="BZ97" i="7"/>
  <c r="BY97" i="7"/>
  <c r="CF97" i="7"/>
  <c r="CG97" i="7"/>
  <c r="CE97" i="7"/>
  <c r="CB97" i="7"/>
  <c r="CC97" i="7"/>
  <c r="CI97" i="7"/>
  <c r="CA97" i="7"/>
  <c r="AS117" i="7"/>
  <c r="AP117" i="7"/>
  <c r="AV117" i="7"/>
  <c r="AT117" i="7"/>
  <c r="AX117" i="7"/>
  <c r="AY117" i="7"/>
  <c r="AO117" i="7"/>
  <c r="AU117" i="7"/>
  <c r="AW117" i="7"/>
  <c r="AQ117" i="7"/>
  <c r="AR117" i="7"/>
  <c r="BM145" i="7"/>
  <c r="BI145" i="7"/>
  <c r="BQ145" i="7"/>
  <c r="BJ145" i="7"/>
  <c r="BO145" i="7"/>
  <c r="BP145" i="7"/>
  <c r="BK145" i="7"/>
  <c r="BL145" i="7"/>
  <c r="BG145" i="7"/>
  <c r="BH145" i="7"/>
  <c r="BN145" i="7"/>
  <c r="AV255" i="7"/>
  <c r="AR255" i="7"/>
  <c r="AO255" i="7"/>
  <c r="AW255" i="7"/>
  <c r="AT255" i="7"/>
  <c r="AP255" i="7"/>
  <c r="AU255" i="7"/>
  <c r="AQ255" i="7"/>
  <c r="AS255" i="7"/>
  <c r="AY255" i="7"/>
  <c r="AX255" i="7"/>
  <c r="CF321" i="7"/>
  <c r="CB321" i="7"/>
  <c r="CA321" i="7"/>
  <c r="CG321" i="7"/>
  <c r="CH321" i="7"/>
  <c r="CC321" i="7"/>
  <c r="CE321" i="7"/>
  <c r="BZ321" i="7"/>
  <c r="CI321" i="7"/>
  <c r="CD321" i="7"/>
  <c r="BY321" i="7"/>
  <c r="CF158" i="7"/>
  <c r="CB158" i="7"/>
  <c r="CA158" i="7"/>
  <c r="CG158" i="7"/>
  <c r="BY158" i="7"/>
  <c r="CE158" i="7"/>
  <c r="CD158" i="7"/>
  <c r="CC158" i="7"/>
  <c r="BZ158" i="7"/>
  <c r="CI158" i="7"/>
  <c r="CH158" i="7"/>
  <c r="BP285" i="7"/>
  <c r="BH285" i="7"/>
  <c r="BM285" i="7"/>
  <c r="BI285" i="7"/>
  <c r="BJ285" i="7"/>
  <c r="BO285" i="7"/>
  <c r="BQ285" i="7"/>
  <c r="BK285" i="7"/>
  <c r="BN285" i="7"/>
  <c r="BG285" i="7"/>
  <c r="BL285" i="7"/>
  <c r="AX110" i="7"/>
  <c r="AU110" i="7"/>
  <c r="AT110" i="7"/>
  <c r="AQ110" i="7"/>
  <c r="AO110" i="7"/>
  <c r="AV110" i="7"/>
  <c r="AW110" i="7"/>
  <c r="AP110" i="7"/>
  <c r="AR110" i="7"/>
  <c r="AS110" i="7"/>
  <c r="AY110" i="7"/>
  <c r="AV78" i="7"/>
  <c r="AO78" i="7"/>
  <c r="AW78" i="7"/>
  <c r="AT78" i="7"/>
  <c r="AR78" i="7"/>
  <c r="AY78" i="7"/>
  <c r="AX78" i="7"/>
  <c r="AP78" i="7"/>
  <c r="AU78" i="7"/>
  <c r="AQ78" i="7"/>
  <c r="AS78" i="7"/>
  <c r="AV153" i="7"/>
  <c r="AO153" i="7"/>
  <c r="AT153" i="7"/>
  <c r="AR153" i="7"/>
  <c r="AW153" i="7"/>
  <c r="AP153" i="7"/>
  <c r="AY153" i="7"/>
  <c r="AX153" i="7"/>
  <c r="AQ153" i="7"/>
  <c r="AU153" i="7"/>
  <c r="AS153" i="7"/>
  <c r="BM159" i="7"/>
  <c r="BI159" i="7"/>
  <c r="BQ159" i="7"/>
  <c r="BJ159" i="7"/>
  <c r="BO159" i="7"/>
  <c r="BP159" i="7"/>
  <c r="BK159" i="7"/>
  <c r="BL159" i="7"/>
  <c r="BG159" i="7"/>
  <c r="BH159" i="7"/>
  <c r="BN159" i="7"/>
  <c r="CI5" i="7"/>
  <c r="BY5" i="7"/>
  <c r="CA5" i="7"/>
  <c r="CH5" i="7"/>
  <c r="CE5" i="7"/>
  <c r="CG5" i="7"/>
  <c r="CB5" i="7"/>
  <c r="BZ5" i="7"/>
  <c r="CD5" i="7"/>
  <c r="CF5" i="7"/>
  <c r="CC5" i="7"/>
  <c r="CG145" i="7"/>
  <c r="CF145" i="7"/>
  <c r="CA145" i="7"/>
  <c r="CD145" i="7"/>
  <c r="CC145" i="7"/>
  <c r="BY145" i="7"/>
  <c r="CH145" i="7"/>
  <c r="CE145" i="7"/>
  <c r="CI145" i="7"/>
  <c r="BZ145" i="7"/>
  <c r="CB145" i="7"/>
  <c r="CG168" i="7"/>
  <c r="CA168" i="7"/>
  <c r="CF168" i="7"/>
  <c r="CC168" i="7"/>
  <c r="CE168" i="7"/>
  <c r="CD168" i="7"/>
  <c r="CH168" i="7"/>
  <c r="BZ168" i="7"/>
  <c r="CB168" i="7"/>
  <c r="CI168" i="7"/>
  <c r="BY168" i="7"/>
  <c r="CD126" i="7"/>
  <c r="CB126" i="7"/>
  <c r="BZ126" i="7"/>
  <c r="CH126" i="7"/>
  <c r="BY126" i="7"/>
  <c r="CF126" i="7"/>
  <c r="CG126" i="7"/>
  <c r="CE126" i="7"/>
  <c r="CI126" i="7"/>
  <c r="CA126" i="7"/>
  <c r="CC126" i="7"/>
  <c r="CF298" i="7"/>
  <c r="CE298" i="7"/>
  <c r="BZ298" i="7"/>
  <c r="CA298" i="7"/>
  <c r="CG298" i="7"/>
  <c r="CB298" i="7"/>
  <c r="CI298" i="7"/>
  <c r="BY298" i="7"/>
  <c r="CH298" i="7"/>
  <c r="CC298" i="7"/>
  <c r="CD298" i="7"/>
  <c r="AT80" i="7"/>
  <c r="AR80" i="7"/>
  <c r="AW80" i="7"/>
  <c r="AP80" i="7"/>
  <c r="AO80" i="7"/>
  <c r="AV80" i="7"/>
  <c r="AU80" i="7"/>
  <c r="AS80" i="7"/>
  <c r="AQ80" i="7"/>
  <c r="AX80" i="7"/>
  <c r="AY80" i="7"/>
  <c r="AF74" i="7"/>
  <c r="AA74" i="7"/>
  <c r="AB74" i="7"/>
  <c r="AE74" i="7"/>
  <c r="AG74" i="7"/>
  <c r="Y74" i="7"/>
  <c r="X74" i="7"/>
  <c r="AD74" i="7"/>
  <c r="AC74" i="7"/>
  <c r="Z74" i="7"/>
  <c r="W74" i="7"/>
  <c r="AD49" i="7"/>
  <c r="AF49" i="7"/>
  <c r="X49" i="7"/>
  <c r="Y49" i="7"/>
  <c r="AA49" i="7"/>
  <c r="W49" i="7"/>
  <c r="AE49" i="7"/>
  <c r="AG49" i="7"/>
  <c r="AC49" i="7"/>
  <c r="Z49" i="7"/>
  <c r="AB49" i="7"/>
  <c r="AC38" i="7"/>
  <c r="Z38" i="7"/>
  <c r="Y38" i="7"/>
  <c r="AE38" i="7"/>
  <c r="AB38" i="7"/>
  <c r="X38" i="7"/>
  <c r="AF38" i="7"/>
  <c r="AG38" i="7"/>
  <c r="AA38" i="7"/>
  <c r="W38" i="7"/>
  <c r="AD38" i="7"/>
  <c r="AD346" i="7"/>
  <c r="AA346" i="7"/>
  <c r="X346" i="7"/>
  <c r="AG346" i="7"/>
  <c r="AB346" i="7"/>
  <c r="W346" i="7"/>
  <c r="AF346" i="7"/>
  <c r="AC346" i="7"/>
  <c r="Z346" i="7"/>
  <c r="Y346" i="7"/>
  <c r="AE346" i="7"/>
  <c r="AE357" i="7"/>
  <c r="AG357" i="7"/>
  <c r="X357" i="7"/>
  <c r="Z357" i="7"/>
  <c r="AB357" i="7"/>
  <c r="AD357" i="7"/>
  <c r="AF357" i="7"/>
  <c r="W357" i="7"/>
  <c r="CJ357" i="7"/>
  <c r="Y357" i="7"/>
  <c r="AA357" i="7"/>
  <c r="AC357" i="7"/>
  <c r="AE104" i="7"/>
  <c r="W104" i="7"/>
  <c r="X104" i="7"/>
  <c r="AC104" i="7"/>
  <c r="AB104" i="7"/>
  <c r="Y104" i="7"/>
  <c r="AF104" i="7"/>
  <c r="AD104" i="7"/>
  <c r="AA104" i="7"/>
  <c r="Z104" i="7"/>
  <c r="AG104" i="7"/>
  <c r="AG13" i="7"/>
  <c r="AE13" i="7"/>
  <c r="AC13" i="7"/>
  <c r="AA13" i="7"/>
  <c r="Y13" i="7"/>
  <c r="W13" i="7"/>
  <c r="AF13" i="7"/>
  <c r="Z13" i="7"/>
  <c r="AB13" i="7"/>
  <c r="AD13" i="7"/>
  <c r="X13" i="7"/>
  <c r="AF277" i="7"/>
  <c r="AE277" i="7"/>
  <c r="W277" i="7"/>
  <c r="AA277" i="7"/>
  <c r="AC277" i="7"/>
  <c r="AD277" i="7"/>
  <c r="Y277" i="7"/>
  <c r="X277" i="7"/>
  <c r="AG277" i="7"/>
  <c r="AB277" i="7"/>
  <c r="Z277" i="7"/>
  <c r="X102" i="7"/>
  <c r="AD102" i="7"/>
  <c r="AB102" i="7"/>
  <c r="Z102" i="7"/>
  <c r="AF102" i="7"/>
  <c r="AE102" i="7"/>
  <c r="W102" i="7"/>
  <c r="AA102" i="7"/>
  <c r="AC102" i="7"/>
  <c r="AG102" i="7"/>
  <c r="Y102" i="7"/>
  <c r="X175" i="7"/>
  <c r="AG175" i="7"/>
  <c r="AB175" i="7"/>
  <c r="AD175" i="7"/>
  <c r="W175" i="7"/>
  <c r="Z175" i="7"/>
  <c r="AF175" i="7"/>
  <c r="Y175" i="7"/>
  <c r="AC175" i="7"/>
  <c r="AE175" i="7"/>
  <c r="AA175" i="7"/>
  <c r="W304" i="7"/>
  <c r="Y304" i="7"/>
  <c r="AA304" i="7"/>
  <c r="AC304" i="7"/>
  <c r="AE304" i="7"/>
  <c r="AG304" i="7"/>
  <c r="X304" i="7"/>
  <c r="Z304" i="7"/>
  <c r="AB304" i="7"/>
  <c r="AD304" i="7"/>
  <c r="AF304" i="7"/>
  <c r="AD281" i="7"/>
  <c r="AB281" i="7"/>
  <c r="W281" i="7"/>
  <c r="AF281" i="7"/>
  <c r="AE281" i="7"/>
  <c r="X281" i="7"/>
  <c r="AA281" i="7"/>
  <c r="AC281" i="7"/>
  <c r="AG281" i="7"/>
  <c r="Y281" i="7"/>
  <c r="Z281" i="7"/>
  <c r="AD44" i="7"/>
  <c r="AF44" i="7"/>
  <c r="AC44" i="7"/>
  <c r="Y44" i="7"/>
  <c r="AA44" i="7"/>
  <c r="X44" i="7"/>
  <c r="AE44" i="7"/>
  <c r="AG44" i="7"/>
  <c r="W44" i="7"/>
  <c r="Z44" i="7"/>
  <c r="AB44" i="7"/>
  <c r="AC265" i="7"/>
  <c r="AE265" i="7"/>
  <c r="AA265" i="7"/>
  <c r="X265" i="7"/>
  <c r="Z265" i="7"/>
  <c r="AG265" i="7"/>
  <c r="AD265" i="7"/>
  <c r="AF265" i="7"/>
  <c r="W265" i="7"/>
  <c r="CJ265" i="7"/>
  <c r="Y265" i="7"/>
  <c r="AB265" i="7"/>
  <c r="AD342" i="7"/>
  <c r="AG342" i="7"/>
  <c r="X342" i="7"/>
  <c r="W342" i="7"/>
  <c r="AB342" i="7"/>
  <c r="AA342" i="7"/>
  <c r="AF342" i="7"/>
  <c r="AE342" i="7"/>
  <c r="Y342" i="7"/>
  <c r="Z342" i="7"/>
  <c r="AC342" i="7"/>
  <c r="W105" i="7"/>
  <c r="AF105" i="7"/>
  <c r="AE105" i="7"/>
  <c r="Z105" i="7"/>
  <c r="Y105" i="7"/>
  <c r="AB105" i="7"/>
  <c r="AD105" i="7"/>
  <c r="AA105" i="7"/>
  <c r="X105" i="7"/>
  <c r="AG105" i="7"/>
  <c r="AC105" i="7"/>
  <c r="Y88" i="7"/>
  <c r="X88" i="7"/>
  <c r="AC88" i="7"/>
  <c r="AF88" i="7"/>
  <c r="AD88" i="7"/>
  <c r="W88" i="7"/>
  <c r="Z88" i="7"/>
  <c r="AG88" i="7"/>
  <c r="AB88" i="7"/>
  <c r="AE88" i="7"/>
  <c r="AA88" i="7"/>
  <c r="AE378" i="7"/>
  <c r="AF378" i="7"/>
  <c r="AB378" i="7"/>
  <c r="AC378" i="7"/>
  <c r="Y378" i="7"/>
  <c r="W378" i="7"/>
  <c r="AA378" i="7"/>
  <c r="X378" i="7"/>
  <c r="AD378" i="7"/>
  <c r="AG378" i="7"/>
  <c r="Z378" i="7"/>
  <c r="Z69" i="7"/>
  <c r="AE69" i="7"/>
  <c r="AA69" i="7"/>
  <c r="X69" i="7"/>
  <c r="AB69" i="7"/>
  <c r="AF69" i="7"/>
  <c r="AG69" i="7"/>
  <c r="Y69" i="7"/>
  <c r="W69" i="7"/>
  <c r="AD69" i="7"/>
  <c r="AC69" i="7"/>
  <c r="Y174" i="7"/>
  <c r="AB174" i="7"/>
  <c r="AC174" i="7"/>
  <c r="AE174" i="7"/>
  <c r="W174" i="7"/>
  <c r="AD174" i="7"/>
  <c r="Z174" i="7"/>
  <c r="X174" i="7"/>
  <c r="AF174" i="7"/>
  <c r="AG174" i="7"/>
  <c r="AA174" i="7"/>
  <c r="AE348" i="7"/>
  <c r="W348" i="7"/>
  <c r="AA348" i="7"/>
  <c r="AC348" i="7"/>
  <c r="AB348" i="7"/>
  <c r="X348" i="7"/>
  <c r="AF348" i="7"/>
  <c r="AD348" i="7"/>
  <c r="Y348" i="7"/>
  <c r="Z348" i="7"/>
  <c r="AG348" i="7"/>
  <c r="AD37" i="7"/>
  <c r="AC37" i="7"/>
  <c r="W37" i="7"/>
  <c r="X37" i="7"/>
  <c r="AE37" i="7"/>
  <c r="AB37" i="7"/>
  <c r="AA37" i="7"/>
  <c r="Z37" i="7"/>
  <c r="AG37" i="7"/>
  <c r="Y37" i="7"/>
  <c r="AF37" i="7"/>
  <c r="AC33" i="7"/>
  <c r="AE33" i="7"/>
  <c r="AG33" i="7"/>
  <c r="X33" i="7"/>
  <c r="Z33" i="7"/>
  <c r="AB33" i="7"/>
  <c r="AD33" i="7"/>
  <c r="AF33" i="7"/>
  <c r="W33" i="7"/>
  <c r="Y33" i="7"/>
  <c r="AA33" i="7"/>
  <c r="W356" i="7"/>
  <c r="AD356" i="7"/>
  <c r="AC356" i="7"/>
  <c r="Z356" i="7"/>
  <c r="X356" i="7"/>
  <c r="AE356" i="7"/>
  <c r="AB356" i="7"/>
  <c r="AA356" i="7"/>
  <c r="AF356" i="7"/>
  <c r="AG356" i="7"/>
  <c r="Y356" i="7"/>
  <c r="AB355" i="7"/>
  <c r="AE355" i="7"/>
  <c r="AF355" i="7"/>
  <c r="Y355" i="7"/>
  <c r="Z355" i="7"/>
  <c r="AC355" i="7"/>
  <c r="AA355" i="7"/>
  <c r="AG355" i="7"/>
  <c r="AD355" i="7"/>
  <c r="X355" i="7"/>
  <c r="W355" i="7"/>
  <c r="Y151" i="7"/>
  <c r="W151" i="7"/>
  <c r="AC151" i="7"/>
  <c r="AE151" i="7"/>
  <c r="AB151" i="7"/>
  <c r="X151" i="7"/>
  <c r="Z151" i="7"/>
  <c r="AA151" i="7"/>
  <c r="AD151" i="7"/>
  <c r="AF151" i="7"/>
  <c r="AG151" i="7"/>
  <c r="X292" i="7"/>
  <c r="W292" i="7"/>
  <c r="AF292" i="7"/>
  <c r="AG292" i="7"/>
  <c r="Y292" i="7"/>
  <c r="AA292" i="7"/>
  <c r="Z292" i="7"/>
  <c r="AB292" i="7"/>
  <c r="AD292" i="7"/>
  <c r="AE292" i="7"/>
  <c r="AC292" i="7"/>
  <c r="AA59" i="7"/>
  <c r="AC59" i="7"/>
  <c r="AF59" i="7"/>
  <c r="AG59" i="7"/>
  <c r="X59" i="7"/>
  <c r="AE59" i="7"/>
  <c r="AB59" i="7"/>
  <c r="AD59" i="7"/>
  <c r="Z59" i="7"/>
  <c r="W59" i="7"/>
  <c r="Y59" i="7"/>
  <c r="W46" i="7"/>
  <c r="Y46" i="7"/>
  <c r="AA46" i="7"/>
  <c r="AC46" i="7"/>
  <c r="AE46" i="7"/>
  <c r="AG46" i="7"/>
  <c r="X46" i="7"/>
  <c r="Z46" i="7"/>
  <c r="AB46" i="7"/>
  <c r="AD46" i="7"/>
  <c r="AF46" i="7"/>
  <c r="AD160" i="7"/>
  <c r="AF160" i="7"/>
  <c r="W160" i="7"/>
  <c r="Y160" i="7"/>
  <c r="AE160" i="7"/>
  <c r="AC160" i="7"/>
  <c r="AA160" i="7"/>
  <c r="AG160" i="7"/>
  <c r="X160" i="7"/>
  <c r="Z160" i="7"/>
  <c r="AB160" i="7"/>
  <c r="AE82" i="7"/>
  <c r="AD82" i="7"/>
  <c r="Y82" i="7"/>
  <c r="Z82" i="7"/>
  <c r="AG82" i="7"/>
  <c r="AF82" i="7"/>
  <c r="X82" i="7"/>
  <c r="AB82" i="7"/>
  <c r="AC82" i="7"/>
  <c r="AA82" i="7"/>
  <c r="W82" i="7"/>
  <c r="AC361" i="7"/>
  <c r="AD361" i="7"/>
  <c r="AG361" i="7"/>
  <c r="X361" i="7"/>
  <c r="W361" i="7"/>
  <c r="AB361" i="7"/>
  <c r="AE361" i="7"/>
  <c r="AF361" i="7"/>
  <c r="Z361" i="7"/>
  <c r="Y361" i="7"/>
  <c r="AA361" i="7"/>
  <c r="W252" i="7"/>
  <c r="AC252" i="7"/>
  <c r="AB252" i="7"/>
  <c r="Y252" i="7"/>
  <c r="AG252" i="7"/>
  <c r="AD252" i="7"/>
  <c r="AA252" i="7"/>
  <c r="Z252" i="7"/>
  <c r="AE252" i="7"/>
  <c r="AF252" i="7"/>
  <c r="X252" i="7"/>
  <c r="AE45" i="7"/>
  <c r="W45" i="7"/>
  <c r="AA45" i="7"/>
  <c r="AC45" i="7"/>
  <c r="AG45" i="7"/>
  <c r="Y45" i="7"/>
  <c r="X45" i="7"/>
  <c r="AD45" i="7"/>
  <c r="AB45" i="7"/>
  <c r="Z45" i="7"/>
  <c r="AF45" i="7"/>
  <c r="AE152" i="7"/>
  <c r="AC152" i="7"/>
  <c r="Z152" i="7"/>
  <c r="AG152" i="7"/>
  <c r="X152" i="7"/>
  <c r="Y152" i="7"/>
  <c r="AB152" i="7"/>
  <c r="AD152" i="7"/>
  <c r="AF152" i="7"/>
  <c r="W152" i="7"/>
  <c r="AA152" i="7"/>
  <c r="Z79" i="7"/>
  <c r="W79" i="7"/>
  <c r="AF79" i="7"/>
  <c r="AA79" i="7"/>
  <c r="AB79" i="7"/>
  <c r="AE79" i="7"/>
  <c r="AG79" i="7"/>
  <c r="Y79" i="7"/>
  <c r="X79" i="7"/>
  <c r="AD79" i="7"/>
  <c r="AC79" i="7"/>
  <c r="AF40" i="7"/>
  <c r="AD40" i="7"/>
  <c r="Z40" i="7"/>
  <c r="AA40" i="7"/>
  <c r="Y40" i="7"/>
  <c r="AB40" i="7"/>
  <c r="AG40" i="7"/>
  <c r="AE40" i="7"/>
  <c r="AC40" i="7"/>
  <c r="X40" i="7"/>
  <c r="W40" i="7"/>
  <c r="X143" i="7"/>
  <c r="AC143" i="7"/>
  <c r="W143" i="7"/>
  <c r="AG143" i="7"/>
  <c r="AB143" i="7"/>
  <c r="AA143" i="7"/>
  <c r="Z143" i="7"/>
  <c r="AD143" i="7"/>
  <c r="AE143" i="7"/>
  <c r="AF143" i="7"/>
  <c r="Y143" i="7"/>
  <c r="Y251" i="7"/>
  <c r="AC251" i="7"/>
  <c r="W251" i="7"/>
  <c r="X251" i="7"/>
  <c r="AB251" i="7"/>
  <c r="AF251" i="7"/>
  <c r="AG251" i="7"/>
  <c r="AD251" i="7"/>
  <c r="AA251" i="7"/>
  <c r="Z251" i="7"/>
  <c r="AE251" i="7"/>
  <c r="AF106" i="7"/>
  <c r="AG106" i="7"/>
  <c r="Y106" i="7"/>
  <c r="W106" i="7"/>
  <c r="AD106" i="7"/>
  <c r="AC106" i="7"/>
  <c r="Z106" i="7"/>
  <c r="X106" i="7"/>
  <c r="AE106" i="7"/>
  <c r="AB106" i="7"/>
  <c r="AA106" i="7"/>
  <c r="AA68" i="7"/>
  <c r="AC68" i="7"/>
  <c r="Z68" i="7"/>
  <c r="AG68" i="7"/>
  <c r="X68" i="7"/>
  <c r="AF68" i="7"/>
  <c r="AB68" i="7"/>
  <c r="AD68" i="7"/>
  <c r="AE68" i="7"/>
  <c r="W68" i="7"/>
  <c r="Y68" i="7"/>
  <c r="AF211" i="7"/>
  <c r="W211" i="7"/>
  <c r="AG211" i="7"/>
  <c r="AA211" i="7"/>
  <c r="AD211" i="7"/>
  <c r="AE211" i="7"/>
  <c r="Y211" i="7"/>
  <c r="Z211" i="7"/>
  <c r="AC211" i="7"/>
  <c r="AB211" i="7"/>
  <c r="X211" i="7"/>
  <c r="Z107" i="7"/>
  <c r="AF107" i="7"/>
  <c r="AE107" i="7"/>
  <c r="W107" i="7"/>
  <c r="AA107" i="7"/>
  <c r="AC107" i="7"/>
  <c r="AG107" i="7"/>
  <c r="Y107" i="7"/>
  <c r="X107" i="7"/>
  <c r="AD107" i="7"/>
  <c r="AB107" i="7"/>
  <c r="X283" i="7"/>
  <c r="AG283" i="7"/>
  <c r="AB283" i="7"/>
  <c r="AD283" i="7"/>
  <c r="AF283" i="7"/>
  <c r="W283" i="7"/>
  <c r="Z283" i="7"/>
  <c r="AA283" i="7"/>
  <c r="Y283" i="7"/>
  <c r="AE283" i="7"/>
  <c r="AC283" i="7"/>
  <c r="AB297" i="7"/>
  <c r="AG297" i="7"/>
  <c r="AA297" i="7"/>
  <c r="W297" i="7"/>
  <c r="AD297" i="7"/>
  <c r="Y297" i="7"/>
  <c r="Z297" i="7"/>
  <c r="AE297" i="7"/>
  <c r="AF297" i="7"/>
  <c r="X297" i="7"/>
  <c r="AC297" i="7"/>
  <c r="AA327" i="7"/>
  <c r="AF327" i="7"/>
  <c r="AG327" i="7"/>
  <c r="Y327" i="7"/>
  <c r="W327" i="7"/>
  <c r="AD327" i="7"/>
  <c r="AC327" i="7"/>
  <c r="Z327" i="7"/>
  <c r="X327" i="7"/>
  <c r="AE327" i="7"/>
  <c r="AB327" i="7"/>
  <c r="X145" i="7"/>
  <c r="AG145" i="7"/>
  <c r="AD145" i="7"/>
  <c r="AE145" i="7"/>
  <c r="AA145" i="7"/>
  <c r="W145" i="7"/>
  <c r="AF145" i="7"/>
  <c r="Z145" i="7"/>
  <c r="Y145" i="7"/>
  <c r="AB145" i="7"/>
  <c r="AC145" i="7"/>
  <c r="AD352" i="7"/>
  <c r="AF352" i="7"/>
  <c r="AC352" i="7"/>
  <c r="Y352" i="7"/>
  <c r="AA352" i="7"/>
  <c r="X352" i="7"/>
  <c r="AE352" i="7"/>
  <c r="AG352" i="7"/>
  <c r="W352" i="7"/>
  <c r="Z352" i="7"/>
  <c r="AB352" i="7"/>
  <c r="AC317" i="7"/>
  <c r="AB317" i="7"/>
  <c r="AG317" i="7"/>
  <c r="AF317" i="7"/>
  <c r="W317" i="7"/>
  <c r="Z317" i="7"/>
  <c r="AA317" i="7"/>
  <c r="AD317" i="7"/>
  <c r="AE317" i="7"/>
  <c r="Y317" i="7"/>
  <c r="X317" i="7"/>
  <c r="W254" i="7"/>
  <c r="AF254" i="7"/>
  <c r="AA254" i="7"/>
  <c r="AB254" i="7"/>
  <c r="X254" i="7"/>
  <c r="AG254" i="7"/>
  <c r="Y254" i="7"/>
  <c r="Z254" i="7"/>
  <c r="AD254" i="7"/>
  <c r="AC254" i="7"/>
  <c r="AE254" i="7"/>
  <c r="Y219" i="7"/>
  <c r="AD219" i="7"/>
  <c r="AC219" i="7"/>
  <c r="Z219" i="7"/>
  <c r="AG219" i="7"/>
  <c r="AE219" i="7"/>
  <c r="AF219" i="7"/>
  <c r="W219" i="7"/>
  <c r="X219" i="7"/>
  <c r="AB219" i="7"/>
  <c r="AA219" i="7"/>
  <c r="AB159" i="7"/>
  <c r="AD159" i="7"/>
  <c r="AF159" i="7"/>
  <c r="AA159" i="7"/>
  <c r="Y159" i="7"/>
  <c r="W159" i="7"/>
  <c r="AC159" i="7"/>
  <c r="AE159" i="7"/>
  <c r="AG159" i="7"/>
  <c r="X159" i="7"/>
  <c r="Z159" i="7"/>
  <c r="AC25" i="7"/>
  <c r="AB25" i="7"/>
  <c r="AG25" i="7"/>
  <c r="AF25" i="7"/>
  <c r="W25" i="7"/>
  <c r="Z25" i="7"/>
  <c r="AA25" i="7"/>
  <c r="AD25" i="7"/>
  <c r="AE25" i="7"/>
  <c r="Y25" i="7"/>
  <c r="X25" i="7"/>
  <c r="W291" i="7"/>
  <c r="AA291" i="7"/>
  <c r="X291" i="7"/>
  <c r="AD291" i="7"/>
  <c r="AG291" i="7"/>
  <c r="Z291" i="7"/>
  <c r="AE291" i="7"/>
  <c r="AF291" i="7"/>
  <c r="AB291" i="7"/>
  <c r="AC291" i="7"/>
  <c r="Y291" i="7"/>
  <c r="Y308" i="7"/>
  <c r="AA308" i="7"/>
  <c r="W308" i="7"/>
  <c r="AE308" i="7"/>
  <c r="AG308" i="7"/>
  <c r="AC308" i="7"/>
  <c r="Z308" i="7"/>
  <c r="AB308" i="7"/>
  <c r="AD308" i="7"/>
  <c r="AF308" i="7"/>
  <c r="X308" i="7"/>
  <c r="AE332" i="7"/>
  <c r="AC332" i="7"/>
  <c r="X332" i="7"/>
  <c r="AG332" i="7"/>
  <c r="AB332" i="7"/>
  <c r="AD332" i="7"/>
  <c r="AF332" i="7"/>
  <c r="W332" i="7"/>
  <c r="Z332" i="7"/>
  <c r="AA332" i="7"/>
  <c r="Y332" i="7"/>
  <c r="AF98" i="7"/>
  <c r="AA98" i="7"/>
  <c r="X98" i="7"/>
  <c r="AE98" i="7"/>
  <c r="AB98" i="7"/>
  <c r="Y98" i="7"/>
  <c r="Z98" i="7"/>
  <c r="AC98" i="7"/>
  <c r="AD98" i="7"/>
  <c r="AG98" i="7"/>
  <c r="W98" i="7"/>
  <c r="AC311" i="7"/>
  <c r="AE311" i="7"/>
  <c r="AB311" i="7"/>
  <c r="X311" i="7"/>
  <c r="Z311" i="7"/>
  <c r="AA311" i="7"/>
  <c r="AD311" i="7"/>
  <c r="AF311" i="7"/>
  <c r="W311" i="7"/>
  <c r="Y311" i="7"/>
  <c r="AG311" i="7"/>
  <c r="AA85" i="7"/>
  <c r="Z85" i="7"/>
  <c r="Y85" i="7"/>
  <c r="AF85" i="7"/>
  <c r="X85" i="7"/>
  <c r="AE85" i="7"/>
  <c r="AC85" i="7"/>
  <c r="AG85" i="7"/>
  <c r="AB85" i="7"/>
  <c r="W85" i="7"/>
  <c r="AD85" i="7"/>
  <c r="AC266" i="7"/>
  <c r="AA266" i="7"/>
  <c r="AB266" i="7"/>
  <c r="AE266" i="7"/>
  <c r="AD266" i="7"/>
  <c r="W266" i="7"/>
  <c r="Z266" i="7"/>
  <c r="AG266" i="7"/>
  <c r="AF266" i="7"/>
  <c r="X266" i="7"/>
  <c r="Y266" i="7"/>
  <c r="AB115" i="7"/>
  <c r="Z115" i="7"/>
  <c r="AF115" i="7"/>
  <c r="AE115" i="7"/>
  <c r="W115" i="7"/>
  <c r="AA115" i="7"/>
  <c r="AC115" i="7"/>
  <c r="AG115" i="7"/>
  <c r="Y115" i="7"/>
  <c r="X115" i="7"/>
  <c r="AD115" i="7"/>
  <c r="W72" i="7"/>
  <c r="AC72" i="7"/>
  <c r="AA72" i="7"/>
  <c r="Y72" i="7"/>
  <c r="AE72" i="7"/>
  <c r="AD72" i="7"/>
  <c r="AB72" i="7"/>
  <c r="Z72" i="7"/>
  <c r="AG72" i="7"/>
  <c r="AF72" i="7"/>
  <c r="X72" i="7"/>
  <c r="AE285" i="7"/>
  <c r="AC285" i="7"/>
  <c r="X285" i="7"/>
  <c r="AG285" i="7"/>
  <c r="AB285" i="7"/>
  <c r="AD285" i="7"/>
  <c r="AF285" i="7"/>
  <c r="W285" i="7"/>
  <c r="Z285" i="7"/>
  <c r="AA285" i="7"/>
  <c r="Y285" i="7"/>
  <c r="AA290" i="7"/>
  <c r="AC290" i="7"/>
  <c r="AE290" i="7"/>
  <c r="AG290" i="7"/>
  <c r="X290" i="7"/>
  <c r="Z290" i="7"/>
  <c r="AB290" i="7"/>
  <c r="AD290" i="7"/>
  <c r="AF290" i="7"/>
  <c r="W290" i="7"/>
  <c r="Y290" i="7"/>
  <c r="AD315" i="7"/>
  <c r="AA315" i="7"/>
  <c r="Z315" i="7"/>
  <c r="AG315" i="7"/>
  <c r="AE315" i="7"/>
  <c r="W315" i="7"/>
  <c r="X315" i="7"/>
  <c r="AC315" i="7"/>
  <c r="AB315" i="7"/>
  <c r="Y315" i="7"/>
  <c r="AF315" i="7"/>
  <c r="Y87" i="7"/>
  <c r="AF87" i="7"/>
  <c r="AG87" i="7"/>
  <c r="AB87" i="7"/>
  <c r="W87" i="7"/>
  <c r="CJ87" i="7"/>
  <c r="AD87" i="7"/>
  <c r="AA87" i="7"/>
  <c r="X87" i="7"/>
  <c r="AE87" i="7"/>
  <c r="AC87" i="7"/>
  <c r="Z87" i="7"/>
  <c r="AB245" i="7"/>
  <c r="AE245" i="7"/>
  <c r="AA245" i="7"/>
  <c r="Z245" i="7"/>
  <c r="Y245" i="7"/>
  <c r="AF245" i="7"/>
  <c r="AC245" i="7"/>
  <c r="AD245" i="7"/>
  <c r="AG245" i="7"/>
  <c r="X245" i="7"/>
  <c r="W245" i="7"/>
  <c r="Y156" i="7"/>
  <c r="W156" i="7"/>
  <c r="AD156" i="7"/>
  <c r="AE156" i="7"/>
  <c r="AG156" i="7"/>
  <c r="AC156" i="7"/>
  <c r="Z156" i="7"/>
  <c r="AB156" i="7"/>
  <c r="X156" i="7"/>
  <c r="AF156" i="7"/>
  <c r="AA156" i="7"/>
  <c r="X233" i="7"/>
  <c r="AG233" i="7"/>
  <c r="AE233" i="7"/>
  <c r="W233" i="7"/>
  <c r="AF233" i="7"/>
  <c r="AB233" i="7"/>
  <c r="Z233" i="7"/>
  <c r="Y233" i="7"/>
  <c r="AC233" i="7"/>
  <c r="AD233" i="7"/>
  <c r="AA233" i="7"/>
  <c r="Y101" i="7"/>
  <c r="X101" i="7"/>
  <c r="AC101" i="7"/>
  <c r="AB101" i="7"/>
  <c r="AG101" i="7"/>
  <c r="AF101" i="7"/>
  <c r="W101" i="7"/>
  <c r="Z101" i="7"/>
  <c r="AA101" i="7"/>
  <c r="AD101" i="7"/>
  <c r="AE101" i="7"/>
  <c r="AD48" i="7"/>
  <c r="AF48" i="7"/>
  <c r="W48" i="7"/>
  <c r="CJ48" i="7"/>
  <c r="Y48" i="7"/>
  <c r="AG48" i="7"/>
  <c r="AC48" i="7"/>
  <c r="AE48" i="7"/>
  <c r="AB48" i="7"/>
  <c r="X48" i="7"/>
  <c r="Z48" i="7"/>
  <c r="AA48" i="7"/>
  <c r="AB255" i="7"/>
  <c r="AG255" i="7"/>
  <c r="Z255" i="7"/>
  <c r="AA255" i="7"/>
  <c r="AC255" i="7"/>
  <c r="AE255" i="7"/>
  <c r="W255" i="7"/>
  <c r="AD255" i="7"/>
  <c r="AF255" i="7"/>
  <c r="X255" i="7"/>
  <c r="Y255" i="7"/>
  <c r="AB166" i="7"/>
  <c r="AE166" i="7"/>
  <c r="AF166" i="7"/>
  <c r="Z166" i="7"/>
  <c r="Y166" i="7"/>
  <c r="AA166" i="7"/>
  <c r="AC166" i="7"/>
  <c r="AD166" i="7"/>
  <c r="AG166" i="7"/>
  <c r="X166" i="7"/>
  <c r="W166" i="7"/>
  <c r="AG62" i="7"/>
  <c r="X62" i="7"/>
  <c r="AF62" i="7"/>
  <c r="AB62" i="7"/>
  <c r="AD62" i="7"/>
  <c r="AE62" i="7"/>
  <c r="W62" i="7"/>
  <c r="Y62" i="7"/>
  <c r="AA62" i="7"/>
  <c r="AC62" i="7"/>
  <c r="Z62" i="7"/>
  <c r="W131" i="7"/>
  <c r="AF131" i="7"/>
  <c r="AA131" i="7"/>
  <c r="Z131" i="7"/>
  <c r="Y131" i="7"/>
  <c r="AG131" i="7"/>
  <c r="AE131" i="7"/>
  <c r="X131" i="7"/>
  <c r="AB131" i="7"/>
  <c r="AC131" i="7"/>
  <c r="AD131" i="7"/>
  <c r="AD20" i="7"/>
  <c r="W20" i="7"/>
  <c r="AE20" i="7"/>
  <c r="AG20" i="7"/>
  <c r="X20" i="7"/>
  <c r="AC20" i="7"/>
  <c r="Y20" i="7"/>
  <c r="AA20" i="7"/>
  <c r="AB20" i="7"/>
  <c r="AF20" i="7"/>
  <c r="Z20" i="7"/>
  <c r="AD286" i="7"/>
  <c r="W286" i="7"/>
  <c r="AE286" i="7"/>
  <c r="AF286" i="7"/>
  <c r="AC286" i="7"/>
  <c r="X286" i="7"/>
  <c r="AA286" i="7"/>
  <c r="AB286" i="7"/>
  <c r="AG286" i="7"/>
  <c r="Y286" i="7"/>
  <c r="Z286" i="7"/>
  <c r="W91" i="7"/>
  <c r="AD91" i="7"/>
  <c r="AF91" i="7"/>
  <c r="X91" i="7"/>
  <c r="AE91" i="7"/>
  <c r="AG91" i="7"/>
  <c r="Y91" i="7"/>
  <c r="Z91" i="7"/>
  <c r="AC91" i="7"/>
  <c r="AB91" i="7"/>
  <c r="AA91" i="7"/>
  <c r="Y39" i="7"/>
  <c r="X39" i="7"/>
  <c r="AC39" i="7"/>
  <c r="AB39" i="7"/>
  <c r="AG39" i="7"/>
  <c r="AF39" i="7"/>
  <c r="W39" i="7"/>
  <c r="Z39" i="7"/>
  <c r="AA39" i="7"/>
  <c r="AD39" i="7"/>
  <c r="AE39" i="7"/>
  <c r="X136" i="7"/>
  <c r="AE136" i="7"/>
  <c r="AA136" i="7"/>
  <c r="Y136" i="7"/>
  <c r="AD136" i="7"/>
  <c r="AC136" i="7"/>
  <c r="W136" i="7"/>
  <c r="AG136" i="7"/>
  <c r="AB136" i="7"/>
  <c r="AF136" i="7"/>
  <c r="Z136" i="7"/>
  <c r="AB124" i="7"/>
  <c r="Z124" i="7"/>
  <c r="AF124" i="7"/>
  <c r="AE124" i="7"/>
  <c r="W124" i="7"/>
  <c r="AA124" i="7"/>
  <c r="AC124" i="7"/>
  <c r="AG124" i="7"/>
  <c r="Y124" i="7"/>
  <c r="X124" i="7"/>
  <c r="AD124" i="7"/>
  <c r="AA15" i="7"/>
  <c r="AF15" i="7"/>
  <c r="AG15" i="7"/>
  <c r="AB15" i="7"/>
  <c r="AD15" i="7"/>
  <c r="W15" i="7"/>
  <c r="Z15" i="7"/>
  <c r="AC15" i="7"/>
  <c r="X15" i="7"/>
  <c r="AE15" i="7"/>
  <c r="Y15" i="7"/>
  <c r="AF185" i="7"/>
  <c r="W185" i="7"/>
  <c r="AE185" i="7"/>
  <c r="AA185" i="7"/>
  <c r="AC185" i="7"/>
  <c r="Z185" i="7"/>
  <c r="AG185" i="7"/>
  <c r="X185" i="7"/>
  <c r="Y185" i="7"/>
  <c r="AB185" i="7"/>
  <c r="AD185" i="7"/>
  <c r="AA60" i="7"/>
  <c r="AD60" i="7"/>
  <c r="AE60" i="7"/>
  <c r="Y60" i="7"/>
  <c r="Z60" i="7"/>
  <c r="AC60" i="7"/>
  <c r="X60" i="7"/>
  <c r="AG60" i="7"/>
  <c r="AB60" i="7"/>
  <c r="W60" i="7"/>
  <c r="AF60" i="7"/>
  <c r="AD114" i="7"/>
  <c r="AC114" i="7"/>
  <c r="W114" i="7"/>
  <c r="CJ114" i="7"/>
  <c r="X114" i="7"/>
  <c r="AE114" i="7"/>
  <c r="AB114" i="7"/>
  <c r="AA114" i="7"/>
  <c r="Z114" i="7"/>
  <c r="AG114" i="7"/>
  <c r="Y114" i="7"/>
  <c r="AF114" i="7"/>
  <c r="W162" i="7"/>
  <c r="Y162" i="7"/>
  <c r="AF162" i="7"/>
  <c r="AC162" i="7"/>
  <c r="AA162" i="7"/>
  <c r="AG162" i="7"/>
  <c r="X162" i="7"/>
  <c r="AD162" i="7"/>
  <c r="AB162" i="7"/>
  <c r="Z162" i="7"/>
  <c r="AE162" i="7"/>
  <c r="AE244" i="7"/>
  <c r="W244" i="7"/>
  <c r="AA244" i="7"/>
  <c r="AC244" i="7"/>
  <c r="AG244" i="7"/>
  <c r="Y244" i="7"/>
  <c r="X244" i="7"/>
  <c r="AD244" i="7"/>
  <c r="AB244" i="7"/>
  <c r="Z244" i="7"/>
  <c r="AF244" i="7"/>
  <c r="AC19" i="7"/>
  <c r="X19" i="7"/>
  <c r="AF19" i="7"/>
  <c r="AB19" i="7"/>
  <c r="AD19" i="7"/>
  <c r="Y19" i="7"/>
  <c r="W19" i="7"/>
  <c r="AA19" i="7"/>
  <c r="AE19" i="7"/>
  <c r="Z19" i="7"/>
  <c r="AG19" i="7"/>
  <c r="Z182" i="7"/>
  <c r="AB182" i="7"/>
  <c r="AD182" i="7"/>
  <c r="AF182" i="7"/>
  <c r="W182" i="7"/>
  <c r="Y182" i="7"/>
  <c r="AA182" i="7"/>
  <c r="AC182" i="7"/>
  <c r="AE182" i="7"/>
  <c r="AG182" i="7"/>
  <c r="X182" i="7"/>
  <c r="AF61" i="7"/>
  <c r="W61" i="7"/>
  <c r="Y61" i="7"/>
  <c r="AA61" i="7"/>
  <c r="AC61" i="7"/>
  <c r="AE61" i="7"/>
  <c r="AG61" i="7"/>
  <c r="X61" i="7"/>
  <c r="Z61" i="7"/>
  <c r="AB61" i="7"/>
  <c r="AD61" i="7"/>
  <c r="W218" i="7"/>
  <c r="AF218" i="7"/>
  <c r="AB218" i="7"/>
  <c r="X218" i="7"/>
  <c r="Y218" i="7"/>
  <c r="AA218" i="7"/>
  <c r="AC218" i="7"/>
  <c r="Z218" i="7"/>
  <c r="AG218" i="7"/>
  <c r="AE218" i="7"/>
  <c r="AD218" i="7"/>
  <c r="Y165" i="7"/>
  <c r="W165" i="7"/>
  <c r="X165" i="7"/>
  <c r="AE165" i="7"/>
  <c r="AG165" i="7"/>
  <c r="AA165" i="7"/>
  <c r="Z165" i="7"/>
  <c r="AB165" i="7"/>
  <c r="AC165" i="7"/>
  <c r="AF165" i="7"/>
  <c r="AD165" i="7"/>
  <c r="Z195" i="7"/>
  <c r="Y195" i="7"/>
  <c r="AF195" i="7"/>
  <c r="AD195" i="7"/>
  <c r="AB195" i="7"/>
  <c r="W195" i="7"/>
  <c r="AG195" i="7"/>
  <c r="AA195" i="7"/>
  <c r="X195" i="7"/>
  <c r="AE195" i="7"/>
  <c r="AC195" i="7"/>
  <c r="Y77" i="7"/>
  <c r="W77" i="7"/>
  <c r="AD77" i="7"/>
  <c r="AA77" i="7"/>
  <c r="Z77" i="7"/>
  <c r="AE77" i="7"/>
  <c r="AF77" i="7"/>
  <c r="X77" i="7"/>
  <c r="AB77" i="7"/>
  <c r="AC77" i="7"/>
  <c r="AG77" i="7"/>
  <c r="AG109" i="7"/>
  <c r="AB109" i="7"/>
  <c r="X109" i="7"/>
  <c r="AF109" i="7"/>
  <c r="AC109" i="7"/>
  <c r="W109" i="7"/>
  <c r="Y109" i="7"/>
  <c r="AE109" i="7"/>
  <c r="AD109" i="7"/>
  <c r="AA109" i="7"/>
  <c r="Z109" i="7"/>
  <c r="AG133" i="7"/>
  <c r="Y133" i="7"/>
  <c r="X133" i="7"/>
  <c r="AD133" i="7"/>
  <c r="AB133" i="7"/>
  <c r="Z133" i="7"/>
  <c r="AF133" i="7"/>
  <c r="AE133" i="7"/>
  <c r="W133" i="7"/>
  <c r="AA133" i="7"/>
  <c r="AC133" i="7"/>
  <c r="X183" i="7"/>
  <c r="AC183" i="7"/>
  <c r="Z183" i="7"/>
  <c r="AG183" i="7"/>
  <c r="AF183" i="7"/>
  <c r="AB183" i="7"/>
  <c r="AD183" i="7"/>
  <c r="AA183" i="7"/>
  <c r="W183" i="7"/>
  <c r="AE183" i="7"/>
  <c r="Y183" i="7"/>
  <c r="AA338" i="7"/>
  <c r="AC338" i="7"/>
  <c r="AG338" i="7"/>
  <c r="Y338" i="7"/>
  <c r="X338" i="7"/>
  <c r="AD338" i="7"/>
  <c r="AB338" i="7"/>
  <c r="Z338" i="7"/>
  <c r="AF338" i="7"/>
  <c r="AE338" i="7"/>
  <c r="W338" i="7"/>
  <c r="AE196" i="7"/>
  <c r="AD196" i="7"/>
  <c r="AF196" i="7"/>
  <c r="X196" i="7"/>
  <c r="AG196" i="7"/>
  <c r="AB196" i="7"/>
  <c r="W196" i="7"/>
  <c r="Y196" i="7"/>
  <c r="AC196" i="7"/>
  <c r="Z196" i="7"/>
  <c r="AA196" i="7"/>
  <c r="Z108" i="7"/>
  <c r="AG108" i="7"/>
  <c r="AC108" i="7"/>
  <c r="W108" i="7"/>
  <c r="X108" i="7"/>
  <c r="AE108" i="7"/>
  <c r="AB108" i="7"/>
  <c r="Y108" i="7"/>
  <c r="AF108" i="7"/>
  <c r="AD108" i="7"/>
  <c r="AA108" i="7"/>
  <c r="AC228" i="7"/>
  <c r="AB228" i="7"/>
  <c r="AG228" i="7"/>
  <c r="AF228" i="7"/>
  <c r="W228" i="7"/>
  <c r="Z228" i="7"/>
  <c r="AA228" i="7"/>
  <c r="AD228" i="7"/>
  <c r="AE228" i="7"/>
  <c r="Y228" i="7"/>
  <c r="X228" i="7"/>
  <c r="AE333" i="7"/>
  <c r="Y333" i="7"/>
  <c r="Z333" i="7"/>
  <c r="AC333" i="7"/>
  <c r="AD333" i="7"/>
  <c r="AB333" i="7"/>
  <c r="X333" i="7"/>
  <c r="W333" i="7"/>
  <c r="AG333" i="7"/>
  <c r="AA333" i="7"/>
  <c r="AF333" i="7"/>
  <c r="AC89" i="7"/>
  <c r="AB89" i="7"/>
  <c r="AG89" i="7"/>
  <c r="W89" i="7"/>
  <c r="AD89" i="7"/>
  <c r="AA89" i="7"/>
  <c r="X89" i="7"/>
  <c r="AE89" i="7"/>
  <c r="AF89" i="7"/>
  <c r="Y89" i="7"/>
  <c r="Z89" i="7"/>
  <c r="AE312" i="7"/>
  <c r="Y312" i="7"/>
  <c r="X312" i="7"/>
  <c r="AC312" i="7"/>
  <c r="AB312" i="7"/>
  <c r="AG312" i="7"/>
  <c r="AF312" i="7"/>
  <c r="W312" i="7"/>
  <c r="Z312" i="7"/>
  <c r="AA312" i="7"/>
  <c r="AD312" i="7"/>
  <c r="W310" i="7"/>
  <c r="AD310" i="7"/>
  <c r="AC310" i="7"/>
  <c r="Z310" i="7"/>
  <c r="X310" i="7"/>
  <c r="AE310" i="7"/>
  <c r="AB310" i="7"/>
  <c r="AA310" i="7"/>
  <c r="AF310" i="7"/>
  <c r="AG310" i="7"/>
  <c r="Y310" i="7"/>
  <c r="AG142" i="7"/>
  <c r="Y142" i="7"/>
  <c r="Z142" i="7"/>
  <c r="AC142" i="7"/>
  <c r="X142" i="7"/>
  <c r="W142" i="7"/>
  <c r="AD142" i="7"/>
  <c r="AB142" i="7"/>
  <c r="AA142" i="7"/>
  <c r="AE142" i="7"/>
  <c r="AF142" i="7"/>
  <c r="AB32" i="7"/>
  <c r="Z32" i="7"/>
  <c r="AF32" i="7"/>
  <c r="AE32" i="7"/>
  <c r="W32" i="7"/>
  <c r="AA32" i="7"/>
  <c r="AC32" i="7"/>
  <c r="AG32" i="7"/>
  <c r="Y32" i="7"/>
  <c r="X32" i="7"/>
  <c r="AD32" i="7"/>
  <c r="W132" i="7"/>
  <c r="AF132" i="7"/>
  <c r="X132" i="7"/>
  <c r="AE132" i="7"/>
  <c r="AC132" i="7"/>
  <c r="AG132" i="7"/>
  <c r="Y132" i="7"/>
  <c r="AD132" i="7"/>
  <c r="AB132" i="7"/>
  <c r="AA132" i="7"/>
  <c r="Z132" i="7"/>
  <c r="Y334" i="7"/>
  <c r="X334" i="7"/>
  <c r="AG334" i="7"/>
  <c r="W334" i="7"/>
  <c r="AA334" i="7"/>
  <c r="AE334" i="7"/>
  <c r="AD334" i="7"/>
  <c r="AF334" i="7"/>
  <c r="AC334" i="7"/>
  <c r="AB334" i="7"/>
  <c r="Z334" i="7"/>
  <c r="AE155" i="7"/>
  <c r="W155" i="7"/>
  <c r="AD155" i="7"/>
  <c r="AC155" i="7"/>
  <c r="Y155" i="7"/>
  <c r="Z155" i="7"/>
  <c r="X155" i="7"/>
  <c r="AB155" i="7"/>
  <c r="AF155" i="7"/>
  <c r="AG155" i="7"/>
  <c r="AA155" i="7"/>
  <c r="AA186" i="7"/>
  <c r="Y186" i="7"/>
  <c r="Z186" i="7"/>
  <c r="AE186" i="7"/>
  <c r="AB186" i="7"/>
  <c r="W186" i="7"/>
  <c r="AF186" i="7"/>
  <c r="AC186" i="7"/>
  <c r="AG186" i="7"/>
  <c r="X186" i="7"/>
  <c r="AD186" i="7"/>
  <c r="AF248" i="7"/>
  <c r="AG248" i="7"/>
  <c r="AB248" i="7"/>
  <c r="AC248" i="7"/>
  <c r="AD248" i="7"/>
  <c r="W248" i="7"/>
  <c r="Z248" i="7"/>
  <c r="X248" i="7"/>
  <c r="AE248" i="7"/>
  <c r="AA248" i="7"/>
  <c r="Y248" i="7"/>
  <c r="W335" i="7"/>
  <c r="AF335" i="7"/>
  <c r="AB335" i="7"/>
  <c r="AA335" i="7"/>
  <c r="AG335" i="7"/>
  <c r="X335" i="7"/>
  <c r="Y335" i="7"/>
  <c r="AD335" i="7"/>
  <c r="AC335" i="7"/>
  <c r="Z335" i="7"/>
  <c r="AE335" i="7"/>
  <c r="Z173" i="7"/>
  <c r="W173" i="7"/>
  <c r="X173" i="7"/>
  <c r="Y173" i="7"/>
  <c r="AG173" i="7"/>
  <c r="AA173" i="7"/>
  <c r="AD173" i="7"/>
  <c r="AB173" i="7"/>
  <c r="AE173" i="7"/>
  <c r="AF173" i="7"/>
  <c r="AC173" i="7"/>
  <c r="Z323" i="7"/>
  <c r="AA323" i="7"/>
  <c r="AB323" i="7"/>
  <c r="X323" i="7"/>
  <c r="Y323" i="7"/>
  <c r="AE323" i="7"/>
  <c r="AG323" i="7"/>
  <c r="W323" i="7"/>
  <c r="AD323" i="7"/>
  <c r="AF323" i="7"/>
  <c r="AC323" i="7"/>
  <c r="AE141" i="7"/>
  <c r="Y141" i="7"/>
  <c r="AB141" i="7"/>
  <c r="AA141" i="7"/>
  <c r="AF141" i="7"/>
  <c r="Z141" i="7"/>
  <c r="AC141" i="7"/>
  <c r="X141" i="7"/>
  <c r="W141" i="7"/>
  <c r="AG141" i="7"/>
  <c r="AD141" i="7"/>
  <c r="AF303" i="7"/>
  <c r="AG303" i="7"/>
  <c r="AE303" i="7"/>
  <c r="AC303" i="7"/>
  <c r="AA303" i="7"/>
  <c r="AB303" i="7"/>
  <c r="W303" i="7"/>
  <c r="AD303" i="7"/>
  <c r="Y303" i="7"/>
  <c r="Z303" i="7"/>
  <c r="X303" i="7"/>
  <c r="Y161" i="7"/>
  <c r="AA161" i="7"/>
  <c r="Z161" i="7"/>
  <c r="AE161" i="7"/>
  <c r="AF161" i="7"/>
  <c r="AC161" i="7"/>
  <c r="AG161" i="7"/>
  <c r="X161" i="7"/>
  <c r="AD161" i="7"/>
  <c r="AB161" i="7"/>
  <c r="W161" i="7"/>
  <c r="AB10" i="7"/>
  <c r="Z10" i="7"/>
  <c r="AD10" i="7"/>
  <c r="AA10" i="7"/>
  <c r="AC10" i="7"/>
  <c r="W10" i="7"/>
  <c r="Y10" i="7"/>
  <c r="AG10" i="7"/>
  <c r="AE10" i="7"/>
  <c r="X10" i="7"/>
  <c r="AF10" i="7"/>
  <c r="X147" i="7"/>
  <c r="AG147" i="7"/>
  <c r="Z147" i="7"/>
  <c r="AF147" i="7"/>
  <c r="W147" i="7"/>
  <c r="AD147" i="7"/>
  <c r="AE147" i="7"/>
  <c r="Y147" i="7"/>
  <c r="AC147" i="7"/>
  <c r="AA147" i="7"/>
  <c r="AB147" i="7"/>
  <c r="AE11" i="7"/>
  <c r="AB11" i="7"/>
  <c r="AG11" i="7"/>
  <c r="X11" i="7"/>
  <c r="AC11" i="7"/>
  <c r="AA11" i="7"/>
  <c r="Y11" i="7"/>
  <c r="W11" i="7"/>
  <c r="AD11" i="7"/>
  <c r="AF11" i="7"/>
  <c r="Z11" i="7"/>
  <c r="AG345" i="7"/>
  <c r="AF345" i="7"/>
  <c r="W345" i="7"/>
  <c r="Z345" i="7"/>
  <c r="AA345" i="7"/>
  <c r="AD345" i="7"/>
  <c r="AE345" i="7"/>
  <c r="Y345" i="7"/>
  <c r="X345" i="7"/>
  <c r="AC345" i="7"/>
  <c r="AB345" i="7"/>
  <c r="W181" i="7"/>
  <c r="AF181" i="7"/>
  <c r="Y181" i="7"/>
  <c r="AE181" i="7"/>
  <c r="AC181" i="7"/>
  <c r="Z181" i="7"/>
  <c r="AA181" i="7"/>
  <c r="X181" i="7"/>
  <c r="AG181" i="7"/>
  <c r="AD181" i="7"/>
  <c r="AB181" i="7"/>
  <c r="AC269" i="7"/>
  <c r="Y269" i="7"/>
  <c r="X269" i="7"/>
  <c r="AD269" i="7"/>
  <c r="AB269" i="7"/>
  <c r="AG269" i="7"/>
  <c r="AF269" i="7"/>
  <c r="W269" i="7"/>
  <c r="AE269" i="7"/>
  <c r="AA269" i="7"/>
  <c r="Z269" i="7"/>
  <c r="Z22" i="7"/>
  <c r="AC22" i="7"/>
  <c r="AE22" i="7"/>
  <c r="AB22" i="7"/>
  <c r="AD22" i="7"/>
  <c r="X22" i="7"/>
  <c r="Y22" i="7"/>
  <c r="W22" i="7"/>
  <c r="AA22" i="7"/>
  <c r="AF22" i="7"/>
  <c r="AG22" i="7"/>
  <c r="X83" i="7"/>
  <c r="AA83" i="7"/>
  <c r="AD83" i="7"/>
  <c r="Z83" i="7"/>
  <c r="Y83" i="7"/>
  <c r="AE83" i="7"/>
  <c r="AF83" i="7"/>
  <c r="W83" i="7"/>
  <c r="AG83" i="7"/>
  <c r="AC83" i="7"/>
  <c r="AB83" i="7"/>
  <c r="AE221" i="7"/>
  <c r="Z221" i="7"/>
  <c r="AD221" i="7"/>
  <c r="W221" i="7"/>
  <c r="AC221" i="7"/>
  <c r="AF221" i="7"/>
  <c r="AG221" i="7"/>
  <c r="X221" i="7"/>
  <c r="AA221" i="7"/>
  <c r="AB221" i="7"/>
  <c r="Y221" i="7"/>
  <c r="AA154" i="7"/>
  <c r="W154" i="7"/>
  <c r="AD154" i="7"/>
  <c r="Y154" i="7"/>
  <c r="Z154" i="7"/>
  <c r="AG154" i="7"/>
  <c r="AE154" i="7"/>
  <c r="AC154" i="7"/>
  <c r="AB154" i="7"/>
  <c r="X154" i="7"/>
  <c r="AF154" i="7"/>
  <c r="W169" i="7"/>
  <c r="X169" i="7"/>
  <c r="AF169" i="7"/>
  <c r="AG169" i="7"/>
  <c r="Y169" i="7"/>
  <c r="AA169" i="7"/>
  <c r="AB169" i="7"/>
  <c r="AD169" i="7"/>
  <c r="AE169" i="7"/>
  <c r="AC169" i="7"/>
  <c r="Z169" i="7"/>
  <c r="X319" i="7"/>
  <c r="AG319" i="7"/>
  <c r="Z319" i="7"/>
  <c r="AD319" i="7"/>
  <c r="AC319" i="7"/>
  <c r="AA319" i="7"/>
  <c r="W319" i="7"/>
  <c r="AB319" i="7"/>
  <c r="Y319" i="7"/>
  <c r="AF319" i="7"/>
  <c r="AE319" i="7"/>
  <c r="AF58" i="7"/>
  <c r="Z58" i="7"/>
  <c r="Y58" i="7"/>
  <c r="AC58" i="7"/>
  <c r="X58" i="7"/>
  <c r="AD58" i="7"/>
  <c r="AA58" i="7"/>
  <c r="AB58" i="7"/>
  <c r="AE58" i="7"/>
  <c r="AG58" i="7"/>
  <c r="W58" i="7"/>
  <c r="Z268" i="7"/>
  <c r="AE268" i="7"/>
  <c r="Y268" i="7"/>
  <c r="X268" i="7"/>
  <c r="AF268" i="7"/>
  <c r="AB268" i="7"/>
  <c r="AD268" i="7"/>
  <c r="AA268" i="7"/>
  <c r="AC268" i="7"/>
  <c r="AG268" i="7"/>
  <c r="W268" i="7"/>
  <c r="W298" i="7"/>
  <c r="Y298" i="7"/>
  <c r="AD298" i="7"/>
  <c r="AE298" i="7"/>
  <c r="X298" i="7"/>
  <c r="Z298" i="7"/>
  <c r="AC298" i="7"/>
  <c r="AA298" i="7"/>
  <c r="AB298" i="7"/>
  <c r="AF298" i="7"/>
  <c r="AG298" i="7"/>
  <c r="AG176" i="7"/>
  <c r="X176" i="7"/>
  <c r="AD176" i="7"/>
  <c r="AB176" i="7"/>
  <c r="Z176" i="7"/>
  <c r="Y176" i="7"/>
  <c r="W176" i="7"/>
  <c r="AA176" i="7"/>
  <c r="AE176" i="7"/>
  <c r="AF176" i="7"/>
  <c r="AC176" i="7"/>
  <c r="AG302" i="7"/>
  <c r="W302" i="7"/>
  <c r="AF302" i="7"/>
  <c r="Z302" i="7"/>
  <c r="AB302" i="7"/>
  <c r="AC302" i="7"/>
  <c r="X302" i="7"/>
  <c r="Y302" i="7"/>
  <c r="AE302" i="7"/>
  <c r="AD302" i="7"/>
  <c r="AA302" i="7"/>
  <c r="AF347" i="7"/>
  <c r="Z347" i="7"/>
  <c r="AE347" i="7"/>
  <c r="AC347" i="7"/>
  <c r="AA347" i="7"/>
  <c r="AB347" i="7"/>
  <c r="W347" i="7"/>
  <c r="X347" i="7"/>
  <c r="Y347" i="7"/>
  <c r="AG347" i="7"/>
  <c r="AD347" i="7"/>
  <c r="AF201" i="7"/>
  <c r="Z201" i="7"/>
  <c r="X201" i="7"/>
  <c r="Y201" i="7"/>
  <c r="AA201" i="7"/>
  <c r="AC201" i="7"/>
  <c r="AB201" i="7"/>
  <c r="AE201" i="7"/>
  <c r="W201" i="7"/>
  <c r="AG201" i="7"/>
  <c r="AD201" i="7"/>
  <c r="AB35" i="7"/>
  <c r="AC35" i="7"/>
  <c r="AG35" i="7"/>
  <c r="W35" i="7"/>
  <c r="AD35" i="7"/>
  <c r="AE35" i="7"/>
  <c r="Y35" i="7"/>
  <c r="AA35" i="7"/>
  <c r="Z35" i="7"/>
  <c r="X35" i="7"/>
  <c r="AF35" i="7"/>
  <c r="AE125" i="7"/>
  <c r="AF125" i="7"/>
  <c r="AD125" i="7"/>
  <c r="AC125" i="7"/>
  <c r="Y125" i="7"/>
  <c r="AB125" i="7"/>
  <c r="AA125" i="7"/>
  <c r="Z125" i="7"/>
  <c r="W125" i="7"/>
  <c r="AG125" i="7"/>
  <c r="X125" i="7"/>
  <c r="Z322" i="7"/>
  <c r="AA322" i="7"/>
  <c r="W322" i="7"/>
  <c r="X322" i="7"/>
  <c r="AF322" i="7"/>
  <c r="Y322" i="7"/>
  <c r="AC322" i="7"/>
  <c r="AG322" i="7"/>
  <c r="AE322" i="7"/>
  <c r="AD322" i="7"/>
  <c r="AB322" i="7"/>
  <c r="AF223" i="7"/>
  <c r="W223" i="7"/>
  <c r="X223" i="7"/>
  <c r="AG223" i="7"/>
  <c r="AC223" i="7"/>
  <c r="AD223" i="7"/>
  <c r="Y223" i="7"/>
  <c r="AA223" i="7"/>
  <c r="AB223" i="7"/>
  <c r="AE223" i="7"/>
  <c r="Z223" i="7"/>
  <c r="AF18" i="7"/>
  <c r="W18" i="7"/>
  <c r="AE18" i="7"/>
  <c r="AA18" i="7"/>
  <c r="Z18" i="7"/>
  <c r="AC18" i="7"/>
  <c r="Y18" i="7"/>
  <c r="AG18" i="7"/>
  <c r="AD18" i="7"/>
  <c r="AB18" i="7"/>
  <c r="X18" i="7"/>
  <c r="AD50" i="7"/>
  <c r="Y50" i="7"/>
  <c r="AE50" i="7"/>
  <c r="AA50" i="7"/>
  <c r="Z50" i="7"/>
  <c r="AF50" i="7"/>
  <c r="AG50" i="7"/>
  <c r="AB50" i="7"/>
  <c r="AC50" i="7"/>
  <c r="X50" i="7"/>
  <c r="W50" i="7"/>
  <c r="AE55" i="7"/>
  <c r="AB55" i="7"/>
  <c r="AC55" i="7"/>
  <c r="AG55" i="7"/>
  <c r="AD55" i="7"/>
  <c r="AF55" i="7"/>
  <c r="X55" i="7"/>
  <c r="Y55" i="7"/>
  <c r="W55" i="7"/>
  <c r="Z55" i="7"/>
  <c r="AA55" i="7"/>
  <c r="X146" i="7"/>
  <c r="AE146" i="7"/>
  <c r="W146" i="7"/>
  <c r="AA146" i="7"/>
  <c r="AF146" i="7"/>
  <c r="AG146" i="7"/>
  <c r="AC146" i="7"/>
  <c r="Y146" i="7"/>
  <c r="AD146" i="7"/>
  <c r="AB146" i="7"/>
  <c r="Z146" i="7"/>
  <c r="AD172" i="7"/>
  <c r="AF172" i="7"/>
  <c r="W172" i="7"/>
  <c r="Z172" i="7"/>
  <c r="AA172" i="7"/>
  <c r="AC172" i="7"/>
  <c r="Y172" i="7"/>
  <c r="AG172" i="7"/>
  <c r="X172" i="7"/>
  <c r="AE172" i="7"/>
  <c r="AB172" i="7"/>
  <c r="W279" i="7"/>
  <c r="AA279" i="7"/>
  <c r="AE279" i="7"/>
  <c r="AD279" i="7"/>
  <c r="AG279" i="7"/>
  <c r="AC279" i="7"/>
  <c r="X279" i="7"/>
  <c r="AF279" i="7"/>
  <c r="AB279" i="7"/>
  <c r="Z279" i="7"/>
  <c r="Y279" i="7"/>
  <c r="AG138" i="7"/>
  <c r="AA138" i="7"/>
  <c r="AF138" i="7"/>
  <c r="W138" i="7"/>
  <c r="AC138" i="7"/>
  <c r="AD138" i="7"/>
  <c r="Y138" i="7"/>
  <c r="AB138" i="7"/>
  <c r="X138" i="7"/>
  <c r="Z138" i="7"/>
  <c r="AE138" i="7"/>
  <c r="W214" i="7"/>
  <c r="AA214" i="7"/>
  <c r="AB214" i="7"/>
  <c r="AD214" i="7"/>
  <c r="AF214" i="7"/>
  <c r="X214" i="7"/>
  <c r="Z214" i="7"/>
  <c r="AG214" i="7"/>
  <c r="AE214" i="7"/>
  <c r="AC214" i="7"/>
  <c r="Y214" i="7"/>
  <c r="AA163" i="7"/>
  <c r="Y163" i="7"/>
  <c r="X163" i="7"/>
  <c r="Z163" i="7"/>
  <c r="AD163" i="7"/>
  <c r="W163" i="7"/>
  <c r="AG163" i="7"/>
  <c r="AC163" i="7"/>
  <c r="AE163" i="7"/>
  <c r="AB163" i="7"/>
  <c r="AF163" i="7"/>
  <c r="W328" i="7"/>
  <c r="AA328" i="7"/>
  <c r="AB328" i="7"/>
  <c r="X328" i="7"/>
  <c r="AF328" i="7"/>
  <c r="Y328" i="7"/>
  <c r="AD328" i="7"/>
  <c r="AG328" i="7"/>
  <c r="AC328" i="7"/>
  <c r="AE328" i="7"/>
  <c r="Z328" i="7"/>
  <c r="Y299" i="7"/>
  <c r="AG299" i="7"/>
  <c r="X299" i="7"/>
  <c r="AE299" i="7"/>
  <c r="W299" i="7"/>
  <c r="AD299" i="7"/>
  <c r="AA299" i="7"/>
  <c r="AB299" i="7"/>
  <c r="Z299" i="7"/>
  <c r="AF299" i="7"/>
  <c r="AC299" i="7"/>
  <c r="AD282" i="7"/>
  <c r="AA282" i="7"/>
  <c r="X282" i="7"/>
  <c r="AE282" i="7"/>
  <c r="Y282" i="7"/>
  <c r="Z282" i="7"/>
  <c r="AC282" i="7"/>
  <c r="AB282" i="7"/>
  <c r="AG282" i="7"/>
  <c r="AF282" i="7"/>
  <c r="W282" i="7"/>
  <c r="AE210" i="7"/>
  <c r="AF210" i="7"/>
  <c r="X210" i="7"/>
  <c r="W210" i="7"/>
  <c r="AG210" i="7"/>
  <c r="AA210" i="7"/>
  <c r="AD210" i="7"/>
  <c r="AC210" i="7"/>
  <c r="Y210" i="7"/>
  <c r="Z210" i="7"/>
  <c r="AB210" i="7"/>
  <c r="AF263" i="7"/>
  <c r="AC263" i="7"/>
  <c r="AE263" i="7"/>
  <c r="AA263" i="7"/>
  <c r="Z263" i="7"/>
  <c r="X263" i="7"/>
  <c r="Y263" i="7"/>
  <c r="AB263" i="7"/>
  <c r="AG263" i="7"/>
  <c r="W263" i="7"/>
  <c r="AD263" i="7"/>
  <c r="AA189" i="7"/>
  <c r="AD189" i="7"/>
  <c r="AE189" i="7"/>
  <c r="Y189" i="7"/>
  <c r="AB189" i="7"/>
  <c r="AC189" i="7"/>
  <c r="AF189" i="7"/>
  <c r="Z189" i="7"/>
  <c r="W189" i="7"/>
  <c r="AG189" i="7"/>
  <c r="X189" i="7"/>
  <c r="AD280" i="7"/>
  <c r="W280" i="7"/>
  <c r="X280" i="7"/>
  <c r="AF280" i="7"/>
  <c r="AC280" i="7"/>
  <c r="AG280" i="7"/>
  <c r="AA280" i="7"/>
  <c r="AB280" i="7"/>
  <c r="Z280" i="7"/>
  <c r="Y280" i="7"/>
  <c r="AE280" i="7"/>
  <c r="AD52" i="7"/>
  <c r="Y52" i="7"/>
  <c r="AG52" i="7"/>
  <c r="Z52" i="7"/>
  <c r="AF52" i="7"/>
  <c r="AE52" i="7"/>
  <c r="AA52" i="7"/>
  <c r="AC52" i="7"/>
  <c r="X52" i="7"/>
  <c r="AB52" i="7"/>
  <c r="W52" i="7"/>
  <c r="AB179" i="7"/>
  <c r="AD179" i="7"/>
  <c r="AA179" i="7"/>
  <c r="Z179" i="7"/>
  <c r="W179" i="7"/>
  <c r="AG179" i="7"/>
  <c r="AF179" i="7"/>
  <c r="AC179" i="7"/>
  <c r="AE179" i="7"/>
  <c r="Y179" i="7"/>
  <c r="X179" i="7"/>
  <c r="AF7" i="7"/>
  <c r="AB7" i="7"/>
  <c r="W7" i="7"/>
  <c r="AC7" i="7"/>
  <c r="AG7" i="7"/>
  <c r="Y7" i="7"/>
  <c r="AD7" i="7"/>
  <c r="X7" i="7"/>
  <c r="AE7" i="7"/>
  <c r="AA7" i="7"/>
  <c r="Z7" i="7"/>
  <c r="W366" i="7"/>
  <c r="AC366" i="7"/>
  <c r="Y366" i="7"/>
  <c r="AE366" i="7"/>
  <c r="X366" i="7"/>
  <c r="AB366" i="7"/>
  <c r="AA366" i="7"/>
  <c r="AD366" i="7"/>
  <c r="Z366" i="7"/>
  <c r="AF366" i="7"/>
  <c r="AG366" i="7"/>
  <c r="W389" i="7"/>
  <c r="AG389" i="7"/>
  <c r="AD389" i="7"/>
  <c r="AE389" i="7"/>
  <c r="AF389" i="7"/>
  <c r="Z389" i="7"/>
  <c r="AC389" i="7"/>
  <c r="Y389" i="7"/>
  <c r="AB389" i="7"/>
  <c r="AA389" i="7"/>
  <c r="X389" i="7"/>
  <c r="Y240" i="7"/>
  <c r="X240" i="7"/>
  <c r="AE240" i="7"/>
  <c r="AD240" i="7"/>
  <c r="AA240" i="7"/>
  <c r="AC240" i="7"/>
  <c r="W240" i="7"/>
  <c r="AF240" i="7"/>
  <c r="Z240" i="7"/>
  <c r="AB240" i="7"/>
  <c r="AG240" i="7"/>
  <c r="AD54" i="7"/>
  <c r="Y54" i="7"/>
  <c r="AE54" i="7"/>
  <c r="AA54" i="7"/>
  <c r="AB54" i="7"/>
  <c r="AF54" i="7"/>
  <c r="AG54" i="7"/>
  <c r="W54" i="7"/>
  <c r="AC54" i="7"/>
  <c r="X54" i="7"/>
  <c r="Z54" i="7"/>
  <c r="AB217" i="7"/>
  <c r="Y217" i="7"/>
  <c r="AG217" i="7"/>
  <c r="Z217" i="7"/>
  <c r="AF217" i="7"/>
  <c r="AE217" i="7"/>
  <c r="AC217" i="7"/>
  <c r="X217" i="7"/>
  <c r="W217" i="7"/>
  <c r="AA217" i="7"/>
  <c r="AD217" i="7"/>
  <c r="X97" i="7"/>
  <c r="AE97" i="7"/>
  <c r="AG97" i="7"/>
  <c r="W97" i="7"/>
  <c r="AA97" i="7"/>
  <c r="AF97" i="7"/>
  <c r="AC97" i="7"/>
  <c r="AD97" i="7"/>
  <c r="AB97" i="7"/>
  <c r="Z97" i="7"/>
  <c r="Y97" i="7"/>
  <c r="AE313" i="7"/>
  <c r="W313" i="7"/>
  <c r="AA313" i="7"/>
  <c r="AG313" i="7"/>
  <c r="AB313" i="7"/>
  <c r="AC313" i="7"/>
  <c r="X313" i="7"/>
  <c r="Y313" i="7"/>
  <c r="AF313" i="7"/>
  <c r="Z313" i="7"/>
  <c r="AD313" i="7"/>
  <c r="AA393" i="7"/>
  <c r="W393" i="7"/>
  <c r="AD393" i="7"/>
  <c r="Y393" i="7"/>
  <c r="AG393" i="7"/>
  <c r="AE393" i="7"/>
  <c r="AC393" i="7"/>
  <c r="Z393" i="7"/>
  <c r="AF393" i="7"/>
  <c r="AB393" i="7"/>
  <c r="X393" i="7"/>
  <c r="AB34" i="7"/>
  <c r="AC34" i="7"/>
  <c r="AE34" i="7"/>
  <c r="Y34" i="7"/>
  <c r="AD34" i="7"/>
  <c r="X34" i="7"/>
  <c r="Z34" i="7"/>
  <c r="AG34" i="7"/>
  <c r="AA34" i="7"/>
  <c r="AF34" i="7"/>
  <c r="W34" i="7"/>
  <c r="X344" i="7"/>
  <c r="Y344" i="7"/>
  <c r="AG344" i="7"/>
  <c r="Z344" i="7"/>
  <c r="AF344" i="7"/>
  <c r="AE344" i="7"/>
  <c r="AA344" i="7"/>
  <c r="AC344" i="7"/>
  <c r="AD344" i="7"/>
  <c r="AB344" i="7"/>
  <c r="W344" i="7"/>
  <c r="Y394" i="7"/>
  <c r="AB394" i="7"/>
  <c r="AC394" i="7"/>
  <c r="AE394" i="7"/>
  <c r="X394" i="7"/>
  <c r="AD394" i="7"/>
  <c r="AF394" i="7"/>
  <c r="W394" i="7"/>
  <c r="Z394" i="7"/>
  <c r="AG394" i="7"/>
  <c r="AA394" i="7"/>
  <c r="AF78" i="7"/>
  <c r="AB78" i="7"/>
  <c r="Y78" i="7"/>
  <c r="Z78" i="7"/>
  <c r="AE78" i="7"/>
  <c r="AA78" i="7"/>
  <c r="AC78" i="7"/>
  <c r="AG78" i="7"/>
  <c r="X78" i="7"/>
  <c r="W78" i="7"/>
  <c r="AD78" i="7"/>
  <c r="AD157" i="7"/>
  <c r="AC157" i="7"/>
  <c r="AG157" i="7"/>
  <c r="AF157" i="7"/>
  <c r="X157" i="7"/>
  <c r="AA157" i="7"/>
  <c r="W157" i="7"/>
  <c r="AB157" i="7"/>
  <c r="Y157" i="7"/>
  <c r="Z157" i="7"/>
  <c r="AE157" i="7"/>
  <c r="W100" i="7"/>
  <c r="Z100" i="7"/>
  <c r="AA100" i="7"/>
  <c r="Y100" i="7"/>
  <c r="X100" i="7"/>
  <c r="AC100" i="7"/>
  <c r="AF100" i="7"/>
  <c r="AD100" i="7"/>
  <c r="AE100" i="7"/>
  <c r="AG100" i="7"/>
  <c r="AB100" i="7"/>
  <c r="AF190" i="7"/>
  <c r="AB190" i="7"/>
  <c r="AE190" i="7"/>
  <c r="AG190" i="7"/>
  <c r="W190" i="7"/>
  <c r="AA190" i="7"/>
  <c r="AD190" i="7"/>
  <c r="AC190" i="7"/>
  <c r="Y190" i="7"/>
  <c r="Z190" i="7"/>
  <c r="X190" i="7"/>
  <c r="AA262" i="7"/>
  <c r="AE262" i="7"/>
  <c r="AB262" i="7"/>
  <c r="Y262" i="7"/>
  <c r="AD262" i="7"/>
  <c r="Z262" i="7"/>
  <c r="X262" i="7"/>
  <c r="W262" i="7"/>
  <c r="AF262" i="7"/>
  <c r="AG262" i="7"/>
  <c r="AC262" i="7"/>
  <c r="W398" i="7"/>
  <c r="AD398" i="7"/>
  <c r="AA398" i="7"/>
  <c r="AF398" i="7"/>
  <c r="AG398" i="7"/>
  <c r="AE398" i="7"/>
  <c r="AC398" i="7"/>
  <c r="Y398" i="7"/>
  <c r="Z398" i="7"/>
  <c r="X398" i="7"/>
  <c r="AB398" i="7"/>
  <c r="Y247" i="7"/>
  <c r="AC247" i="7"/>
  <c r="AB247" i="7"/>
  <c r="AE247" i="7"/>
  <c r="AA247" i="7"/>
  <c r="W247" i="7"/>
  <c r="AD247" i="7"/>
  <c r="AF247" i="7"/>
  <c r="Z247" i="7"/>
  <c r="X247" i="7"/>
  <c r="AG247" i="7"/>
  <c r="Y177" i="7"/>
  <c r="AB177" i="7"/>
  <c r="AD177" i="7"/>
  <c r="AE177" i="7"/>
  <c r="W177" i="7"/>
  <c r="AC177" i="7"/>
  <c r="AF177" i="7"/>
  <c r="Z177" i="7"/>
  <c r="X177" i="7"/>
  <c r="AA177" i="7"/>
  <c r="AG177" i="7"/>
  <c r="Y158" i="7"/>
  <c r="W158" i="7"/>
  <c r="X158" i="7"/>
  <c r="AA158" i="7"/>
  <c r="AE158" i="7"/>
  <c r="AD158" i="7"/>
  <c r="AG158" i="7"/>
  <c r="AC158" i="7"/>
  <c r="Z158" i="7"/>
  <c r="AB158" i="7"/>
  <c r="AF158" i="7"/>
  <c r="AD134" i="7"/>
  <c r="AC134" i="7"/>
  <c r="W134" i="7"/>
  <c r="AA134" i="7"/>
  <c r="AE134" i="7"/>
  <c r="X134" i="7"/>
  <c r="AB134" i="7"/>
  <c r="AG134" i="7"/>
  <c r="Z134" i="7"/>
  <c r="AF134" i="7"/>
  <c r="Y134" i="7"/>
  <c r="X321" i="7"/>
  <c r="AG321" i="7"/>
  <c r="W321" i="7"/>
  <c r="AD321" i="7"/>
  <c r="Y321" i="7"/>
  <c r="AF321" i="7"/>
  <c r="AE321" i="7"/>
  <c r="Z321" i="7"/>
  <c r="AC321" i="7"/>
  <c r="AA321" i="7"/>
  <c r="AB321" i="7"/>
  <c r="Y270" i="7"/>
  <c r="AE270" i="7"/>
  <c r="AC270" i="7"/>
  <c r="Z270" i="7"/>
  <c r="AA270" i="7"/>
  <c r="W270" i="7"/>
  <c r="X270" i="7"/>
  <c r="AF270" i="7"/>
  <c r="AB270" i="7"/>
  <c r="AD270" i="7"/>
  <c r="AG270" i="7"/>
  <c r="AC148" i="7"/>
  <c r="AE148" i="7"/>
  <c r="AB148" i="7"/>
  <c r="X148" i="7"/>
  <c r="AG148" i="7"/>
  <c r="AD148" i="7"/>
  <c r="AF148" i="7"/>
  <c r="AA148" i="7"/>
  <c r="Z148" i="7"/>
  <c r="W148" i="7"/>
  <c r="Y148" i="7"/>
  <c r="W341" i="7"/>
  <c r="Y341" i="7"/>
  <c r="AB341" i="7"/>
  <c r="AC341" i="7"/>
  <c r="AF341" i="7"/>
  <c r="AA341" i="7"/>
  <c r="Z341" i="7"/>
  <c r="AG341" i="7"/>
  <c r="AD341" i="7"/>
  <c r="AE341" i="7"/>
  <c r="X341" i="7"/>
  <c r="AA36" i="7"/>
  <c r="AB36" i="7"/>
  <c r="AE36" i="7"/>
  <c r="AG36" i="7"/>
  <c r="AD36" i="7"/>
  <c r="AF36" i="7"/>
  <c r="Z36" i="7"/>
  <c r="W36" i="7"/>
  <c r="AC36" i="7"/>
  <c r="X36" i="7"/>
  <c r="Y36" i="7"/>
  <c r="AE12" i="7"/>
  <c r="AA12" i="7"/>
  <c r="Y12" i="7"/>
  <c r="Z12" i="7"/>
  <c r="AG12" i="7"/>
  <c r="AB12" i="7"/>
  <c r="AF12" i="7"/>
  <c r="AD12" i="7"/>
  <c r="W12" i="7"/>
  <c r="AC12" i="7"/>
  <c r="X12" i="7"/>
  <c r="Z339" i="7"/>
  <c r="AG339" i="7"/>
  <c r="X339" i="7"/>
  <c r="AD339" i="7"/>
  <c r="AB339" i="7"/>
  <c r="AC339" i="7"/>
  <c r="AF339" i="7"/>
  <c r="W339" i="7"/>
  <c r="AE339" i="7"/>
  <c r="AA339" i="7"/>
  <c r="Y339" i="7"/>
  <c r="AC272" i="7"/>
  <c r="AG272" i="7"/>
  <c r="Y272" i="7"/>
  <c r="AB272" i="7"/>
  <c r="Z272" i="7"/>
  <c r="AF272" i="7"/>
  <c r="W272" i="7"/>
  <c r="AD272" i="7"/>
  <c r="AA272" i="7"/>
  <c r="X272" i="7"/>
  <c r="AE272" i="7"/>
  <c r="Z16" i="7"/>
  <c r="AB16" i="7"/>
  <c r="AD16" i="7"/>
  <c r="AF16" i="7"/>
  <c r="W16" i="7"/>
  <c r="AE16" i="7"/>
  <c r="AA16" i="7"/>
  <c r="X16" i="7"/>
  <c r="AC16" i="7"/>
  <c r="Y16" i="7"/>
  <c r="AG16" i="7"/>
  <c r="AF278" i="7"/>
  <c r="Z278" i="7"/>
  <c r="AE278" i="7"/>
  <c r="AC278" i="7"/>
  <c r="AA278" i="7"/>
  <c r="AB278" i="7"/>
  <c r="W278" i="7"/>
  <c r="X278" i="7"/>
  <c r="Y278" i="7"/>
  <c r="AG278" i="7"/>
  <c r="AD278" i="7"/>
  <c r="Y168" i="7"/>
  <c r="X168" i="7"/>
  <c r="AC168" i="7"/>
  <c r="AG168" i="7"/>
  <c r="AD168" i="7"/>
  <c r="AA168" i="7"/>
  <c r="AB168" i="7"/>
  <c r="W168" i="7"/>
  <c r="Z168" i="7"/>
  <c r="AF168" i="7"/>
  <c r="AE168" i="7"/>
  <c r="Y294" i="7"/>
  <c r="W294" i="7"/>
  <c r="AE294" i="7"/>
  <c r="AD294" i="7"/>
  <c r="AG294" i="7"/>
  <c r="Z294" i="7"/>
  <c r="AF294" i="7"/>
  <c r="AA294" i="7"/>
  <c r="AB294" i="7"/>
  <c r="AC294" i="7"/>
  <c r="X294" i="7"/>
  <c r="W289" i="7"/>
  <c r="AC289" i="7"/>
  <c r="AD289" i="7"/>
  <c r="X289" i="7"/>
  <c r="Y289" i="7"/>
  <c r="Z289" i="7"/>
  <c r="AG289" i="7"/>
  <c r="AF289" i="7"/>
  <c r="AB289" i="7"/>
  <c r="AE289" i="7"/>
  <c r="AA289" i="7"/>
  <c r="AE6" i="7"/>
  <c r="AD6" i="7"/>
  <c r="AG6" i="7"/>
  <c r="Z6" i="7"/>
  <c r="AC6" i="7"/>
  <c r="AA6" i="7"/>
  <c r="AF6" i="7"/>
  <c r="W6" i="7"/>
  <c r="AB6" i="7"/>
  <c r="Y6" i="7"/>
  <c r="X6" i="7"/>
  <c r="AE135" i="7"/>
  <c r="AC135" i="7"/>
  <c r="AF135" i="7"/>
  <c r="X135" i="7"/>
  <c r="Y135" i="7"/>
  <c r="AB135" i="7"/>
  <c r="AD135" i="7"/>
  <c r="AA135" i="7"/>
  <c r="Z135" i="7"/>
  <c r="W135" i="7"/>
  <c r="AG135" i="7"/>
  <c r="AG51" i="7"/>
  <c r="Y51" i="7"/>
  <c r="AC51" i="7"/>
  <c r="X51" i="7"/>
  <c r="Z51" i="7"/>
  <c r="AF51" i="7"/>
  <c r="W51" i="7"/>
  <c r="AA51" i="7"/>
  <c r="AE51" i="7"/>
  <c r="AB51" i="7"/>
  <c r="AD51" i="7"/>
  <c r="AE203" i="7"/>
  <c r="AB203" i="7"/>
  <c r="W203" i="7"/>
  <c r="Z203" i="7"/>
  <c r="AC203" i="7"/>
  <c r="AD203" i="7"/>
  <c r="AF203" i="7"/>
  <c r="X203" i="7"/>
  <c r="AA203" i="7"/>
  <c r="AG203" i="7"/>
  <c r="Y203" i="7"/>
  <c r="AA350" i="7"/>
  <c r="AG350" i="7"/>
  <c r="W350" i="7"/>
  <c r="Y350" i="7"/>
  <c r="AC350" i="7"/>
  <c r="AD350" i="7"/>
  <c r="Z350" i="7"/>
  <c r="AB350" i="7"/>
  <c r="AF350" i="7"/>
  <c r="X350" i="7"/>
  <c r="AE350" i="7"/>
  <c r="AD24" i="7"/>
  <c r="AB24" i="7"/>
  <c r="AG24" i="7"/>
  <c r="Z24" i="7"/>
  <c r="W24" i="7"/>
  <c r="AF24" i="7"/>
  <c r="AE24" i="7"/>
  <c r="X24" i="7"/>
  <c r="Y24" i="7"/>
  <c r="AC24" i="7"/>
  <c r="AA24" i="7"/>
  <c r="AA191" i="7"/>
  <c r="Z191" i="7"/>
  <c r="AC191" i="7"/>
  <c r="Y191" i="7"/>
  <c r="AD191" i="7"/>
  <c r="AB191" i="7"/>
  <c r="X191" i="7"/>
  <c r="AE191" i="7"/>
  <c r="AF191" i="7"/>
  <c r="AG191" i="7"/>
  <c r="W191" i="7"/>
  <c r="AC358" i="7"/>
  <c r="AE358" i="7"/>
  <c r="AB358" i="7"/>
  <c r="Z358" i="7"/>
  <c r="AF358" i="7"/>
  <c r="AG358" i="7"/>
  <c r="X358" i="7"/>
  <c r="AA358" i="7"/>
  <c r="W358" i="7"/>
  <c r="AD358" i="7"/>
  <c r="Y358" i="7"/>
  <c r="W188" i="7"/>
  <c r="AE188" i="7"/>
  <c r="AB188" i="7"/>
  <c r="AC188" i="7"/>
  <c r="AA188" i="7"/>
  <c r="X188" i="7"/>
  <c r="Z188" i="7"/>
  <c r="AF188" i="7"/>
  <c r="AD188" i="7"/>
  <c r="Y188" i="7"/>
  <c r="AG188" i="7"/>
  <c r="AC103" i="7"/>
  <c r="W103" i="7"/>
  <c r="X103" i="7"/>
  <c r="Z103" i="7"/>
  <c r="AD103" i="7"/>
  <c r="AB103" i="7"/>
  <c r="AE103" i="7"/>
  <c r="AF103" i="7"/>
  <c r="AA103" i="7"/>
  <c r="Y103" i="7"/>
  <c r="AG103" i="7"/>
  <c r="AA96" i="7"/>
  <c r="AF96" i="7"/>
  <c r="AE96" i="7"/>
  <c r="X96" i="7"/>
  <c r="Y96" i="7"/>
  <c r="Z96" i="7"/>
  <c r="AC96" i="7"/>
  <c r="AB96" i="7"/>
  <c r="AG96" i="7"/>
  <c r="W96" i="7"/>
  <c r="AD96" i="7"/>
  <c r="AD118" i="7"/>
  <c r="AA118" i="7"/>
  <c r="AF118" i="7"/>
  <c r="AC118" i="7"/>
  <c r="X118" i="7"/>
  <c r="AE118" i="7"/>
  <c r="Y118" i="7"/>
  <c r="AG118" i="7"/>
  <c r="W118" i="7"/>
  <c r="AB118" i="7"/>
  <c r="Z118" i="7"/>
  <c r="W180" i="7"/>
  <c r="AC180" i="7"/>
  <c r="AA180" i="7"/>
  <c r="AG180" i="7"/>
  <c r="X180" i="7"/>
  <c r="Z180" i="7"/>
  <c r="AB180" i="7"/>
  <c r="AD180" i="7"/>
  <c r="AF180" i="7"/>
  <c r="AE180" i="7"/>
  <c r="Y180" i="7"/>
  <c r="Z267" i="7"/>
  <c r="AB267" i="7"/>
  <c r="AA267" i="7"/>
  <c r="X267" i="7"/>
  <c r="AD267" i="7"/>
  <c r="W267" i="7"/>
  <c r="AC267" i="7"/>
  <c r="AE267" i="7"/>
  <c r="Y267" i="7"/>
  <c r="AF267" i="7"/>
  <c r="AG267" i="7"/>
  <c r="AG153" i="7"/>
  <c r="AF153" i="7"/>
  <c r="AB153" i="7"/>
  <c r="Z153" i="7"/>
  <c r="AA153" i="7"/>
  <c r="W153" i="7"/>
  <c r="AE153" i="7"/>
  <c r="Y153" i="7"/>
  <c r="X153" i="7"/>
  <c r="AC153" i="7"/>
  <c r="AD153" i="7"/>
  <c r="X99" i="7"/>
  <c r="Z99" i="7"/>
  <c r="AE99" i="7"/>
  <c r="Y99" i="7"/>
  <c r="W99" i="7"/>
  <c r="AD99" i="7"/>
  <c r="AF99" i="7"/>
  <c r="AB99" i="7"/>
  <c r="AC99" i="7"/>
  <c r="AA99" i="7"/>
  <c r="AG99" i="7"/>
  <c r="BF244" i="7"/>
  <c r="BX308" i="7"/>
  <c r="BX336" i="7"/>
  <c r="Z187" i="7"/>
  <c r="AA187" i="7"/>
  <c r="AD187" i="7"/>
  <c r="AB187" i="7"/>
  <c r="AF187" i="7"/>
  <c r="Y187" i="7"/>
  <c r="AC187" i="7"/>
  <c r="W187" i="7"/>
  <c r="AE187" i="7"/>
  <c r="X187" i="7"/>
  <c r="AG187" i="7"/>
  <c r="AD178" i="7"/>
  <c r="Y178" i="7"/>
  <c r="AG178" i="7"/>
  <c r="AC178" i="7"/>
  <c r="AE178" i="7"/>
  <c r="AB178" i="7"/>
  <c r="X178" i="7"/>
  <c r="AF178" i="7"/>
  <c r="W178" i="7"/>
  <c r="Z178" i="7"/>
  <c r="AA178" i="7"/>
  <c r="AN62" i="7"/>
  <c r="AO62" i="7" a="1"/>
  <c r="BF96" i="7"/>
  <c r="BX334" i="7"/>
  <c r="BY334" i="7" a="1"/>
  <c r="Z212" i="7"/>
  <c r="AC212" i="7"/>
  <c r="AE212" i="7"/>
  <c r="AF212" i="7"/>
  <c r="X212" i="7"/>
  <c r="AD212" i="7"/>
  <c r="AG212" i="7"/>
  <c r="W212" i="7"/>
  <c r="AA212" i="7"/>
  <c r="AB212" i="7"/>
  <c r="Y212" i="7"/>
  <c r="Z167" i="7"/>
  <c r="Y167" i="7"/>
  <c r="AD167" i="7"/>
  <c r="AC167" i="7"/>
  <c r="W167" i="7"/>
  <c r="AG167" i="7"/>
  <c r="X167" i="7"/>
  <c r="AB167" i="7"/>
  <c r="AA167" i="7"/>
  <c r="AF167" i="7"/>
  <c r="AE167" i="7"/>
  <c r="BF334" i="7"/>
  <c r="W386" i="7"/>
  <c r="X386" i="7"/>
  <c r="AB386" i="7"/>
  <c r="AD386" i="7"/>
  <c r="Y386" i="7"/>
  <c r="Z386" i="7"/>
  <c r="AF386" i="7"/>
  <c r="AG386" i="7"/>
  <c r="AA386" i="7"/>
  <c r="AC386" i="7"/>
  <c r="AE386" i="7"/>
  <c r="X127" i="7"/>
  <c r="Y127" i="7"/>
  <c r="W127" i="7"/>
  <c r="AG127" i="7"/>
  <c r="AB127" i="7"/>
  <c r="AC127" i="7"/>
  <c r="AF127" i="7"/>
  <c r="AE127" i="7"/>
  <c r="AD127" i="7"/>
  <c r="AA127" i="7"/>
  <c r="Z127" i="7"/>
  <c r="BX20" i="7"/>
  <c r="BY20" i="7" a="1"/>
  <c r="AN96" i="7"/>
  <c r="AO96" i="7" a="1"/>
  <c r="AN69" i="7"/>
  <c r="AO69" i="7" a="1"/>
  <c r="BX62" i="7"/>
  <c r="BY62" i="7" a="1"/>
  <c r="AF287" i="7"/>
  <c r="AE287" i="7"/>
  <c r="X287" i="7"/>
  <c r="AA287" i="7"/>
  <c r="W287" i="7"/>
  <c r="AD287" i="7"/>
  <c r="AG287" i="7"/>
  <c r="AC287" i="7"/>
  <c r="AB287" i="7"/>
  <c r="Y287" i="7"/>
  <c r="Z287" i="7"/>
  <c r="AD126" i="7"/>
  <c r="AA126" i="7"/>
  <c r="Z126" i="7"/>
  <c r="AE126" i="7"/>
  <c r="Y126" i="7"/>
  <c r="X126" i="7"/>
  <c r="AC126" i="7"/>
  <c r="AB126" i="7"/>
  <c r="AG126" i="7"/>
  <c r="AF126" i="7"/>
  <c r="W126" i="7"/>
  <c r="AN91" i="7"/>
  <c r="AO91" i="7" a="1"/>
  <c r="BF336" i="7"/>
  <c r="AN33" i="7"/>
  <c r="AO33" i="7" a="1"/>
  <c r="AD129" i="7"/>
  <c r="AC129" i="7"/>
  <c r="AF129" i="7"/>
  <c r="AE129" i="7"/>
  <c r="AA129" i="7"/>
  <c r="AB129" i="7"/>
  <c r="W129" i="7"/>
  <c r="AG129" i="7"/>
  <c r="Z129" i="7"/>
  <c r="Y129" i="7"/>
  <c r="X129" i="7"/>
  <c r="AC130" i="7"/>
  <c r="AB130" i="7"/>
  <c r="AA130" i="7"/>
  <c r="X130" i="7"/>
  <c r="W130" i="7"/>
  <c r="Z130" i="7"/>
  <c r="Y130" i="7"/>
  <c r="AE130" i="7"/>
  <c r="AD130" i="7"/>
  <c r="AG130" i="7"/>
  <c r="AF130" i="7"/>
  <c r="AF47" i="7"/>
  <c r="AD47" i="7"/>
  <c r="Y47" i="7"/>
  <c r="Z47" i="7"/>
  <c r="AG47" i="7"/>
  <c r="AB47" i="7"/>
  <c r="AC47" i="7"/>
  <c r="X47" i="7"/>
  <c r="AE47" i="7"/>
  <c r="AA47" i="7"/>
  <c r="W47" i="7"/>
  <c r="BF344" i="7"/>
  <c r="AN195" i="7"/>
  <c r="AO195" i="7" a="1"/>
  <c r="AD128" i="7"/>
  <c r="AG128" i="7"/>
  <c r="X128" i="7"/>
  <c r="AC128" i="7"/>
  <c r="Y128" i="7"/>
  <c r="AF128" i="7"/>
  <c r="AA128" i="7"/>
  <c r="W128" i="7"/>
  <c r="Z128" i="7"/>
  <c r="AE128" i="7"/>
  <c r="AB128" i="7"/>
  <c r="AN155" i="7"/>
  <c r="AO155" i="7" a="1"/>
  <c r="BF348" i="7"/>
  <c r="BX157" i="7"/>
  <c r="BY157" i="7" a="1"/>
  <c r="AD258" i="7"/>
  <c r="Z258" i="7"/>
  <c r="AB258" i="7"/>
  <c r="AG258" i="7"/>
  <c r="AF258" i="7"/>
  <c r="W258" i="7"/>
  <c r="AC258" i="7"/>
  <c r="AA258" i="7"/>
  <c r="X258" i="7"/>
  <c r="AE258" i="7"/>
  <c r="Y258" i="7"/>
  <c r="W259" i="7"/>
  <c r="AE259" i="7"/>
  <c r="AC259" i="7"/>
  <c r="X259" i="7"/>
  <c r="AG259" i="7"/>
  <c r="Z259" i="7"/>
  <c r="AD259" i="7"/>
  <c r="AF259" i="7"/>
  <c r="AB259" i="7"/>
  <c r="Y259" i="7"/>
  <c r="AA259" i="7"/>
  <c r="AN108" i="7"/>
  <c r="AO108" i="7" a="1"/>
  <c r="X324" i="7"/>
  <c r="Y324" i="7"/>
  <c r="AF324" i="7"/>
  <c r="AD324" i="7"/>
  <c r="AA324" i="7"/>
  <c r="AE324" i="7"/>
  <c r="W324" i="7"/>
  <c r="Z324" i="7"/>
  <c r="AG324" i="7"/>
  <c r="AB324" i="7"/>
  <c r="AC324" i="7"/>
  <c r="AN186" i="7"/>
  <c r="AO186" i="7" a="1"/>
  <c r="BF106" i="7"/>
  <c r="BF311" i="7"/>
  <c r="BF102" i="7"/>
  <c r="BX378" i="7"/>
  <c r="BY378" i="7" a="1"/>
  <c r="BF99" i="7"/>
  <c r="AB284" i="7"/>
  <c r="AE284" i="7"/>
  <c r="AF284" i="7"/>
  <c r="W284" i="7"/>
  <c r="AC284" i="7"/>
  <c r="AD284" i="7"/>
  <c r="X284" i="7"/>
  <c r="AA284" i="7"/>
  <c r="Z284" i="7"/>
  <c r="AG284" i="7"/>
  <c r="Y284" i="7"/>
  <c r="BX143" i="7"/>
  <c r="BY143" i="7" a="1"/>
  <c r="AE112" i="7"/>
  <c r="Y112" i="7"/>
  <c r="AF112" i="7"/>
  <c r="AD112" i="7"/>
  <c r="AA112" i="7"/>
  <c r="X112" i="7"/>
  <c r="W112" i="7"/>
  <c r="AB112" i="7"/>
  <c r="AG112" i="7"/>
  <c r="AC112" i="7"/>
  <c r="Z112" i="7"/>
  <c r="AG325" i="7"/>
  <c r="Z325" i="7"/>
  <c r="AF325" i="7"/>
  <c r="X325" i="7"/>
  <c r="Y325" i="7"/>
  <c r="AD325" i="7"/>
  <c r="W325" i="7"/>
  <c r="AA325" i="7"/>
  <c r="AE325" i="7"/>
  <c r="AB325" i="7"/>
  <c r="AC325" i="7"/>
  <c r="AN93" i="7"/>
  <c r="AO93" i="7" a="1"/>
  <c r="AN105" i="7"/>
  <c r="AO105" i="7" a="1"/>
  <c r="BF305" i="7"/>
  <c r="BG305" i="7" a="1"/>
  <c r="BX96" i="7"/>
  <c r="AD300" i="7"/>
  <c r="W300" i="7"/>
  <c r="AG300" i="7"/>
  <c r="Z300" i="7"/>
  <c r="AA300" i="7"/>
  <c r="Y300" i="7"/>
  <c r="AB300" i="7"/>
  <c r="AC300" i="7"/>
  <c r="AE300" i="7"/>
  <c r="X300" i="7"/>
  <c r="AF300" i="7"/>
  <c r="AE149" i="7"/>
  <c r="Y149" i="7"/>
  <c r="AD149" i="7"/>
  <c r="AG149" i="7"/>
  <c r="AB149" i="7"/>
  <c r="AC149" i="7"/>
  <c r="AF149" i="7"/>
  <c r="W149" i="7"/>
  <c r="Z149" i="7"/>
  <c r="AA149" i="7"/>
  <c r="X149" i="7"/>
  <c r="Z307" i="7"/>
  <c r="AC307" i="7"/>
  <c r="AD307" i="7"/>
  <c r="X307" i="7"/>
  <c r="AF307" i="7"/>
  <c r="AB307" i="7"/>
  <c r="AG307" i="7"/>
  <c r="AA307" i="7"/>
  <c r="W307" i="7"/>
  <c r="AE307" i="7"/>
  <c r="Y307" i="7"/>
  <c r="AN332" i="7"/>
  <c r="AO332" i="7" a="1"/>
  <c r="AB21" i="7"/>
  <c r="AF21" i="7"/>
  <c r="AE21" i="7"/>
  <c r="Y21" i="7"/>
  <c r="X21" i="7"/>
  <c r="AC21" i="7"/>
  <c r="AA21" i="7"/>
  <c r="Z21" i="7"/>
  <c r="W21" i="7"/>
  <c r="AD21" i="7"/>
  <c r="AG21" i="7"/>
  <c r="BF76" i="7"/>
  <c r="BX305" i="7"/>
  <c r="BY305" i="7" a="1"/>
  <c r="W117" i="7"/>
  <c r="Y117" i="7"/>
  <c r="AB117" i="7"/>
  <c r="AC117" i="7"/>
  <c r="Z117" i="7"/>
  <c r="AF117" i="7"/>
  <c r="AA117" i="7"/>
  <c r="X117" i="7"/>
  <c r="AE117" i="7"/>
  <c r="AG117" i="7"/>
  <c r="AD117" i="7"/>
  <c r="AN290" i="7"/>
  <c r="AO290" i="7" a="1"/>
  <c r="BX98" i="7"/>
  <c r="BY98" i="7" a="1"/>
  <c r="AN343" i="7"/>
  <c r="AO343" i="7" a="1"/>
  <c r="BX124" i="7"/>
  <c r="BY124" i="7" a="1"/>
  <c r="BF290" i="7"/>
  <c r="BG290" i="7" a="1"/>
  <c r="BG334" i="7" a="1"/>
  <c r="BG244" i="7" a="1"/>
  <c r="BG344" i="7" a="1"/>
  <c r="BG76" i="7" a="1"/>
  <c r="BG311" i="7" a="1"/>
  <c r="BG96" i="7" a="1"/>
  <c r="BG336" i="7" a="1"/>
  <c r="BG99" i="7" a="1"/>
  <c r="BG106" i="7" a="1"/>
  <c r="BG102" i="7" a="1"/>
  <c r="BG348" i="7" a="1"/>
  <c r="I7" i="8"/>
  <c r="H7" i="8"/>
  <c r="T20" i="6"/>
  <c r="CJ317" i="7"/>
  <c r="CJ252" i="7"/>
  <c r="CJ151" i="7"/>
  <c r="CJ44" i="7"/>
  <c r="CJ185" i="7"/>
  <c r="CP320" i="7"/>
  <c r="CR320" i="7"/>
  <c r="CT320" i="7"/>
  <c r="CS320" i="7"/>
  <c r="CJ32" i="7"/>
  <c r="CJ37" i="7"/>
  <c r="S21" i="6"/>
  <c r="Q22" i="6"/>
  <c r="R21" i="6"/>
  <c r="CM320" i="7"/>
  <c r="CJ233" i="7"/>
  <c r="CJ291" i="7"/>
  <c r="CJ346" i="7"/>
  <c r="CJ251" i="7"/>
  <c r="CJ280" i="7"/>
  <c r="CN320" i="7"/>
  <c r="CQ320" i="7"/>
  <c r="CJ55" i="7"/>
  <c r="CJ132" i="7"/>
  <c r="CJ338" i="7"/>
  <c r="CJ133" i="7"/>
  <c r="CJ286" i="7"/>
  <c r="CJ101" i="7"/>
  <c r="CJ211" i="7"/>
  <c r="CJ45" i="7"/>
  <c r="CJ82" i="7"/>
  <c r="CJ46" i="7"/>
  <c r="CJ104" i="7"/>
  <c r="CJ49" i="7"/>
  <c r="CK184" i="7"/>
  <c r="CO320" i="7"/>
  <c r="CJ310" i="7"/>
  <c r="CJ183" i="7"/>
  <c r="CJ15" i="7"/>
  <c r="CJ25" i="7"/>
  <c r="CJ228" i="7"/>
  <c r="CJ196" i="7"/>
  <c r="CJ39" i="7"/>
  <c r="CJ297" i="7"/>
  <c r="CJ255" i="7"/>
  <c r="CJ40" i="7"/>
  <c r="CJ333" i="7"/>
  <c r="CJ165" i="7"/>
  <c r="CJ68" i="7"/>
  <c r="CJ77" i="7"/>
  <c r="CJ13" i="7"/>
  <c r="CJ50" i="7"/>
  <c r="CJ142" i="7"/>
  <c r="CJ312" i="7"/>
  <c r="CJ61" i="7"/>
  <c r="CJ182" i="7"/>
  <c r="CJ136" i="7"/>
  <c r="CJ72" i="7"/>
  <c r="CJ254" i="7"/>
  <c r="CJ59" i="7"/>
  <c r="CJ266" i="7"/>
  <c r="CJ245" i="7"/>
  <c r="CJ115" i="7"/>
  <c r="CJ145" i="7"/>
  <c r="CJ327" i="7"/>
  <c r="CJ152" i="7"/>
  <c r="CJ292" i="7"/>
  <c r="CJ281" i="7"/>
  <c r="CJ175" i="7"/>
  <c r="CJ277" i="7"/>
  <c r="CJ38" i="7"/>
  <c r="CJ79" i="7"/>
  <c r="CJ131" i="7"/>
  <c r="CJ361" i="7"/>
  <c r="CJ356" i="7"/>
  <c r="CJ174" i="7"/>
  <c r="CJ88" i="7"/>
  <c r="CJ342" i="7"/>
  <c r="CJ109" i="7"/>
  <c r="CJ283" i="7"/>
  <c r="CJ74" i="7"/>
  <c r="CJ218" i="7"/>
  <c r="CJ60" i="7"/>
  <c r="CJ166" i="7"/>
  <c r="CJ156" i="7"/>
  <c r="CJ159" i="7"/>
  <c r="CJ107" i="7"/>
  <c r="CJ160" i="7"/>
  <c r="CJ162" i="7"/>
  <c r="CJ355" i="7"/>
  <c r="CJ304" i="7"/>
  <c r="CJ315" i="7"/>
  <c r="CJ352" i="7"/>
  <c r="CJ90" i="7"/>
  <c r="CK154" i="7"/>
  <c r="CJ314" i="7"/>
  <c r="CJ170" i="7"/>
  <c r="CK324" i="7"/>
  <c r="CJ202" i="7"/>
  <c r="CJ276" i="7"/>
  <c r="CJ215" i="7"/>
  <c r="CJ377" i="7"/>
  <c r="CJ337" i="7"/>
  <c r="CJ113" i="7"/>
  <c r="CK134" i="7"/>
  <c r="CK161" i="7"/>
  <c r="CK38" i="7"/>
  <c r="CK279" i="7"/>
  <c r="CK6" i="7"/>
  <c r="CJ71" i="7"/>
  <c r="CK342" i="7"/>
  <c r="CJ139" i="7"/>
  <c r="CJ73" i="7"/>
  <c r="CJ18" i="7"/>
  <c r="CK252" i="7"/>
  <c r="CJ64" i="7"/>
  <c r="CJ53" i="7"/>
  <c r="CK319" i="7"/>
  <c r="CK146" i="7"/>
  <c r="CK158" i="7"/>
  <c r="CK7" i="7"/>
  <c r="CK191" i="7"/>
  <c r="CJ34" i="7"/>
  <c r="CK166" i="7"/>
  <c r="CK153" i="7"/>
  <c r="CK28" i="7"/>
  <c r="CK130" i="7"/>
  <c r="CK177" i="7"/>
  <c r="CJ389" i="7"/>
  <c r="CJ176" i="7"/>
  <c r="CJ345" i="7"/>
  <c r="CJ94" i="7"/>
  <c r="CJ57" i="7"/>
  <c r="CK283" i="7"/>
  <c r="CK339" i="7"/>
  <c r="CJ307" i="7"/>
  <c r="CJ149" i="7"/>
  <c r="CJ258" i="7"/>
  <c r="CJ187" i="7"/>
  <c r="CJ278" i="7"/>
  <c r="CJ339" i="7"/>
  <c r="CJ28" i="7"/>
  <c r="CK141" i="7"/>
  <c r="CK148" i="7"/>
  <c r="CJ279" i="7"/>
  <c r="CK74" i="7"/>
  <c r="CK57" i="7"/>
  <c r="CK223" i="7"/>
  <c r="CJ301" i="7"/>
  <c r="CK280" i="7"/>
  <c r="CJ322" i="7"/>
  <c r="CJ6" i="7"/>
  <c r="CJ173" i="7"/>
  <c r="CJ240" i="7"/>
  <c r="CJ223" i="7"/>
  <c r="CJ394" i="7"/>
  <c r="CJ303" i="7"/>
  <c r="CK300" i="7"/>
  <c r="CJ177" i="7"/>
  <c r="CK12" i="7"/>
  <c r="CK267" i="7"/>
  <c r="CK172" i="7"/>
  <c r="CJ248" i="7"/>
  <c r="CJ123" i="7"/>
  <c r="CJ78" i="7"/>
  <c r="CJ168" i="7"/>
  <c r="CJ247" i="7"/>
  <c r="CJ268" i="7"/>
  <c r="CJ321" i="7"/>
  <c r="CJ163" i="7"/>
  <c r="CJ214" i="7"/>
  <c r="CJ138" i="7"/>
  <c r="CJ83" i="7"/>
  <c r="CK5" i="7"/>
  <c r="CK321" i="7"/>
  <c r="CK307" i="7"/>
  <c r="CK122" i="7"/>
  <c r="CK247" i="7"/>
  <c r="CK350" i="7"/>
  <c r="CK214" i="7"/>
  <c r="CK299" i="7"/>
  <c r="CK270" i="7"/>
  <c r="CK398" i="7"/>
  <c r="CK210" i="7"/>
  <c r="CK282" i="7"/>
  <c r="CJ5" i="7"/>
  <c r="CK123" i="7"/>
  <c r="CJ130" i="7"/>
  <c r="CJ386" i="7"/>
  <c r="CJ341" i="7"/>
  <c r="CJ398" i="7"/>
  <c r="CJ262" i="7"/>
  <c r="CJ147" i="7"/>
  <c r="CJ161" i="7"/>
  <c r="CK53" i="7"/>
  <c r="CK163" i="7"/>
  <c r="CK147" i="7"/>
  <c r="CK289" i="7"/>
  <c r="CK261" i="7"/>
  <c r="CK24" i="7"/>
  <c r="CK72" i="7"/>
  <c r="CK138" i="7"/>
  <c r="CK262" i="7"/>
  <c r="CJ329" i="7"/>
  <c r="CK337" i="7"/>
  <c r="CK113" i="7"/>
  <c r="CK287" i="7"/>
  <c r="CK22" i="7"/>
  <c r="CK50" i="7"/>
  <c r="CK45" i="7"/>
  <c r="CP45" i="7"/>
  <c r="CJ287" i="7"/>
  <c r="CJ289" i="7"/>
  <c r="CJ270" i="7"/>
  <c r="CJ217" i="7"/>
  <c r="CJ299" i="7"/>
  <c r="CJ347" i="7"/>
  <c r="CK4" i="7"/>
  <c r="CK169" i="7"/>
  <c r="CK272" i="7"/>
  <c r="CK258" i="7"/>
  <c r="CK18" i="7"/>
  <c r="CK35" i="7"/>
  <c r="CK386" i="7"/>
  <c r="CK291" i="7"/>
  <c r="CJ3" i="7"/>
  <c r="CJ4" i="7"/>
  <c r="CK133" i="7"/>
  <c r="CJ313" i="7"/>
  <c r="CJ16" i="7"/>
  <c r="CK174" i="7"/>
  <c r="CJ121" i="7"/>
  <c r="CJ146" i="7"/>
  <c r="CK89" i="7"/>
  <c r="CJ89" i="7"/>
  <c r="CJ285" i="7"/>
  <c r="CK228" i="7"/>
  <c r="CK117" i="7"/>
  <c r="CK135" i="7"/>
  <c r="CK185" i="7"/>
  <c r="CJ11" i="7"/>
  <c r="CJ141" i="7"/>
  <c r="CJ112" i="7"/>
  <c r="CJ54" i="7"/>
  <c r="CJ282" i="7"/>
  <c r="CJ335" i="7"/>
  <c r="CJ272" i="7"/>
  <c r="CK77" i="7"/>
  <c r="CK73" i="7"/>
  <c r="CJ153" i="7"/>
  <c r="CK255" i="7"/>
  <c r="CK109" i="7"/>
  <c r="CK94" i="7"/>
  <c r="CK63" i="7"/>
  <c r="CK303" i="7"/>
  <c r="CK127" i="7"/>
  <c r="CK323" i="7"/>
  <c r="CK188" i="7"/>
  <c r="CK86" i="7"/>
  <c r="CK187" i="7"/>
  <c r="CK341" i="7"/>
  <c r="CK322" i="7"/>
  <c r="CK313" i="7"/>
  <c r="CJ63" i="7"/>
  <c r="CK357" i="7"/>
  <c r="CK101" i="7"/>
  <c r="CK64" i="7"/>
  <c r="CK333" i="7"/>
  <c r="CJ261" i="7"/>
  <c r="CJ116" i="7"/>
  <c r="CK32" i="7"/>
  <c r="CP32" i="7"/>
  <c r="CJ125" i="7"/>
  <c r="CJ35" i="7"/>
  <c r="CK126" i="7"/>
  <c r="CK58" i="7"/>
  <c r="CK347" i="7"/>
  <c r="CJ52" i="7"/>
  <c r="CK304" i="7"/>
  <c r="CK132" i="7"/>
  <c r="CK16" i="7"/>
  <c r="CK345" i="7"/>
  <c r="CK54" i="7"/>
  <c r="CK116" i="7"/>
  <c r="CJ103" i="7"/>
  <c r="CK59" i="7"/>
  <c r="CK278" i="7"/>
  <c r="CJ86" i="7"/>
  <c r="CK173" i="7"/>
  <c r="CK265" i="7"/>
  <c r="CS265" i="7"/>
  <c r="CK46" i="7"/>
  <c r="CK100" i="7"/>
  <c r="CJ127" i="7"/>
  <c r="CJ22" i="7"/>
  <c r="CJ323" i="7"/>
  <c r="CK168" i="7"/>
  <c r="CK149" i="7"/>
  <c r="CK301" i="7"/>
  <c r="CK389" i="7"/>
  <c r="CK176" i="7"/>
  <c r="CJ135" i="7"/>
  <c r="CK335" i="7"/>
  <c r="CK268" i="7"/>
  <c r="CK87" i="7"/>
  <c r="CS87" i="7"/>
  <c r="CK221" i="7"/>
  <c r="CJ221" i="7"/>
  <c r="CK52" i="7"/>
  <c r="CK178" i="7"/>
  <c r="CK181" i="7"/>
  <c r="CJ225" i="7"/>
  <c r="CK13" i="7"/>
  <c r="CJ118" i="7"/>
  <c r="CJ140" i="7"/>
  <c r="CJ51" i="7"/>
  <c r="CK202" i="7"/>
  <c r="CJ263" i="7"/>
  <c r="CJ81" i="7"/>
  <c r="CK125" i="7"/>
  <c r="CJ117" i="7"/>
  <c r="CJ324" i="7"/>
  <c r="CJ129" i="7"/>
  <c r="CJ24" i="7"/>
  <c r="CJ12" i="7"/>
  <c r="CJ36" i="7"/>
  <c r="CJ148" i="7"/>
  <c r="CJ134" i="7"/>
  <c r="CJ7" i="7"/>
  <c r="CJ319" i="7"/>
  <c r="CJ154" i="7"/>
  <c r="CJ269" i="7"/>
  <c r="CK175" i="7"/>
  <c r="CK329" i="7"/>
  <c r="CJ351" i="7"/>
  <c r="CK314" i="7"/>
  <c r="CM314" i="7"/>
  <c r="CK225" i="7"/>
  <c r="CK112" i="7"/>
  <c r="CK36" i="7"/>
  <c r="CK131" i="7"/>
  <c r="CJ178" i="7"/>
  <c r="CK358" i="7"/>
  <c r="CK128" i="7"/>
  <c r="CK211" i="7"/>
  <c r="CJ100" i="7"/>
  <c r="CK34" i="7"/>
  <c r="CK11" i="7"/>
  <c r="CK351" i="7"/>
  <c r="CJ21" i="7"/>
  <c r="CJ126" i="7"/>
  <c r="CJ267" i="7"/>
  <c r="CJ188" i="7"/>
  <c r="CJ350" i="7"/>
  <c r="CJ158" i="7"/>
  <c r="CJ172" i="7"/>
  <c r="CJ58" i="7"/>
  <c r="CK129" i="7"/>
  <c r="CK215" i="7"/>
  <c r="CK248" i="7"/>
  <c r="CK121" i="7"/>
  <c r="CK183" i="7"/>
  <c r="CK269" i="7"/>
  <c r="CK107" i="7"/>
  <c r="CK78" i="7"/>
  <c r="CJ190" i="7"/>
  <c r="CK170" i="7"/>
  <c r="CJ366" i="7"/>
  <c r="CJ179" i="7"/>
  <c r="CJ210" i="7"/>
  <c r="CJ85" i="7"/>
  <c r="CK85" i="7"/>
  <c r="CK81" i="7"/>
  <c r="CK377" i="7"/>
  <c r="CK137" i="7"/>
  <c r="CK10" i="7"/>
  <c r="CK189" i="7"/>
  <c r="CJ137" i="7"/>
  <c r="CJ220" i="7"/>
  <c r="CK55" i="7"/>
  <c r="CK182" i="7"/>
  <c r="CJ325" i="7"/>
  <c r="CJ259" i="7"/>
  <c r="CJ128" i="7"/>
  <c r="CJ47" i="7"/>
  <c r="CJ167" i="7"/>
  <c r="CJ212" i="7"/>
  <c r="CJ358" i="7"/>
  <c r="CJ302" i="7"/>
  <c r="CJ10" i="7"/>
  <c r="CK245" i="7"/>
  <c r="CJ306" i="7"/>
  <c r="CK15" i="7"/>
  <c r="CK212" i="7"/>
  <c r="CJ300" i="7"/>
  <c r="CJ180" i="7"/>
  <c r="CJ294" i="7"/>
  <c r="CK25" i="7"/>
  <c r="CJ393" i="7"/>
  <c r="CJ97" i="7"/>
  <c r="CJ189" i="7"/>
  <c r="CJ19" i="7"/>
  <c r="CK19" i="7"/>
  <c r="CK298" i="7"/>
  <c r="CK162" i="7"/>
  <c r="CK165" i="7"/>
  <c r="CK179" i="7"/>
  <c r="CK136" i="7"/>
  <c r="CK118" i="7"/>
  <c r="CK167" i="7"/>
  <c r="CK327" i="7"/>
  <c r="CJ191" i="7"/>
  <c r="CJ9" i="7"/>
  <c r="CJ298" i="7"/>
  <c r="CK97" i="7"/>
  <c r="CK219" i="7"/>
  <c r="CK233" i="7"/>
  <c r="CK44" i="7"/>
  <c r="CK393" i="7"/>
  <c r="CK286" i="7"/>
  <c r="CK263" i="7"/>
  <c r="CK139" i="7"/>
  <c r="CK266" i="7"/>
  <c r="CK276" i="7"/>
  <c r="CK142" i="7"/>
  <c r="CK140" i="7"/>
  <c r="CK48" i="7"/>
  <c r="CK114" i="7"/>
  <c r="CQ114" i="7"/>
  <c r="CJ169" i="7"/>
  <c r="CJ181" i="7"/>
  <c r="CJ219" i="7"/>
  <c r="CK90" i="7"/>
  <c r="CK190" i="7"/>
  <c r="CK180" i="7"/>
  <c r="CK160" i="7"/>
  <c r="CK292" i="7"/>
  <c r="CK47" i="7"/>
  <c r="CK51" i="7"/>
  <c r="CK71" i="7"/>
  <c r="CK3" i="7"/>
  <c r="CK259" i="7"/>
  <c r="CK217" i="7"/>
  <c r="CK21" i="7"/>
  <c r="CJ122" i="7"/>
  <c r="CK40" i="7"/>
  <c r="CK218" i="7"/>
  <c r="CK306" i="7"/>
  <c r="CK310" i="7"/>
  <c r="CK366" i="7"/>
  <c r="CK220" i="7"/>
  <c r="CK338" i="7"/>
  <c r="CK39" i="7"/>
  <c r="CK285" i="7"/>
  <c r="CK302" i="7"/>
  <c r="CK315" i="7"/>
  <c r="CK115" i="7"/>
  <c r="CK9" i="7"/>
  <c r="CT9" i="7"/>
  <c r="CK196" i="7"/>
  <c r="CK240" i="7"/>
  <c r="CK325" i="7"/>
  <c r="CK394" i="7"/>
  <c r="CK294" i="7"/>
  <c r="CK103" i="7"/>
  <c r="CK83" i="7"/>
  <c r="CJ184" i="7"/>
  <c r="CK251" i="7"/>
  <c r="CK297" i="7"/>
  <c r="CK254" i="7"/>
  <c r="CK355" i="7"/>
  <c r="CK317" i="7"/>
  <c r="CR317" i="7"/>
  <c r="CK68" i="7"/>
  <c r="CK277" i="7"/>
  <c r="CK145" i="7"/>
  <c r="CK361" i="7"/>
  <c r="CK82" i="7"/>
  <c r="CK352" i="7"/>
  <c r="CK159" i="7"/>
  <c r="CK88" i="7"/>
  <c r="CK152" i="7"/>
  <c r="CK356" i="7"/>
  <c r="BP290" i="7"/>
  <c r="BM290" i="7"/>
  <c r="BO290" i="7"/>
  <c r="BJ290" i="7"/>
  <c r="BH290" i="7"/>
  <c r="BK290" i="7"/>
  <c r="BN290" i="7"/>
  <c r="BQ290" i="7"/>
  <c r="BG290" i="7"/>
  <c r="BI290" i="7"/>
  <c r="BL290" i="7"/>
  <c r="CD124" i="7"/>
  <c r="CH124" i="7"/>
  <c r="BZ124" i="7"/>
  <c r="CG124" i="7"/>
  <c r="CE124" i="7"/>
  <c r="BY124" i="7"/>
  <c r="CK124" i="7"/>
  <c r="CF124" i="7"/>
  <c r="CA124" i="7"/>
  <c r="CI124" i="7"/>
  <c r="CC124" i="7"/>
  <c r="CB124" i="7"/>
  <c r="AQ343" i="7"/>
  <c r="AY343" i="7"/>
  <c r="AX343" i="7"/>
  <c r="AO343" i="7"/>
  <c r="CJ343" i="7"/>
  <c r="AV343" i="7"/>
  <c r="AW343" i="7"/>
  <c r="AU343" i="7"/>
  <c r="AT343" i="7"/>
  <c r="AR343" i="7"/>
  <c r="AP343" i="7"/>
  <c r="AS343" i="7"/>
  <c r="CD98" i="7"/>
  <c r="CB98" i="7"/>
  <c r="BY98" i="7"/>
  <c r="CK98" i="7"/>
  <c r="CF98" i="7"/>
  <c r="CH98" i="7"/>
  <c r="CG98" i="7"/>
  <c r="CE98" i="7"/>
  <c r="CC98" i="7"/>
  <c r="BZ98" i="7"/>
  <c r="CI98" i="7"/>
  <c r="CA98" i="7"/>
  <c r="AY290" i="7"/>
  <c r="AX290" i="7"/>
  <c r="AQ290" i="7"/>
  <c r="AT290" i="7"/>
  <c r="AS290" i="7"/>
  <c r="AP290" i="7"/>
  <c r="AW290" i="7"/>
  <c r="AO290" i="7"/>
  <c r="AV290" i="7"/>
  <c r="AR290" i="7"/>
  <c r="AU290" i="7"/>
  <c r="CD305" i="7"/>
  <c r="CH305" i="7"/>
  <c r="CB305" i="7"/>
  <c r="BZ305" i="7"/>
  <c r="BY305" i="7"/>
  <c r="CF305" i="7"/>
  <c r="CG305" i="7"/>
  <c r="CE305" i="7"/>
  <c r="CI305" i="7"/>
  <c r="CA305" i="7"/>
  <c r="CC305" i="7"/>
  <c r="BH76" i="7"/>
  <c r="BN76" i="7"/>
  <c r="BI76" i="7"/>
  <c r="BO76" i="7"/>
  <c r="BM76" i="7"/>
  <c r="BP76" i="7"/>
  <c r="BK76" i="7"/>
  <c r="BJ76" i="7"/>
  <c r="BL76" i="7"/>
  <c r="BG76" i="7"/>
  <c r="CK76" i="7"/>
  <c r="BQ76" i="7"/>
  <c r="AT332" i="7"/>
  <c r="AO332" i="7"/>
  <c r="CJ332" i="7"/>
  <c r="AS332" i="7"/>
  <c r="AV332" i="7"/>
  <c r="AY332" i="7"/>
  <c r="AX332" i="7"/>
  <c r="AU332" i="7"/>
  <c r="AR332" i="7"/>
  <c r="AP332" i="7"/>
  <c r="AQ332" i="7"/>
  <c r="AW332" i="7"/>
  <c r="BY96" i="7" a="1"/>
  <c r="BQ305" i="7"/>
  <c r="BN305" i="7"/>
  <c r="BO305" i="7"/>
  <c r="BL305" i="7"/>
  <c r="BI305" i="7"/>
  <c r="BK305" i="7"/>
  <c r="BP305" i="7"/>
  <c r="BH305" i="7"/>
  <c r="BG305" i="7"/>
  <c r="BJ305" i="7"/>
  <c r="BM305" i="7"/>
  <c r="AP105" i="7"/>
  <c r="AO105" i="7"/>
  <c r="CJ105" i="7"/>
  <c r="AV105" i="7"/>
  <c r="AT105" i="7"/>
  <c r="AS105" i="7"/>
  <c r="AY105" i="7"/>
  <c r="AX105" i="7"/>
  <c r="AU105" i="7"/>
  <c r="AR105" i="7"/>
  <c r="AQ105" i="7"/>
  <c r="AW105" i="7"/>
  <c r="AS93" i="7"/>
  <c r="AW93" i="7"/>
  <c r="AR93" i="7"/>
  <c r="AT93" i="7"/>
  <c r="AX93" i="7"/>
  <c r="AY93" i="7"/>
  <c r="AO93" i="7"/>
  <c r="CK93" i="7"/>
  <c r="AU93" i="7"/>
  <c r="AV93" i="7"/>
  <c r="AP93" i="7"/>
  <c r="AQ93" i="7"/>
  <c r="CF143" i="7"/>
  <c r="CG143" i="7"/>
  <c r="BY143" i="7"/>
  <c r="CK143" i="7"/>
  <c r="CE143" i="7"/>
  <c r="CB143" i="7"/>
  <c r="CA143" i="7"/>
  <c r="CD143" i="7"/>
  <c r="CC143" i="7"/>
  <c r="CH143" i="7"/>
  <c r="BZ143" i="7"/>
  <c r="CI143" i="7"/>
  <c r="BO99" i="7"/>
  <c r="BM99" i="7"/>
  <c r="BP99" i="7"/>
  <c r="BK99" i="7"/>
  <c r="BJ99" i="7"/>
  <c r="BL99" i="7"/>
  <c r="BG99" i="7"/>
  <c r="CK99" i="7"/>
  <c r="BQ99" i="7"/>
  <c r="BN99" i="7"/>
  <c r="BI99" i="7"/>
  <c r="BH99" i="7"/>
  <c r="CF378" i="7"/>
  <c r="CH378" i="7"/>
  <c r="CC378" i="7"/>
  <c r="CB378" i="7"/>
  <c r="CI378" i="7"/>
  <c r="CD378" i="7"/>
  <c r="BY378" i="7"/>
  <c r="CK378" i="7"/>
  <c r="CA378" i="7"/>
  <c r="CE378" i="7"/>
  <c r="BZ378" i="7"/>
  <c r="CG378" i="7"/>
  <c r="BP102" i="7"/>
  <c r="BK102" i="7"/>
  <c r="BJ102" i="7"/>
  <c r="BL102" i="7"/>
  <c r="BG102" i="7"/>
  <c r="CK102" i="7"/>
  <c r="BI102" i="7"/>
  <c r="BH102" i="7"/>
  <c r="BN102" i="7"/>
  <c r="BQ102" i="7"/>
  <c r="BO102" i="7"/>
  <c r="BM102" i="7"/>
  <c r="BM311" i="7"/>
  <c r="BI311" i="7"/>
  <c r="BQ311" i="7"/>
  <c r="BJ311" i="7"/>
  <c r="BL311" i="7"/>
  <c r="BG311" i="7"/>
  <c r="CK311" i="7"/>
  <c r="BH311" i="7"/>
  <c r="BN311" i="7"/>
  <c r="BO311" i="7"/>
  <c r="BP311" i="7"/>
  <c r="BK311" i="7"/>
  <c r="BO106" i="7"/>
  <c r="BQ106" i="7"/>
  <c r="BP106" i="7"/>
  <c r="BK106" i="7"/>
  <c r="BI106" i="7"/>
  <c r="BL106" i="7"/>
  <c r="BG106" i="7"/>
  <c r="CK106" i="7"/>
  <c r="BN106" i="7"/>
  <c r="BM106" i="7"/>
  <c r="BH106" i="7"/>
  <c r="BJ106" i="7"/>
  <c r="AW186" i="7"/>
  <c r="AP186" i="7"/>
  <c r="AV186" i="7"/>
  <c r="AO186" i="7"/>
  <c r="CJ186" i="7"/>
  <c r="AT186" i="7"/>
  <c r="AR186" i="7"/>
  <c r="AU186" i="7"/>
  <c r="AS186" i="7"/>
  <c r="AY186" i="7"/>
  <c r="AQ186" i="7"/>
  <c r="AX186" i="7"/>
  <c r="AV108" i="7"/>
  <c r="AO108" i="7"/>
  <c r="CK108" i="7"/>
  <c r="AT108" i="7"/>
  <c r="AR108" i="7"/>
  <c r="AW108" i="7"/>
  <c r="AP108" i="7"/>
  <c r="AQ108" i="7"/>
  <c r="AY108" i="7"/>
  <c r="AX108" i="7"/>
  <c r="AS108" i="7"/>
  <c r="AU108" i="7"/>
  <c r="CG157" i="7"/>
  <c r="CF157" i="7"/>
  <c r="CA157" i="7"/>
  <c r="BZ157" i="7"/>
  <c r="CH157" i="7"/>
  <c r="CI157" i="7"/>
  <c r="CE157" i="7"/>
  <c r="CB157" i="7"/>
  <c r="CD157" i="7"/>
  <c r="CC157" i="7"/>
  <c r="BY157" i="7"/>
  <c r="CK157" i="7"/>
  <c r="BP348" i="7"/>
  <c r="BQ348" i="7"/>
  <c r="BM348" i="7"/>
  <c r="BI348" i="7"/>
  <c r="BK348" i="7"/>
  <c r="BH348" i="7"/>
  <c r="BO348" i="7"/>
  <c r="BL348" i="7"/>
  <c r="BJ348" i="7"/>
  <c r="BG348" i="7"/>
  <c r="CK348" i="7"/>
  <c r="BN348" i="7"/>
  <c r="AR155" i="7"/>
  <c r="AW155" i="7"/>
  <c r="AP155" i="7"/>
  <c r="AV155" i="7"/>
  <c r="AO155" i="7"/>
  <c r="CJ155" i="7"/>
  <c r="AT155" i="7"/>
  <c r="AU155" i="7"/>
  <c r="AS155" i="7"/>
  <c r="AQ155" i="7"/>
  <c r="AX155" i="7"/>
  <c r="AY155" i="7"/>
  <c r="AV195" i="7"/>
  <c r="AO195" i="7"/>
  <c r="CJ195" i="7"/>
  <c r="AW195" i="7"/>
  <c r="AT195" i="7"/>
  <c r="AR195" i="7"/>
  <c r="AS195" i="7"/>
  <c r="AY195" i="7"/>
  <c r="AX195" i="7"/>
  <c r="AP195" i="7"/>
  <c r="AU195" i="7"/>
  <c r="AQ195" i="7"/>
  <c r="BO344" i="7"/>
  <c r="BI344" i="7"/>
  <c r="BL344" i="7"/>
  <c r="BK344" i="7"/>
  <c r="BM344" i="7"/>
  <c r="BP344" i="7"/>
  <c r="BG344" i="7"/>
  <c r="CK344" i="7"/>
  <c r="BH344" i="7"/>
  <c r="BJ344" i="7"/>
  <c r="BQ344" i="7"/>
  <c r="BN344" i="7"/>
  <c r="AW33" i="7"/>
  <c r="AO33" i="7"/>
  <c r="CJ33" i="7"/>
  <c r="AT33" i="7"/>
  <c r="AR33" i="7"/>
  <c r="AP33" i="7"/>
  <c r="AU33" i="7"/>
  <c r="AS33" i="7"/>
  <c r="AX33" i="7"/>
  <c r="AV33" i="7"/>
  <c r="AY33" i="7"/>
  <c r="AQ33" i="7"/>
  <c r="BG336" i="7"/>
  <c r="BL336" i="7"/>
  <c r="BI336" i="7"/>
  <c r="BM336" i="7"/>
  <c r="BP336" i="7"/>
  <c r="BO336" i="7"/>
  <c r="BH336" i="7"/>
  <c r="BJ336" i="7"/>
  <c r="BQ336" i="7"/>
  <c r="BN336" i="7"/>
  <c r="BK336" i="7"/>
  <c r="AT91" i="7"/>
  <c r="AS91" i="7"/>
  <c r="AY91" i="7"/>
  <c r="AP91" i="7"/>
  <c r="AO91" i="7"/>
  <c r="CK91" i="7"/>
  <c r="AU91" i="7"/>
  <c r="AW91" i="7"/>
  <c r="AQ91" i="7"/>
  <c r="AR91" i="7"/>
  <c r="AX91" i="7"/>
  <c r="AV91" i="7"/>
  <c r="CF62" i="7"/>
  <c r="CB62" i="7"/>
  <c r="BZ62" i="7"/>
  <c r="CH62" i="7"/>
  <c r="CE62" i="7"/>
  <c r="CA62" i="7"/>
  <c r="CC62" i="7"/>
  <c r="CD62" i="7"/>
  <c r="BY62" i="7"/>
  <c r="CI62" i="7"/>
  <c r="CG62" i="7"/>
  <c r="AR69" i="7"/>
  <c r="AW69" i="7"/>
  <c r="AP69" i="7"/>
  <c r="AV69" i="7"/>
  <c r="AO69" i="7"/>
  <c r="CK69" i="7"/>
  <c r="AT69" i="7"/>
  <c r="AS69" i="7"/>
  <c r="AY69" i="7"/>
  <c r="AX69" i="7"/>
  <c r="AU69" i="7"/>
  <c r="AQ69" i="7"/>
  <c r="AY96" i="7"/>
  <c r="AP96" i="7"/>
  <c r="AQ96" i="7"/>
  <c r="AR96" i="7"/>
  <c r="AX96" i="7"/>
  <c r="AS96" i="7"/>
  <c r="AU96" i="7"/>
  <c r="AO96" i="7"/>
  <c r="AT96" i="7"/>
  <c r="AV96" i="7"/>
  <c r="AW96" i="7"/>
  <c r="CF20" i="7"/>
  <c r="CI20" i="7"/>
  <c r="CD20" i="7"/>
  <c r="BY20" i="7"/>
  <c r="CK20" i="7"/>
  <c r="CE20" i="7"/>
  <c r="CB20" i="7"/>
  <c r="CC20" i="7"/>
  <c r="BZ20" i="7"/>
  <c r="CA20" i="7"/>
  <c r="CG20" i="7"/>
  <c r="CH20" i="7"/>
  <c r="BN334" i="7"/>
  <c r="BQ334" i="7"/>
  <c r="BO334" i="7"/>
  <c r="BI334" i="7"/>
  <c r="BL334" i="7"/>
  <c r="BK334" i="7"/>
  <c r="BM334" i="7"/>
  <c r="BP334" i="7"/>
  <c r="BH334" i="7"/>
  <c r="BJ334" i="7"/>
  <c r="BG334" i="7"/>
  <c r="BZ334" i="7"/>
  <c r="CF334" i="7"/>
  <c r="CB334" i="7"/>
  <c r="CI334" i="7"/>
  <c r="CH334" i="7"/>
  <c r="CC334" i="7"/>
  <c r="CA334" i="7"/>
  <c r="CE334" i="7"/>
  <c r="CD334" i="7"/>
  <c r="CG334" i="7"/>
  <c r="BY334" i="7"/>
  <c r="BP96" i="7"/>
  <c r="BK96" i="7"/>
  <c r="BI96" i="7"/>
  <c r="BL96" i="7"/>
  <c r="BG96" i="7"/>
  <c r="BN96" i="7"/>
  <c r="BH96" i="7"/>
  <c r="BJ96" i="7"/>
  <c r="BM96" i="7"/>
  <c r="BO96" i="7"/>
  <c r="BQ96" i="7"/>
  <c r="AR62" i="7"/>
  <c r="AW62" i="7"/>
  <c r="AP62" i="7"/>
  <c r="AV62" i="7"/>
  <c r="AO62" i="7"/>
  <c r="AT62" i="7"/>
  <c r="AY62" i="7"/>
  <c r="AX62" i="7"/>
  <c r="AQ62" i="7"/>
  <c r="AU62" i="7"/>
  <c r="AS62" i="7"/>
  <c r="BY336" i="7" a="1"/>
  <c r="BY308" i="7" a="1"/>
  <c r="BL244" i="7"/>
  <c r="BG244" i="7"/>
  <c r="CK244" i="7"/>
  <c r="BN244" i="7"/>
  <c r="BH244" i="7"/>
  <c r="BJ244" i="7"/>
  <c r="BM244" i="7"/>
  <c r="BO244" i="7"/>
  <c r="BQ244" i="7"/>
  <c r="BK244" i="7"/>
  <c r="BI244" i="7"/>
  <c r="BP244" i="7"/>
  <c r="CE207" i="7"/>
  <c r="CB207" i="7"/>
  <c r="BY207" i="7"/>
  <c r="CK207" i="7"/>
  <c r="CG207" i="7"/>
  <c r="CH207" i="7"/>
  <c r="CI207" i="7"/>
  <c r="CF207" i="7"/>
  <c r="BZ207" i="7"/>
  <c r="CA207" i="7"/>
  <c r="CD207" i="7"/>
  <c r="CC207" i="7"/>
  <c r="CF216" i="7"/>
  <c r="CI216" i="7"/>
  <c r="CD216" i="7"/>
  <c r="BY216" i="7"/>
  <c r="CK216" i="7"/>
  <c r="CB216" i="7"/>
  <c r="CE216" i="7"/>
  <c r="BZ216" i="7"/>
  <c r="CH216" i="7"/>
  <c r="CA216" i="7"/>
  <c r="CG216" i="7"/>
  <c r="CC216" i="7"/>
  <c r="CH257" i="7"/>
  <c r="CF257" i="7"/>
  <c r="CA257" i="7"/>
  <c r="CG257" i="7"/>
  <c r="CI257" i="7"/>
  <c r="CC257" i="7"/>
  <c r="BY257" i="7"/>
  <c r="CK257" i="7"/>
  <c r="CE257" i="7"/>
  <c r="BZ257" i="7"/>
  <c r="CB257" i="7"/>
  <c r="CD257" i="7"/>
  <c r="CD120" i="7"/>
  <c r="CH120" i="7"/>
  <c r="BZ120" i="7"/>
  <c r="CI120" i="7"/>
  <c r="CC120" i="7"/>
  <c r="CA120" i="7"/>
  <c r="CE120" i="7"/>
  <c r="BY120" i="7"/>
  <c r="CK120" i="7"/>
  <c r="CF120" i="7"/>
  <c r="CG120" i="7"/>
  <c r="CB120" i="7"/>
  <c r="CD95" i="7"/>
  <c r="BZ95" i="7"/>
  <c r="CH95" i="7"/>
  <c r="CC95" i="7"/>
  <c r="CA95" i="7"/>
  <c r="CI95" i="7"/>
  <c r="CB95" i="7"/>
  <c r="CF95" i="7"/>
  <c r="CE95" i="7"/>
  <c r="CG95" i="7"/>
  <c r="BY95" i="7"/>
  <c r="CK95" i="7"/>
  <c r="CF17" i="7"/>
  <c r="CB17" i="7"/>
  <c r="CA17" i="7"/>
  <c r="CG17" i="7"/>
  <c r="BY17" i="7"/>
  <c r="CK17" i="7"/>
  <c r="CE17" i="7"/>
  <c r="BZ17" i="7"/>
  <c r="CH17" i="7"/>
  <c r="CI17" i="7"/>
  <c r="CD17" i="7"/>
  <c r="CC17" i="7"/>
  <c r="CF360" i="7"/>
  <c r="CD360" i="7"/>
  <c r="CC360" i="7"/>
  <c r="CA360" i="7"/>
  <c r="CI360" i="7"/>
  <c r="BZ360" i="7"/>
  <c r="CB360" i="7"/>
  <c r="BY360" i="7"/>
  <c r="CK360" i="7"/>
  <c r="CE360" i="7"/>
  <c r="CH360" i="7"/>
  <c r="CG360" i="7"/>
  <c r="CD80" i="7"/>
  <c r="CI80" i="7"/>
  <c r="CH80" i="7"/>
  <c r="CC80" i="7"/>
  <c r="CA80" i="7"/>
  <c r="CG80" i="7"/>
  <c r="BY80" i="7"/>
  <c r="CK80" i="7"/>
  <c r="CE80" i="7"/>
  <c r="CB80" i="7"/>
  <c r="CF80" i="7"/>
  <c r="BZ80" i="7"/>
  <c r="CF328" i="7"/>
  <c r="CD328" i="7"/>
  <c r="CC328" i="7"/>
  <c r="CA328" i="7"/>
  <c r="CB328" i="7"/>
  <c r="CI328" i="7"/>
  <c r="BZ328" i="7"/>
  <c r="BY328" i="7"/>
  <c r="CK328" i="7"/>
  <c r="CE328" i="7"/>
  <c r="CH328" i="7"/>
  <c r="CG328" i="7"/>
  <c r="CH65" i="7"/>
  <c r="CF65" i="7"/>
  <c r="CA65" i="7"/>
  <c r="CD65" i="7"/>
  <c r="BZ65" i="7"/>
  <c r="CG65" i="7"/>
  <c r="CI65" i="7"/>
  <c r="CB65" i="7"/>
  <c r="CC65" i="7"/>
  <c r="BY65" i="7"/>
  <c r="CK65" i="7"/>
  <c r="CE65" i="7"/>
  <c r="CF31" i="7"/>
  <c r="BZ31" i="7"/>
  <c r="CH31" i="7"/>
  <c r="CE31" i="7"/>
  <c r="CB31" i="7"/>
  <c r="BY31" i="7"/>
  <c r="CK31" i="7"/>
  <c r="CG31" i="7"/>
  <c r="CI31" i="7"/>
  <c r="CA31" i="7"/>
  <c r="CD31" i="7"/>
  <c r="CC31" i="7"/>
  <c r="CF222" i="7"/>
  <c r="CB222" i="7"/>
  <c r="BY222" i="7"/>
  <c r="CK222" i="7"/>
  <c r="CG222" i="7"/>
  <c r="CE222" i="7"/>
  <c r="BZ222" i="7"/>
  <c r="CH222" i="7"/>
  <c r="CI222" i="7"/>
  <c r="CD222" i="7"/>
  <c r="CC222" i="7"/>
  <c r="CA222" i="7"/>
  <c r="CF66" i="7"/>
  <c r="BY66" i="7"/>
  <c r="CK66" i="7"/>
  <c r="CE66" i="7"/>
  <c r="CB66" i="7"/>
  <c r="CA66" i="7"/>
  <c r="CG66" i="7"/>
  <c r="CH66" i="7"/>
  <c r="CI66" i="7"/>
  <c r="BZ66" i="7"/>
  <c r="CC66" i="7"/>
  <c r="CD66" i="7"/>
  <c r="CD110" i="7"/>
  <c r="CI110" i="7"/>
  <c r="CC110" i="7"/>
  <c r="CA110" i="7"/>
  <c r="CH110" i="7"/>
  <c r="CG110" i="7"/>
  <c r="BY110" i="7"/>
  <c r="CK110" i="7"/>
  <c r="CE110" i="7"/>
  <c r="BZ110" i="7"/>
  <c r="CB110" i="7"/>
  <c r="CF110" i="7"/>
  <c r="CD119" i="7"/>
  <c r="CG119" i="7"/>
  <c r="CE119" i="7"/>
  <c r="CB119" i="7"/>
  <c r="BY119" i="7"/>
  <c r="CK119" i="7"/>
  <c r="CF119" i="7"/>
  <c r="CH119" i="7"/>
  <c r="CC119" i="7"/>
  <c r="CI119" i="7"/>
  <c r="CA119" i="7"/>
  <c r="BZ119" i="7"/>
  <c r="CF8" i="7"/>
  <c r="CB8" i="7"/>
  <c r="BZ8" i="7"/>
  <c r="CH8" i="7"/>
  <c r="CE8" i="7"/>
  <c r="CD8" i="7"/>
  <c r="CA8" i="7"/>
  <c r="CC8" i="7"/>
  <c r="CI8" i="7"/>
  <c r="CG8" i="7"/>
  <c r="BY8" i="7"/>
  <c r="CK8" i="7"/>
  <c r="CF381" i="7"/>
  <c r="CB381" i="7"/>
  <c r="CC381" i="7"/>
  <c r="CA381" i="7"/>
  <c r="CI381" i="7"/>
  <c r="CH381" i="7"/>
  <c r="BZ381" i="7"/>
  <c r="BY381" i="7"/>
  <c r="CK381" i="7"/>
  <c r="CG381" i="7"/>
  <c r="CE381" i="7"/>
  <c r="CD381" i="7"/>
  <c r="CI67" i="7"/>
  <c r="BY67" i="7"/>
  <c r="CK67" i="7"/>
  <c r="CA67" i="7"/>
  <c r="CH67" i="7"/>
  <c r="CE67" i="7"/>
  <c r="CG67" i="7"/>
  <c r="CB67" i="7"/>
  <c r="BZ67" i="7"/>
  <c r="CD67" i="7"/>
  <c r="CC67" i="7"/>
  <c r="CF67" i="7"/>
  <c r="BY171" i="7"/>
  <c r="CK171" i="7"/>
  <c r="CG171" i="7"/>
  <c r="CE171" i="7"/>
  <c r="CB171" i="7"/>
  <c r="CH171" i="7"/>
  <c r="CI171" i="7"/>
  <c r="BZ171" i="7"/>
  <c r="CA171" i="7"/>
  <c r="CF171" i="7"/>
  <c r="CD171" i="7"/>
  <c r="CC171" i="7"/>
  <c r="CI144" i="7"/>
  <c r="CC144" i="7"/>
  <c r="CG144" i="7"/>
  <c r="CE144" i="7"/>
  <c r="CD144" i="7"/>
  <c r="CF144" i="7"/>
  <c r="CB144" i="7"/>
  <c r="CA144" i="7"/>
  <c r="CH144" i="7"/>
  <c r="BY144" i="7"/>
  <c r="CK144" i="7"/>
  <c r="BZ144" i="7"/>
  <c r="CE316" i="7"/>
  <c r="BZ316" i="7"/>
  <c r="CF316" i="7"/>
  <c r="CH316" i="7"/>
  <c r="CC316" i="7"/>
  <c r="CG316" i="7"/>
  <c r="CI316" i="7"/>
  <c r="BY316" i="7"/>
  <c r="CK316" i="7"/>
  <c r="CA316" i="7"/>
  <c r="CB316" i="7"/>
  <c r="CD316" i="7"/>
  <c r="CD288" i="7"/>
  <c r="CC288" i="7"/>
  <c r="CA288" i="7"/>
  <c r="CH288" i="7"/>
  <c r="CI288" i="7"/>
  <c r="BY288" i="7"/>
  <c r="CK288" i="7"/>
  <c r="BZ288" i="7"/>
  <c r="CE288" i="7"/>
  <c r="CG288" i="7"/>
  <c r="CF288" i="7"/>
  <c r="CB288" i="7"/>
  <c r="CF264" i="7"/>
  <c r="CB264" i="7"/>
  <c r="CI264" i="7"/>
  <c r="BZ264" i="7"/>
  <c r="CC264" i="7"/>
  <c r="CA264" i="7"/>
  <c r="CG264" i="7"/>
  <c r="BY264" i="7"/>
  <c r="CK264" i="7"/>
  <c r="CH264" i="7"/>
  <c r="CD264" i="7"/>
  <c r="CE264" i="7"/>
  <c r="CH201" i="7"/>
  <c r="CC201" i="7"/>
  <c r="CE201" i="7"/>
  <c r="BZ201" i="7"/>
  <c r="CF201" i="7"/>
  <c r="CD201" i="7"/>
  <c r="CG201" i="7"/>
  <c r="CI201" i="7"/>
  <c r="BY201" i="7"/>
  <c r="CK201" i="7"/>
  <c r="CA201" i="7"/>
  <c r="CB201" i="7"/>
  <c r="CF390" i="7"/>
  <c r="BZ390" i="7"/>
  <c r="CB390" i="7"/>
  <c r="CI390" i="7"/>
  <c r="CH390" i="7"/>
  <c r="CC390" i="7"/>
  <c r="CA390" i="7"/>
  <c r="CG390" i="7"/>
  <c r="BY390" i="7"/>
  <c r="CK390" i="7"/>
  <c r="CD390" i="7"/>
  <c r="CE390" i="7"/>
  <c r="CF150" i="7"/>
  <c r="CE150" i="7"/>
  <c r="CB150" i="7"/>
  <c r="CA150" i="7"/>
  <c r="CG150" i="7"/>
  <c r="BY150" i="7"/>
  <c r="CK150" i="7"/>
  <c r="CC150" i="7"/>
  <c r="CD150" i="7"/>
  <c r="CI150" i="7"/>
  <c r="BZ150" i="7"/>
  <c r="CH150" i="7"/>
  <c r="CE164" i="7"/>
  <c r="CB164" i="7"/>
  <c r="CA164" i="7"/>
  <c r="CG164" i="7"/>
  <c r="BY164" i="7"/>
  <c r="CK164" i="7"/>
  <c r="CH164" i="7"/>
  <c r="CI164" i="7"/>
  <c r="BZ164" i="7"/>
  <c r="CD164" i="7"/>
  <c r="CC164" i="7"/>
  <c r="CF164" i="7"/>
  <c r="CF203" i="7"/>
  <c r="BY203" i="7"/>
  <c r="CK203" i="7"/>
  <c r="CG203" i="7"/>
  <c r="CE203" i="7"/>
  <c r="CB203" i="7"/>
  <c r="CA203" i="7"/>
  <c r="BZ203" i="7"/>
  <c r="CH203" i="7"/>
  <c r="CI203" i="7"/>
  <c r="CD203" i="7"/>
  <c r="CC203" i="7"/>
  <c r="CG23" i="7"/>
  <c r="CF23" i="7"/>
  <c r="CA23" i="7"/>
  <c r="CC23" i="7"/>
  <c r="CD23" i="7"/>
  <c r="BY23" i="7"/>
  <c r="CK23" i="7"/>
  <c r="CB23" i="7"/>
  <c r="CH23" i="7"/>
  <c r="BZ23" i="7"/>
  <c r="CE23" i="7"/>
  <c r="CI23" i="7"/>
  <c r="CI318" i="7"/>
  <c r="BZ318" i="7"/>
  <c r="CC318" i="7"/>
  <c r="CA318" i="7"/>
  <c r="CD318" i="7"/>
  <c r="CG318" i="7"/>
  <c r="CF318" i="7"/>
  <c r="CB318" i="7"/>
  <c r="BY318" i="7"/>
  <c r="CK318" i="7"/>
  <c r="CE318" i="7"/>
  <c r="CH318" i="7"/>
  <c r="CI70" i="7"/>
  <c r="CD70" i="7"/>
  <c r="CC70" i="7"/>
  <c r="CF70" i="7"/>
  <c r="BY70" i="7"/>
  <c r="CK70" i="7"/>
  <c r="CA70" i="7"/>
  <c r="CH70" i="7"/>
  <c r="CE70" i="7"/>
  <c r="CB70" i="7"/>
  <c r="BZ70" i="7"/>
  <c r="CG70" i="7"/>
  <c r="CF353" i="7"/>
  <c r="CB353" i="7"/>
  <c r="CH353" i="7"/>
  <c r="CC353" i="7"/>
  <c r="CI353" i="7"/>
  <c r="CD353" i="7"/>
  <c r="BY353" i="7"/>
  <c r="CK353" i="7"/>
  <c r="CA353" i="7"/>
  <c r="CG353" i="7"/>
  <c r="CE353" i="7"/>
  <c r="BZ353" i="7"/>
  <c r="CC224" i="7"/>
  <c r="CI224" i="7"/>
  <c r="CG224" i="7"/>
  <c r="CE224" i="7"/>
  <c r="CD224" i="7"/>
  <c r="CF224" i="7"/>
  <c r="CH224" i="7"/>
  <c r="BY224" i="7"/>
  <c r="CK224" i="7"/>
  <c r="BZ224" i="7"/>
  <c r="CA224" i="7"/>
  <c r="CB224" i="7"/>
  <c r="CH84" i="7"/>
  <c r="BY84" i="7"/>
  <c r="CK84" i="7"/>
  <c r="CD84" i="7"/>
  <c r="CI84" i="7"/>
  <c r="CF84" i="7"/>
  <c r="CG84" i="7"/>
  <c r="CE84" i="7"/>
  <c r="CB84" i="7"/>
  <c r="CA84" i="7"/>
  <c r="BZ84" i="7"/>
  <c r="CC84" i="7"/>
  <c r="CG271" i="7"/>
  <c r="CA271" i="7"/>
  <c r="CF271" i="7"/>
  <c r="CH271" i="7"/>
  <c r="CI271" i="7"/>
  <c r="BY271" i="7"/>
  <c r="CK271" i="7"/>
  <c r="CB271" i="7"/>
  <c r="BZ271" i="7"/>
  <c r="CD271" i="7"/>
  <c r="CE271" i="7"/>
  <c r="CC271" i="7"/>
  <c r="CD111" i="7"/>
  <c r="CH111" i="7"/>
  <c r="BZ111" i="7"/>
  <c r="CB111" i="7"/>
  <c r="BY111" i="7"/>
  <c r="CK111" i="7"/>
  <c r="CF111" i="7"/>
  <c r="CG111" i="7"/>
  <c r="CE111" i="7"/>
  <c r="CI111" i="7"/>
  <c r="CC111" i="7"/>
  <c r="CA111" i="7"/>
  <c r="CD284" i="7"/>
  <c r="CB284" i="7"/>
  <c r="BZ284" i="7"/>
  <c r="CH284" i="7"/>
  <c r="BY284" i="7"/>
  <c r="CK284" i="7"/>
  <c r="CF284" i="7"/>
  <c r="CG284" i="7"/>
  <c r="CE284" i="7"/>
  <c r="CI284" i="7"/>
  <c r="CA284" i="7"/>
  <c r="CC284" i="7"/>
  <c r="CB326" i="7"/>
  <c r="CH326" i="7"/>
  <c r="CC326" i="7"/>
  <c r="CE326" i="7"/>
  <c r="BZ326" i="7"/>
  <c r="CI326" i="7"/>
  <c r="BY326" i="7"/>
  <c r="CK326" i="7"/>
  <c r="CA326" i="7"/>
  <c r="CG326" i="7"/>
  <c r="CD326" i="7"/>
  <c r="CF326" i="7"/>
  <c r="CF56" i="7"/>
  <c r="BZ56" i="7"/>
  <c r="CE56" i="7"/>
  <c r="CB56" i="7"/>
  <c r="CH56" i="7"/>
  <c r="CA56" i="7"/>
  <c r="CC56" i="7"/>
  <c r="BY56" i="7"/>
  <c r="CK56" i="7"/>
  <c r="CD56" i="7"/>
  <c r="CI56" i="7"/>
  <c r="CG56" i="7"/>
  <c r="CT166" i="7"/>
  <c r="CK312" i="7"/>
  <c r="CK156" i="7"/>
  <c r="CK105" i="7"/>
  <c r="CK104" i="7"/>
  <c r="CK346" i="7"/>
  <c r="CK61" i="7"/>
  <c r="CK37" i="7"/>
  <c r="CK60" i="7"/>
  <c r="CK281" i="7"/>
  <c r="CK49" i="7"/>
  <c r="CK79" i="7"/>
  <c r="CK151" i="7"/>
  <c r="D8" i="8"/>
  <c r="F8" i="8"/>
  <c r="C8" i="8"/>
  <c r="CN44" i="7"/>
  <c r="CR280" i="7"/>
  <c r="CL320" i="7"/>
  <c r="CW320" i="7"/>
  <c r="CO45" i="7"/>
  <c r="CU45" i="7"/>
  <c r="CQ185" i="7"/>
  <c r="CQ45" i="7"/>
  <c r="CR346" i="7"/>
  <c r="CV320" i="7"/>
  <c r="CT252" i="7"/>
  <c r="CP151" i="7"/>
  <c r="CT37" i="7"/>
  <c r="CO28" i="7"/>
  <c r="CS319" i="7"/>
  <c r="CS117" i="7"/>
  <c r="CQ24" i="7"/>
  <c r="CU320" i="7"/>
  <c r="CN287" i="7"/>
  <c r="CO133" i="7"/>
  <c r="CT210" i="7"/>
  <c r="CN279" i="7"/>
  <c r="CR262" i="7"/>
  <c r="CS38" i="7"/>
  <c r="CR38" i="7"/>
  <c r="CR251" i="7"/>
  <c r="CP15" i="7"/>
  <c r="T21" i="6"/>
  <c r="CR13" i="7"/>
  <c r="R22" i="6"/>
  <c r="S22" i="6"/>
  <c r="Q23" i="6"/>
  <c r="CN113" i="7"/>
  <c r="CO212" i="7"/>
  <c r="CS113" i="7"/>
  <c r="CM45" i="7"/>
  <c r="CO277" i="7"/>
  <c r="CP355" i="7"/>
  <c r="CO183" i="7"/>
  <c r="CN18" i="7"/>
  <c r="CO72" i="7"/>
  <c r="CS90" i="7"/>
  <c r="CP191" i="7"/>
  <c r="CQ35" i="7"/>
  <c r="CN299" i="7"/>
  <c r="CT303" i="7"/>
  <c r="CM339" i="7"/>
  <c r="CR149" i="7"/>
  <c r="CM53" i="7"/>
  <c r="CR255" i="7"/>
  <c r="CT221" i="7"/>
  <c r="CO262" i="7"/>
  <c r="CQ64" i="7"/>
  <c r="CO113" i="7"/>
  <c r="CP315" i="7"/>
  <c r="CQ283" i="7"/>
  <c r="CQ131" i="7"/>
  <c r="CS301" i="7"/>
  <c r="CS228" i="7"/>
  <c r="CP6" i="7"/>
  <c r="CP166" i="7"/>
  <c r="CS297" i="7"/>
  <c r="CM147" i="7"/>
  <c r="CP83" i="7"/>
  <c r="CR211" i="7"/>
  <c r="CQ134" i="7"/>
  <c r="CN73" i="7"/>
  <c r="CS6" i="7"/>
  <c r="CN88" i="7"/>
  <c r="CP18" i="7"/>
  <c r="CR228" i="7"/>
  <c r="CT255" i="7"/>
  <c r="CO18" i="7"/>
  <c r="CR266" i="7"/>
  <c r="CS327" i="7"/>
  <c r="CQ281" i="7"/>
  <c r="CQ145" i="7"/>
  <c r="CN165" i="7"/>
  <c r="CO25" i="7"/>
  <c r="CQ132" i="7"/>
  <c r="CM64" i="7"/>
  <c r="CT299" i="7"/>
  <c r="CP262" i="7"/>
  <c r="CR53" i="7"/>
  <c r="CN223" i="7"/>
  <c r="CO339" i="7"/>
  <c r="CM38" i="7"/>
  <c r="CO82" i="7"/>
  <c r="CM338" i="7"/>
  <c r="CO149" i="7"/>
  <c r="CM291" i="7"/>
  <c r="CQ104" i="7"/>
  <c r="CP279" i="7"/>
  <c r="CP113" i="7"/>
  <c r="CU113" i="7"/>
  <c r="CQ18" i="7"/>
  <c r="CT134" i="7"/>
  <c r="CQ279" i="7"/>
  <c r="CQ394" i="7"/>
  <c r="CS142" i="7"/>
  <c r="CR210" i="7"/>
  <c r="CP7" i="7"/>
  <c r="CP323" i="7"/>
  <c r="CS46" i="7"/>
  <c r="CO304" i="7"/>
  <c r="CN101" i="7"/>
  <c r="CR141" i="7"/>
  <c r="CR113" i="7"/>
  <c r="CT300" i="7"/>
  <c r="CM280" i="7"/>
  <c r="CN74" i="7"/>
  <c r="CT18" i="7"/>
  <c r="CN324" i="7"/>
  <c r="CS45" i="7"/>
  <c r="CS35" i="7"/>
  <c r="CQ88" i="7"/>
  <c r="CQ323" i="7"/>
  <c r="CT262" i="7"/>
  <c r="CQ113" i="7"/>
  <c r="CM299" i="7"/>
  <c r="CN38" i="7"/>
  <c r="CO38" i="7"/>
  <c r="CR45" i="7"/>
  <c r="CT45" i="7"/>
  <c r="CT113" i="7"/>
  <c r="CR18" i="7"/>
  <c r="CM18" i="7"/>
  <c r="CR73" i="7"/>
  <c r="CM300" i="7"/>
  <c r="CT55" i="7"/>
  <c r="CP37" i="7"/>
  <c r="CQ262" i="7"/>
  <c r="CS299" i="7"/>
  <c r="CQ38" i="7"/>
  <c r="CV38" i="7"/>
  <c r="CT38" i="7"/>
  <c r="CS82" i="7"/>
  <c r="CN286" i="7"/>
  <c r="CO261" i="7"/>
  <c r="CT28" i="7"/>
  <c r="CM223" i="7"/>
  <c r="CM113" i="7"/>
  <c r="CN240" i="7"/>
  <c r="CJ378" i="7"/>
  <c r="CP378" i="7"/>
  <c r="CM49" i="7"/>
  <c r="CT35" i="7"/>
  <c r="CR300" i="7"/>
  <c r="CT156" i="7"/>
  <c r="CM279" i="7"/>
  <c r="CP38" i="7"/>
  <c r="CN45" i="7"/>
  <c r="CS18" i="7"/>
  <c r="CO356" i="7"/>
  <c r="CQ352" i="7"/>
  <c r="CM313" i="7"/>
  <c r="CN303" i="7"/>
  <c r="CQ255" i="7"/>
  <c r="CT133" i="7"/>
  <c r="CN6" i="7"/>
  <c r="CS166" i="7"/>
  <c r="CW166" i="7"/>
  <c r="CT283" i="7"/>
  <c r="CO59" i="7"/>
  <c r="CN166" i="7"/>
  <c r="CO166" i="7"/>
  <c r="CM166" i="7"/>
  <c r="CM6" i="7"/>
  <c r="CR6" i="7"/>
  <c r="CM182" i="7"/>
  <c r="CR132" i="7"/>
  <c r="CR166" i="7"/>
  <c r="CT6" i="7"/>
  <c r="CO6" i="7"/>
  <c r="CS79" i="7"/>
  <c r="CQ166" i="7"/>
  <c r="CV166" i="7"/>
  <c r="CQ6" i="7"/>
  <c r="CV6" i="7"/>
  <c r="CR64" i="7"/>
  <c r="CP333" i="7"/>
  <c r="CS12" i="7"/>
  <c r="CS54" i="7"/>
  <c r="CQ174" i="7"/>
  <c r="CO58" i="7"/>
  <c r="CS59" i="7"/>
  <c r="CO50" i="7"/>
  <c r="CP177" i="7"/>
  <c r="CQ217" i="7"/>
  <c r="CT163" i="7"/>
  <c r="CR172" i="7"/>
  <c r="CR283" i="7"/>
  <c r="CT324" i="7"/>
  <c r="CS88" i="7"/>
  <c r="CQ28" i="7"/>
  <c r="CM28" i="7"/>
  <c r="CR265" i="7"/>
  <c r="CN83" i="7"/>
  <c r="CR82" i="7"/>
  <c r="CP74" i="7"/>
  <c r="CO283" i="7"/>
  <c r="CN283" i="7"/>
  <c r="CM163" i="7"/>
  <c r="CP59" i="7"/>
  <c r="CM228" i="7"/>
  <c r="CQ324" i="7"/>
  <c r="CP73" i="7"/>
  <c r="CQ159" i="7"/>
  <c r="CN245" i="7"/>
  <c r="CN172" i="7"/>
  <c r="CT72" i="7"/>
  <c r="CM283" i="7"/>
  <c r="CN218" i="7"/>
  <c r="CR217" i="7"/>
  <c r="CP324" i="7"/>
  <c r="CP28" i="7"/>
  <c r="CU28" i="7"/>
  <c r="CR28" i="7"/>
  <c r="CP283" i="7"/>
  <c r="CO228" i="7"/>
  <c r="CQ182" i="7"/>
  <c r="CS283" i="7"/>
  <c r="CW283" i="7"/>
  <c r="CP228" i="7"/>
  <c r="CQ152" i="7"/>
  <c r="CN342" i="7"/>
  <c r="CO109" i="7"/>
  <c r="CT57" i="7"/>
  <c r="CQ130" i="7"/>
  <c r="CM252" i="7"/>
  <c r="CQ342" i="7"/>
  <c r="CS13" i="7"/>
  <c r="CT15" i="7"/>
  <c r="CO88" i="7"/>
  <c r="CP88" i="7"/>
  <c r="CM13" i="7"/>
  <c r="CN82" i="7"/>
  <c r="CP82" i="7"/>
  <c r="CS53" i="7"/>
  <c r="CR88" i="7"/>
  <c r="CM88" i="7"/>
  <c r="CL88" i="7"/>
  <c r="CR90" i="7"/>
  <c r="CT13" i="7"/>
  <c r="CM82" i="7"/>
  <c r="CT82" i="7"/>
  <c r="CT88" i="7"/>
  <c r="CQ252" i="7"/>
  <c r="CM342" i="7"/>
  <c r="CP13" i="7"/>
  <c r="CS60" i="7"/>
  <c r="CP182" i="7"/>
  <c r="CQ82" i="7"/>
  <c r="CO54" i="7"/>
  <c r="CR104" i="7"/>
  <c r="CR187" i="7"/>
  <c r="CP154" i="7"/>
  <c r="CR304" i="7"/>
  <c r="CQ107" i="7"/>
  <c r="CT109" i="7"/>
  <c r="CM254" i="7"/>
  <c r="CP104" i="7"/>
  <c r="CN252" i="7"/>
  <c r="CP252" i="7"/>
  <c r="CT342" i="7"/>
  <c r="CP342" i="7"/>
  <c r="CT304" i="7"/>
  <c r="CN109" i="7"/>
  <c r="CQ254" i="7"/>
  <c r="CT10" i="7"/>
  <c r="CT107" i="7"/>
  <c r="CM248" i="7"/>
  <c r="CR57" i="7"/>
  <c r="CR342" i="7"/>
  <c r="CS342" i="7"/>
  <c r="CR154" i="7"/>
  <c r="CN53" i="7"/>
  <c r="CQ304" i="7"/>
  <c r="CV304" i="7"/>
  <c r="CQ53" i="7"/>
  <c r="CM146" i="7"/>
  <c r="CQ337" i="7"/>
  <c r="CS104" i="7"/>
  <c r="CS252" i="7"/>
  <c r="CO252" i="7"/>
  <c r="CU252" i="7"/>
  <c r="CO342" i="7"/>
  <c r="CS55" i="7"/>
  <c r="CW55" i="7"/>
  <c r="CM304" i="7"/>
  <c r="CN304" i="7"/>
  <c r="CO104" i="7"/>
  <c r="CR252" i="7"/>
  <c r="CR55" i="7"/>
  <c r="CS304" i="7"/>
  <c r="CN61" i="7"/>
  <c r="CO254" i="7"/>
  <c r="CO34" i="7"/>
  <c r="CP53" i="7"/>
  <c r="CN104" i="7"/>
  <c r="CM104" i="7"/>
  <c r="CJ290" i="7"/>
  <c r="CQ13" i="7"/>
  <c r="CN13" i="7"/>
  <c r="CO13" i="7"/>
  <c r="CU13" i="7"/>
  <c r="CM57" i="7"/>
  <c r="CM4" i="7"/>
  <c r="CN156" i="7"/>
  <c r="CP25" i="7"/>
  <c r="CP352" i="7"/>
  <c r="CS44" i="7"/>
  <c r="CR107" i="7"/>
  <c r="CN10" i="7"/>
  <c r="CP223" i="7"/>
  <c r="CQ138" i="7"/>
  <c r="CP248" i="7"/>
  <c r="CO131" i="7"/>
  <c r="CO156" i="7"/>
  <c r="CP156" i="7"/>
  <c r="CO152" i="7"/>
  <c r="CM156" i="7"/>
  <c r="CR163" i="7"/>
  <c r="CJ62" i="7"/>
  <c r="CP58" i="7"/>
  <c r="CM16" i="7"/>
  <c r="CK343" i="7"/>
  <c r="CT343" i="7"/>
  <c r="CJ288" i="7"/>
  <c r="CJ95" i="7"/>
  <c r="CJ224" i="7"/>
  <c r="CO224" i="7"/>
  <c r="CK195" i="7"/>
  <c r="CS195" i="7"/>
  <c r="CK332" i="7"/>
  <c r="CN332" i="7"/>
  <c r="CJ17" i="7"/>
  <c r="CJ284" i="7"/>
  <c r="CJ67" i="7"/>
  <c r="CJ66" i="7"/>
  <c r="CJ171" i="7"/>
  <c r="CJ102" i="7"/>
  <c r="CJ91" i="7"/>
  <c r="CJ8" i="7"/>
  <c r="CJ353" i="7"/>
  <c r="CJ143" i="7"/>
  <c r="CP143" i="7"/>
  <c r="CJ305" i="7"/>
  <c r="CJ80" i="7"/>
  <c r="CK155" i="7"/>
  <c r="CN155" i="7"/>
  <c r="CJ316" i="7"/>
  <c r="CJ381" i="7"/>
  <c r="CP381" i="7"/>
  <c r="CK186" i="7"/>
  <c r="CM186" i="7"/>
  <c r="CJ110" i="7"/>
  <c r="CJ216" i="7"/>
  <c r="CN216" i="7"/>
  <c r="CJ65" i="7"/>
  <c r="CJ69" i="7"/>
  <c r="CJ244" i="7"/>
  <c r="CJ318" i="7"/>
  <c r="CJ76" i="7"/>
  <c r="CJ106" i="7"/>
  <c r="CJ70" i="7"/>
  <c r="CJ119" i="7"/>
  <c r="CJ84" i="7"/>
  <c r="CJ98" i="7"/>
  <c r="CJ334" i="7"/>
  <c r="CK290" i="7"/>
  <c r="CJ157" i="7"/>
  <c r="CJ150" i="7"/>
  <c r="CJ144" i="7"/>
  <c r="CJ328" i="7"/>
  <c r="CJ56" i="7"/>
  <c r="CJ326" i="7"/>
  <c r="CK33" i="7"/>
  <c r="CP33" i="7"/>
  <c r="CJ164" i="7"/>
  <c r="CR164" i="7"/>
  <c r="CJ207" i="7"/>
  <c r="CJ257" i="7"/>
  <c r="CJ124" i="7"/>
  <c r="CJ111" i="7"/>
  <c r="CS111" i="7"/>
  <c r="CJ264" i="7"/>
  <c r="CJ120" i="7"/>
  <c r="CJ203" i="7"/>
  <c r="CJ201" i="7"/>
  <c r="CJ31" i="7"/>
  <c r="CJ271" i="7"/>
  <c r="CJ23" i="7"/>
  <c r="CJ222" i="7"/>
  <c r="CJ311" i="7"/>
  <c r="CJ108" i="7"/>
  <c r="CJ360" i="7"/>
  <c r="CJ93" i="7"/>
  <c r="CJ390" i="7"/>
  <c r="CJ348" i="7"/>
  <c r="CJ20" i="7"/>
  <c r="CO89" i="7"/>
  <c r="CQ321" i="7"/>
  <c r="CS125" i="7"/>
  <c r="CM135" i="7"/>
  <c r="CQ147" i="7"/>
  <c r="CM350" i="7"/>
  <c r="CS123" i="7"/>
  <c r="CO187" i="7"/>
  <c r="CS339" i="7"/>
  <c r="CT130" i="7"/>
  <c r="CM12" i="7"/>
  <c r="CT352" i="7"/>
  <c r="CP255" i="7"/>
  <c r="CN255" i="7"/>
  <c r="CO130" i="7"/>
  <c r="CO107" i="7"/>
  <c r="CN107" i="7"/>
  <c r="CR245" i="7"/>
  <c r="CS64" i="7"/>
  <c r="CT64" i="7"/>
  <c r="CN182" i="7"/>
  <c r="CO182" i="7"/>
  <c r="CO74" i="7"/>
  <c r="CM131" i="7"/>
  <c r="CN280" i="7"/>
  <c r="CR356" i="7"/>
  <c r="CT339" i="7"/>
  <c r="CR339" i="7"/>
  <c r="CN189" i="7"/>
  <c r="CS212" i="7"/>
  <c r="CQ366" i="7"/>
  <c r="CO303" i="7"/>
  <c r="CP303" i="7"/>
  <c r="CR303" i="7"/>
  <c r="CM37" i="7"/>
  <c r="CP265" i="7"/>
  <c r="CT251" i="7"/>
  <c r="CS255" i="7"/>
  <c r="CO255" i="7"/>
  <c r="CN130" i="7"/>
  <c r="CM107" i="7"/>
  <c r="CL107" i="7"/>
  <c r="CS107" i="7"/>
  <c r="CR25" i="7"/>
  <c r="CS245" i="7"/>
  <c r="CS132" i="7"/>
  <c r="CN64" i="7"/>
  <c r="CO64" i="7"/>
  <c r="CS182" i="7"/>
  <c r="CO350" i="7"/>
  <c r="CM187" i="7"/>
  <c r="CM74" i="7"/>
  <c r="CO165" i="7"/>
  <c r="CQ123" i="7"/>
  <c r="CQ280" i="7"/>
  <c r="CV280" i="7"/>
  <c r="CP339" i="7"/>
  <c r="CN339" i="7"/>
  <c r="CP345" i="7"/>
  <c r="CR323" i="7"/>
  <c r="CN72" i="7"/>
  <c r="CS303" i="7"/>
  <c r="CM251" i="7"/>
  <c r="CM255" i="7"/>
  <c r="CL255" i="7"/>
  <c r="CP107" i="7"/>
  <c r="CQ25" i="7"/>
  <c r="CT245" i="7"/>
  <c r="CP64" i="7"/>
  <c r="CT182" i="7"/>
  <c r="CN131" i="7"/>
  <c r="CM133" i="7"/>
  <c r="CQ339" i="7"/>
  <c r="CS261" i="7"/>
  <c r="CP86" i="7"/>
  <c r="CM322" i="7"/>
  <c r="CQ278" i="7"/>
  <c r="CS177" i="7"/>
  <c r="CO223" i="7"/>
  <c r="CT223" i="7"/>
  <c r="CP55" i="7"/>
  <c r="CM55" i="7"/>
  <c r="CM44" i="7"/>
  <c r="CN217" i="7"/>
  <c r="CO177" i="7"/>
  <c r="CU177" i="7"/>
  <c r="CN134" i="7"/>
  <c r="CN152" i="7"/>
  <c r="CT218" i="7"/>
  <c r="CT172" i="7"/>
  <c r="CS154" i="7"/>
  <c r="CP259" i="7"/>
  <c r="CR302" i="7"/>
  <c r="CT267" i="7"/>
  <c r="CQ57" i="7"/>
  <c r="CS52" i="7"/>
  <c r="CN57" i="7"/>
  <c r="CT22" i="7"/>
  <c r="CO270" i="7"/>
  <c r="CR291" i="7"/>
  <c r="CQ15" i="7"/>
  <c r="CQ223" i="7"/>
  <c r="CR223" i="7"/>
  <c r="CN55" i="7"/>
  <c r="CO55" i="7"/>
  <c r="CR366" i="7"/>
  <c r="CM217" i="7"/>
  <c r="CQ177" i="7"/>
  <c r="CR218" i="7"/>
  <c r="CP212" i="7"/>
  <c r="CU212" i="7"/>
  <c r="CP172" i="7"/>
  <c r="CM154" i="7"/>
  <c r="CN190" i="7"/>
  <c r="CR350" i="7"/>
  <c r="CM126" i="7"/>
  <c r="CM36" i="7"/>
  <c r="CO57" i="7"/>
  <c r="CP187" i="7"/>
  <c r="CS57" i="7"/>
  <c r="CO169" i="7"/>
  <c r="CP173" i="7"/>
  <c r="CO185" i="7"/>
  <c r="CS223" i="7"/>
  <c r="CQ55" i="7"/>
  <c r="CO44" i="7"/>
  <c r="CR152" i="7"/>
  <c r="CP218" i="7"/>
  <c r="CR212" i="7"/>
  <c r="CQ189" i="7"/>
  <c r="CP57" i="7"/>
  <c r="CN170" i="7"/>
  <c r="CR170" i="7"/>
  <c r="CR389" i="7"/>
  <c r="CS389" i="7"/>
  <c r="CN127" i="7"/>
  <c r="CM127" i="7"/>
  <c r="CM46" i="7"/>
  <c r="CR46" i="7"/>
  <c r="CQ94" i="7"/>
  <c r="CR94" i="7"/>
  <c r="CN147" i="7"/>
  <c r="CN386" i="7"/>
  <c r="CO386" i="7"/>
  <c r="CT386" i="7"/>
  <c r="CQ282" i="7"/>
  <c r="CT247" i="7"/>
  <c r="CQ247" i="7"/>
  <c r="CM247" i="7"/>
  <c r="CS280" i="7"/>
  <c r="CT280" i="7"/>
  <c r="CP280" i="7"/>
  <c r="CO280" i="7"/>
  <c r="CQ74" i="7"/>
  <c r="CT74" i="7"/>
  <c r="CS74" i="7"/>
  <c r="CR74" i="7"/>
  <c r="CS187" i="7"/>
  <c r="CN187" i="7"/>
  <c r="CT187" i="7"/>
  <c r="CQ187" i="7"/>
  <c r="CM292" i="7"/>
  <c r="CQ292" i="7"/>
  <c r="CT178" i="7"/>
  <c r="CR178" i="7"/>
  <c r="CM175" i="7"/>
  <c r="CQ175" i="7"/>
  <c r="CT202" i="7"/>
  <c r="CN202" i="7"/>
  <c r="CM265" i="7"/>
  <c r="CN265" i="7"/>
  <c r="CO265" i="7"/>
  <c r="CR54" i="7"/>
  <c r="CT54" i="7"/>
  <c r="CN132" i="7"/>
  <c r="CP132" i="7"/>
  <c r="CT132" i="7"/>
  <c r="CO132" i="7"/>
  <c r="CS109" i="7"/>
  <c r="CP109" i="7"/>
  <c r="CR109" i="7"/>
  <c r="CQ109" i="7"/>
  <c r="CS174" i="7"/>
  <c r="CN174" i="7"/>
  <c r="CN4" i="7"/>
  <c r="CS4" i="7"/>
  <c r="CQ299" i="7"/>
  <c r="CR299" i="7"/>
  <c r="CO299" i="7"/>
  <c r="CT287" i="7"/>
  <c r="CP287" i="7"/>
  <c r="CS262" i="7"/>
  <c r="CN262" i="7"/>
  <c r="CM262" i="7"/>
  <c r="CM130" i="7"/>
  <c r="CR130" i="7"/>
  <c r="CS130" i="7"/>
  <c r="CP130" i="7"/>
  <c r="CN163" i="7"/>
  <c r="CQ163" i="7"/>
  <c r="CN168" i="7"/>
  <c r="CM168" i="7"/>
  <c r="CO248" i="7"/>
  <c r="CT248" i="7"/>
  <c r="CT177" i="7"/>
  <c r="CR177" i="7"/>
  <c r="CN177" i="7"/>
  <c r="CM177" i="7"/>
  <c r="CQ303" i="7"/>
  <c r="CM303" i="7"/>
  <c r="CT279" i="7"/>
  <c r="CO279" i="7"/>
  <c r="CS279" i="7"/>
  <c r="CR279" i="7"/>
  <c r="CV279" i="7"/>
  <c r="CS28" i="7"/>
  <c r="CN28" i="7"/>
  <c r="CS156" i="7"/>
  <c r="CQ156" i="7"/>
  <c r="CP317" i="7"/>
  <c r="CO317" i="7"/>
  <c r="CO315" i="7"/>
  <c r="CQ315" i="7"/>
  <c r="CN338" i="7"/>
  <c r="CR338" i="7"/>
  <c r="CS266" i="7"/>
  <c r="CP266" i="7"/>
  <c r="CR68" i="7"/>
  <c r="CQ68" i="7"/>
  <c r="CR156" i="7"/>
  <c r="CT265" i="7"/>
  <c r="CW265" i="7"/>
  <c r="CQ265" i="7"/>
  <c r="CM190" i="7"/>
  <c r="CM109" i="7"/>
  <c r="CM132" i="7"/>
  <c r="CR145" i="7"/>
  <c r="CP174" i="7"/>
  <c r="CR86" i="7"/>
  <c r="CT104" i="7"/>
  <c r="CR182" i="7"/>
  <c r="CS258" i="7"/>
  <c r="CT46" i="7"/>
  <c r="CS352" i="7"/>
  <c r="CO352" i="7"/>
  <c r="CM317" i="7"/>
  <c r="CN317" i="7"/>
  <c r="CQ266" i="7"/>
  <c r="CM72" i="7"/>
  <c r="CT338" i="7"/>
  <c r="CM315" i="7"/>
  <c r="CT315" i="7"/>
  <c r="CO35" i="7"/>
  <c r="CN35" i="7"/>
  <c r="CO251" i="7"/>
  <c r="CT147" i="7"/>
  <c r="CP147" i="7"/>
  <c r="CQ350" i="7"/>
  <c r="CS350" i="7"/>
  <c r="CT94" i="7"/>
  <c r="CO178" i="7"/>
  <c r="CO300" i="7"/>
  <c r="CP300" i="7"/>
  <c r="CN145" i="7"/>
  <c r="CM165" i="7"/>
  <c r="CL165" i="7"/>
  <c r="CS58" i="7"/>
  <c r="CT123" i="7"/>
  <c r="CP175" i="7"/>
  <c r="CR133" i="7"/>
  <c r="CN133" i="7"/>
  <c r="CT389" i="7"/>
  <c r="CT86" i="7"/>
  <c r="CN321" i="7"/>
  <c r="CO127" i="7"/>
  <c r="CS386" i="7"/>
  <c r="CW386" i="7"/>
  <c r="CM386" i="7"/>
  <c r="CP12" i="7"/>
  <c r="CQ46" i="7"/>
  <c r="CT323" i="7"/>
  <c r="CM323" i="7"/>
  <c r="CN251" i="7"/>
  <c r="CO247" i="7"/>
  <c r="CN247" i="7"/>
  <c r="CN46" i="7"/>
  <c r="CO46" i="7"/>
  <c r="CM352" i="7"/>
  <c r="CR352" i="7"/>
  <c r="CT317" i="7"/>
  <c r="CQ317" i="7"/>
  <c r="CV317" i="7"/>
  <c r="CM266" i="7"/>
  <c r="CT266" i="7"/>
  <c r="CS72" i="7"/>
  <c r="CR72" i="7"/>
  <c r="CQ338" i="7"/>
  <c r="CP338" i="7"/>
  <c r="CN323" i="7"/>
  <c r="CO323" i="7"/>
  <c r="CS315" i="7"/>
  <c r="CN315" i="7"/>
  <c r="CM35" i="7"/>
  <c r="CR35" i="7"/>
  <c r="CQ251" i="7"/>
  <c r="CS251" i="7"/>
  <c r="CR247" i="7"/>
  <c r="CS247" i="7"/>
  <c r="CM141" i="7"/>
  <c r="CS147" i="7"/>
  <c r="CO147" i="7"/>
  <c r="CT350" i="7"/>
  <c r="CS94" i="7"/>
  <c r="CN178" i="7"/>
  <c r="CQ300" i="7"/>
  <c r="CS300" i="7"/>
  <c r="CM145" i="7"/>
  <c r="CS165" i="7"/>
  <c r="CT58" i="7"/>
  <c r="CR282" i="7"/>
  <c r="CP123" i="7"/>
  <c r="CP16" i="7"/>
  <c r="CS175" i="7"/>
  <c r="CS133" i="7"/>
  <c r="CQ133" i="7"/>
  <c r="CO389" i="7"/>
  <c r="CS86" i="7"/>
  <c r="CT127" i="7"/>
  <c r="CP386" i="7"/>
  <c r="CU386" i="7"/>
  <c r="CQ386" i="7"/>
  <c r="CN12" i="7"/>
  <c r="CS190" i="7"/>
  <c r="CT173" i="7"/>
  <c r="CN266" i="7"/>
  <c r="CP72" i="7"/>
  <c r="CU72" i="7"/>
  <c r="CO338" i="7"/>
  <c r="CP46" i="7"/>
  <c r="CN352" i="7"/>
  <c r="CS317" i="7"/>
  <c r="CO266" i="7"/>
  <c r="CQ72" i="7"/>
  <c r="CS338" i="7"/>
  <c r="CS323" i="7"/>
  <c r="CR315" i="7"/>
  <c r="CP35" i="7"/>
  <c r="CP251" i="7"/>
  <c r="CP247" i="7"/>
  <c r="CR147" i="7"/>
  <c r="CN94" i="7"/>
  <c r="CN300" i="7"/>
  <c r="CP165" i="7"/>
  <c r="CP133" i="7"/>
  <c r="CR386" i="7"/>
  <c r="CQ179" i="7"/>
  <c r="CT19" i="7"/>
  <c r="CT180" i="7"/>
  <c r="CS85" i="7"/>
  <c r="CQ4" i="7"/>
  <c r="CP52" i="7"/>
  <c r="CQ103" i="7"/>
  <c r="CS272" i="7"/>
  <c r="CT313" i="7"/>
  <c r="CQ347" i="7"/>
  <c r="CM5" i="7"/>
  <c r="CN115" i="7"/>
  <c r="CS115" i="7"/>
  <c r="CR115" i="7"/>
  <c r="CM114" i="7"/>
  <c r="CS114" i="7"/>
  <c r="CN114" i="7"/>
  <c r="CT114" i="7"/>
  <c r="CP325" i="7"/>
  <c r="CQ158" i="7"/>
  <c r="CN158" i="7"/>
  <c r="CT158" i="7"/>
  <c r="CS158" i="7"/>
  <c r="CP158" i="7"/>
  <c r="CO158" i="7"/>
  <c r="CQ11" i="7"/>
  <c r="CO11" i="7"/>
  <c r="CS11" i="7"/>
  <c r="CQ148" i="7"/>
  <c r="CS148" i="7"/>
  <c r="CN148" i="7"/>
  <c r="CT148" i="7"/>
  <c r="CR148" i="7"/>
  <c r="CP148" i="7"/>
  <c r="CP176" i="7"/>
  <c r="CT176" i="7"/>
  <c r="CQ176" i="7"/>
  <c r="CT32" i="7"/>
  <c r="CN32" i="7"/>
  <c r="CR32" i="7"/>
  <c r="CR322" i="7"/>
  <c r="CQ322" i="7"/>
  <c r="CO153" i="7"/>
  <c r="CR153" i="7"/>
  <c r="CQ153" i="7"/>
  <c r="CM153" i="7"/>
  <c r="CN153" i="7"/>
  <c r="CT153" i="7"/>
  <c r="CN77" i="7"/>
  <c r="CO77" i="7"/>
  <c r="CR77" i="7"/>
  <c r="CS77" i="7"/>
  <c r="CT77" i="7"/>
  <c r="CM77" i="7"/>
  <c r="CQ77" i="7"/>
  <c r="CV77" i="7"/>
  <c r="CR112" i="7"/>
  <c r="CM112" i="7"/>
  <c r="CO146" i="7"/>
  <c r="CT146" i="7"/>
  <c r="CQ146" i="7"/>
  <c r="CR146" i="7"/>
  <c r="CS146" i="7"/>
  <c r="CN146" i="7"/>
  <c r="CS270" i="7"/>
  <c r="CR270" i="7"/>
  <c r="CT270" i="7"/>
  <c r="CQ270" i="7"/>
  <c r="CT337" i="7"/>
  <c r="CS337" i="7"/>
  <c r="CP337" i="7"/>
  <c r="CR337" i="7"/>
  <c r="CO337" i="7"/>
  <c r="CP289" i="7"/>
  <c r="CQ289" i="7"/>
  <c r="CM289" i="7"/>
  <c r="CO289" i="7"/>
  <c r="CP398" i="7"/>
  <c r="CN398" i="7"/>
  <c r="CO398" i="7"/>
  <c r="CQ398" i="7"/>
  <c r="CR398" i="7"/>
  <c r="CM398" i="7"/>
  <c r="CL398" i="7"/>
  <c r="CT214" i="7"/>
  <c r="CQ214" i="7"/>
  <c r="CO214" i="7"/>
  <c r="CM307" i="7"/>
  <c r="CR307" i="7"/>
  <c r="CP307" i="7"/>
  <c r="CS307" i="7"/>
  <c r="CT307" i="7"/>
  <c r="CQ307" i="7"/>
  <c r="CP138" i="7"/>
  <c r="CN138" i="7"/>
  <c r="CR138" i="7"/>
  <c r="CO268" i="7"/>
  <c r="CS268" i="7"/>
  <c r="CT268" i="7"/>
  <c r="CP268" i="7"/>
  <c r="CM268" i="7"/>
  <c r="CN268" i="7"/>
  <c r="CT90" i="7"/>
  <c r="CQ291" i="7"/>
  <c r="CR114" i="7"/>
  <c r="CV114" i="7"/>
  <c r="CM347" i="7"/>
  <c r="CM158" i="7"/>
  <c r="CL158" i="7"/>
  <c r="CO87" i="7"/>
  <c r="CM270" i="7"/>
  <c r="CS345" i="7"/>
  <c r="CR272" i="7"/>
  <c r="CP77" i="7"/>
  <c r="CN214" i="7"/>
  <c r="CN307" i="7"/>
  <c r="CO115" i="7"/>
  <c r="CP183" i="7"/>
  <c r="CR176" i="7"/>
  <c r="CM138" i="7"/>
  <c r="CQ39" i="7"/>
  <c r="CM39" i="7"/>
  <c r="CR39" i="7"/>
  <c r="CP292" i="7"/>
  <c r="CT292" i="7"/>
  <c r="CS292" i="7"/>
  <c r="CO292" i="7"/>
  <c r="CR292" i="7"/>
  <c r="CN292" i="7"/>
  <c r="CN118" i="7"/>
  <c r="CS118" i="7"/>
  <c r="CT118" i="7"/>
  <c r="CN97" i="7"/>
  <c r="CT97" i="7"/>
  <c r="CS302" i="7"/>
  <c r="CQ302" i="7"/>
  <c r="CT302" i="7"/>
  <c r="CP302" i="7"/>
  <c r="CN302" i="7"/>
  <c r="CP100" i="7"/>
  <c r="CO100" i="7"/>
  <c r="CN319" i="7"/>
  <c r="CT319" i="7"/>
  <c r="CP319" i="7"/>
  <c r="CQ125" i="7"/>
  <c r="CP125" i="7"/>
  <c r="CM125" i="7"/>
  <c r="CN125" i="7"/>
  <c r="CR125" i="7"/>
  <c r="CT125" i="7"/>
  <c r="CS101" i="7"/>
  <c r="CP101" i="7"/>
  <c r="CM101" i="7"/>
  <c r="CQ101" i="7"/>
  <c r="CR101" i="7"/>
  <c r="CT101" i="7"/>
  <c r="CR158" i="7"/>
  <c r="CS153" i="7"/>
  <c r="CQ268" i="7"/>
  <c r="CM148" i="7"/>
  <c r="CO103" i="7"/>
  <c r="CO307" i="7"/>
  <c r="CM11" i="7"/>
  <c r="CT398" i="7"/>
  <c r="CS312" i="7"/>
  <c r="CP312" i="7"/>
  <c r="CM312" i="7"/>
  <c r="CT310" i="7"/>
  <c r="CO310" i="7"/>
  <c r="CP310" i="7"/>
  <c r="CM90" i="7"/>
  <c r="CN90" i="7"/>
  <c r="CO90" i="7"/>
  <c r="CQ90" i="7"/>
  <c r="CT286" i="7"/>
  <c r="CO286" i="7"/>
  <c r="CP180" i="7"/>
  <c r="CQ180" i="7"/>
  <c r="CS180" i="7"/>
  <c r="CO267" i="7"/>
  <c r="CN267" i="7"/>
  <c r="CM267" i="7"/>
  <c r="CS267" i="7"/>
  <c r="CP267" i="7"/>
  <c r="CR267" i="7"/>
  <c r="CT87" i="7"/>
  <c r="CW87" i="7"/>
  <c r="CN87" i="7"/>
  <c r="CQ87" i="7"/>
  <c r="CR87" i="7"/>
  <c r="CM87" i="7"/>
  <c r="CP87" i="7"/>
  <c r="CP22" i="7"/>
  <c r="CQ22" i="7"/>
  <c r="CR22" i="7"/>
  <c r="CQ345" i="7"/>
  <c r="CN345" i="7"/>
  <c r="CR345" i="7"/>
  <c r="CO345" i="7"/>
  <c r="CT345" i="7"/>
  <c r="CM345" i="7"/>
  <c r="CL345" i="7"/>
  <c r="CN126" i="7"/>
  <c r="CS126" i="7"/>
  <c r="CQ126" i="7"/>
  <c r="CP126" i="7"/>
  <c r="CR126" i="7"/>
  <c r="CT126" i="7"/>
  <c r="CR333" i="7"/>
  <c r="CO333" i="7"/>
  <c r="CQ333" i="7"/>
  <c r="CM272" i="7"/>
  <c r="CP272" i="7"/>
  <c r="CO272" i="7"/>
  <c r="CQ272" i="7"/>
  <c r="CV272" i="7"/>
  <c r="CN272" i="7"/>
  <c r="CT272" i="7"/>
  <c r="CS185" i="7"/>
  <c r="CN185" i="7"/>
  <c r="CT185" i="7"/>
  <c r="CM185" i="7"/>
  <c r="CT285" i="7"/>
  <c r="CM285" i="7"/>
  <c r="CR313" i="7"/>
  <c r="CN313" i="7"/>
  <c r="CQ313" i="7"/>
  <c r="CP313" i="7"/>
  <c r="CS313" i="7"/>
  <c r="CS291" i="7"/>
  <c r="CO291" i="7"/>
  <c r="CP291" i="7"/>
  <c r="CT291" i="7"/>
  <c r="CT258" i="7"/>
  <c r="CR258" i="7"/>
  <c r="CP258" i="7"/>
  <c r="CO258" i="7"/>
  <c r="CQ258" i="7"/>
  <c r="CN258" i="7"/>
  <c r="CO347" i="7"/>
  <c r="CT347" i="7"/>
  <c r="CN347" i="7"/>
  <c r="CP347" i="7"/>
  <c r="CR347" i="7"/>
  <c r="CS347" i="7"/>
  <c r="CW347" i="7"/>
  <c r="CN50" i="7"/>
  <c r="CR50" i="7"/>
  <c r="CP50" i="7"/>
  <c r="CT50" i="7"/>
  <c r="CQ161" i="7"/>
  <c r="CN161" i="7"/>
  <c r="CO161" i="7"/>
  <c r="CR161" i="7"/>
  <c r="CR185" i="7"/>
  <c r="CO114" i="7"/>
  <c r="CP90" i="7"/>
  <c r="CN291" i="7"/>
  <c r="CP185" i="7"/>
  <c r="CP114" i="7"/>
  <c r="CO302" i="7"/>
  <c r="CO125" i="7"/>
  <c r="CU125" i="7"/>
  <c r="CP153" i="7"/>
  <c r="CO126" i="7"/>
  <c r="CU126" i="7"/>
  <c r="CM258" i="7"/>
  <c r="CO101" i="7"/>
  <c r="CP146" i="7"/>
  <c r="CR268" i="7"/>
  <c r="CO148" i="7"/>
  <c r="CQ267" i="7"/>
  <c r="CP118" i="7"/>
  <c r="CN39" i="7"/>
  <c r="CP297" i="7"/>
  <c r="CM161" i="7"/>
  <c r="CQ325" i="7"/>
  <c r="CS310" i="7"/>
  <c r="CW310" i="7"/>
  <c r="CS398" i="7"/>
  <c r="CN289" i="7"/>
  <c r="CM219" i="7"/>
  <c r="CN19" i="7"/>
  <c r="CN47" i="7"/>
  <c r="CP341" i="7"/>
  <c r="CP121" i="7"/>
  <c r="CM22" i="7"/>
  <c r="CQ188" i="7"/>
  <c r="CP221" i="7"/>
  <c r="CP63" i="7"/>
  <c r="CO285" i="7"/>
  <c r="CQ10" i="7"/>
  <c r="CS358" i="7"/>
  <c r="CM58" i="7"/>
  <c r="CN123" i="7"/>
  <c r="CT321" i="7"/>
  <c r="CT117" i="7"/>
  <c r="CQ117" i="7"/>
  <c r="CR37" i="7"/>
  <c r="CO37" i="7"/>
  <c r="CS134" i="7"/>
  <c r="CR134" i="7"/>
  <c r="CV134" i="7"/>
  <c r="CR117" i="7"/>
  <c r="CP68" i="7"/>
  <c r="CM68" i="7"/>
  <c r="CS68" i="7"/>
  <c r="CT297" i="7"/>
  <c r="CO297" i="7"/>
  <c r="CM115" i="7"/>
  <c r="CQ115" i="7"/>
  <c r="CT115" i="7"/>
  <c r="CP115" i="7"/>
  <c r="CP39" i="7"/>
  <c r="CO39" i="7"/>
  <c r="CS39" i="7"/>
  <c r="CT39" i="7"/>
  <c r="CN310" i="7"/>
  <c r="CR310" i="7"/>
  <c r="CQ310" i="7"/>
  <c r="CM310" i="7"/>
  <c r="CS286" i="7"/>
  <c r="CP286" i="7"/>
  <c r="CR286" i="7"/>
  <c r="CM286" i="7"/>
  <c r="CL286" i="7"/>
  <c r="CQ286" i="7"/>
  <c r="CM118" i="7"/>
  <c r="CO118" i="7"/>
  <c r="CQ118" i="7"/>
  <c r="CR118" i="7"/>
  <c r="CT325" i="7"/>
  <c r="CS325" i="7"/>
  <c r="CM319" i="7"/>
  <c r="CR319" i="7"/>
  <c r="CQ319" i="7"/>
  <c r="CO319" i="7"/>
  <c r="CS341" i="7"/>
  <c r="CQ37" i="7"/>
  <c r="CN37" i="7"/>
  <c r="CM134" i="7"/>
  <c r="CL134" i="7"/>
  <c r="CP134" i="7"/>
  <c r="CT145" i="7"/>
  <c r="CO145" i="7"/>
  <c r="CS145" i="7"/>
  <c r="CP145" i="7"/>
  <c r="CR103" i="7"/>
  <c r="CT103" i="7"/>
  <c r="CT160" i="7"/>
  <c r="CS160" i="7"/>
  <c r="CN48" i="7"/>
  <c r="CO48" i="7"/>
  <c r="CQ178" i="7"/>
  <c r="CM178" i="7"/>
  <c r="CL178" i="7"/>
  <c r="CS178" i="7"/>
  <c r="CP178" i="7"/>
  <c r="CT175" i="7"/>
  <c r="CR175" i="7"/>
  <c r="CO175" i="7"/>
  <c r="CN175" i="7"/>
  <c r="CP357" i="7"/>
  <c r="CQ357" i="7"/>
  <c r="CT24" i="7"/>
  <c r="CP24" i="7"/>
  <c r="CS37" i="7"/>
  <c r="CO134" i="7"/>
  <c r="CO24" i="7"/>
  <c r="CN248" i="7"/>
  <c r="CQ248" i="7"/>
  <c r="CS248" i="7"/>
  <c r="CR248" i="7"/>
  <c r="CN34" i="7"/>
  <c r="CS34" i="7"/>
  <c r="CR34" i="7"/>
  <c r="CO168" i="7"/>
  <c r="CQ168" i="7"/>
  <c r="CS278" i="7"/>
  <c r="CO278" i="7"/>
  <c r="CQ54" i="7"/>
  <c r="CM54" i="7"/>
  <c r="CP54" i="7"/>
  <c r="CN54" i="7"/>
  <c r="CM337" i="7"/>
  <c r="CS221" i="7"/>
  <c r="CN135" i="7"/>
  <c r="CR165" i="7"/>
  <c r="CT165" i="7"/>
  <c r="CS10" i="7"/>
  <c r="CN337" i="7"/>
  <c r="CR123" i="7"/>
  <c r="CO123" i="7"/>
  <c r="CT161" i="7"/>
  <c r="CP161" i="7"/>
  <c r="CT138" i="7"/>
  <c r="CO138" i="7"/>
  <c r="CM321" i="7"/>
  <c r="CL321" i="7"/>
  <c r="CO191" i="7"/>
  <c r="CU191" i="7"/>
  <c r="CS50" i="7"/>
  <c r="CM50" i="7"/>
  <c r="CS289" i="7"/>
  <c r="CR289" i="7"/>
  <c r="CK62" i="7"/>
  <c r="CM302" i="7"/>
  <c r="CM181" i="7"/>
  <c r="CN140" i="7"/>
  <c r="CP128" i="7"/>
  <c r="CP314" i="7"/>
  <c r="CT5" i="7"/>
  <c r="CO129" i="7"/>
  <c r="CR5" i="7"/>
  <c r="CN169" i="7"/>
  <c r="CM24" i="7"/>
  <c r="CT282" i="7"/>
  <c r="CP270" i="7"/>
  <c r="CP350" i="7"/>
  <c r="CS321" i="7"/>
  <c r="CS214" i="7"/>
  <c r="CQ165" i="7"/>
  <c r="CM123" i="7"/>
  <c r="CS161" i="7"/>
  <c r="CS138" i="7"/>
  <c r="CQ50" i="7"/>
  <c r="CT289" i="7"/>
  <c r="CR83" i="7"/>
  <c r="CO366" i="7"/>
  <c r="CT167" i="7"/>
  <c r="CS189" i="7"/>
  <c r="CS5" i="7"/>
  <c r="CN5" i="7"/>
  <c r="CO5" i="7"/>
  <c r="CQ5" i="7"/>
  <c r="CP152" i="7"/>
  <c r="CT152" i="7"/>
  <c r="CM152" i="7"/>
  <c r="CL152" i="7"/>
  <c r="CS152" i="7"/>
  <c r="CP277" i="7"/>
  <c r="CT277" i="7"/>
  <c r="CQ196" i="7"/>
  <c r="CS196" i="7"/>
  <c r="CO218" i="7"/>
  <c r="CM218" i="7"/>
  <c r="CL218" i="7"/>
  <c r="CQ218" i="7"/>
  <c r="CS218" i="7"/>
  <c r="CO217" i="7"/>
  <c r="CS217" i="7"/>
  <c r="CP217" i="7"/>
  <c r="CT217" i="7"/>
  <c r="CN51" i="7"/>
  <c r="CT51" i="7"/>
  <c r="CM180" i="7"/>
  <c r="CN180" i="7"/>
  <c r="CO180" i="7"/>
  <c r="CR180" i="7"/>
  <c r="CP44" i="7"/>
  <c r="CT44" i="7"/>
  <c r="CR44" i="7"/>
  <c r="CQ44" i="7"/>
  <c r="CM327" i="7"/>
  <c r="CR327" i="7"/>
  <c r="CP327" i="7"/>
  <c r="CT136" i="7"/>
  <c r="CP136" i="7"/>
  <c r="CR162" i="7"/>
  <c r="CS162" i="7"/>
  <c r="CN25" i="7"/>
  <c r="CT25" i="7"/>
  <c r="CM25" i="7"/>
  <c r="CS25" i="7"/>
  <c r="CN212" i="7"/>
  <c r="CM212" i="7"/>
  <c r="CQ212" i="7"/>
  <c r="CT212" i="7"/>
  <c r="CQ245" i="7"/>
  <c r="CM245" i="7"/>
  <c r="CO245" i="7"/>
  <c r="CP245" i="7"/>
  <c r="CN85" i="7"/>
  <c r="CQ85" i="7"/>
  <c r="CM85" i="7"/>
  <c r="CP85" i="7"/>
  <c r="CO85" i="7"/>
  <c r="CR85" i="7"/>
  <c r="CM170" i="7"/>
  <c r="CS170" i="7"/>
  <c r="CO170" i="7"/>
  <c r="CP170" i="7"/>
  <c r="CQ170" i="7"/>
  <c r="CT170" i="7"/>
  <c r="CO78" i="7"/>
  <c r="CN78" i="7"/>
  <c r="CQ105" i="7"/>
  <c r="CR36" i="7"/>
  <c r="CP135" i="7"/>
  <c r="CQ221" i="7"/>
  <c r="CM221" i="7"/>
  <c r="CP149" i="7"/>
  <c r="CM357" i="7"/>
  <c r="CS173" i="7"/>
  <c r="CM59" i="7"/>
  <c r="CN59" i="7"/>
  <c r="CO341" i="7"/>
  <c r="CS287" i="7"/>
  <c r="CQ287" i="7"/>
  <c r="CS47" i="7"/>
  <c r="CR169" i="7"/>
  <c r="CN263" i="7"/>
  <c r="CR4" i="7"/>
  <c r="CT4" i="7"/>
  <c r="CT329" i="7"/>
  <c r="CO4" i="7"/>
  <c r="CS36" i="7"/>
  <c r="CP94" i="7"/>
  <c r="CM94" i="7"/>
  <c r="CL94" i="7"/>
  <c r="CR58" i="7"/>
  <c r="CQ58" i="7"/>
  <c r="CR221" i="7"/>
  <c r="CN221" i="7"/>
  <c r="CP214" i="7"/>
  <c r="CM214" i="7"/>
  <c r="CO163" i="7"/>
  <c r="CS163" i="7"/>
  <c r="CS282" i="7"/>
  <c r="CR24" i="7"/>
  <c r="CN24" i="7"/>
  <c r="CM149" i="7"/>
  <c r="CT357" i="7"/>
  <c r="CN173" i="7"/>
  <c r="CR59" i="7"/>
  <c r="CQ59" i="7"/>
  <c r="CP321" i="7"/>
  <c r="CR321" i="7"/>
  <c r="CR341" i="7"/>
  <c r="CO287" i="7"/>
  <c r="CM287" i="7"/>
  <c r="CN105" i="7"/>
  <c r="CP4" i="7"/>
  <c r="CT179" i="7"/>
  <c r="CS225" i="7"/>
  <c r="CP304" i="7"/>
  <c r="CS141" i="7"/>
  <c r="CP299" i="7"/>
  <c r="CN270" i="7"/>
  <c r="CN350" i="7"/>
  <c r="CO94" i="7"/>
  <c r="CN58" i="7"/>
  <c r="CO221" i="7"/>
  <c r="CR214" i="7"/>
  <c r="CP163" i="7"/>
  <c r="CS24" i="7"/>
  <c r="CN357" i="7"/>
  <c r="CO173" i="7"/>
  <c r="CT59" i="7"/>
  <c r="CO321" i="7"/>
  <c r="CM89" i="7"/>
  <c r="CN341" i="7"/>
  <c r="CR287" i="7"/>
  <c r="CT219" i="7"/>
  <c r="CM73" i="7"/>
  <c r="CT53" i="7"/>
  <c r="CO53" i="7"/>
  <c r="CP5" i="7"/>
  <c r="CT159" i="7"/>
  <c r="CN159" i="7"/>
  <c r="CP9" i="7"/>
  <c r="CS9" i="7"/>
  <c r="CW9" i="7"/>
  <c r="CM15" i="7"/>
  <c r="CN15" i="7"/>
  <c r="CS83" i="7"/>
  <c r="CM83" i="7"/>
  <c r="CT366" i="7"/>
  <c r="CM366" i="7"/>
  <c r="CT190" i="7"/>
  <c r="CO190" i="7"/>
  <c r="CR135" i="7"/>
  <c r="CQ135" i="7"/>
  <c r="CP285" i="7"/>
  <c r="CQ285" i="7"/>
  <c r="CO141" i="7"/>
  <c r="CT141" i="7"/>
  <c r="CP169" i="7"/>
  <c r="CT169" i="7"/>
  <c r="CT189" i="7"/>
  <c r="CR189" i="7"/>
  <c r="CQ36" i="7"/>
  <c r="CO36" i="7"/>
  <c r="CP254" i="7"/>
  <c r="CS254" i="7"/>
  <c r="CT47" i="7"/>
  <c r="CS128" i="7"/>
  <c r="CM159" i="7"/>
  <c r="CO211" i="7"/>
  <c r="CO167" i="7"/>
  <c r="CS356" i="7"/>
  <c r="CP356" i="7"/>
  <c r="CN356" i="7"/>
  <c r="CQ210" i="7"/>
  <c r="CM210" i="7"/>
  <c r="CS210" i="7"/>
  <c r="CT183" i="7"/>
  <c r="CQ183" i="7"/>
  <c r="CM183" i="7"/>
  <c r="CP129" i="7"/>
  <c r="CO172" i="7"/>
  <c r="CS172" i="7"/>
  <c r="CQ172" i="7"/>
  <c r="CM172" i="7"/>
  <c r="CP34" i="7"/>
  <c r="CQ34" i="7"/>
  <c r="CM34" i="7"/>
  <c r="CT34" i="7"/>
  <c r="CN176" i="7"/>
  <c r="CM176" i="7"/>
  <c r="CS176" i="7"/>
  <c r="CO176" i="7"/>
  <c r="CO22" i="7"/>
  <c r="CN22" i="7"/>
  <c r="CS22" i="7"/>
  <c r="CS103" i="7"/>
  <c r="CP103" i="7"/>
  <c r="CN103" i="7"/>
  <c r="CM103" i="7"/>
  <c r="CR261" i="7"/>
  <c r="CP261" i="7"/>
  <c r="CN261" i="7"/>
  <c r="CT261" i="7"/>
  <c r="CN282" i="7"/>
  <c r="CM282" i="7"/>
  <c r="CO282" i="7"/>
  <c r="CP282" i="7"/>
  <c r="CN11" i="7"/>
  <c r="CP11" i="7"/>
  <c r="CR11" i="7"/>
  <c r="CT11" i="7"/>
  <c r="CO117" i="7"/>
  <c r="CM117" i="7"/>
  <c r="CN117" i="7"/>
  <c r="CP117" i="7"/>
  <c r="CO174" i="7"/>
  <c r="CM174" i="7"/>
  <c r="CT174" i="7"/>
  <c r="CR174" i="7"/>
  <c r="CO313" i="7"/>
  <c r="CP361" i="7"/>
  <c r="CO361" i="7"/>
  <c r="CS394" i="7"/>
  <c r="CR394" i="7"/>
  <c r="CQ40" i="7"/>
  <c r="CS40" i="7"/>
  <c r="CO142" i="7"/>
  <c r="CR142" i="7"/>
  <c r="CO233" i="7"/>
  <c r="CP233" i="7"/>
  <c r="CQ358" i="7"/>
  <c r="CN358" i="7"/>
  <c r="CP358" i="7"/>
  <c r="CS7" i="7"/>
  <c r="CQ7" i="7"/>
  <c r="CP335" i="7"/>
  <c r="CN335" i="7"/>
  <c r="CS89" i="7"/>
  <c r="CP89" i="7"/>
  <c r="CQ89" i="7"/>
  <c r="CN89" i="7"/>
  <c r="CO15" i="7"/>
  <c r="CS15" i="7"/>
  <c r="CQ83" i="7"/>
  <c r="CO83" i="7"/>
  <c r="CP366" i="7"/>
  <c r="CS366" i="7"/>
  <c r="CQ190" i="7"/>
  <c r="CP190" i="7"/>
  <c r="CT135" i="7"/>
  <c r="CO135" i="7"/>
  <c r="CS285" i="7"/>
  <c r="CR285" i="7"/>
  <c r="CN141" i="7"/>
  <c r="CQ141" i="7"/>
  <c r="CQ169" i="7"/>
  <c r="CM169" i="7"/>
  <c r="CM189" i="7"/>
  <c r="CO189" i="7"/>
  <c r="CT36" i="7"/>
  <c r="CN36" i="7"/>
  <c r="CR254" i="7"/>
  <c r="CN254" i="7"/>
  <c r="CQ47" i="7"/>
  <c r="CT361" i="7"/>
  <c r="CO40" i="7"/>
  <c r="CN233" i="7"/>
  <c r="CN394" i="7"/>
  <c r="CR89" i="7"/>
  <c r="CR10" i="7"/>
  <c r="CO10" i="7"/>
  <c r="CM10" i="7"/>
  <c r="CP81" i="7"/>
  <c r="CT121" i="7"/>
  <c r="CO51" i="7"/>
  <c r="CR51" i="7"/>
  <c r="CP389" i="7"/>
  <c r="CQ389" i="7"/>
  <c r="CM389" i="7"/>
  <c r="CN389" i="7"/>
  <c r="CS127" i="7"/>
  <c r="CP127" i="7"/>
  <c r="CQ127" i="7"/>
  <c r="CR127" i="7"/>
  <c r="CN86" i="7"/>
  <c r="CO86" i="7"/>
  <c r="CM86" i="7"/>
  <c r="CQ86" i="7"/>
  <c r="CN16" i="7"/>
  <c r="CR16" i="7"/>
  <c r="CQ16" i="7"/>
  <c r="CN52" i="7"/>
  <c r="CR52" i="7"/>
  <c r="CO32" i="7"/>
  <c r="CU32" i="7"/>
  <c r="CM32" i="7"/>
  <c r="CS32" i="7"/>
  <c r="CQ32" i="7"/>
  <c r="CT333" i="7"/>
  <c r="CS333" i="7"/>
  <c r="CM333" i="7"/>
  <c r="CN333" i="7"/>
  <c r="CR15" i="7"/>
  <c r="CT83" i="7"/>
  <c r="CN366" i="7"/>
  <c r="CR190" i="7"/>
  <c r="CS135" i="7"/>
  <c r="CN285" i="7"/>
  <c r="CP141" i="7"/>
  <c r="CS169" i="7"/>
  <c r="CP189" i="7"/>
  <c r="CP36" i="7"/>
  <c r="CT254" i="7"/>
  <c r="CS361" i="7"/>
  <c r="CN40" i="7"/>
  <c r="CR233" i="7"/>
  <c r="CP142" i="7"/>
  <c r="CN7" i="7"/>
  <c r="CT89" i="7"/>
  <c r="CR9" i="7"/>
  <c r="CR358" i="7"/>
  <c r="CP294" i="7"/>
  <c r="CP298" i="7"/>
  <c r="CO327" i="7"/>
  <c r="CT327" i="7"/>
  <c r="CQ327" i="7"/>
  <c r="CN327" i="7"/>
  <c r="CS136" i="7"/>
  <c r="CO136" i="7"/>
  <c r="CN162" i="7"/>
  <c r="CT162" i="7"/>
  <c r="CP47" i="7"/>
  <c r="CM47" i="7"/>
  <c r="CR47" i="7"/>
  <c r="CO47" i="7"/>
  <c r="CM121" i="7"/>
  <c r="CT100" i="7"/>
  <c r="CQ100" i="7"/>
  <c r="CR100" i="7"/>
  <c r="CR131" i="7"/>
  <c r="CS131" i="7"/>
  <c r="CT131" i="7"/>
  <c r="CP131" i="7"/>
  <c r="CP269" i="7"/>
  <c r="CM269" i="7"/>
  <c r="CM263" i="7"/>
  <c r="CQ52" i="7"/>
  <c r="CS335" i="7"/>
  <c r="CS116" i="7"/>
  <c r="CM188" i="7"/>
  <c r="CT63" i="7"/>
  <c r="CO105" i="7"/>
  <c r="CO81" i="7"/>
  <c r="CS314" i="7"/>
  <c r="CT73" i="7"/>
  <c r="CR116" i="7"/>
  <c r="CO301" i="7"/>
  <c r="CN277" i="7"/>
  <c r="CQ335" i="7"/>
  <c r="CR183" i="7"/>
  <c r="CS183" i="7"/>
  <c r="CO52" i="7"/>
  <c r="CT52" i="7"/>
  <c r="CT240" i="7"/>
  <c r="CN100" i="7"/>
  <c r="CS100" i="7"/>
  <c r="CT322" i="7"/>
  <c r="CQ228" i="7"/>
  <c r="CT228" i="7"/>
  <c r="CR278" i="7"/>
  <c r="CR294" i="7"/>
  <c r="CO73" i="7"/>
  <c r="CS73" i="7"/>
  <c r="CN314" i="7"/>
  <c r="CL314" i="7"/>
  <c r="CT259" i="7"/>
  <c r="CQ314" i="7"/>
  <c r="CS121" i="7"/>
  <c r="CQ202" i="7"/>
  <c r="CR81" i="7"/>
  <c r="CP116" i="7"/>
  <c r="CQ63" i="7"/>
  <c r="CN183" i="7"/>
  <c r="CM52" i="7"/>
  <c r="CM100" i="7"/>
  <c r="CN228" i="7"/>
  <c r="CR314" i="7"/>
  <c r="CM81" i="7"/>
  <c r="CS63" i="7"/>
  <c r="CT314" i="7"/>
  <c r="CO121" i="7"/>
  <c r="CQ73" i="7"/>
  <c r="CM225" i="7"/>
  <c r="CM116" i="7"/>
  <c r="CR277" i="7"/>
  <c r="CM277" i="7"/>
  <c r="CQ277" i="7"/>
  <c r="CS277" i="7"/>
  <c r="CP240" i="7"/>
  <c r="CO240" i="7"/>
  <c r="CM240" i="7"/>
  <c r="CN160" i="7"/>
  <c r="CM160" i="7"/>
  <c r="CP160" i="7"/>
  <c r="CS219" i="7"/>
  <c r="CQ219" i="7"/>
  <c r="CR219" i="7"/>
  <c r="CS48" i="7"/>
  <c r="CT48" i="7"/>
  <c r="CR48" i="7"/>
  <c r="CT393" i="7"/>
  <c r="CO393" i="7"/>
  <c r="CR97" i="7"/>
  <c r="CQ97" i="7"/>
  <c r="CS97" i="7"/>
  <c r="CS191" i="7"/>
  <c r="CN191" i="7"/>
  <c r="CT191" i="7"/>
  <c r="CO19" i="7"/>
  <c r="CQ19" i="7"/>
  <c r="CQ81" i="7"/>
  <c r="CT81" i="7"/>
  <c r="CN179" i="7"/>
  <c r="CR179" i="7"/>
  <c r="CQ263" i="7"/>
  <c r="CR263" i="7"/>
  <c r="CM335" i="7"/>
  <c r="CL335" i="7"/>
  <c r="CT335" i="7"/>
  <c r="CO335" i="7"/>
  <c r="CR335" i="7"/>
  <c r="CN301" i="7"/>
  <c r="CP301" i="7"/>
  <c r="CR301" i="7"/>
  <c r="CT301" i="7"/>
  <c r="CM301" i="7"/>
  <c r="CL301" i="7"/>
  <c r="CT168" i="7"/>
  <c r="CR168" i="7"/>
  <c r="CP168" i="7"/>
  <c r="CS168" i="7"/>
  <c r="CN278" i="7"/>
  <c r="CT278" i="7"/>
  <c r="CP278" i="7"/>
  <c r="CM278" i="7"/>
  <c r="CS159" i="7"/>
  <c r="CO159" i="7"/>
  <c r="CP159" i="7"/>
  <c r="CR159" i="7"/>
  <c r="CN355" i="7"/>
  <c r="CQ355" i="7"/>
  <c r="CO196" i="7"/>
  <c r="CP196" i="7"/>
  <c r="CT196" i="7"/>
  <c r="CO181" i="7"/>
  <c r="CN181" i="7"/>
  <c r="CQ298" i="7"/>
  <c r="CO298" i="7"/>
  <c r="CM136" i="7"/>
  <c r="CN136" i="7"/>
  <c r="CR136" i="7"/>
  <c r="CQ136" i="7"/>
  <c r="CO162" i="7"/>
  <c r="CP162" i="7"/>
  <c r="CQ162" i="7"/>
  <c r="CM162" i="7"/>
  <c r="CP211" i="7"/>
  <c r="CQ211" i="7"/>
  <c r="CN211" i="7"/>
  <c r="CT7" i="7"/>
  <c r="CO7" i="7"/>
  <c r="CM7" i="7"/>
  <c r="CR7" i="7"/>
  <c r="CN129" i="7"/>
  <c r="CR129" i="7"/>
  <c r="CT129" i="7"/>
  <c r="CS202" i="7"/>
  <c r="CP202" i="7"/>
  <c r="CS149" i="7"/>
  <c r="CQ149" i="7"/>
  <c r="CT149" i="7"/>
  <c r="CN149" i="7"/>
  <c r="CN322" i="7"/>
  <c r="CS322" i="7"/>
  <c r="CO322" i="7"/>
  <c r="CP322" i="7"/>
  <c r="CO63" i="7"/>
  <c r="CM63" i="7"/>
  <c r="CN63" i="7"/>
  <c r="CR63" i="7"/>
  <c r="CM128" i="7"/>
  <c r="CR128" i="7"/>
  <c r="CO112" i="7"/>
  <c r="CP112" i="7"/>
  <c r="CN112" i="7"/>
  <c r="CQ112" i="7"/>
  <c r="CQ154" i="7"/>
  <c r="CT154" i="7"/>
  <c r="CO154" i="7"/>
  <c r="CN154" i="7"/>
  <c r="CO12" i="7"/>
  <c r="CR12" i="7"/>
  <c r="CQ12" i="7"/>
  <c r="CT12" i="7"/>
  <c r="CR324" i="7"/>
  <c r="CM324" i="7"/>
  <c r="CO324" i="7"/>
  <c r="CS324" i="7"/>
  <c r="CP51" i="7"/>
  <c r="CS51" i="7"/>
  <c r="CM51" i="7"/>
  <c r="CQ51" i="7"/>
  <c r="CQ301" i="7"/>
  <c r="CM325" i="7"/>
  <c r="CO325" i="7"/>
  <c r="CN325" i="7"/>
  <c r="CR325" i="7"/>
  <c r="CN210" i="7"/>
  <c r="CP210" i="7"/>
  <c r="CO210" i="7"/>
  <c r="CQ78" i="7"/>
  <c r="CT78" i="7"/>
  <c r="CQ269" i="7"/>
  <c r="CT269" i="7"/>
  <c r="CT188" i="7"/>
  <c r="CP188" i="7"/>
  <c r="CS21" i="7"/>
  <c r="CM21" i="7"/>
  <c r="CS16" i="7"/>
  <c r="CT16" i="7"/>
  <c r="CS357" i="7"/>
  <c r="CR357" i="7"/>
  <c r="CQ173" i="7"/>
  <c r="CM173" i="7"/>
  <c r="CT341" i="7"/>
  <c r="CQ341" i="7"/>
  <c r="CM261" i="7"/>
  <c r="CT116" i="7"/>
  <c r="CN116" i="7"/>
  <c r="CQ261" i="7"/>
  <c r="CO16" i="7"/>
  <c r="CO357" i="7"/>
  <c r="CR173" i="7"/>
  <c r="CM341" i="7"/>
  <c r="CS179" i="7"/>
  <c r="CM393" i="7"/>
  <c r="CT85" i="7"/>
  <c r="CQ116" i="7"/>
  <c r="CO116" i="7"/>
  <c r="CR297" i="7"/>
  <c r="CM297" i="7"/>
  <c r="CN297" i="7"/>
  <c r="CQ297" i="7"/>
  <c r="CT294" i="7"/>
  <c r="CM294" i="7"/>
  <c r="CP19" i="7"/>
  <c r="CM19" i="7"/>
  <c r="CR19" i="7"/>
  <c r="CS19" i="7"/>
  <c r="CQ259" i="7"/>
  <c r="CO259" i="7"/>
  <c r="CS259" i="7"/>
  <c r="CP263" i="7"/>
  <c r="CQ361" i="7"/>
  <c r="CR361" i="7"/>
  <c r="CN361" i="7"/>
  <c r="CM361" i="7"/>
  <c r="CR78" i="7"/>
  <c r="CM78" i="7"/>
  <c r="CS78" i="7"/>
  <c r="CP78" i="7"/>
  <c r="CR269" i="7"/>
  <c r="CN269" i="7"/>
  <c r="CO269" i="7"/>
  <c r="CS269" i="7"/>
  <c r="CP215" i="7"/>
  <c r="CR215" i="7"/>
  <c r="CN215" i="7"/>
  <c r="CT215" i="7"/>
  <c r="CS215" i="7"/>
  <c r="CM215" i="7"/>
  <c r="CQ215" i="7"/>
  <c r="CO215" i="7"/>
  <c r="CR188" i="7"/>
  <c r="CS188" i="7"/>
  <c r="CO188" i="7"/>
  <c r="CN188" i="7"/>
  <c r="CT128" i="7"/>
  <c r="CO128" i="7"/>
  <c r="CQ128" i="7"/>
  <c r="CN128" i="7"/>
  <c r="CM394" i="7"/>
  <c r="CL394" i="7"/>
  <c r="CT394" i="7"/>
  <c r="CO394" i="7"/>
  <c r="CP394" i="7"/>
  <c r="CM40" i="7"/>
  <c r="CR40" i="7"/>
  <c r="CP40" i="7"/>
  <c r="CT40" i="7"/>
  <c r="CQ142" i="7"/>
  <c r="CM142" i="7"/>
  <c r="CN142" i="7"/>
  <c r="CT142" i="7"/>
  <c r="CQ233" i="7"/>
  <c r="CS233" i="7"/>
  <c r="CT233" i="7"/>
  <c r="CM233" i="7"/>
  <c r="CL233" i="7"/>
  <c r="CQ9" i="7"/>
  <c r="CM9" i="7"/>
  <c r="CO9" i="7"/>
  <c r="CN9" i="7"/>
  <c r="CS167" i="7"/>
  <c r="CN167" i="7"/>
  <c r="CO294" i="7"/>
  <c r="CS351" i="7"/>
  <c r="CQ351" i="7"/>
  <c r="CR351" i="7"/>
  <c r="CN351" i="7"/>
  <c r="CP329" i="7"/>
  <c r="CM351" i="7"/>
  <c r="CM329" i="7"/>
  <c r="CN329" i="7"/>
  <c r="CT68" i="7"/>
  <c r="CO68" i="7"/>
  <c r="CR196" i="7"/>
  <c r="CN196" i="7"/>
  <c r="CM298" i="7"/>
  <c r="CO179" i="7"/>
  <c r="CM179" i="7"/>
  <c r="CL179" i="7"/>
  <c r="CR393" i="7"/>
  <c r="CT263" i="7"/>
  <c r="CO263" i="7"/>
  <c r="CM356" i="7"/>
  <c r="CL356" i="7"/>
  <c r="CQ356" i="7"/>
  <c r="CM129" i="7"/>
  <c r="CS129" i="7"/>
  <c r="CS211" i="7"/>
  <c r="CM211" i="7"/>
  <c r="CS112" i="7"/>
  <c r="CT112" i="7"/>
  <c r="CR181" i="7"/>
  <c r="CM358" i="7"/>
  <c r="CO358" i="7"/>
  <c r="CT351" i="7"/>
  <c r="CP10" i="7"/>
  <c r="CP167" i="7"/>
  <c r="CR140" i="7"/>
  <c r="CO225" i="7"/>
  <c r="CO351" i="7"/>
  <c r="CO329" i="7"/>
  <c r="CO314" i="7"/>
  <c r="CP225" i="7"/>
  <c r="CQ225" i="7"/>
  <c r="CT225" i="7"/>
  <c r="CN225" i="7"/>
  <c r="CR225" i="7"/>
  <c r="CR329" i="7"/>
  <c r="CQ329" i="7"/>
  <c r="CN68" i="7"/>
  <c r="CM196" i="7"/>
  <c r="CP179" i="7"/>
  <c r="CS263" i="7"/>
  <c r="CT356" i="7"/>
  <c r="CQ129" i="7"/>
  <c r="CT211" i="7"/>
  <c r="CQ181" i="7"/>
  <c r="CT358" i="7"/>
  <c r="CO21" i="7"/>
  <c r="CQ393" i="7"/>
  <c r="CT298" i="7"/>
  <c r="CP351" i="7"/>
  <c r="CO202" i="7"/>
  <c r="CR202" i="7"/>
  <c r="CM202" i="7"/>
  <c r="CQ121" i="7"/>
  <c r="CR121" i="7"/>
  <c r="CS329" i="7"/>
  <c r="CN121" i="7"/>
  <c r="CN71" i="7"/>
  <c r="CO71" i="7"/>
  <c r="CQ71" i="7"/>
  <c r="CM71" i="7"/>
  <c r="CT71" i="7"/>
  <c r="CS71" i="7"/>
  <c r="CR71" i="7"/>
  <c r="CP71" i="7"/>
  <c r="CR220" i="7"/>
  <c r="CN220" i="7"/>
  <c r="CQ220" i="7"/>
  <c r="CM220" i="7"/>
  <c r="CP220" i="7"/>
  <c r="CO220" i="7"/>
  <c r="CT220" i="7"/>
  <c r="CS220" i="7"/>
  <c r="CP105" i="7"/>
  <c r="CM105" i="7"/>
  <c r="CT21" i="7"/>
  <c r="CQ21" i="7"/>
  <c r="CN184" i="7"/>
  <c r="CM184" i="7"/>
  <c r="CO184" i="7"/>
  <c r="CS184" i="7"/>
  <c r="CP184" i="7"/>
  <c r="CT184" i="7"/>
  <c r="CQ184" i="7"/>
  <c r="CR184" i="7"/>
  <c r="CO139" i="7"/>
  <c r="CR139" i="7"/>
  <c r="CP139" i="7"/>
  <c r="CS139" i="7"/>
  <c r="CQ139" i="7"/>
  <c r="CT139" i="7"/>
  <c r="CN139" i="7"/>
  <c r="CM139" i="7"/>
  <c r="CO140" i="7"/>
  <c r="CS306" i="7"/>
  <c r="CR306" i="7"/>
  <c r="CQ306" i="7"/>
  <c r="CN306" i="7"/>
  <c r="CP306" i="7"/>
  <c r="CO306" i="7"/>
  <c r="CT306" i="7"/>
  <c r="CM306" i="7"/>
  <c r="CP140" i="7"/>
  <c r="CM137" i="7"/>
  <c r="CN137" i="7"/>
  <c r="CO137" i="7"/>
  <c r="CS137" i="7"/>
  <c r="CP137" i="7"/>
  <c r="CT137" i="7"/>
  <c r="CR137" i="7"/>
  <c r="CQ137" i="7"/>
  <c r="CM377" i="7"/>
  <c r="CQ377" i="7"/>
  <c r="CP377" i="7"/>
  <c r="CN377" i="7"/>
  <c r="CS377" i="7"/>
  <c r="CR377" i="7"/>
  <c r="CO377" i="7"/>
  <c r="CU377" i="7"/>
  <c r="CT377" i="7"/>
  <c r="CQ61" i="7"/>
  <c r="CR105" i="7"/>
  <c r="CS105" i="7"/>
  <c r="CQ48" i="7"/>
  <c r="CM48" i="7"/>
  <c r="CP219" i="7"/>
  <c r="CN219" i="7"/>
  <c r="CS298" i="7"/>
  <c r="CN298" i="7"/>
  <c r="CQ160" i="7"/>
  <c r="CO160" i="7"/>
  <c r="CQ240" i="7"/>
  <c r="CR240" i="7"/>
  <c r="CM97" i="7"/>
  <c r="CP97" i="7"/>
  <c r="CN393" i="7"/>
  <c r="CP393" i="7"/>
  <c r="CR191" i="7"/>
  <c r="CM191" i="7"/>
  <c r="CL191" i="7"/>
  <c r="CO355" i="7"/>
  <c r="CP181" i="7"/>
  <c r="CT181" i="7"/>
  <c r="CM259" i="7"/>
  <c r="CR259" i="7"/>
  <c r="CN294" i="7"/>
  <c r="CS294" i="7"/>
  <c r="CR21" i="7"/>
  <c r="CN21" i="7"/>
  <c r="CR167" i="7"/>
  <c r="CM167" i="7"/>
  <c r="CK334" i="7"/>
  <c r="CK305" i="7"/>
  <c r="CT140" i="7"/>
  <c r="CM140" i="7"/>
  <c r="CN81" i="7"/>
  <c r="CS81" i="7"/>
  <c r="CQ140" i="7"/>
  <c r="CT105" i="7"/>
  <c r="CP48" i="7"/>
  <c r="CO219" i="7"/>
  <c r="CR298" i="7"/>
  <c r="CR160" i="7"/>
  <c r="CS240" i="7"/>
  <c r="CO97" i="7"/>
  <c r="CS393" i="7"/>
  <c r="CQ191" i="7"/>
  <c r="CM355" i="7"/>
  <c r="CS181" i="7"/>
  <c r="CN259" i="7"/>
  <c r="CQ294" i="7"/>
  <c r="CP21" i="7"/>
  <c r="CQ167" i="7"/>
  <c r="CM122" i="7"/>
  <c r="CT122" i="7"/>
  <c r="CR122" i="7"/>
  <c r="CQ122" i="7"/>
  <c r="CP122" i="7"/>
  <c r="CN122" i="7"/>
  <c r="CS122" i="7"/>
  <c r="CO122" i="7"/>
  <c r="CN3" i="7"/>
  <c r="CO3" i="7"/>
  <c r="CS3" i="7"/>
  <c r="CP3" i="7"/>
  <c r="CR3" i="7"/>
  <c r="CQ3" i="7"/>
  <c r="CT3" i="7"/>
  <c r="CM3" i="7"/>
  <c r="CS276" i="7"/>
  <c r="CN276" i="7"/>
  <c r="CR276" i="7"/>
  <c r="CT276" i="7"/>
  <c r="CO276" i="7"/>
  <c r="CP276" i="7"/>
  <c r="CM276" i="7"/>
  <c r="CQ276" i="7"/>
  <c r="CS140" i="7"/>
  <c r="CQ60" i="7"/>
  <c r="CN66" i="7"/>
  <c r="CM60" i="7"/>
  <c r="CR355" i="7"/>
  <c r="CS355" i="7"/>
  <c r="CQ288" i="7"/>
  <c r="CJ344" i="7"/>
  <c r="CT355" i="7"/>
  <c r="CJ99" i="7"/>
  <c r="CF308" i="7"/>
  <c r="CH308" i="7"/>
  <c r="CE308" i="7"/>
  <c r="CB308" i="7"/>
  <c r="BZ308" i="7"/>
  <c r="CA308" i="7"/>
  <c r="CC308" i="7"/>
  <c r="CD308" i="7"/>
  <c r="CG308" i="7"/>
  <c r="BY308" i="7"/>
  <c r="CI308" i="7"/>
  <c r="CI336" i="7"/>
  <c r="CD336" i="7"/>
  <c r="CC336" i="7"/>
  <c r="CF336" i="7"/>
  <c r="BY336" i="7"/>
  <c r="CA336" i="7"/>
  <c r="CH336" i="7"/>
  <c r="CE336" i="7"/>
  <c r="CB336" i="7"/>
  <c r="BZ336" i="7"/>
  <c r="CG336" i="7"/>
  <c r="CD96" i="7"/>
  <c r="CB96" i="7"/>
  <c r="BY96" i="7"/>
  <c r="CK96" i="7"/>
  <c r="CF96" i="7"/>
  <c r="CG96" i="7"/>
  <c r="CE96" i="7"/>
  <c r="CH96" i="7"/>
  <c r="BZ96" i="7"/>
  <c r="CC96" i="7"/>
  <c r="CI96" i="7"/>
  <c r="CA96" i="7"/>
  <c r="CN346" i="7"/>
  <c r="CN49" i="7"/>
  <c r="CS49" i="7"/>
  <c r="CO346" i="7"/>
  <c r="CR61" i="7"/>
  <c r="CS151" i="7"/>
  <c r="CO61" i="7"/>
  <c r="CP61" i="7"/>
  <c r="CQ49" i="7"/>
  <c r="CP49" i="7"/>
  <c r="CQ151" i="7"/>
  <c r="CT151" i="7"/>
  <c r="CQ312" i="7"/>
  <c r="CT312" i="7"/>
  <c r="CP346" i="7"/>
  <c r="CM346" i="7"/>
  <c r="CT60" i="7"/>
  <c r="CR60" i="7"/>
  <c r="CP79" i="7"/>
  <c r="CO79" i="7"/>
  <c r="CR281" i="7"/>
  <c r="CS281" i="7"/>
  <c r="CT79" i="7"/>
  <c r="CM79" i="7"/>
  <c r="CM281" i="7"/>
  <c r="CP281" i="7"/>
  <c r="CT61" i="7"/>
  <c r="CS61" i="7"/>
  <c r="CR49" i="7"/>
  <c r="CN151" i="7"/>
  <c r="CR151" i="7"/>
  <c r="CO312" i="7"/>
  <c r="CN312" i="7"/>
  <c r="CQ346" i="7"/>
  <c r="CT346" i="7"/>
  <c r="CN60" i="7"/>
  <c r="CP60" i="7"/>
  <c r="CQ79" i="7"/>
  <c r="CR79" i="7"/>
  <c r="CO281" i="7"/>
  <c r="CN281" i="7"/>
  <c r="CM61" i="7"/>
  <c r="CT49" i="7"/>
  <c r="CO49" i="7"/>
  <c r="CO151" i="7"/>
  <c r="CM151" i="7"/>
  <c r="CL151" i="7"/>
  <c r="CR312" i="7"/>
  <c r="CS346" i="7"/>
  <c r="CO60" i="7"/>
  <c r="CN79" i="7"/>
  <c r="CT281" i="7"/>
  <c r="CV307" i="7"/>
  <c r="CL279" i="7"/>
  <c r="CL44" i="7"/>
  <c r="G8" i="8"/>
  <c r="J8" i="8"/>
  <c r="CW37" i="7"/>
  <c r="CL127" i="7"/>
  <c r="CL389" i="7"/>
  <c r="CL324" i="7"/>
  <c r="CL306" i="7"/>
  <c r="CL83" i="7"/>
  <c r="CW252" i="7"/>
  <c r="CW117" i="7"/>
  <c r="CL262" i="7"/>
  <c r="CL125" i="7"/>
  <c r="CL183" i="7"/>
  <c r="CL350" i="7"/>
  <c r="CV346" i="7"/>
  <c r="CL297" i="7"/>
  <c r="CL220" i="7"/>
  <c r="CL18" i="7"/>
  <c r="CL211" i="7"/>
  <c r="CL280" i="7"/>
  <c r="CU15" i="7"/>
  <c r="CV24" i="7"/>
  <c r="CL140" i="7"/>
  <c r="CL73" i="7"/>
  <c r="CL245" i="7"/>
  <c r="CL258" i="7"/>
  <c r="CL109" i="7"/>
  <c r="CL351" i="7"/>
  <c r="CL263" i="7"/>
  <c r="CL101" i="7"/>
  <c r="CL40" i="7"/>
  <c r="CL223" i="7"/>
  <c r="CV45" i="7"/>
  <c r="CL184" i="7"/>
  <c r="CL346" i="7"/>
  <c r="CV185" i="7"/>
  <c r="CW60" i="7"/>
  <c r="CL105" i="7"/>
  <c r="CL10" i="7"/>
  <c r="CW210" i="7"/>
  <c r="CR378" i="7"/>
  <c r="CU355" i="7"/>
  <c r="CL303" i="7"/>
  <c r="CU151" i="7"/>
  <c r="CL34" i="7"/>
  <c r="CL319" i="7"/>
  <c r="CL113" i="7"/>
  <c r="CL341" i="7"/>
  <c r="CL214" i="7"/>
  <c r="CL302" i="7"/>
  <c r="CL386" i="7"/>
  <c r="CL182" i="7"/>
  <c r="CL51" i="7"/>
  <c r="CL167" i="7"/>
  <c r="CL358" i="7"/>
  <c r="CL162" i="7"/>
  <c r="CU287" i="7"/>
  <c r="CL39" i="7"/>
  <c r="CL148" i="7"/>
  <c r="CV251" i="7"/>
  <c r="CL74" i="7"/>
  <c r="CL299" i="7"/>
  <c r="CL19" i="7"/>
  <c r="CL261" i="7"/>
  <c r="CL174" i="7"/>
  <c r="CL117" i="7"/>
  <c r="CL268" i="7"/>
  <c r="CL289" i="7"/>
  <c r="CL149" i="7"/>
  <c r="CL170" i="7"/>
  <c r="CL25" i="7"/>
  <c r="CL35" i="7"/>
  <c r="CL133" i="7"/>
  <c r="CL276" i="7"/>
  <c r="CL355" i="7"/>
  <c r="CL103" i="7"/>
  <c r="CL291" i="7"/>
  <c r="CL247" i="7"/>
  <c r="CL24" i="7"/>
  <c r="CL287" i="7"/>
  <c r="CL7" i="7"/>
  <c r="CL393" i="7"/>
  <c r="CL126" i="7"/>
  <c r="CL37" i="7"/>
  <c r="CL248" i="7"/>
  <c r="CL38" i="7"/>
  <c r="CL339" i="7"/>
  <c r="CL377" i="7"/>
  <c r="CL329" i="7"/>
  <c r="CL282" i="7"/>
  <c r="CL366" i="7"/>
  <c r="CL32" i="7"/>
  <c r="CL21" i="7"/>
  <c r="CL269" i="7"/>
  <c r="CL337" i="7"/>
  <c r="CL272" i="7"/>
  <c r="CL307" i="7"/>
  <c r="CL153" i="7"/>
  <c r="CL323" i="7"/>
  <c r="CL292" i="7"/>
  <c r="CL251" i="7"/>
  <c r="CL16" i="7"/>
  <c r="CL338" i="7"/>
  <c r="CL259" i="7"/>
  <c r="CL298" i="7"/>
  <c r="CL210" i="7"/>
  <c r="CL327" i="7"/>
  <c r="CL310" i="7"/>
  <c r="CL315" i="7"/>
  <c r="CL131" i="7"/>
  <c r="CL45" i="7"/>
  <c r="CW301" i="7"/>
  <c r="CN381" i="7"/>
  <c r="CL61" i="7"/>
  <c r="CL97" i="7"/>
  <c r="CL202" i="7"/>
  <c r="CL277" i="7"/>
  <c r="CV210" i="7"/>
  <c r="CU133" i="7"/>
  <c r="CL130" i="7"/>
  <c r="CL47" i="7"/>
  <c r="CL172" i="7"/>
  <c r="CL176" i="7"/>
  <c r="CL72" i="7"/>
  <c r="CL159" i="7"/>
  <c r="CL15" i="7"/>
  <c r="CL123" i="7"/>
  <c r="CL50" i="7"/>
  <c r="CL115" i="7"/>
  <c r="CL132" i="7"/>
  <c r="CN290" i="7"/>
  <c r="CL129" i="7"/>
  <c r="CL283" i="7"/>
  <c r="CL121" i="7"/>
  <c r="CL78" i="7"/>
  <c r="CL138" i="7"/>
  <c r="CL71" i="7"/>
  <c r="CL9" i="7"/>
  <c r="CL86" i="7"/>
  <c r="CL54" i="7"/>
  <c r="CL185" i="7"/>
  <c r="CL114" i="7"/>
  <c r="CL196" i="7"/>
  <c r="CL63" i="7"/>
  <c r="CL333" i="7"/>
  <c r="CL85" i="7"/>
  <c r="CL161" i="7"/>
  <c r="CL100" i="7"/>
  <c r="CL212" i="7"/>
  <c r="CL180" i="7"/>
  <c r="CL342" i="7"/>
  <c r="CL6" i="7"/>
  <c r="CL173" i="7"/>
  <c r="CL52" i="7"/>
  <c r="CL189" i="7"/>
  <c r="CL145" i="7"/>
  <c r="CL190" i="7"/>
  <c r="CL217" i="7"/>
  <c r="CL48" i="7"/>
  <c r="CL169" i="7"/>
  <c r="CL118" i="7"/>
  <c r="CL90" i="7"/>
  <c r="CW319" i="7"/>
  <c r="CL304" i="7"/>
  <c r="CL128" i="7"/>
  <c r="CL136" i="7"/>
  <c r="CL36" i="7"/>
  <c r="CL13" i="7"/>
  <c r="CL60" i="7"/>
  <c r="CL228" i="7"/>
  <c r="CL122" i="7"/>
  <c r="CL137" i="7"/>
  <c r="CL252" i="7"/>
  <c r="CL300" i="7"/>
  <c r="CL3" i="7"/>
  <c r="CL116" i="7"/>
  <c r="CL89" i="7"/>
  <c r="CL59" i="7"/>
  <c r="CL221" i="7"/>
  <c r="CL68" i="7"/>
  <c r="CL87" i="7"/>
  <c r="CL267" i="7"/>
  <c r="CL77" i="7"/>
  <c r="CL168" i="7"/>
  <c r="CL265" i="7"/>
  <c r="CL175" i="7"/>
  <c r="CL46" i="7"/>
  <c r="CL322" i="7"/>
  <c r="CL156" i="7"/>
  <c r="CL104" i="7"/>
  <c r="CL82" i="7"/>
  <c r="CL163" i="7"/>
  <c r="CL313" i="7"/>
  <c r="CL240" i="7"/>
  <c r="CL64" i="7"/>
  <c r="CL53" i="7"/>
  <c r="CL361" i="7"/>
  <c r="CL294" i="7"/>
  <c r="CL225" i="7"/>
  <c r="CL285" i="7"/>
  <c r="CL112" i="7"/>
  <c r="CL154" i="7"/>
  <c r="CL135" i="7"/>
  <c r="CL254" i="7"/>
  <c r="CL281" i="7"/>
  <c r="CL139" i="7"/>
  <c r="CL325" i="7"/>
  <c r="CL81" i="7"/>
  <c r="CL357" i="7"/>
  <c r="CL22" i="7"/>
  <c r="CL347" i="7"/>
  <c r="CL141" i="7"/>
  <c r="CL266" i="7"/>
  <c r="CL352" i="7"/>
  <c r="CL317" i="7"/>
  <c r="CL177" i="7"/>
  <c r="CL55" i="7"/>
  <c r="CL12" i="7"/>
  <c r="CL4" i="7"/>
  <c r="CL146" i="7"/>
  <c r="CL166" i="7"/>
  <c r="CL49" i="7"/>
  <c r="CL147" i="7"/>
  <c r="CL79" i="7"/>
  <c r="CL142" i="7"/>
  <c r="CL215" i="7"/>
  <c r="CL278" i="7"/>
  <c r="CL160" i="7"/>
  <c r="CL188" i="7"/>
  <c r="CL181" i="7"/>
  <c r="CL58" i="7"/>
  <c r="CL219" i="7"/>
  <c r="CL312" i="7"/>
  <c r="CL11" i="7"/>
  <c r="CL270" i="7"/>
  <c r="CL5" i="7"/>
  <c r="CL187" i="7"/>
  <c r="CL57" i="7"/>
  <c r="CL28" i="7"/>
  <c r="CT93" i="7"/>
  <c r="CP119" i="7"/>
  <c r="CQ284" i="7"/>
  <c r="CT328" i="7"/>
  <c r="CS316" i="7"/>
  <c r="CT224" i="7"/>
  <c r="CV172" i="7"/>
  <c r="CN20" i="7"/>
  <c r="CR360" i="7"/>
  <c r="CP23" i="7"/>
  <c r="CN203" i="7"/>
  <c r="CT124" i="7"/>
  <c r="CR144" i="7"/>
  <c r="CN70" i="7"/>
  <c r="CM244" i="7"/>
  <c r="CP110" i="7"/>
  <c r="CT353" i="7"/>
  <c r="CN171" i="7"/>
  <c r="CP17" i="7"/>
  <c r="CO95" i="7"/>
  <c r="CP201" i="7"/>
  <c r="CP164" i="7"/>
  <c r="CM318" i="7"/>
  <c r="CS102" i="7"/>
  <c r="CQ316" i="7"/>
  <c r="CV211" i="7"/>
  <c r="CN328" i="7"/>
  <c r="CS348" i="7"/>
  <c r="CS108" i="7"/>
  <c r="CN271" i="7"/>
  <c r="CN120" i="7"/>
  <c r="CO257" i="7"/>
  <c r="CR326" i="7"/>
  <c r="CQ150" i="7"/>
  <c r="CR98" i="7"/>
  <c r="CO106" i="7"/>
  <c r="CQ69" i="7"/>
  <c r="CN80" i="7"/>
  <c r="CP8" i="7"/>
  <c r="CT66" i="7"/>
  <c r="CM288" i="7"/>
  <c r="CS222" i="7"/>
  <c r="CT111" i="7"/>
  <c r="CW111" i="7"/>
  <c r="CO216" i="7"/>
  <c r="CR143" i="7"/>
  <c r="CP318" i="7"/>
  <c r="CM119" i="7"/>
  <c r="CU277" i="7"/>
  <c r="CM390" i="7"/>
  <c r="CP311" i="7"/>
  <c r="CM31" i="7"/>
  <c r="CR264" i="7"/>
  <c r="CM207" i="7"/>
  <c r="CS56" i="7"/>
  <c r="CO157" i="7"/>
  <c r="CQ84" i="7"/>
  <c r="CR76" i="7"/>
  <c r="CN65" i="7"/>
  <c r="CR381" i="7"/>
  <c r="CT91" i="7"/>
  <c r="CS67" i="7"/>
  <c r="CO378" i="7"/>
  <c r="CU378" i="7"/>
  <c r="CV262" i="7"/>
  <c r="CP66" i="7"/>
  <c r="CW142" i="7"/>
  <c r="CV228" i="7"/>
  <c r="CS271" i="7"/>
  <c r="CU356" i="7"/>
  <c r="CR120" i="7"/>
  <c r="CW79" i="7"/>
  <c r="CT271" i="7"/>
  <c r="CP288" i="7"/>
  <c r="CW366" i="7"/>
  <c r="CW221" i="7"/>
  <c r="CN108" i="7"/>
  <c r="CU183" i="7"/>
  <c r="CW113" i="7"/>
  <c r="CU262" i="7"/>
  <c r="CU315" i="7"/>
  <c r="CT20" i="7"/>
  <c r="CV35" i="7"/>
  <c r="CW38" i="7"/>
  <c r="CV64" i="7"/>
  <c r="CM316" i="7"/>
  <c r="CQ318" i="7"/>
  <c r="CQ224" i="7"/>
  <c r="CN111" i="7"/>
  <c r="CP216" i="7"/>
  <c r="CS119" i="7"/>
  <c r="CR284" i="7"/>
  <c r="CU324" i="7"/>
  <c r="CU7" i="7"/>
  <c r="CP284" i="7"/>
  <c r="CN143" i="7"/>
  <c r="CV131" i="7"/>
  <c r="CQ102" i="7"/>
  <c r="CO328" i="7"/>
  <c r="CM201" i="7"/>
  <c r="CW147" i="7"/>
  <c r="CS143" i="7"/>
  <c r="CO316" i="7"/>
  <c r="CO318" i="7"/>
  <c r="CM224" i="7"/>
  <c r="CS216" i="7"/>
  <c r="CQ119" i="7"/>
  <c r="CV259" i="7"/>
  <c r="CT284" i="7"/>
  <c r="CO284" i="7"/>
  <c r="CU131" i="7"/>
  <c r="CM143" i="7"/>
  <c r="CL143" i="7"/>
  <c r="CT102" i="7"/>
  <c r="CP328" i="7"/>
  <c r="CU279" i="7"/>
  <c r="CV13" i="7"/>
  <c r="CR316" i="7"/>
  <c r="CR318" i="7"/>
  <c r="CS224" i="7"/>
  <c r="CM216" i="7"/>
  <c r="CL216" i="7"/>
  <c r="CO119" i="7"/>
  <c r="CO164" i="7"/>
  <c r="CQ328" i="7"/>
  <c r="CO102" i="7"/>
  <c r="CU166" i="7"/>
  <c r="T22" i="6"/>
  <c r="CW268" i="7"/>
  <c r="CR390" i="7"/>
  <c r="CM264" i="7"/>
  <c r="CV174" i="7"/>
  <c r="CW50" i="7"/>
  <c r="CW90" i="7"/>
  <c r="CN84" i="7"/>
  <c r="CW358" i="7"/>
  <c r="CW297" i="7"/>
  <c r="CV25" i="7"/>
  <c r="CW303" i="7"/>
  <c r="CW299" i="7"/>
  <c r="CV255" i="7"/>
  <c r="CV291" i="7"/>
  <c r="CW300" i="7"/>
  <c r="CU6" i="7"/>
  <c r="CN23" i="7"/>
  <c r="CV81" i="7"/>
  <c r="CM360" i="7"/>
  <c r="CO360" i="7"/>
  <c r="CQ23" i="7"/>
  <c r="CM95" i="7"/>
  <c r="CO155" i="7"/>
  <c r="CU259" i="7"/>
  <c r="CU286" i="7"/>
  <c r="CV133" i="7"/>
  <c r="CO353" i="7"/>
  <c r="CP360" i="7"/>
  <c r="CR23" i="7"/>
  <c r="CN144" i="7"/>
  <c r="CW133" i="7"/>
  <c r="CN360" i="7"/>
  <c r="CM23" i="7"/>
  <c r="CL23" i="7"/>
  <c r="CO20" i="7"/>
  <c r="CU18" i="7"/>
  <c r="CW258" i="7"/>
  <c r="R23" i="6"/>
  <c r="S23" i="6"/>
  <c r="Q24" i="6"/>
  <c r="CO348" i="7"/>
  <c r="CP120" i="7"/>
  <c r="CM326" i="7"/>
  <c r="CW324" i="7"/>
  <c r="CV149" i="7"/>
  <c r="CW109" i="7"/>
  <c r="CV53" i="7"/>
  <c r="CV283" i="7"/>
  <c r="CT348" i="7"/>
  <c r="CS326" i="7"/>
  <c r="CU78" i="7"/>
  <c r="CW277" i="7"/>
  <c r="CU333" i="7"/>
  <c r="CW46" i="7"/>
  <c r="CU247" i="7"/>
  <c r="CV247" i="7"/>
  <c r="CU346" i="7"/>
  <c r="CV258" i="7"/>
  <c r="CU101" i="7"/>
  <c r="CW345" i="7"/>
  <c r="CW350" i="7"/>
  <c r="CU58" i="7"/>
  <c r="CV88" i="7"/>
  <c r="CR290" i="7"/>
  <c r="CU37" i="7"/>
  <c r="CU149" i="7"/>
  <c r="CU82" i="7"/>
  <c r="CW255" i="7"/>
  <c r="CV315" i="7"/>
  <c r="CW262" i="7"/>
  <c r="CU25" i="7"/>
  <c r="CN378" i="7"/>
  <c r="CS381" i="7"/>
  <c r="CO381" i="7"/>
  <c r="CU381" i="7"/>
  <c r="CR305" i="7"/>
  <c r="CS264" i="7"/>
  <c r="CO264" i="7"/>
  <c r="CV141" i="7"/>
  <c r="CV394" i="7"/>
  <c r="CN264" i="7"/>
  <c r="CQ201" i="7"/>
  <c r="CQ264" i="7"/>
  <c r="CU114" i="7"/>
  <c r="CW156" i="7"/>
  <c r="CV55" i="7"/>
  <c r="CT378" i="7"/>
  <c r="CM378" i="7"/>
  <c r="CT143" i="7"/>
  <c r="CO143" i="7"/>
  <c r="CU143" i="7"/>
  <c r="CM381" i="7"/>
  <c r="CL381" i="7"/>
  <c r="CT381" i="7"/>
  <c r="CP316" i="7"/>
  <c r="CT316" i="7"/>
  <c r="CT318" i="7"/>
  <c r="CS318" i="7"/>
  <c r="CR224" i="7"/>
  <c r="CP224" i="7"/>
  <c r="CU224" i="7"/>
  <c r="CT360" i="7"/>
  <c r="CS360" i="7"/>
  <c r="CT23" i="7"/>
  <c r="CO23" i="7"/>
  <c r="CO111" i="7"/>
  <c r="CR216" i="7"/>
  <c r="CT216" i="7"/>
  <c r="CN119" i="7"/>
  <c r="CT119" i="7"/>
  <c r="CN164" i="7"/>
  <c r="CM284" i="7"/>
  <c r="CU16" i="7"/>
  <c r="CV159" i="7"/>
  <c r="CP102" i="7"/>
  <c r="CW327" i="7"/>
  <c r="CQ143" i="7"/>
  <c r="CS328" i="7"/>
  <c r="CR328" i="7"/>
  <c r="CU34" i="7"/>
  <c r="CN102" i="7"/>
  <c r="CM290" i="7"/>
  <c r="CM20" i="7"/>
  <c r="CN201" i="7"/>
  <c r="CS20" i="7"/>
  <c r="CQ20" i="7"/>
  <c r="CW161" i="7"/>
  <c r="CO201" i="7"/>
  <c r="CU292" i="7"/>
  <c r="CM328" i="7"/>
  <c r="CV282" i="7"/>
  <c r="CU323" i="7"/>
  <c r="CV182" i="7"/>
  <c r="CW223" i="7"/>
  <c r="CU64" i="7"/>
  <c r="CV366" i="7"/>
  <c r="CW339" i="7"/>
  <c r="CU74" i="7"/>
  <c r="CV107" i="7"/>
  <c r="CW88" i="7"/>
  <c r="CU59" i="7"/>
  <c r="CW35" i="7"/>
  <c r="CV323" i="7"/>
  <c r="CV104" i="7"/>
  <c r="CU339" i="7"/>
  <c r="CS378" i="7"/>
  <c r="CW378" i="7"/>
  <c r="CT264" i="7"/>
  <c r="CU223" i="7"/>
  <c r="CW6" i="7"/>
  <c r="CN157" i="7"/>
  <c r="CQ378" i="7"/>
  <c r="CV281" i="7"/>
  <c r="CQ381" i="7"/>
  <c r="CN316" i="7"/>
  <c r="CN318" i="7"/>
  <c r="CN224" i="7"/>
  <c r="CQ360" i="7"/>
  <c r="CS23" i="7"/>
  <c r="CQ216" i="7"/>
  <c r="CV216" i="7"/>
  <c r="CR119" i="7"/>
  <c r="CS284" i="7"/>
  <c r="CW228" i="7"/>
  <c r="CN284" i="7"/>
  <c r="CQ290" i="7"/>
  <c r="CU83" i="7"/>
  <c r="CO290" i="7"/>
  <c r="CM102" i="7"/>
  <c r="CU173" i="7"/>
  <c r="CR20" i="7"/>
  <c r="CP20" i="7"/>
  <c r="CU345" i="7"/>
  <c r="CV90" i="7"/>
  <c r="CR102" i="7"/>
  <c r="CV300" i="7"/>
  <c r="CW72" i="7"/>
  <c r="CP264" i="7"/>
  <c r="CW28" i="7"/>
  <c r="CW280" i="7"/>
  <c r="CW247" i="7"/>
  <c r="CW389" i="7"/>
  <c r="CU57" i="7"/>
  <c r="CV339" i="7"/>
  <c r="CW107" i="7"/>
  <c r="CV28" i="7"/>
  <c r="CV217" i="7"/>
  <c r="CV132" i="7"/>
  <c r="CW45" i="7"/>
  <c r="CV113" i="7"/>
  <c r="CP348" i="7"/>
  <c r="CP353" i="7"/>
  <c r="CQ271" i="7"/>
  <c r="CM120" i="7"/>
  <c r="CO124" i="7"/>
  <c r="CW261" i="7"/>
  <c r="CU304" i="7"/>
  <c r="CW134" i="7"/>
  <c r="CV350" i="7"/>
  <c r="CM348" i="7"/>
  <c r="CN17" i="7"/>
  <c r="CO271" i="7"/>
  <c r="CR271" i="7"/>
  <c r="CO120" i="7"/>
  <c r="CQ120" i="7"/>
  <c r="CR288" i="7"/>
  <c r="CV288" i="7"/>
  <c r="CO66" i="7"/>
  <c r="CT326" i="7"/>
  <c r="CP171" i="7"/>
  <c r="CR70" i="7"/>
  <c r="CR108" i="7"/>
  <c r="CM108" i="7"/>
  <c r="CW154" i="7"/>
  <c r="CU278" i="7"/>
  <c r="CV73" i="7"/>
  <c r="CV389" i="7"/>
  <c r="CV34" i="7"/>
  <c r="CQ110" i="7"/>
  <c r="CU44" i="7"/>
  <c r="CU270" i="7"/>
  <c r="CW126" i="7"/>
  <c r="CU307" i="7"/>
  <c r="CW153" i="7"/>
  <c r="CW125" i="7"/>
  <c r="CN33" i="7"/>
  <c r="CW279" i="7"/>
  <c r="CV303" i="7"/>
  <c r="CW130" i="7"/>
  <c r="CU299" i="7"/>
  <c r="CM124" i="7"/>
  <c r="CU55" i="7"/>
  <c r="CU255" i="7"/>
  <c r="CW18" i="7"/>
  <c r="CT17" i="7"/>
  <c r="CP271" i="7"/>
  <c r="CS120" i="7"/>
  <c r="CQ95" i="7"/>
  <c r="CM70" i="7"/>
  <c r="CO108" i="7"/>
  <c r="CU117" i="7"/>
  <c r="CW356" i="7"/>
  <c r="CU130" i="7"/>
  <c r="CR348" i="7"/>
  <c r="CN348" i="7"/>
  <c r="CQ348" i="7"/>
  <c r="CR31" i="7"/>
  <c r="CM271" i="7"/>
  <c r="CT120" i="7"/>
  <c r="CT288" i="7"/>
  <c r="CS390" i="7"/>
  <c r="CM66" i="7"/>
  <c r="CL66" i="7"/>
  <c r="CN326" i="7"/>
  <c r="CQ171" i="7"/>
  <c r="CQ155" i="7"/>
  <c r="CT108" i="7"/>
  <c r="CR244" i="7"/>
  <c r="CQ108" i="7"/>
  <c r="CP108" i="7"/>
  <c r="CV32" i="7"/>
  <c r="CW287" i="7"/>
  <c r="CV286" i="7"/>
  <c r="CV310" i="7"/>
  <c r="CV37" i="7"/>
  <c r="CU251" i="7"/>
  <c r="CW338" i="7"/>
  <c r="CV386" i="7"/>
  <c r="CU338" i="7"/>
  <c r="CV352" i="7"/>
  <c r="CV266" i="7"/>
  <c r="CV145" i="7"/>
  <c r="CV299" i="7"/>
  <c r="CW57" i="7"/>
  <c r="CV252" i="7"/>
  <c r="CW82" i="7"/>
  <c r="CU228" i="7"/>
  <c r="CV18" i="7"/>
  <c r="CU38" i="7"/>
  <c r="CN31" i="7"/>
  <c r="CR353" i="7"/>
  <c r="CT70" i="7"/>
  <c r="CM155" i="7"/>
  <c r="CL155" i="7"/>
  <c r="CV356" i="7"/>
  <c r="CN124" i="7"/>
  <c r="CU341" i="7"/>
  <c r="CV289" i="7"/>
  <c r="CS311" i="7"/>
  <c r="CV115" i="7"/>
  <c r="CU50" i="7"/>
  <c r="CM33" i="7"/>
  <c r="CL33" i="7"/>
  <c r="CW248" i="7"/>
  <c r="CU312" i="7"/>
  <c r="CM17" i="7"/>
  <c r="CS17" i="7"/>
  <c r="CT31" i="7"/>
  <c r="CQ353" i="7"/>
  <c r="CV353" i="7"/>
  <c r="CS353" i="7"/>
  <c r="CS288" i="7"/>
  <c r="CW288" i="7"/>
  <c r="CN288" i="7"/>
  <c r="CT390" i="7"/>
  <c r="CQ390" i="7"/>
  <c r="CR66" i="7"/>
  <c r="CQ66" i="7"/>
  <c r="CO326" i="7"/>
  <c r="CQ326" i="7"/>
  <c r="CS95" i="7"/>
  <c r="CR95" i="7"/>
  <c r="CR171" i="7"/>
  <c r="CO171" i="7"/>
  <c r="CP144" i="7"/>
  <c r="CO70" i="7"/>
  <c r="CP155" i="7"/>
  <c r="CR155" i="7"/>
  <c r="CW40" i="7"/>
  <c r="CO244" i="7"/>
  <c r="CV324" i="7"/>
  <c r="CM110" i="7"/>
  <c r="CN110" i="7"/>
  <c r="CU261" i="7"/>
  <c r="CN244" i="7"/>
  <c r="CU254" i="7"/>
  <c r="CU169" i="7"/>
  <c r="CU285" i="7"/>
  <c r="CO110" i="7"/>
  <c r="CS201" i="7"/>
  <c r="CV245" i="7"/>
  <c r="CU54" i="7"/>
  <c r="CV178" i="7"/>
  <c r="CQ244" i="7"/>
  <c r="CV244" i="7"/>
  <c r="CW104" i="7"/>
  <c r="CU248" i="7"/>
  <c r="CV152" i="7"/>
  <c r="CO17" i="7"/>
  <c r="CQ17" i="7"/>
  <c r="CM353" i="7"/>
  <c r="CO390" i="7"/>
  <c r="CN390" i="7"/>
  <c r="CT95" i="7"/>
  <c r="CN95" i="7"/>
  <c r="CT171" i="7"/>
  <c r="CM171" i="7"/>
  <c r="CQ144" i="7"/>
  <c r="CQ70" i="7"/>
  <c r="CT155" i="7"/>
  <c r="CS110" i="7"/>
  <c r="CW196" i="7"/>
  <c r="CU73" i="7"/>
  <c r="CW172" i="7"/>
  <c r="CO311" i="7"/>
  <c r="CW24" i="7"/>
  <c r="CV130" i="7"/>
  <c r="CO33" i="7"/>
  <c r="CU33" i="7"/>
  <c r="CU104" i="7"/>
  <c r="CV82" i="7"/>
  <c r="CR17" i="7"/>
  <c r="CN353" i="7"/>
  <c r="CO288" i="7"/>
  <c r="CP390" i="7"/>
  <c r="CS66" i="7"/>
  <c r="CP326" i="7"/>
  <c r="CU326" i="7"/>
  <c r="CP95" i="7"/>
  <c r="CS171" i="7"/>
  <c r="CM144" i="7"/>
  <c r="CS70" i="7"/>
  <c r="CP70" i="7"/>
  <c r="CS155" i="7"/>
  <c r="CT244" i="7"/>
  <c r="CS244" i="7"/>
  <c r="CW12" i="7"/>
  <c r="CV278" i="7"/>
  <c r="CS124" i="7"/>
  <c r="CU174" i="7"/>
  <c r="CP244" i="7"/>
  <c r="CR201" i="7"/>
  <c r="CV321" i="7"/>
  <c r="CT201" i="7"/>
  <c r="CW212" i="7"/>
  <c r="CU152" i="7"/>
  <c r="CW10" i="7"/>
  <c r="CW267" i="7"/>
  <c r="CQ33" i="7"/>
  <c r="CW54" i="7"/>
  <c r="CT33" i="7"/>
  <c r="CW94" i="7"/>
  <c r="CW136" i="7"/>
  <c r="CW173" i="7"/>
  <c r="CW218" i="7"/>
  <c r="CW51" i="7"/>
  <c r="CW59" i="7"/>
  <c r="CW163" i="7"/>
  <c r="CU342" i="7"/>
  <c r="CW285" i="7"/>
  <c r="CU267" i="7"/>
  <c r="CV214" i="7"/>
  <c r="CU165" i="7"/>
  <c r="CU187" i="7"/>
  <c r="CV342" i="7"/>
  <c r="CU283" i="7"/>
  <c r="CP207" i="7"/>
  <c r="CS203" i="7"/>
  <c r="CR343" i="7"/>
  <c r="CV63" i="7"/>
  <c r="CW11" i="7"/>
  <c r="CW176" i="7"/>
  <c r="CP157" i="7"/>
  <c r="CQ65" i="7"/>
  <c r="CT56" i="7"/>
  <c r="CN207" i="7"/>
  <c r="CN76" i="7"/>
  <c r="CV50" i="7"/>
  <c r="CU145" i="7"/>
  <c r="CR157" i="7"/>
  <c r="CR67" i="7"/>
  <c r="CM56" i="7"/>
  <c r="CU48" i="7"/>
  <c r="CV112" i="7"/>
  <c r="CU52" i="7"/>
  <c r="CU22" i="7"/>
  <c r="CV347" i="7"/>
  <c r="CV158" i="7"/>
  <c r="CV265" i="7"/>
  <c r="CU109" i="7"/>
  <c r="CW53" i="7"/>
  <c r="CV313" i="7"/>
  <c r="CW185" i="7"/>
  <c r="CW148" i="7"/>
  <c r="CW114" i="7"/>
  <c r="CU172" i="7"/>
  <c r="CP195" i="7"/>
  <c r="CW13" i="7"/>
  <c r="CW182" i="7"/>
  <c r="CU182" i="7"/>
  <c r="CW325" i="7"/>
  <c r="CV118" i="7"/>
  <c r="CU347" i="7"/>
  <c r="CV146" i="7"/>
  <c r="CQ157" i="7"/>
  <c r="CT157" i="7"/>
  <c r="CM157" i="7"/>
  <c r="CM65" i="7"/>
  <c r="CP67" i="7"/>
  <c r="CP84" i="7"/>
  <c r="CN56" i="7"/>
  <c r="CO56" i="7"/>
  <c r="CS207" i="7"/>
  <c r="CQ207" i="7"/>
  <c r="CT76" i="7"/>
  <c r="CR203" i="7"/>
  <c r="CV154" i="7"/>
  <c r="CO203" i="7"/>
  <c r="CQ203" i="7"/>
  <c r="CP203" i="7"/>
  <c r="CW317" i="7"/>
  <c r="CT195" i="7"/>
  <c r="CW195" i="7"/>
  <c r="CO65" i="7"/>
  <c r="CQ67" i="7"/>
  <c r="CT84" i="7"/>
  <c r="CR56" i="7"/>
  <c r="CQ56" i="7"/>
  <c r="CO207" i="7"/>
  <c r="CT207" i="7"/>
  <c r="CS76" i="7"/>
  <c r="CP343" i="7"/>
  <c r="CM203" i="7"/>
  <c r="CU357" i="7"/>
  <c r="CT203" i="7"/>
  <c r="CP91" i="7"/>
  <c r="CU147" i="7"/>
  <c r="CM91" i="7"/>
  <c r="CV46" i="7"/>
  <c r="CQ91" i="7"/>
  <c r="CU352" i="7"/>
  <c r="CV187" i="7"/>
  <c r="CS157" i="7"/>
  <c r="CW157" i="7"/>
  <c r="CP65" i="7"/>
  <c r="CN67" i="7"/>
  <c r="CR84" i="7"/>
  <c r="CP56" i="7"/>
  <c r="CR207" i="7"/>
  <c r="CM76" i="7"/>
  <c r="CN343" i="7"/>
  <c r="CW174" i="7"/>
  <c r="CV175" i="7"/>
  <c r="CV267" i="7"/>
  <c r="CS91" i="7"/>
  <c r="CR91" i="7"/>
  <c r="CW352" i="7"/>
  <c r="CW74" i="7"/>
  <c r="CW304" i="7"/>
  <c r="CV177" i="7"/>
  <c r="CV302" i="7"/>
  <c r="CS62" i="7"/>
  <c r="CU154" i="7"/>
  <c r="CQ93" i="7"/>
  <c r="CU12" i="7"/>
  <c r="CU302" i="7"/>
  <c r="CR150" i="7"/>
  <c r="CW15" i="7"/>
  <c r="CW165" i="7"/>
  <c r="CU132" i="7"/>
  <c r="CW187" i="7"/>
  <c r="CV74" i="7"/>
  <c r="CQ222" i="7"/>
  <c r="CO150" i="7"/>
  <c r="CW97" i="7"/>
  <c r="CT222" i="7"/>
  <c r="CR93" i="7"/>
  <c r="CM257" i="7"/>
  <c r="CN150" i="7"/>
  <c r="CM150" i="7"/>
  <c r="CU89" i="7"/>
  <c r="CW132" i="7"/>
  <c r="CU303" i="7"/>
  <c r="CP80" i="7"/>
  <c r="CO222" i="7"/>
  <c r="CP93" i="7"/>
  <c r="CT257" i="7"/>
  <c r="CT150" i="7"/>
  <c r="CP150" i="7"/>
  <c r="CN257" i="7"/>
  <c r="CV202" i="7"/>
  <c r="CP257" i="7"/>
  <c r="CT98" i="7"/>
  <c r="CR257" i="7"/>
  <c r="CS257" i="7"/>
  <c r="CU107" i="7"/>
  <c r="CN222" i="7"/>
  <c r="CO93" i="7"/>
  <c r="CU93" i="7"/>
  <c r="CS150" i="7"/>
  <c r="CS186" i="7"/>
  <c r="CV189" i="7"/>
  <c r="CV123" i="7"/>
  <c r="CQ257" i="7"/>
  <c r="CU88" i="7"/>
  <c r="CU266" i="7"/>
  <c r="CV138" i="7"/>
  <c r="CW44" i="7"/>
  <c r="CW342" i="7"/>
  <c r="CU77" i="7"/>
  <c r="CU265" i="7"/>
  <c r="CV163" i="7"/>
  <c r="CW269" i="7"/>
  <c r="CW152" i="7"/>
  <c r="CU178" i="7"/>
  <c r="CW177" i="7"/>
  <c r="CN98" i="7"/>
  <c r="CM98" i="7"/>
  <c r="CS98" i="7"/>
  <c r="CO98" i="7"/>
  <c r="CP98" i="7"/>
  <c r="CT69" i="7"/>
  <c r="CP69" i="7"/>
  <c r="CN69" i="7"/>
  <c r="CO69" i="7"/>
  <c r="CS69" i="7"/>
  <c r="CR69" i="7"/>
  <c r="CS8" i="7"/>
  <c r="CN8" i="7"/>
  <c r="CT8" i="7"/>
  <c r="CQ8" i="7"/>
  <c r="CR62" i="7"/>
  <c r="CM62" i="7"/>
  <c r="CQ62" i="7"/>
  <c r="CN62" i="7"/>
  <c r="CT62" i="7"/>
  <c r="CM8" i="7"/>
  <c r="CL8" i="7"/>
  <c r="CW81" i="7"/>
  <c r="CV48" i="7"/>
  <c r="CQ98" i="7"/>
  <c r="CV180" i="7"/>
  <c r="CV337" i="7"/>
  <c r="CV156" i="7"/>
  <c r="CT311" i="7"/>
  <c r="CR311" i="7"/>
  <c r="CQ311" i="7"/>
  <c r="CN311" i="7"/>
  <c r="CM311" i="7"/>
  <c r="CP31" i="7"/>
  <c r="CO31" i="7"/>
  <c r="CS31" i="7"/>
  <c r="CQ31" i="7"/>
  <c r="CU156" i="7"/>
  <c r="CN186" i="7"/>
  <c r="CL186" i="7"/>
  <c r="CT186" i="7"/>
  <c r="CO186" i="7"/>
  <c r="CR186" i="7"/>
  <c r="CQ186" i="7"/>
  <c r="CO8" i="7"/>
  <c r="CP186" i="7"/>
  <c r="CU218" i="7"/>
  <c r="CW146" i="7"/>
  <c r="CQ111" i="7"/>
  <c r="CP111" i="7"/>
  <c r="CR111" i="7"/>
  <c r="CM111" i="7"/>
  <c r="CT164" i="7"/>
  <c r="CQ164" i="7"/>
  <c r="CV164" i="7"/>
  <c r="CS164" i="7"/>
  <c r="CM164" i="7"/>
  <c r="CT290" i="7"/>
  <c r="CP290" i="7"/>
  <c r="CS290" i="7"/>
  <c r="CQ106" i="7"/>
  <c r="CM106" i="7"/>
  <c r="CS106" i="7"/>
  <c r="CT106" i="7"/>
  <c r="CR106" i="7"/>
  <c r="CT80" i="7"/>
  <c r="CS80" i="7"/>
  <c r="CR80" i="7"/>
  <c r="CM80" i="7"/>
  <c r="CO332" i="7"/>
  <c r="CP332" i="7"/>
  <c r="CM332" i="7"/>
  <c r="CL332" i="7"/>
  <c r="CR332" i="7"/>
  <c r="CQ332" i="7"/>
  <c r="CS332" i="7"/>
  <c r="CO80" i="7"/>
  <c r="CO62" i="7"/>
  <c r="CQ80" i="7"/>
  <c r="CR8" i="7"/>
  <c r="CM69" i="7"/>
  <c r="CP62" i="7"/>
  <c r="CN106" i="7"/>
  <c r="CP106" i="7"/>
  <c r="CV57" i="7"/>
  <c r="CR222" i="7"/>
  <c r="CP222" i="7"/>
  <c r="CS93" i="7"/>
  <c r="CN93" i="7"/>
  <c r="CT65" i="7"/>
  <c r="CR65" i="7"/>
  <c r="CM67" i="7"/>
  <c r="CT67" i="7"/>
  <c r="CM84" i="7"/>
  <c r="CO84" i="7"/>
  <c r="CO144" i="7"/>
  <c r="CT144" i="7"/>
  <c r="CP76" i="7"/>
  <c r="CQ76" i="7"/>
  <c r="CO343" i="7"/>
  <c r="CW167" i="7"/>
  <c r="CQ343" i="7"/>
  <c r="CQ124" i="7"/>
  <c r="CR124" i="7"/>
  <c r="CV254" i="7"/>
  <c r="CP124" i="7"/>
  <c r="CW22" i="7"/>
  <c r="CV170" i="7"/>
  <c r="CV212" i="7"/>
  <c r="CO195" i="7"/>
  <c r="CV54" i="7"/>
  <c r="CS33" i="7"/>
  <c r="CO91" i="7"/>
  <c r="CM222" i="7"/>
  <c r="CM93" i="7"/>
  <c r="CS65" i="7"/>
  <c r="CO67" i="7"/>
  <c r="CS84" i="7"/>
  <c r="CS144" i="7"/>
  <c r="CO76" i="7"/>
  <c r="CW294" i="7"/>
  <c r="CS343" i="7"/>
  <c r="CW343" i="7"/>
  <c r="CW225" i="7"/>
  <c r="CW68" i="7"/>
  <c r="CM343" i="7"/>
  <c r="CU325" i="7"/>
  <c r="CV86" i="7"/>
  <c r="CV11" i="7"/>
  <c r="CU53" i="7"/>
  <c r="CW4" i="7"/>
  <c r="CR33" i="7"/>
  <c r="CN195" i="7"/>
  <c r="CN91" i="7"/>
  <c r="CQ195" i="7"/>
  <c r="CM195" i="7"/>
  <c r="CR195" i="7"/>
  <c r="CV59" i="7"/>
  <c r="CW270" i="7"/>
  <c r="CV147" i="7"/>
  <c r="CW128" i="7"/>
  <c r="CV294" i="7"/>
  <c r="CV162" i="7"/>
  <c r="CU129" i="7"/>
  <c r="CU5" i="7"/>
  <c r="CU112" i="7"/>
  <c r="CU46" i="7"/>
  <c r="CW361" i="7"/>
  <c r="CW52" i="7"/>
  <c r="CU221" i="7"/>
  <c r="CU175" i="7"/>
  <c r="CU319" i="7"/>
  <c r="CW398" i="7"/>
  <c r="CU148" i="7"/>
  <c r="CW86" i="7"/>
  <c r="CW251" i="7"/>
  <c r="CW266" i="7"/>
  <c r="CT110" i="7"/>
  <c r="CW123" i="7"/>
  <c r="CR110" i="7"/>
  <c r="CV298" i="7"/>
  <c r="CV179" i="7"/>
  <c r="CU36" i="7"/>
  <c r="CW127" i="7"/>
  <c r="CW103" i="7"/>
  <c r="CW190" i="7"/>
  <c r="CU350" i="7"/>
  <c r="CW32" i="7"/>
  <c r="CU123" i="7"/>
  <c r="CV248" i="7"/>
  <c r="CV22" i="7"/>
  <c r="CV87" i="7"/>
  <c r="CU310" i="7"/>
  <c r="CV101" i="7"/>
  <c r="CW101" i="7"/>
  <c r="CW118" i="7"/>
  <c r="CW307" i="7"/>
  <c r="CV398" i="7"/>
  <c r="CU289" i="7"/>
  <c r="CV322" i="7"/>
  <c r="CV68" i="7"/>
  <c r="CU317" i="7"/>
  <c r="CV94" i="7"/>
  <c r="CT332" i="7"/>
  <c r="CJ96" i="7"/>
  <c r="CK336" i="7"/>
  <c r="CJ336" i="7"/>
  <c r="CK308" i="7"/>
  <c r="CJ308" i="7"/>
  <c r="CU398" i="7"/>
  <c r="CU135" i="7"/>
  <c r="CW64" i="7"/>
  <c r="CU170" i="7"/>
  <c r="CU161" i="7"/>
  <c r="CU313" i="7"/>
  <c r="CU90" i="7"/>
  <c r="CV176" i="7"/>
  <c r="CV148" i="7"/>
  <c r="CW115" i="7"/>
  <c r="CW245" i="7"/>
  <c r="CV357" i="7"/>
  <c r="CW202" i="7"/>
  <c r="CU214" i="7"/>
  <c r="CV319" i="7"/>
  <c r="CV15" i="7"/>
  <c r="CV218" i="7"/>
  <c r="CU118" i="7"/>
  <c r="CW302" i="7"/>
  <c r="CV39" i="7"/>
  <c r="CV270" i="7"/>
  <c r="CW85" i="7"/>
  <c r="CU211" i="7"/>
  <c r="CU86" i="7"/>
  <c r="CU127" i="7"/>
  <c r="CW178" i="7"/>
  <c r="CV103" i="7"/>
  <c r="CW39" i="7"/>
  <c r="CU115" i="7"/>
  <c r="CU181" i="7"/>
  <c r="CV355" i="7"/>
  <c r="CW191" i="7"/>
  <c r="CV190" i="7"/>
  <c r="CW47" i="7"/>
  <c r="CU146" i="7"/>
  <c r="CU185" i="7"/>
  <c r="CV161" i="7"/>
  <c r="CW291" i="7"/>
  <c r="CW272" i="7"/>
  <c r="CU272" i="7"/>
  <c r="CU87" i="7"/>
  <c r="CW180" i="7"/>
  <c r="CU100" i="7"/>
  <c r="CW292" i="7"/>
  <c r="CU268" i="7"/>
  <c r="CW158" i="7"/>
  <c r="CV72" i="7"/>
  <c r="CW315" i="7"/>
  <c r="CV338" i="7"/>
  <c r="CU300" i="7"/>
  <c r="CV292" i="7"/>
  <c r="CU269" i="7"/>
  <c r="CW7" i="7"/>
  <c r="CW63" i="7"/>
  <c r="CU138" i="7"/>
  <c r="CV335" i="7"/>
  <c r="CW189" i="7"/>
  <c r="CV117" i="7"/>
  <c r="CW337" i="7"/>
  <c r="CU280" i="7"/>
  <c r="CW100" i="7"/>
  <c r="CW89" i="7"/>
  <c r="CW217" i="7"/>
  <c r="CW145" i="7"/>
  <c r="CU297" i="7"/>
  <c r="CV333" i="7"/>
  <c r="CV126" i="7"/>
  <c r="CV345" i="7"/>
  <c r="CU393" i="7"/>
  <c r="CU21" i="7"/>
  <c r="CW214" i="7"/>
  <c r="CU160" i="7"/>
  <c r="CV129" i="7"/>
  <c r="CU189" i="7"/>
  <c r="CV223" i="7"/>
  <c r="CV188" i="7"/>
  <c r="CV19" i="7"/>
  <c r="CW135" i="7"/>
  <c r="CU180" i="7"/>
  <c r="CW289" i="7"/>
  <c r="CU337" i="7"/>
  <c r="CV47" i="7"/>
  <c r="CV7" i="7"/>
  <c r="CV358" i="7"/>
  <c r="CW341" i="7"/>
  <c r="CU68" i="7"/>
  <c r="CW321" i="7"/>
  <c r="CV10" i="7"/>
  <c r="CU63" i="7"/>
  <c r="CW286" i="7"/>
  <c r="CV125" i="7"/>
  <c r="CU153" i="7"/>
  <c r="CU11" i="7"/>
  <c r="CW313" i="7"/>
  <c r="CV4" i="7"/>
  <c r="CW323" i="7"/>
  <c r="CW58" i="7"/>
  <c r="CU35" i="7"/>
  <c r="CV85" i="7"/>
  <c r="CV165" i="7"/>
  <c r="CW160" i="7"/>
  <c r="CV109" i="7"/>
  <c r="CV60" i="7"/>
  <c r="CW149" i="7"/>
  <c r="CU281" i="7"/>
  <c r="CV269" i="7"/>
  <c r="CU159" i="7"/>
  <c r="CU85" i="7"/>
  <c r="CV61" i="7"/>
  <c r="CV297" i="7"/>
  <c r="CU389" i="7"/>
  <c r="CW282" i="7"/>
  <c r="CU134" i="7"/>
  <c r="CW49" i="7"/>
  <c r="CU219" i="7"/>
  <c r="CW21" i="7"/>
  <c r="CW329" i="7"/>
  <c r="CV181" i="7"/>
  <c r="CW19" i="7"/>
  <c r="CU116" i="7"/>
  <c r="CV173" i="7"/>
  <c r="CV325" i="7"/>
  <c r="CU322" i="7"/>
  <c r="CV219" i="7"/>
  <c r="CU105" i="7"/>
  <c r="CV9" i="7"/>
  <c r="CW83" i="7"/>
  <c r="CV169" i="7"/>
  <c r="CU358" i="7"/>
  <c r="CU167" i="7"/>
  <c r="CV105" i="7"/>
  <c r="CW25" i="7"/>
  <c r="CW175" i="7"/>
  <c r="CU39" i="7"/>
  <c r="CW77" i="7"/>
  <c r="CV153" i="7"/>
  <c r="CU158" i="7"/>
  <c r="CW312" i="7"/>
  <c r="CV167" i="7"/>
  <c r="CW181" i="7"/>
  <c r="CU128" i="7"/>
  <c r="CV361" i="7"/>
  <c r="CU168" i="7"/>
  <c r="CV89" i="7"/>
  <c r="CV142" i="7"/>
  <c r="CU103" i="7"/>
  <c r="CW254" i="7"/>
  <c r="CU163" i="7"/>
  <c r="CV221" i="7"/>
  <c r="CV327" i="7"/>
  <c r="CW138" i="7"/>
  <c r="CV36" i="7"/>
  <c r="CW170" i="7"/>
  <c r="CU245" i="7"/>
  <c r="CU327" i="7"/>
  <c r="CW5" i="7"/>
  <c r="CU24" i="7"/>
  <c r="CW183" i="7"/>
  <c r="CU258" i="7"/>
  <c r="CS305" i="7"/>
  <c r="CV116" i="7"/>
  <c r="CW233" i="7"/>
  <c r="CV51" i="7"/>
  <c r="CV128" i="7"/>
  <c r="CW322" i="7"/>
  <c r="CW129" i="7"/>
  <c r="CU162" i="7"/>
  <c r="CU196" i="7"/>
  <c r="CW278" i="7"/>
  <c r="CV168" i="7"/>
  <c r="CU335" i="7"/>
  <c r="CV263" i="7"/>
  <c r="CV97" i="7"/>
  <c r="CW48" i="7"/>
  <c r="CW219" i="7"/>
  <c r="CU121" i="7"/>
  <c r="CV314" i="7"/>
  <c r="CW240" i="7"/>
  <c r="CW131" i="7"/>
  <c r="CV100" i="7"/>
  <c r="CW169" i="7"/>
  <c r="CW36" i="7"/>
  <c r="CV83" i="7"/>
  <c r="CU176" i="7"/>
  <c r="CV5" i="7"/>
  <c r="CV268" i="7"/>
  <c r="CV341" i="7"/>
  <c r="CU97" i="7"/>
  <c r="CW211" i="7"/>
  <c r="CU314" i="7"/>
  <c r="CU141" i="7"/>
  <c r="CV135" i="7"/>
  <c r="CU321" i="7"/>
  <c r="CV58" i="7"/>
  <c r="CU291" i="7"/>
  <c r="CV137" i="7"/>
  <c r="CU329" i="7"/>
  <c r="CW179" i="7"/>
  <c r="CW116" i="7"/>
  <c r="CW188" i="7"/>
  <c r="CV78" i="7"/>
  <c r="CW34" i="7"/>
  <c r="CW259" i="7"/>
  <c r="CW121" i="7"/>
  <c r="CW141" i="7"/>
  <c r="CV287" i="7"/>
  <c r="CW357" i="7"/>
  <c r="CU94" i="7"/>
  <c r="CU217" i="7"/>
  <c r="CU351" i="7"/>
  <c r="CW263" i="7"/>
  <c r="CU294" i="7"/>
  <c r="CU9" i="7"/>
  <c r="CU40" i="7"/>
  <c r="CU47" i="7"/>
  <c r="CW162" i="7"/>
  <c r="CU298" i="7"/>
  <c r="CV233" i="7"/>
  <c r="CW333" i="7"/>
  <c r="CV16" i="7"/>
  <c r="CV127" i="7"/>
  <c r="CU51" i="7"/>
  <c r="CU366" i="7"/>
  <c r="CU233" i="7"/>
  <c r="CV40" i="7"/>
  <c r="CU361" i="7"/>
  <c r="CU282" i="7"/>
  <c r="CV183" i="7"/>
  <c r="CV44" i="7"/>
  <c r="CW151" i="7"/>
  <c r="CW105" i="7"/>
  <c r="CV393" i="7"/>
  <c r="CW346" i="7"/>
  <c r="CV140" i="7"/>
  <c r="CV21" i="7"/>
  <c r="CV191" i="7"/>
  <c r="CV12" i="7"/>
  <c r="CW159" i="7"/>
  <c r="CW168" i="7"/>
  <c r="CU19" i="7"/>
  <c r="CW393" i="7"/>
  <c r="CU240" i="7"/>
  <c r="CV277" i="7"/>
  <c r="CU81" i="7"/>
  <c r="CW335" i="7"/>
  <c r="CU136" i="7"/>
  <c r="CV52" i="7"/>
  <c r="CU10" i="7"/>
  <c r="CU142" i="7"/>
  <c r="CW394" i="7"/>
  <c r="CV285" i="7"/>
  <c r="CU190" i="7"/>
  <c r="CU4" i="7"/>
  <c r="CU179" i="7"/>
  <c r="CW355" i="7"/>
  <c r="CV196" i="7"/>
  <c r="CU394" i="7"/>
  <c r="CU263" i="7"/>
  <c r="CU188" i="7"/>
  <c r="CW78" i="7"/>
  <c r="CV301" i="7"/>
  <c r="CW140" i="7"/>
  <c r="CU60" i="7"/>
  <c r="CW298" i="7"/>
  <c r="CU202" i="7"/>
  <c r="CW112" i="7"/>
  <c r="CV351" i="7"/>
  <c r="CW215" i="7"/>
  <c r="CV261" i="7"/>
  <c r="CU301" i="7"/>
  <c r="CV220" i="7"/>
  <c r="CV276" i="7"/>
  <c r="CV122" i="7"/>
  <c r="CV306" i="7"/>
  <c r="CV215" i="7"/>
  <c r="CW16" i="7"/>
  <c r="CW73" i="7"/>
  <c r="CW314" i="7"/>
  <c r="CW122" i="7"/>
  <c r="CW377" i="7"/>
  <c r="CU306" i="7"/>
  <c r="CV184" i="7"/>
  <c r="CV121" i="7"/>
  <c r="CU210" i="7"/>
  <c r="CV136" i="7"/>
  <c r="CU276" i="7"/>
  <c r="CW276" i="7"/>
  <c r="CV139" i="7"/>
  <c r="CV329" i="7"/>
  <c r="CU215" i="7"/>
  <c r="CU184" i="7"/>
  <c r="CU225" i="7"/>
  <c r="CW351" i="7"/>
  <c r="CW139" i="7"/>
  <c r="CW184" i="7"/>
  <c r="CU220" i="7"/>
  <c r="CW71" i="7"/>
  <c r="CV225" i="7"/>
  <c r="CW3" i="7"/>
  <c r="CQ334" i="7"/>
  <c r="CT334" i="7"/>
  <c r="CO334" i="7"/>
  <c r="CN334" i="7"/>
  <c r="CM334" i="7"/>
  <c r="CP334" i="7"/>
  <c r="CS334" i="7"/>
  <c r="CR334" i="7"/>
  <c r="CV240" i="7"/>
  <c r="CV160" i="7"/>
  <c r="CW137" i="7"/>
  <c r="CW306" i="7"/>
  <c r="CQ305" i="7"/>
  <c r="CU71" i="7"/>
  <c r="CV3" i="7"/>
  <c r="CU3" i="7"/>
  <c r="CU137" i="7"/>
  <c r="CU140" i="7"/>
  <c r="CU139" i="7"/>
  <c r="CP305" i="7"/>
  <c r="CN305" i="7"/>
  <c r="CT305" i="7"/>
  <c r="CV377" i="7"/>
  <c r="CW220" i="7"/>
  <c r="CU122" i="7"/>
  <c r="CM305" i="7"/>
  <c r="CV71" i="7"/>
  <c r="CO305" i="7"/>
  <c r="CU79" i="7"/>
  <c r="CU61" i="7"/>
  <c r="CT99" i="7"/>
  <c r="CP99" i="7"/>
  <c r="CM99" i="7"/>
  <c r="CR99" i="7"/>
  <c r="CS99" i="7"/>
  <c r="CQ99" i="7"/>
  <c r="CO99" i="7"/>
  <c r="CN99" i="7"/>
  <c r="CO344" i="7"/>
  <c r="CN344" i="7"/>
  <c r="CT344" i="7"/>
  <c r="CQ344" i="7"/>
  <c r="CR344" i="7"/>
  <c r="CS344" i="7"/>
  <c r="CM344" i="7"/>
  <c r="CP344" i="7"/>
  <c r="CV151" i="7"/>
  <c r="CV49" i="7"/>
  <c r="CV79" i="7"/>
  <c r="CW61" i="7"/>
  <c r="CV312" i="7"/>
  <c r="CW281" i="7"/>
  <c r="CU49" i="7"/>
  <c r="D9" i="8"/>
  <c r="F9" i="8"/>
  <c r="C9" i="8"/>
  <c r="I8" i="8"/>
  <c r="H8" i="8"/>
  <c r="CV150" i="7"/>
  <c r="CL171" i="7"/>
  <c r="CW102" i="7"/>
  <c r="CV98" i="7"/>
  <c r="CU257" i="7"/>
  <c r="CL20" i="7"/>
  <c r="CL390" i="7"/>
  <c r="CV378" i="7"/>
  <c r="CU119" i="7"/>
  <c r="CW69" i="7"/>
  <c r="CU305" i="7"/>
  <c r="CL271" i="7"/>
  <c r="CV144" i="7"/>
  <c r="CW264" i="7"/>
  <c r="CL343" i="7"/>
  <c r="CW271" i="7"/>
  <c r="CV224" i="7"/>
  <c r="CW120" i="7"/>
  <c r="CL108" i="7"/>
  <c r="CU353" i="7"/>
  <c r="CL290" i="7"/>
  <c r="CL203" i="7"/>
  <c r="CL65" i="7"/>
  <c r="CL80" i="7"/>
  <c r="CW56" i="7"/>
  <c r="CL120" i="7"/>
  <c r="CU164" i="7"/>
  <c r="CV69" i="7"/>
  <c r="CU155" i="7"/>
  <c r="CW91" i="7"/>
  <c r="CL84" i="7"/>
  <c r="CL111" i="7"/>
  <c r="CL157" i="7"/>
  <c r="CW124" i="7"/>
  <c r="CW66" i="7"/>
  <c r="CL328" i="7"/>
  <c r="CL378" i="7"/>
  <c r="CL305" i="7"/>
  <c r="CL360" i="7"/>
  <c r="CL316" i="7"/>
  <c r="CL348" i="7"/>
  <c r="CL264" i="7"/>
  <c r="CL288" i="7"/>
  <c r="CL334" i="7"/>
  <c r="CL326" i="7"/>
  <c r="CL201" i="7"/>
  <c r="CL353" i="7"/>
  <c r="CL284" i="7"/>
  <c r="CL318" i="7"/>
  <c r="CU316" i="7"/>
  <c r="CW284" i="7"/>
  <c r="CV360" i="7"/>
  <c r="CV318" i="7"/>
  <c r="CU328" i="7"/>
  <c r="CW348" i="7"/>
  <c r="CV290" i="7"/>
  <c r="CU360" i="7"/>
  <c r="CW222" i="7"/>
  <c r="CV316" i="7"/>
  <c r="CU8" i="7"/>
  <c r="CU157" i="7"/>
  <c r="CU288" i="7"/>
  <c r="CU17" i="7"/>
  <c r="CU171" i="7"/>
  <c r="CL17" i="7"/>
  <c r="CV264" i="7"/>
  <c r="CL164" i="7"/>
  <c r="CU110" i="7"/>
  <c r="CU66" i="7"/>
  <c r="CU348" i="7"/>
  <c r="CV102" i="7"/>
  <c r="CV381" i="7"/>
  <c r="CW20" i="7"/>
  <c r="CV143" i="7"/>
  <c r="CU23" i="7"/>
  <c r="CW316" i="7"/>
  <c r="CV284" i="7"/>
  <c r="CV305" i="7"/>
  <c r="CW67" i="7"/>
  <c r="CL69" i="7"/>
  <c r="CW216" i="7"/>
  <c r="CW143" i="7"/>
  <c r="CU216" i="7"/>
  <c r="CL144" i="7"/>
  <c r="CL70" i="7"/>
  <c r="CU201" i="7"/>
  <c r="CW224" i="7"/>
  <c r="CL67" i="7"/>
  <c r="CW93" i="7"/>
  <c r="CV76" i="7"/>
  <c r="CU311" i="7"/>
  <c r="CW328" i="7"/>
  <c r="CL102" i="7"/>
  <c r="CL195" i="7"/>
  <c r="CL110" i="7"/>
  <c r="CU284" i="7"/>
  <c r="CV23" i="7"/>
  <c r="CV328" i="7"/>
  <c r="CV119" i="7"/>
  <c r="CV120" i="7"/>
  <c r="CU318" i="7"/>
  <c r="CU106" i="7"/>
  <c r="CL93" i="7"/>
  <c r="CV84" i="7"/>
  <c r="CU95" i="7"/>
  <c r="CV326" i="7"/>
  <c r="CW353" i="7"/>
  <c r="CU120" i="7"/>
  <c r="CW119" i="7"/>
  <c r="CL222" i="7"/>
  <c r="CL76" i="7"/>
  <c r="CW108" i="7"/>
  <c r="CV271" i="7"/>
  <c r="CL344" i="7"/>
  <c r="CL311" i="7"/>
  <c r="CL150" i="7"/>
  <c r="CL56" i="7"/>
  <c r="CL106" i="7"/>
  <c r="CL91" i="7"/>
  <c r="CL224" i="7"/>
  <c r="CL31" i="7"/>
  <c r="CL244" i="7"/>
  <c r="CL99" i="7"/>
  <c r="CL98" i="7"/>
  <c r="CL257" i="7"/>
  <c r="CL95" i="7"/>
  <c r="CL207" i="7"/>
  <c r="CL119" i="7"/>
  <c r="CL62" i="7"/>
  <c r="CL124" i="7"/>
  <c r="CO96" i="7"/>
  <c r="CU102" i="7"/>
  <c r="CV124" i="7"/>
  <c r="CU67" i="7"/>
  <c r="CV390" i="7"/>
  <c r="CU20" i="7"/>
  <c r="CS96" i="7"/>
  <c r="CW390" i="7"/>
  <c r="CP96" i="7"/>
  <c r="CW186" i="7"/>
  <c r="CW23" i="7"/>
  <c r="T23" i="6"/>
  <c r="CV17" i="7"/>
  <c r="CU150" i="7"/>
  <c r="CW326" i="7"/>
  <c r="S24" i="6"/>
  <c r="R24" i="6"/>
  <c r="Q25" i="6"/>
  <c r="CV95" i="7"/>
  <c r="CV70" i="7"/>
  <c r="CW360" i="7"/>
  <c r="CW318" i="7"/>
  <c r="CW381" i="7"/>
  <c r="CW99" i="7"/>
  <c r="CW201" i="7"/>
  <c r="CW244" i="7"/>
  <c r="CV20" i="7"/>
  <c r="CV201" i="7"/>
  <c r="CU264" i="7"/>
  <c r="CU290" i="7"/>
  <c r="CU111" i="7"/>
  <c r="CV91" i="7"/>
  <c r="CV56" i="7"/>
  <c r="CU84" i="7"/>
  <c r="CW70" i="7"/>
  <c r="CW155" i="7"/>
  <c r="CW171" i="7"/>
  <c r="CU390" i="7"/>
  <c r="CV171" i="7"/>
  <c r="CV348" i="7"/>
  <c r="CU108" i="7"/>
  <c r="CU271" i="7"/>
  <c r="CV33" i="7"/>
  <c r="CV110" i="7"/>
  <c r="CU91" i="7"/>
  <c r="CU124" i="7"/>
  <c r="CV343" i="7"/>
  <c r="CU62" i="7"/>
  <c r="CV62" i="7"/>
  <c r="CV155" i="7"/>
  <c r="CV108" i="7"/>
  <c r="CW33" i="7"/>
  <c r="CV31" i="7"/>
  <c r="CW311" i="7"/>
  <c r="CU144" i="7"/>
  <c r="CW95" i="7"/>
  <c r="CV66" i="7"/>
  <c r="CW17" i="7"/>
  <c r="CW305" i="7"/>
  <c r="CW31" i="7"/>
  <c r="CW76" i="7"/>
  <c r="CV157" i="7"/>
  <c r="CW203" i="7"/>
  <c r="CU70" i="7"/>
  <c r="CW110" i="7"/>
  <c r="CQ96" i="7"/>
  <c r="CT96" i="7"/>
  <c r="CW96" i="7"/>
  <c r="CN96" i="7"/>
  <c r="CU343" i="7"/>
  <c r="CW8" i="7"/>
  <c r="CV93" i="7"/>
  <c r="CR96" i="7"/>
  <c r="CV207" i="7"/>
  <c r="CU207" i="7"/>
  <c r="CU244" i="7"/>
  <c r="CM336" i="7"/>
  <c r="CU186" i="7"/>
  <c r="CU222" i="7"/>
  <c r="CV222" i="7"/>
  <c r="CW62" i="7"/>
  <c r="CW84" i="7"/>
  <c r="CW207" i="7"/>
  <c r="CU195" i="7"/>
  <c r="CV65" i="7"/>
  <c r="CU203" i="7"/>
  <c r="CW332" i="7"/>
  <c r="CV67" i="7"/>
  <c r="CU332" i="7"/>
  <c r="CV8" i="7"/>
  <c r="CW98" i="7"/>
  <c r="CU65" i="7"/>
  <c r="CV203" i="7"/>
  <c r="CU56" i="7"/>
  <c r="CU80" i="7"/>
  <c r="CV80" i="7"/>
  <c r="CW106" i="7"/>
  <c r="CU69" i="7"/>
  <c r="CM96" i="7"/>
  <c r="CW150" i="7"/>
  <c r="CW290" i="7"/>
  <c r="CW164" i="7"/>
  <c r="CV111" i="7"/>
  <c r="CV257" i="7"/>
  <c r="CN336" i="7"/>
  <c r="CW257" i="7"/>
  <c r="CP308" i="7"/>
  <c r="CQ336" i="7"/>
  <c r="CW80" i="7"/>
  <c r="CU98" i="7"/>
  <c r="CU76" i="7"/>
  <c r="CW65" i="7"/>
  <c r="CW144" i="7"/>
  <c r="CV186" i="7"/>
  <c r="CU31" i="7"/>
  <c r="CV311" i="7"/>
  <c r="CV195" i="7"/>
  <c r="CV106" i="7"/>
  <c r="CV332" i="7"/>
  <c r="CP336" i="7"/>
  <c r="CR336" i="7"/>
  <c r="CO336" i="7"/>
  <c r="CT336" i="7"/>
  <c r="CS336" i="7"/>
  <c r="CO308" i="7"/>
  <c r="CM308" i="7"/>
  <c r="CQ308" i="7"/>
  <c r="CR308" i="7"/>
  <c r="CN308" i="7"/>
  <c r="CS308" i="7"/>
  <c r="CT308" i="7"/>
  <c r="CW344" i="7"/>
  <c r="CW334" i="7"/>
  <c r="CV334" i="7"/>
  <c r="CU99" i="7"/>
  <c r="CV344" i="7"/>
  <c r="CV99" i="7"/>
  <c r="CU334" i="7"/>
  <c r="CU344" i="7"/>
  <c r="G9" i="8"/>
  <c r="J9" i="8"/>
  <c r="CL96" i="7"/>
  <c r="CL308" i="7"/>
  <c r="CL336" i="7"/>
  <c r="CU96" i="7"/>
  <c r="T24" i="6"/>
  <c r="R25" i="6"/>
  <c r="S25" i="6"/>
  <c r="Q26" i="6"/>
  <c r="CV96" i="7"/>
  <c r="CV336" i="7"/>
  <c r="CU308" i="7"/>
  <c r="CW336" i="7"/>
  <c r="CU336" i="7"/>
  <c r="CW308" i="7"/>
  <c r="CV308" i="7"/>
  <c r="I9" i="8"/>
  <c r="H9" i="8"/>
  <c r="D10" i="8"/>
  <c r="F10" i="8"/>
  <c r="C10" i="8"/>
  <c r="T25" i="6"/>
  <c r="S26" i="6"/>
  <c r="R26" i="6"/>
  <c r="Q27" i="6"/>
  <c r="G10" i="8"/>
  <c r="J10" i="8"/>
  <c r="T26" i="6"/>
  <c r="R27" i="6"/>
  <c r="S27" i="6"/>
  <c r="Q28" i="6"/>
  <c r="D11" i="8"/>
  <c r="F11" i="8"/>
  <c r="C11" i="8"/>
  <c r="I10" i="8"/>
  <c r="H10" i="8"/>
  <c r="R28" i="6"/>
  <c r="Q29" i="6"/>
  <c r="S28" i="6"/>
  <c r="T27" i="6"/>
  <c r="G11" i="8"/>
  <c r="J11" i="8"/>
  <c r="T28" i="6"/>
  <c r="R29" i="6"/>
  <c r="S29" i="6"/>
  <c r="Q30" i="6"/>
  <c r="I11" i="8"/>
  <c r="H11" i="8"/>
  <c r="T29" i="6"/>
  <c r="Q31" i="6"/>
  <c r="S30" i="6"/>
  <c r="R30" i="6"/>
  <c r="D12" i="8"/>
  <c r="C12" i="8"/>
  <c r="F12" i="8"/>
  <c r="S31" i="6"/>
  <c r="R31" i="6"/>
  <c r="Q32" i="6"/>
  <c r="T30" i="6"/>
  <c r="G12" i="8"/>
  <c r="I12" i="8"/>
  <c r="H12" i="8"/>
  <c r="T31" i="6"/>
  <c r="Q33" i="6"/>
  <c r="S32" i="6"/>
  <c r="R32" i="6"/>
  <c r="J12" i="8"/>
  <c r="D13" i="8"/>
  <c r="C13" i="8"/>
  <c r="F13" i="8"/>
  <c r="R33" i="6"/>
  <c r="T32" i="6"/>
  <c r="Q34" i="6"/>
  <c r="S33" i="6"/>
  <c r="G13" i="8"/>
  <c r="J13" i="8"/>
  <c r="T33" i="6"/>
  <c r="S34" i="6"/>
  <c r="R34" i="6"/>
  <c r="Q35" i="6"/>
  <c r="I13" i="8"/>
  <c r="H13" i="8"/>
  <c r="T34" i="6"/>
  <c r="R35" i="6"/>
  <c r="S35" i="6"/>
  <c r="Q36" i="6"/>
  <c r="D14" i="8"/>
  <c r="F14" i="8"/>
  <c r="C14" i="8"/>
  <c r="R36" i="6"/>
  <c r="Q37" i="6"/>
  <c r="S36" i="6"/>
  <c r="T35" i="6"/>
  <c r="G14" i="8"/>
  <c r="J14" i="8"/>
  <c r="T36" i="6"/>
  <c r="R37" i="6"/>
  <c r="S37" i="6"/>
  <c r="Q38" i="6"/>
  <c r="T37" i="6"/>
  <c r="I14" i="8"/>
  <c r="H14" i="8"/>
  <c r="D15" i="8"/>
  <c r="C15" i="8"/>
  <c r="F15" i="8"/>
  <c r="Q39" i="6"/>
  <c r="S38" i="6"/>
  <c r="R38" i="6"/>
  <c r="G15" i="8"/>
  <c r="J15" i="8"/>
  <c r="R39" i="6"/>
  <c r="T38" i="6"/>
  <c r="Q40" i="6"/>
  <c r="S39" i="6"/>
  <c r="I15" i="8"/>
  <c r="H15" i="8"/>
  <c r="T39" i="6"/>
  <c r="S40" i="6"/>
  <c r="R40" i="6"/>
  <c r="Q41" i="6"/>
  <c r="T40" i="6"/>
  <c r="S41" i="6"/>
  <c r="Q42" i="6"/>
  <c r="R41" i="6"/>
  <c r="D16" i="8"/>
  <c r="C16" i="8"/>
  <c r="F16" i="8"/>
  <c r="T41" i="6"/>
  <c r="S42" i="6"/>
  <c r="R42" i="6"/>
  <c r="Q43" i="6"/>
  <c r="G16" i="8"/>
  <c r="J16" i="8"/>
  <c r="R43" i="6"/>
  <c r="S43" i="6"/>
  <c r="Q44" i="6"/>
  <c r="T42" i="6"/>
  <c r="D17" i="8"/>
  <c r="C17" i="8"/>
  <c r="F17" i="8"/>
  <c r="I16" i="8"/>
  <c r="H16" i="8"/>
  <c r="Q45" i="6"/>
  <c r="S44" i="6"/>
  <c r="T43" i="6"/>
  <c r="R44" i="6"/>
  <c r="G17" i="8"/>
  <c r="J17" i="8"/>
  <c r="T44" i="6"/>
  <c r="R45" i="6"/>
  <c r="S45" i="6"/>
  <c r="Q46" i="6"/>
  <c r="I17" i="8"/>
  <c r="H17" i="8"/>
  <c r="T45" i="6"/>
  <c r="Q47" i="6"/>
  <c r="S46" i="6"/>
  <c r="R46" i="6"/>
  <c r="D18" i="8"/>
  <c r="F18" i="8"/>
  <c r="C18" i="8"/>
  <c r="R47" i="6"/>
  <c r="T46" i="6"/>
  <c r="Q48" i="6"/>
  <c r="S47" i="6"/>
  <c r="G18" i="8"/>
  <c r="J18" i="8"/>
  <c r="T47" i="6"/>
  <c r="R48" i="6"/>
  <c r="S48" i="6"/>
  <c r="Q49" i="6"/>
  <c r="I18" i="8"/>
  <c r="H18" i="8"/>
  <c r="S49" i="6"/>
  <c r="Q50" i="6"/>
  <c r="R49" i="6"/>
  <c r="T48" i="6"/>
  <c r="D19" i="8"/>
  <c r="F19" i="8"/>
  <c r="C19" i="8"/>
  <c r="R50" i="6"/>
  <c r="Q51" i="6"/>
  <c r="S50" i="6"/>
  <c r="T49" i="6"/>
  <c r="G19" i="8"/>
  <c r="J19" i="8"/>
  <c r="R51" i="6"/>
  <c r="T50" i="6"/>
  <c r="Q52" i="6"/>
  <c r="S51" i="6"/>
  <c r="I19" i="8"/>
  <c r="H19" i="8"/>
  <c r="T51" i="6"/>
  <c r="S52" i="6"/>
  <c r="R52" i="6"/>
  <c r="Q53" i="6"/>
  <c r="T52" i="6"/>
  <c r="S53" i="6"/>
  <c r="Q54" i="6"/>
  <c r="R53" i="6"/>
  <c r="T53" i="6"/>
  <c r="D20" i="8"/>
  <c r="F20" i="8"/>
  <c r="C20" i="8"/>
  <c r="R54" i="6"/>
  <c r="S54" i="6"/>
  <c r="Q55" i="6"/>
  <c r="G20" i="8"/>
  <c r="I20" i="8"/>
  <c r="H20" i="8"/>
  <c r="T54" i="6"/>
  <c r="R55" i="6"/>
  <c r="S55" i="6"/>
  <c r="Q56" i="6"/>
  <c r="J20" i="8"/>
  <c r="D21" i="8"/>
  <c r="C21" i="8"/>
  <c r="F21" i="8"/>
  <c r="T55" i="6"/>
  <c r="R56" i="6"/>
  <c r="S56" i="6"/>
  <c r="Q57" i="6"/>
  <c r="G21" i="8"/>
  <c r="J21" i="8"/>
  <c r="T56" i="6"/>
  <c r="S57" i="6"/>
  <c r="Q58" i="6"/>
  <c r="R57" i="6"/>
  <c r="D22" i="8"/>
  <c r="C22" i="8"/>
  <c r="F22" i="8"/>
  <c r="I21" i="8"/>
  <c r="H21" i="8"/>
  <c r="R58" i="6"/>
  <c r="S58" i="6"/>
  <c r="Q59" i="6"/>
  <c r="T57" i="6"/>
  <c r="G22" i="8"/>
  <c r="I22" i="8"/>
  <c r="H22" i="8"/>
  <c r="T58" i="6"/>
  <c r="R59" i="6"/>
  <c r="S59" i="6"/>
  <c r="Q60" i="6"/>
  <c r="J22" i="8"/>
  <c r="D23" i="8"/>
  <c r="C23" i="8"/>
  <c r="F23" i="8"/>
  <c r="T59" i="6"/>
  <c r="S60" i="6"/>
  <c r="R60" i="6"/>
  <c r="Q61" i="6"/>
  <c r="G23" i="8"/>
  <c r="I23" i="8"/>
  <c r="H23" i="8"/>
  <c r="T60" i="6"/>
  <c r="S61" i="6"/>
  <c r="Q62" i="6"/>
  <c r="R61" i="6"/>
  <c r="J23" i="8"/>
  <c r="D24" i="8"/>
  <c r="F24" i="8"/>
  <c r="C24" i="8"/>
  <c r="T61" i="6"/>
  <c r="S62" i="6"/>
  <c r="R62" i="6"/>
  <c r="Q63" i="6"/>
  <c r="G24" i="8"/>
  <c r="J24" i="8"/>
  <c r="T62" i="6"/>
  <c r="R63" i="6"/>
  <c r="S63" i="6"/>
  <c r="Q64" i="6"/>
  <c r="D25" i="8"/>
  <c r="F25" i="8"/>
  <c r="C25" i="8"/>
  <c r="I24" i="8"/>
  <c r="H24" i="8"/>
  <c r="T63" i="6"/>
  <c r="R64" i="6"/>
  <c r="S64" i="6"/>
  <c r="Q65" i="6"/>
  <c r="G25" i="8"/>
  <c r="J25" i="8"/>
  <c r="T64" i="6"/>
  <c r="S65" i="6"/>
  <c r="Q66" i="6"/>
  <c r="R65" i="6"/>
  <c r="D26" i="8"/>
  <c r="F26" i="8"/>
  <c r="C26" i="8"/>
  <c r="I25" i="8"/>
  <c r="H25" i="8"/>
  <c r="T65" i="6"/>
  <c r="R66" i="6"/>
  <c r="S66" i="6"/>
  <c r="Q67" i="6"/>
  <c r="G26" i="8"/>
  <c r="I26" i="8"/>
  <c r="H26" i="8"/>
  <c r="T66" i="6"/>
  <c r="R67" i="6"/>
  <c r="S67" i="6"/>
  <c r="Q68" i="6"/>
  <c r="J26" i="8"/>
  <c r="D27" i="8"/>
  <c r="F27" i="8"/>
  <c r="C27" i="8"/>
  <c r="T67" i="6"/>
  <c r="Q69" i="6"/>
  <c r="S68" i="6"/>
  <c r="R68" i="6"/>
  <c r="G27" i="8"/>
  <c r="I27" i="8"/>
  <c r="H27" i="8"/>
  <c r="R69" i="6"/>
  <c r="T68" i="6"/>
  <c r="Q70" i="6"/>
  <c r="S69" i="6"/>
  <c r="J27" i="8"/>
  <c r="T69" i="6"/>
  <c r="S70" i="6"/>
  <c r="R70" i="6"/>
  <c r="Q71" i="6"/>
  <c r="T70" i="6"/>
  <c r="R71" i="6"/>
  <c r="S71" i="6"/>
  <c r="Q72" i="6"/>
  <c r="D28" i="8"/>
  <c r="C28" i="8"/>
  <c r="F28" i="8"/>
  <c r="T71" i="6"/>
  <c r="Q73" i="6"/>
  <c r="S72" i="6"/>
  <c r="R72" i="6"/>
  <c r="G28" i="8"/>
  <c r="I28" i="8"/>
  <c r="H28" i="8"/>
  <c r="T72" i="6"/>
  <c r="R73" i="6"/>
  <c r="S73" i="6"/>
  <c r="Q74" i="6"/>
  <c r="J28" i="8"/>
  <c r="T73" i="6"/>
  <c r="Q75" i="6"/>
  <c r="S74" i="6"/>
  <c r="R74" i="6"/>
  <c r="D29" i="8"/>
  <c r="C29" i="8"/>
  <c r="F29" i="8"/>
  <c r="T74" i="6"/>
  <c r="R75" i="6"/>
  <c r="Q76" i="6"/>
  <c r="S75" i="6"/>
  <c r="G29" i="8"/>
  <c r="J29" i="8"/>
  <c r="T75" i="6"/>
  <c r="R76" i="6"/>
  <c r="S76" i="6"/>
  <c r="Q77" i="6"/>
  <c r="I29" i="8"/>
  <c r="H29" i="8"/>
  <c r="T76" i="6"/>
  <c r="S77" i="6"/>
  <c r="Q78" i="6"/>
  <c r="R77" i="6"/>
  <c r="D30" i="8"/>
  <c r="F30" i="8"/>
  <c r="C30" i="8"/>
  <c r="R78" i="6"/>
  <c r="Q79" i="6"/>
  <c r="S78" i="6"/>
  <c r="T77" i="6"/>
  <c r="G30" i="8"/>
  <c r="J30" i="8"/>
  <c r="T78" i="6"/>
  <c r="R79" i="6"/>
  <c r="S79" i="6"/>
  <c r="Q80" i="6"/>
  <c r="I30" i="8"/>
  <c r="H30" i="8"/>
  <c r="T79" i="6"/>
  <c r="Q81" i="6"/>
  <c r="S80" i="6"/>
  <c r="R80" i="6"/>
  <c r="D31" i="8"/>
  <c r="C31" i="8"/>
  <c r="F31" i="8"/>
  <c r="T80" i="6"/>
  <c r="R81" i="6"/>
  <c r="S81" i="6"/>
  <c r="Q82" i="6"/>
  <c r="G31" i="8"/>
  <c r="I31" i="8"/>
  <c r="H31" i="8"/>
  <c r="T81" i="6"/>
  <c r="Q83" i="6"/>
  <c r="S82" i="6"/>
  <c r="R82" i="6"/>
  <c r="J31" i="8"/>
  <c r="D32" i="8"/>
  <c r="C32" i="8"/>
  <c r="F32" i="8"/>
  <c r="R83" i="6"/>
  <c r="T82" i="6"/>
  <c r="Q84" i="6"/>
  <c r="S83" i="6"/>
  <c r="G32" i="8"/>
  <c r="J32" i="8"/>
  <c r="T83" i="6"/>
  <c r="R84" i="6"/>
  <c r="S84" i="6"/>
  <c r="Q85" i="6"/>
  <c r="I32" i="8"/>
  <c r="H32" i="8"/>
  <c r="T84" i="6"/>
  <c r="S85" i="6"/>
  <c r="Q86" i="6"/>
  <c r="R85" i="6"/>
  <c r="D33" i="8"/>
  <c r="C33" i="8"/>
  <c r="F33" i="8"/>
  <c r="T85" i="6"/>
  <c r="R86" i="6"/>
  <c r="S86" i="6"/>
  <c r="Q87" i="6"/>
  <c r="G33" i="8"/>
  <c r="J33" i="8"/>
  <c r="T86" i="6"/>
  <c r="R87" i="6"/>
  <c r="S87" i="6"/>
  <c r="Q88" i="6"/>
  <c r="I33" i="8"/>
  <c r="H33" i="8"/>
  <c r="D34" i="8"/>
  <c r="F34" i="8"/>
  <c r="C34" i="8"/>
  <c r="T87" i="6"/>
  <c r="Q89" i="6"/>
  <c r="S88" i="6"/>
  <c r="R88" i="6"/>
  <c r="G34" i="8"/>
  <c r="J34" i="8"/>
  <c r="T88" i="6"/>
  <c r="R89" i="6"/>
  <c r="S89" i="6"/>
  <c r="Q90" i="6"/>
  <c r="I34" i="8"/>
  <c r="H34" i="8"/>
  <c r="T89" i="6"/>
  <c r="Q91" i="6"/>
  <c r="S90" i="6"/>
  <c r="R90" i="6"/>
  <c r="D35" i="8"/>
  <c r="F35" i="8"/>
  <c r="C35" i="8"/>
  <c r="T90" i="6"/>
  <c r="S91" i="6"/>
  <c r="R91" i="6"/>
  <c r="Q92" i="6"/>
  <c r="G35" i="8"/>
  <c r="J35" i="8"/>
  <c r="T91" i="6"/>
  <c r="S92" i="6"/>
  <c r="R92" i="6"/>
  <c r="Q93" i="6"/>
  <c r="D36" i="8"/>
  <c r="F36" i="8"/>
  <c r="C36" i="8"/>
  <c r="I35" i="8"/>
  <c r="H35" i="8"/>
  <c r="T92" i="6"/>
  <c r="S93" i="6"/>
  <c r="Q94" i="6"/>
  <c r="R93" i="6"/>
  <c r="D37" i="8"/>
  <c r="C37" i="8"/>
  <c r="F37" i="8"/>
  <c r="G36" i="8"/>
  <c r="J36" i="8"/>
  <c r="T93" i="6"/>
  <c r="S94" i="6"/>
  <c r="R94" i="6"/>
  <c r="Q95" i="6"/>
  <c r="I36" i="8"/>
  <c r="H36" i="8"/>
  <c r="G37" i="8"/>
  <c r="J37" i="8"/>
  <c r="T94" i="6"/>
  <c r="R95" i="6"/>
  <c r="S95" i="6"/>
  <c r="Q96" i="6"/>
  <c r="D38" i="8"/>
  <c r="C38" i="8"/>
  <c r="F38" i="8"/>
  <c r="I37" i="8"/>
  <c r="H37" i="8"/>
  <c r="T95" i="6"/>
  <c r="R96" i="6"/>
  <c r="S96" i="6"/>
  <c r="Q97" i="6"/>
  <c r="G38" i="8"/>
  <c r="I38" i="8"/>
  <c r="H38" i="8"/>
  <c r="T96" i="6"/>
  <c r="S97" i="6"/>
  <c r="Q98" i="6"/>
  <c r="R97" i="6"/>
  <c r="J38" i="8"/>
  <c r="D39" i="8"/>
  <c r="C39" i="8"/>
  <c r="F39" i="8"/>
  <c r="T97" i="6"/>
  <c r="S98" i="6"/>
  <c r="R98" i="6"/>
  <c r="Q99" i="6"/>
  <c r="G39" i="8"/>
  <c r="J39" i="8"/>
  <c r="T98" i="6"/>
  <c r="S99" i="6"/>
  <c r="R99" i="6"/>
  <c r="Q100" i="6"/>
  <c r="D40" i="8"/>
  <c r="F40" i="8"/>
  <c r="C40" i="8"/>
  <c r="I39" i="8"/>
  <c r="H39" i="8"/>
  <c r="R100" i="6"/>
  <c r="S100" i="6"/>
  <c r="Q101" i="6"/>
  <c r="T99" i="6"/>
  <c r="G40" i="8"/>
  <c r="J40" i="8"/>
  <c r="T100" i="6"/>
  <c r="S101" i="6"/>
  <c r="Q102" i="6"/>
  <c r="R101" i="6"/>
  <c r="D41" i="8"/>
  <c r="F41" i="8"/>
  <c r="C41" i="8"/>
  <c r="I40" i="8"/>
  <c r="H40" i="8"/>
  <c r="R102" i="6"/>
  <c r="Q103" i="6"/>
  <c r="S102" i="6"/>
  <c r="T101" i="6"/>
  <c r="G41" i="8"/>
  <c r="J41" i="8"/>
  <c r="T102" i="6"/>
  <c r="R103" i="6"/>
  <c r="S103" i="6"/>
  <c r="Q104" i="6"/>
  <c r="I41" i="8"/>
  <c r="H41" i="8"/>
  <c r="T103" i="6"/>
  <c r="Q105" i="6"/>
  <c r="S104" i="6"/>
  <c r="R104" i="6"/>
  <c r="D42" i="8"/>
  <c r="F42" i="8"/>
  <c r="C42" i="8"/>
  <c r="T104" i="6"/>
  <c r="S105" i="6"/>
  <c r="R105" i="6"/>
  <c r="Q106" i="6"/>
  <c r="G42" i="8"/>
  <c r="J42" i="8"/>
  <c r="T105" i="6"/>
  <c r="Q107" i="6"/>
  <c r="S106" i="6"/>
  <c r="R106" i="6"/>
  <c r="I42" i="8"/>
  <c r="H42" i="8"/>
  <c r="D43" i="8"/>
  <c r="F43" i="8"/>
  <c r="C43" i="8"/>
  <c r="T106" i="6"/>
  <c r="S107" i="6"/>
  <c r="R107" i="6"/>
  <c r="Q108" i="6"/>
  <c r="G43" i="8"/>
  <c r="I43" i="8"/>
  <c r="H43" i="8"/>
  <c r="T107" i="6"/>
  <c r="Q109" i="6"/>
  <c r="S108" i="6"/>
  <c r="R108" i="6"/>
  <c r="D44" i="8"/>
  <c r="C44" i="8"/>
  <c r="F44" i="8"/>
  <c r="J43" i="8"/>
  <c r="T108" i="6"/>
  <c r="R109" i="6"/>
  <c r="S109" i="6"/>
  <c r="Q110" i="6"/>
  <c r="G44" i="8"/>
  <c r="J44" i="8"/>
  <c r="T109" i="6"/>
  <c r="Q111" i="6"/>
  <c r="S110" i="6"/>
  <c r="R110" i="6"/>
  <c r="I44" i="8"/>
  <c r="H44" i="8"/>
  <c r="D45" i="8"/>
  <c r="C45" i="8"/>
  <c r="F45" i="8"/>
  <c r="T110" i="6"/>
  <c r="S111" i="6"/>
  <c r="R111" i="6"/>
  <c r="Q112" i="6"/>
  <c r="G45" i="8"/>
  <c r="J45" i="8"/>
  <c r="T111" i="6"/>
  <c r="Q113" i="6"/>
  <c r="S112" i="6"/>
  <c r="R112" i="6"/>
  <c r="D46" i="8"/>
  <c r="F46" i="8"/>
  <c r="C46" i="8"/>
  <c r="I45" i="8"/>
  <c r="H45" i="8"/>
  <c r="T112" i="6"/>
  <c r="R113" i="6"/>
  <c r="S113" i="6"/>
  <c r="Q114" i="6"/>
  <c r="G46" i="8"/>
  <c r="I46" i="8"/>
  <c r="H46" i="8"/>
  <c r="T113" i="6"/>
  <c r="Q115" i="6"/>
  <c r="S114" i="6"/>
  <c r="R114" i="6"/>
  <c r="J46" i="8"/>
  <c r="D47" i="8"/>
  <c r="C47" i="8"/>
  <c r="F47" i="8"/>
  <c r="T114" i="6"/>
  <c r="R115" i="6"/>
  <c r="S115" i="6"/>
  <c r="Q116" i="6"/>
  <c r="G47" i="8"/>
  <c r="J47" i="8"/>
  <c r="T115" i="6"/>
  <c r="R116" i="6"/>
  <c r="S116" i="6"/>
  <c r="Q117" i="6"/>
  <c r="D48" i="8"/>
  <c r="C48" i="8"/>
  <c r="F48" i="8"/>
  <c r="I47" i="8"/>
  <c r="H47" i="8"/>
  <c r="T116" i="6"/>
  <c r="R117" i="6"/>
  <c r="S117" i="6"/>
  <c r="Q118" i="6"/>
  <c r="G48" i="8"/>
  <c r="I48" i="8"/>
  <c r="H48" i="8"/>
  <c r="D49" i="8"/>
  <c r="C49" i="8"/>
  <c r="F49" i="8"/>
  <c r="T117" i="6"/>
  <c r="R118" i="6"/>
  <c r="S118" i="6"/>
  <c r="Q119" i="6"/>
  <c r="J48" i="8"/>
  <c r="G49" i="8"/>
  <c r="I49" i="8"/>
  <c r="H49" i="8"/>
  <c r="T118" i="6"/>
  <c r="R119" i="6"/>
  <c r="S119" i="6"/>
  <c r="Q120" i="6"/>
  <c r="J49" i="8"/>
  <c r="D50" i="8"/>
  <c r="F50" i="8"/>
  <c r="C50" i="8"/>
  <c r="T119" i="6"/>
  <c r="R120" i="6"/>
  <c r="S120" i="6"/>
  <c r="Q121" i="6"/>
  <c r="G50" i="8"/>
  <c r="I50" i="8"/>
  <c r="H50" i="8"/>
  <c r="T120" i="6"/>
  <c r="S121" i="6"/>
  <c r="Q122" i="6"/>
  <c r="R121" i="6"/>
  <c r="D51" i="8"/>
  <c r="F51" i="8"/>
  <c r="C51" i="8"/>
  <c r="J50" i="8"/>
  <c r="T121" i="6"/>
  <c r="S122" i="6"/>
  <c r="R122" i="6"/>
  <c r="Q123" i="6"/>
  <c r="G51" i="8"/>
  <c r="J51" i="8"/>
  <c r="T122" i="6"/>
  <c r="R123" i="6"/>
  <c r="S123" i="6"/>
  <c r="Q124" i="6"/>
  <c r="I51" i="8"/>
  <c r="H51" i="8"/>
  <c r="D52" i="8"/>
  <c r="F52" i="8"/>
  <c r="C52" i="8"/>
  <c r="T123" i="6"/>
  <c r="S124" i="6"/>
  <c r="R124" i="6"/>
  <c r="Q125" i="6"/>
  <c r="D53" i="8"/>
  <c r="C53" i="8"/>
  <c r="F53" i="8"/>
  <c r="G52" i="8"/>
  <c r="J52" i="8"/>
  <c r="T124" i="6"/>
  <c r="R125" i="6"/>
  <c r="S125" i="6"/>
  <c r="Q126" i="6"/>
  <c r="I52" i="8"/>
  <c r="H52" i="8"/>
  <c r="D54" i="8"/>
  <c r="C54" i="8"/>
  <c r="F54" i="8"/>
  <c r="G53" i="8"/>
  <c r="J53" i="8"/>
  <c r="T125" i="6"/>
  <c r="R126" i="6"/>
  <c r="S126" i="6"/>
  <c r="Q127" i="6"/>
  <c r="I53" i="8"/>
  <c r="H53" i="8"/>
  <c r="G54" i="8"/>
  <c r="J54" i="8"/>
  <c r="T126" i="6"/>
  <c r="R127" i="6"/>
  <c r="S127" i="6"/>
  <c r="Q128" i="6"/>
  <c r="I54" i="8"/>
  <c r="H54" i="8"/>
  <c r="T127" i="6"/>
  <c r="S128" i="6"/>
  <c r="R128" i="6"/>
  <c r="Q129" i="6"/>
  <c r="D55" i="8"/>
  <c r="C55" i="8"/>
  <c r="F55" i="8"/>
  <c r="T128" i="6"/>
  <c r="S129" i="6"/>
  <c r="Q130" i="6"/>
  <c r="R129" i="6"/>
  <c r="G55" i="8"/>
  <c r="I55" i="8"/>
  <c r="H55" i="8"/>
  <c r="R130" i="6"/>
  <c r="S130" i="6"/>
  <c r="Q131" i="6"/>
  <c r="T129" i="6"/>
  <c r="D56" i="8"/>
  <c r="F56" i="8"/>
  <c r="C56" i="8"/>
  <c r="J55" i="8"/>
  <c r="T130" i="6"/>
  <c r="R131" i="6"/>
  <c r="S131" i="6"/>
  <c r="Q132" i="6"/>
  <c r="G56" i="8"/>
  <c r="I56" i="8"/>
  <c r="H56" i="8"/>
  <c r="T131" i="6"/>
  <c r="R132" i="6"/>
  <c r="S132" i="6"/>
  <c r="Q133" i="6"/>
  <c r="J56" i="8"/>
  <c r="D57" i="8"/>
  <c r="F57" i="8"/>
  <c r="C57" i="8"/>
  <c r="T132" i="6"/>
  <c r="R133" i="6"/>
  <c r="S133" i="6"/>
  <c r="Q134" i="6"/>
  <c r="D58" i="8"/>
  <c r="F58" i="8"/>
  <c r="C58" i="8"/>
  <c r="G57" i="8"/>
  <c r="J57" i="8"/>
  <c r="T133" i="6"/>
  <c r="Q135" i="6"/>
  <c r="S134" i="6"/>
  <c r="R134" i="6"/>
  <c r="T134" i="6"/>
  <c r="I57" i="8"/>
  <c r="H57" i="8"/>
  <c r="G58" i="8"/>
  <c r="I58" i="8"/>
  <c r="H58" i="8"/>
  <c r="D59" i="8"/>
  <c r="F59" i="8"/>
  <c r="C59" i="8"/>
  <c r="R135" i="6"/>
  <c r="S135" i="6"/>
  <c r="Q136" i="6"/>
  <c r="J58" i="8"/>
  <c r="G59" i="8"/>
  <c r="I59" i="8"/>
  <c r="H59" i="8"/>
  <c r="T135" i="6"/>
  <c r="Q137" i="6"/>
  <c r="S136" i="6"/>
  <c r="R136" i="6"/>
  <c r="J59" i="8"/>
  <c r="T136" i="6"/>
  <c r="R137" i="6"/>
  <c r="S137" i="6"/>
  <c r="Q138" i="6"/>
  <c r="D60" i="8"/>
  <c r="C60" i="8"/>
  <c r="F60" i="8"/>
  <c r="T137" i="6"/>
  <c r="Q139" i="6"/>
  <c r="S138" i="6"/>
  <c r="R138" i="6"/>
  <c r="G60" i="8"/>
  <c r="I60" i="8"/>
  <c r="H60" i="8"/>
  <c r="T138" i="6"/>
  <c r="R139" i="6"/>
  <c r="S139" i="6"/>
  <c r="Q140" i="6"/>
  <c r="J60" i="8"/>
  <c r="D61" i="8"/>
  <c r="C61" i="8"/>
  <c r="F61" i="8"/>
  <c r="T139" i="6"/>
  <c r="Q141" i="6"/>
  <c r="S140" i="6"/>
  <c r="R140" i="6"/>
  <c r="G61" i="8"/>
  <c r="J61" i="8"/>
  <c r="T140" i="6"/>
  <c r="R141" i="6"/>
  <c r="S141" i="6"/>
  <c r="Q142" i="6"/>
  <c r="D62" i="8"/>
  <c r="F62" i="8"/>
  <c r="C62" i="8"/>
  <c r="I61" i="8"/>
  <c r="H61" i="8"/>
  <c r="T141" i="6"/>
  <c r="R142" i="6"/>
  <c r="S142" i="6"/>
  <c r="Q143" i="6"/>
  <c r="D63" i="8"/>
  <c r="C63" i="8"/>
  <c r="F63" i="8"/>
  <c r="G62" i="8"/>
  <c r="I62" i="8"/>
  <c r="H62" i="8"/>
  <c r="T142" i="6"/>
  <c r="R143" i="6"/>
  <c r="S143" i="6"/>
  <c r="Q144" i="6"/>
  <c r="J62" i="8"/>
  <c r="D64" i="8"/>
  <c r="C64" i="8"/>
  <c r="F64" i="8"/>
  <c r="G63" i="8"/>
  <c r="J63" i="8"/>
  <c r="T143" i="6"/>
  <c r="Q145" i="6"/>
  <c r="S144" i="6"/>
  <c r="R144" i="6"/>
  <c r="I63" i="8"/>
  <c r="H63" i="8"/>
  <c r="G64" i="8"/>
  <c r="I64" i="8"/>
  <c r="H64" i="8"/>
  <c r="T144" i="6"/>
  <c r="R145" i="6"/>
  <c r="S145" i="6"/>
  <c r="Q146" i="6"/>
  <c r="D65" i="8"/>
  <c r="C65" i="8"/>
  <c r="F65" i="8"/>
  <c r="J64" i="8"/>
  <c r="T145" i="6"/>
  <c r="R146" i="6"/>
  <c r="S146" i="6"/>
  <c r="Q147" i="6"/>
  <c r="D66" i="8"/>
  <c r="F66" i="8"/>
  <c r="C66" i="8"/>
  <c r="G65" i="8"/>
  <c r="J65" i="8"/>
  <c r="T146" i="6"/>
  <c r="R147" i="6"/>
  <c r="S147" i="6"/>
  <c r="Q148" i="6"/>
  <c r="I65" i="8"/>
  <c r="H65" i="8"/>
  <c r="D67" i="8"/>
  <c r="F67" i="8"/>
  <c r="C67" i="8"/>
  <c r="G66" i="8"/>
  <c r="J66" i="8"/>
  <c r="T147" i="6"/>
  <c r="Q149" i="6"/>
  <c r="S148" i="6"/>
  <c r="R148" i="6"/>
  <c r="I66" i="8"/>
  <c r="H66" i="8"/>
  <c r="G67" i="8"/>
  <c r="I67" i="8"/>
  <c r="H67" i="8"/>
  <c r="R149" i="6"/>
  <c r="T148" i="6"/>
  <c r="Q150" i="6"/>
  <c r="S149" i="6"/>
  <c r="J67" i="8"/>
  <c r="T149" i="6"/>
  <c r="Q151" i="6"/>
  <c r="S150" i="6"/>
  <c r="R150" i="6"/>
  <c r="R151" i="6"/>
  <c r="T150" i="6"/>
  <c r="S151" i="6"/>
  <c r="Q152" i="6"/>
  <c r="T151" i="6"/>
  <c r="Q153" i="6"/>
  <c r="S152" i="6"/>
  <c r="R152" i="6"/>
  <c r="T152" i="6"/>
  <c r="R153" i="6"/>
  <c r="S153" i="6"/>
  <c r="Q154" i="6"/>
  <c r="T153" i="6"/>
  <c r="D68" i="8"/>
  <c r="F68" i="8"/>
  <c r="C68" i="8"/>
  <c r="Q155" i="6"/>
  <c r="S154" i="6"/>
  <c r="R154" i="6"/>
  <c r="G68" i="8"/>
  <c r="I68" i="8"/>
  <c r="H68" i="8"/>
  <c r="T154" i="6"/>
  <c r="R155" i="6"/>
  <c r="S155" i="6"/>
  <c r="Q156" i="6"/>
  <c r="D69" i="8"/>
  <c r="C69" i="8"/>
  <c r="F69" i="8"/>
  <c r="J68" i="8"/>
  <c r="T155" i="6"/>
  <c r="Q157" i="6"/>
  <c r="S156" i="6"/>
  <c r="R156" i="6"/>
  <c r="G69" i="8"/>
  <c r="I69" i="8"/>
  <c r="H69" i="8"/>
  <c r="T156" i="6"/>
  <c r="R157" i="6"/>
  <c r="S157" i="6"/>
  <c r="Q158" i="6"/>
  <c r="J69" i="8"/>
  <c r="D70" i="8"/>
  <c r="C70" i="8"/>
  <c r="F70" i="8"/>
  <c r="Q159" i="6"/>
  <c r="S158" i="6"/>
  <c r="R158" i="6"/>
  <c r="T157" i="6"/>
  <c r="G70" i="8"/>
  <c r="I70" i="8"/>
  <c r="H70" i="8"/>
  <c r="T158" i="6"/>
  <c r="R159" i="6"/>
  <c r="S159" i="6"/>
  <c r="Q160" i="6"/>
  <c r="J70" i="8"/>
  <c r="D71" i="8"/>
  <c r="C71" i="8"/>
  <c r="F71" i="8"/>
  <c r="R160" i="6"/>
  <c r="S160" i="6"/>
  <c r="Q161" i="6"/>
  <c r="T159" i="6"/>
  <c r="G71" i="8"/>
  <c r="J71" i="8"/>
  <c r="D72" i="8"/>
  <c r="F72" i="8"/>
  <c r="C72" i="8"/>
  <c r="T160" i="6"/>
  <c r="R161" i="6"/>
  <c r="S161" i="6"/>
  <c r="Q162" i="6"/>
  <c r="D73" i="8"/>
  <c r="F73" i="8"/>
  <c r="C73" i="8"/>
  <c r="I71" i="8"/>
  <c r="H71" i="8"/>
  <c r="G72" i="8"/>
  <c r="I72" i="8"/>
  <c r="H72" i="8"/>
  <c r="T161" i="6"/>
  <c r="R162" i="6"/>
  <c r="S162" i="6"/>
  <c r="Q163" i="6"/>
  <c r="J72" i="8"/>
  <c r="D74" i="8"/>
  <c r="F74" i="8"/>
  <c r="C74" i="8"/>
  <c r="G73" i="8"/>
  <c r="J73" i="8"/>
  <c r="T162" i="6"/>
  <c r="R163" i="6"/>
  <c r="S163" i="6"/>
  <c r="Q164" i="6"/>
  <c r="I73" i="8"/>
  <c r="H73" i="8"/>
  <c r="D75" i="8"/>
  <c r="F75" i="8"/>
  <c r="C75" i="8"/>
  <c r="G74" i="8"/>
  <c r="I74" i="8"/>
  <c r="H74" i="8"/>
  <c r="T163" i="6"/>
  <c r="R164" i="6"/>
  <c r="S164" i="6"/>
  <c r="Q165" i="6"/>
  <c r="J74" i="8"/>
  <c r="D76" i="8"/>
  <c r="C76" i="8"/>
  <c r="F76" i="8"/>
  <c r="G75" i="8"/>
  <c r="J75" i="8"/>
  <c r="T164" i="6"/>
  <c r="S165" i="6"/>
  <c r="Q166" i="6"/>
  <c r="R165" i="6"/>
  <c r="I75" i="8"/>
  <c r="H75" i="8"/>
  <c r="G76" i="8"/>
  <c r="I76" i="8"/>
  <c r="H76" i="8"/>
  <c r="R166" i="6"/>
  <c r="Q167" i="6"/>
  <c r="S166" i="6"/>
  <c r="T165" i="6"/>
  <c r="J76" i="8"/>
  <c r="T166" i="6"/>
  <c r="R167" i="6"/>
  <c r="S167" i="6"/>
  <c r="Q168" i="6"/>
  <c r="D77" i="8"/>
  <c r="C77" i="8"/>
  <c r="F77" i="8"/>
  <c r="T167" i="6"/>
  <c r="R168" i="6"/>
  <c r="S168" i="6"/>
  <c r="Q169" i="6"/>
  <c r="D78" i="8"/>
  <c r="F78" i="8"/>
  <c r="C78" i="8"/>
  <c r="G77" i="8"/>
  <c r="J77" i="8"/>
  <c r="T168" i="6"/>
  <c r="R169" i="6"/>
  <c r="S169" i="6"/>
  <c r="Q170" i="6"/>
  <c r="I77" i="8"/>
  <c r="H77" i="8"/>
  <c r="G78" i="8"/>
  <c r="J78" i="8"/>
  <c r="D79" i="8"/>
  <c r="C79" i="8"/>
  <c r="F79" i="8"/>
  <c r="T169" i="6"/>
  <c r="Q171" i="6"/>
  <c r="S170" i="6"/>
  <c r="R170" i="6"/>
  <c r="G79" i="8"/>
  <c r="I79" i="8"/>
  <c r="H79" i="8"/>
  <c r="I78" i="8"/>
  <c r="H78" i="8"/>
  <c r="R171" i="6"/>
  <c r="T170" i="6"/>
  <c r="Q172" i="6"/>
  <c r="S171" i="6"/>
  <c r="J79" i="8"/>
  <c r="T171" i="6"/>
  <c r="R172" i="6"/>
  <c r="S172" i="6"/>
  <c r="Q173" i="6"/>
  <c r="D80" i="8"/>
  <c r="C80" i="8"/>
  <c r="F80" i="8"/>
  <c r="T172" i="6"/>
  <c r="S173" i="6"/>
  <c r="Q174" i="6"/>
  <c r="R173" i="6"/>
  <c r="G80" i="8"/>
  <c r="I80" i="8"/>
  <c r="H80" i="8"/>
  <c r="R174" i="6"/>
  <c r="Q175" i="6"/>
  <c r="S174" i="6"/>
  <c r="T173" i="6"/>
  <c r="J80" i="8"/>
  <c r="T174" i="6"/>
  <c r="R175" i="6"/>
  <c r="S175" i="6"/>
  <c r="Q176" i="6"/>
  <c r="D81" i="8"/>
  <c r="C81" i="8"/>
  <c r="F81" i="8"/>
  <c r="T175" i="6"/>
  <c r="Q177" i="6"/>
  <c r="S176" i="6"/>
  <c r="R176" i="6"/>
  <c r="G81" i="8"/>
  <c r="J81" i="8"/>
  <c r="R177" i="6"/>
  <c r="T176" i="6"/>
  <c r="Q178" i="6"/>
  <c r="S177" i="6"/>
  <c r="I81" i="8"/>
  <c r="H81" i="8"/>
  <c r="T177" i="6"/>
  <c r="R178" i="6"/>
  <c r="S178" i="6"/>
  <c r="Q179" i="6"/>
  <c r="D82" i="8"/>
  <c r="C82" i="8"/>
  <c r="F82" i="8"/>
  <c r="T178" i="6"/>
  <c r="R179" i="6"/>
  <c r="S179" i="6"/>
  <c r="Q180" i="6"/>
  <c r="G82" i="8"/>
  <c r="I82" i="8"/>
  <c r="H82" i="8"/>
  <c r="T179" i="6"/>
  <c r="S180" i="6"/>
  <c r="R180" i="6"/>
  <c r="Q181" i="6"/>
  <c r="D83" i="8"/>
  <c r="C83" i="8"/>
  <c r="F83" i="8"/>
  <c r="J82" i="8"/>
  <c r="T180" i="6"/>
  <c r="S181" i="6"/>
  <c r="Q182" i="6"/>
  <c r="R181" i="6"/>
  <c r="G83" i="8"/>
  <c r="I83" i="8"/>
  <c r="H83" i="8"/>
  <c r="T181" i="6"/>
  <c r="S182" i="6"/>
  <c r="R182" i="6"/>
  <c r="Q183" i="6"/>
  <c r="J83" i="8"/>
  <c r="D84" i="8"/>
  <c r="C84" i="8"/>
  <c r="F84" i="8"/>
  <c r="T182" i="6"/>
  <c r="R183" i="6"/>
  <c r="S183" i="6"/>
  <c r="Q184" i="6"/>
  <c r="G84" i="8"/>
  <c r="I84" i="8"/>
  <c r="H84" i="8"/>
  <c r="T183" i="6"/>
  <c r="R184" i="6"/>
  <c r="S184" i="6"/>
  <c r="Q185" i="6"/>
  <c r="J84" i="8"/>
  <c r="D85" i="8"/>
  <c r="C85" i="8"/>
  <c r="F85" i="8"/>
  <c r="T184" i="6"/>
  <c r="S185" i="6"/>
  <c r="Q186" i="6"/>
  <c r="R185" i="6"/>
  <c r="T185" i="6"/>
  <c r="G85" i="8"/>
  <c r="I85" i="8"/>
  <c r="H85" i="8"/>
  <c r="D86" i="8"/>
  <c r="F86" i="8"/>
  <c r="C86" i="8"/>
  <c r="R186" i="6"/>
  <c r="S186" i="6"/>
  <c r="Q187" i="6"/>
  <c r="J85" i="8"/>
  <c r="G86" i="8"/>
  <c r="I86" i="8"/>
  <c r="H86" i="8"/>
  <c r="T186" i="6"/>
  <c r="R187" i="6"/>
  <c r="S187" i="6"/>
  <c r="Q188" i="6"/>
  <c r="J86" i="8"/>
  <c r="T187" i="6"/>
  <c r="S188" i="6"/>
  <c r="R188" i="6"/>
  <c r="Q189" i="6"/>
  <c r="D87" i="8"/>
  <c r="F87" i="8"/>
  <c r="C87" i="8"/>
  <c r="T188" i="6"/>
  <c r="S189" i="6"/>
  <c r="Q190" i="6"/>
  <c r="R189" i="6"/>
  <c r="T189" i="6"/>
  <c r="D88" i="8"/>
  <c r="C88" i="8"/>
  <c r="F88" i="8"/>
  <c r="G87" i="8"/>
  <c r="J87" i="8"/>
  <c r="R190" i="6"/>
  <c r="S190" i="6"/>
  <c r="Q191" i="6"/>
  <c r="I87" i="8"/>
  <c r="H87" i="8"/>
  <c r="G88" i="8"/>
  <c r="I88" i="8"/>
  <c r="H88" i="8"/>
  <c r="T190" i="6"/>
  <c r="R191" i="6"/>
  <c r="S191" i="6"/>
  <c r="Q192" i="6"/>
  <c r="J88" i="8"/>
  <c r="T191" i="6"/>
  <c r="R192" i="6"/>
  <c r="S192" i="6"/>
  <c r="Q193" i="6"/>
  <c r="D89" i="8"/>
  <c r="C89" i="8"/>
  <c r="F89" i="8"/>
  <c r="T192" i="6"/>
  <c r="S193" i="6"/>
  <c r="Q194" i="6"/>
  <c r="R193" i="6"/>
  <c r="G89" i="8"/>
  <c r="J89" i="8"/>
  <c r="R194" i="6"/>
  <c r="Q195" i="6"/>
  <c r="S194" i="6"/>
  <c r="T193" i="6"/>
  <c r="I89" i="8"/>
  <c r="H89" i="8"/>
  <c r="T194" i="6"/>
  <c r="R195" i="6"/>
  <c r="S195" i="6"/>
  <c r="Q196" i="6"/>
  <c r="D90" i="8"/>
  <c r="F90" i="8"/>
  <c r="C90" i="8"/>
  <c r="T195" i="6"/>
  <c r="Q197" i="6"/>
  <c r="S196" i="6"/>
  <c r="R196" i="6"/>
  <c r="G90" i="8"/>
  <c r="J90" i="8"/>
  <c r="T196" i="6"/>
  <c r="R197" i="6"/>
  <c r="S197" i="6"/>
  <c r="Q198" i="6"/>
  <c r="I90" i="8"/>
  <c r="H90" i="8"/>
  <c r="D91" i="8"/>
  <c r="G91" i="8"/>
  <c r="I91" i="8"/>
  <c r="H91" i="8"/>
  <c r="F91" i="8"/>
  <c r="C91" i="8"/>
  <c r="T197" i="6"/>
  <c r="R198" i="6"/>
  <c r="S198" i="6"/>
  <c r="Q199" i="6"/>
  <c r="T198" i="6"/>
  <c r="J91" i="8"/>
  <c r="D92" i="8"/>
  <c r="F92" i="8"/>
  <c r="C92" i="8"/>
  <c r="R199" i="6"/>
  <c r="S199" i="6"/>
  <c r="Q200" i="6"/>
  <c r="G92" i="8"/>
  <c r="I92" i="8"/>
  <c r="H92" i="8"/>
  <c r="T199" i="6"/>
  <c r="Q201" i="6"/>
  <c r="S200" i="6"/>
  <c r="R200" i="6"/>
  <c r="T200" i="6"/>
  <c r="J92" i="8"/>
  <c r="D93" i="8"/>
  <c r="F93" i="8"/>
  <c r="C93" i="8"/>
  <c r="S201" i="6"/>
  <c r="R201" i="6"/>
  <c r="Q202" i="6"/>
  <c r="G93" i="8"/>
  <c r="I93" i="8"/>
  <c r="H93" i="8"/>
  <c r="T201" i="6"/>
  <c r="R202" i="6"/>
  <c r="S202" i="6"/>
  <c r="Q203" i="6"/>
  <c r="J93" i="8"/>
  <c r="D94" i="8"/>
  <c r="C94" i="8"/>
  <c r="F94" i="8"/>
  <c r="T202" i="6"/>
  <c r="R203" i="6"/>
  <c r="S203" i="6"/>
  <c r="Q204" i="6"/>
  <c r="G94" i="8"/>
  <c r="J94" i="8"/>
  <c r="T203" i="6"/>
  <c r="S204" i="6"/>
  <c r="R204" i="6"/>
  <c r="Q205" i="6"/>
  <c r="I94" i="8"/>
  <c r="H94" i="8"/>
  <c r="D95" i="8"/>
  <c r="C95" i="8"/>
  <c r="F95" i="8"/>
  <c r="T204" i="6"/>
  <c r="S205" i="6"/>
  <c r="R205" i="6"/>
  <c r="Q206" i="6"/>
  <c r="D96" i="8"/>
  <c r="C96" i="8"/>
  <c r="F96" i="8"/>
  <c r="G95" i="8"/>
  <c r="J95" i="8"/>
  <c r="T205" i="6"/>
  <c r="Q207" i="6"/>
  <c r="S206" i="6"/>
  <c r="R206" i="6"/>
  <c r="G96" i="8"/>
  <c r="I96" i="8"/>
  <c r="H96" i="8"/>
  <c r="I95" i="8"/>
  <c r="H95" i="8"/>
  <c r="T206" i="6"/>
  <c r="R207" i="6"/>
  <c r="S207" i="6"/>
  <c r="Q208" i="6"/>
  <c r="J96" i="8"/>
  <c r="D97" i="8"/>
  <c r="F97" i="8"/>
  <c r="C97" i="8"/>
  <c r="T207" i="6"/>
  <c r="R208" i="6"/>
  <c r="S208" i="6"/>
  <c r="Q209" i="6"/>
  <c r="D98" i="8"/>
  <c r="C98" i="8"/>
  <c r="F98" i="8"/>
  <c r="G97" i="8"/>
  <c r="J97" i="8"/>
  <c r="T208" i="6"/>
  <c r="S209" i="6"/>
  <c r="R209" i="6"/>
  <c r="Q210" i="6"/>
  <c r="I97" i="8"/>
  <c r="H97" i="8"/>
  <c r="D99" i="8"/>
  <c r="C99" i="8"/>
  <c r="F99" i="8"/>
  <c r="G98" i="8"/>
  <c r="J98" i="8"/>
  <c r="T209" i="6"/>
  <c r="S210" i="6"/>
  <c r="R210" i="6"/>
  <c r="Q211" i="6"/>
  <c r="I98" i="8"/>
  <c r="H98" i="8"/>
  <c r="T210" i="6"/>
  <c r="D100" i="8"/>
  <c r="G100" i="8"/>
  <c r="I100" i="8"/>
  <c r="H100" i="8"/>
  <c r="F100" i="8"/>
  <c r="C100" i="8"/>
  <c r="G99" i="8"/>
  <c r="I99" i="8"/>
  <c r="H99" i="8"/>
  <c r="D101" i="8"/>
  <c r="F101" i="8"/>
  <c r="C101" i="8"/>
  <c r="R211" i="6"/>
  <c r="S211" i="6"/>
  <c r="Q212" i="6"/>
  <c r="J100" i="8"/>
  <c r="J99" i="8"/>
  <c r="T211" i="6"/>
  <c r="G101" i="8"/>
  <c r="J101" i="8"/>
  <c r="R212" i="6"/>
  <c r="S212" i="6"/>
  <c r="Q213" i="6"/>
  <c r="I101" i="8"/>
  <c r="H101" i="8"/>
  <c r="D102" i="8"/>
  <c r="C102" i="8"/>
  <c r="F102" i="8"/>
  <c r="T212" i="6"/>
  <c r="S213" i="6"/>
  <c r="Q214" i="6"/>
  <c r="R213" i="6"/>
  <c r="G102" i="8"/>
  <c r="I102" i="8"/>
  <c r="H102" i="8"/>
  <c r="T213" i="6"/>
  <c r="S214" i="6"/>
  <c r="R214" i="6"/>
  <c r="Q215" i="6"/>
  <c r="J102" i="8"/>
  <c r="T214" i="6"/>
  <c r="D103" i="8"/>
  <c r="G103" i="8"/>
  <c r="I103" i="8"/>
  <c r="H103" i="8"/>
  <c r="C103" i="8"/>
  <c r="F103" i="8"/>
  <c r="S215" i="6"/>
  <c r="R215" i="6"/>
  <c r="Q216" i="6"/>
  <c r="J103" i="8"/>
  <c r="D104" i="8"/>
  <c r="G104" i="8"/>
  <c r="I104" i="8"/>
  <c r="H104" i="8"/>
  <c r="C104" i="8"/>
  <c r="F104" i="8"/>
  <c r="T215" i="6"/>
  <c r="R216" i="6"/>
  <c r="S216" i="6"/>
  <c r="Q217" i="6"/>
  <c r="J104" i="8"/>
  <c r="D105" i="8"/>
  <c r="F105" i="8"/>
  <c r="C105" i="8"/>
  <c r="T216" i="6"/>
  <c r="S217" i="6"/>
  <c r="Q218" i="6"/>
  <c r="R217" i="6"/>
  <c r="T217" i="6"/>
  <c r="D106" i="8"/>
  <c r="F106" i="8"/>
  <c r="C106" i="8"/>
  <c r="G105" i="8"/>
  <c r="I105" i="8"/>
  <c r="H105" i="8"/>
  <c r="R218" i="6"/>
  <c r="S218" i="6"/>
  <c r="Q219" i="6"/>
  <c r="G106" i="8"/>
  <c r="I106" i="8"/>
  <c r="H106" i="8"/>
  <c r="J105" i="8"/>
  <c r="T218" i="6"/>
  <c r="S219" i="6"/>
  <c r="R219" i="6"/>
  <c r="Q220" i="6"/>
  <c r="J106" i="8"/>
  <c r="D107" i="8"/>
  <c r="G107" i="8"/>
  <c r="I107" i="8"/>
  <c r="H107" i="8"/>
  <c r="C107" i="8"/>
  <c r="F107" i="8"/>
  <c r="T219" i="6"/>
  <c r="S220" i="6"/>
  <c r="R220" i="6"/>
  <c r="Q221" i="6"/>
  <c r="J107" i="8"/>
  <c r="D108" i="8"/>
  <c r="C108" i="8"/>
  <c r="F108" i="8"/>
  <c r="T220" i="6"/>
  <c r="R221" i="6"/>
  <c r="S221" i="6"/>
  <c r="Q222" i="6"/>
  <c r="T221" i="6"/>
  <c r="D110" i="8"/>
  <c r="C110" i="8"/>
  <c r="F110" i="8"/>
  <c r="D109" i="8"/>
  <c r="C109" i="8"/>
  <c r="F109" i="8"/>
  <c r="G108" i="8"/>
  <c r="I108" i="8"/>
  <c r="H108" i="8"/>
  <c r="R222" i="6"/>
  <c r="S222" i="6"/>
  <c r="Q223" i="6"/>
  <c r="J108" i="8"/>
  <c r="G110" i="8"/>
  <c r="I110" i="8"/>
  <c r="H110" i="8"/>
  <c r="G109" i="8"/>
  <c r="I109" i="8"/>
  <c r="H109" i="8"/>
  <c r="T222" i="6"/>
  <c r="R223" i="6"/>
  <c r="S223" i="6"/>
  <c r="Q224" i="6"/>
  <c r="J110" i="8"/>
  <c r="J109" i="8"/>
  <c r="T223" i="6"/>
  <c r="S224" i="6"/>
  <c r="R224" i="6"/>
  <c r="Q225" i="6"/>
  <c r="D111" i="8"/>
  <c r="F111" i="8"/>
  <c r="C111" i="8"/>
  <c r="T224" i="6"/>
  <c r="S225" i="6"/>
  <c r="Q226" i="6"/>
  <c r="R225" i="6"/>
  <c r="G111" i="8"/>
  <c r="I111" i="8"/>
  <c r="H111" i="8"/>
  <c r="T225" i="6"/>
  <c r="R226" i="6"/>
  <c r="S226" i="6"/>
  <c r="Q227" i="6"/>
  <c r="T226" i="6"/>
  <c r="J111" i="8"/>
  <c r="D112" i="8"/>
  <c r="C112" i="8"/>
  <c r="F112" i="8"/>
  <c r="R227" i="6"/>
  <c r="S227" i="6"/>
  <c r="Q228" i="6"/>
  <c r="G112" i="8"/>
  <c r="I112" i="8"/>
  <c r="H112" i="8"/>
  <c r="T227" i="6"/>
  <c r="R228" i="6"/>
  <c r="S228" i="6"/>
  <c r="Q229" i="6"/>
  <c r="D113" i="8"/>
  <c r="G113" i="8"/>
  <c r="I113" i="8"/>
  <c r="H113" i="8"/>
  <c r="C113" i="8"/>
  <c r="F113" i="8"/>
  <c r="J112" i="8"/>
  <c r="R229" i="6"/>
  <c r="S229" i="6"/>
  <c r="Q230" i="6"/>
  <c r="T228" i="6"/>
  <c r="J113" i="8"/>
  <c r="D114" i="8"/>
  <c r="C114" i="8"/>
  <c r="F114" i="8"/>
  <c r="T229" i="6"/>
  <c r="Q231" i="6"/>
  <c r="S230" i="6"/>
  <c r="R230" i="6"/>
  <c r="G114" i="8"/>
  <c r="I114" i="8"/>
  <c r="H114" i="8"/>
  <c r="T230" i="6"/>
  <c r="R231" i="6"/>
  <c r="S231" i="6"/>
  <c r="Q232" i="6"/>
  <c r="D115" i="8"/>
  <c r="F115" i="8"/>
  <c r="C115" i="8"/>
  <c r="J114" i="8"/>
  <c r="T231" i="6"/>
  <c r="R232" i="6"/>
  <c r="S232" i="6"/>
  <c r="Q233" i="6"/>
  <c r="G115" i="8"/>
  <c r="I115" i="8"/>
  <c r="H115" i="8"/>
  <c r="D116" i="8"/>
  <c r="F116" i="8"/>
  <c r="C116" i="8"/>
  <c r="T232" i="6"/>
  <c r="R233" i="6"/>
  <c r="S233" i="6"/>
  <c r="Q234" i="6"/>
  <c r="G116" i="8"/>
  <c r="I116" i="8"/>
  <c r="H116" i="8"/>
  <c r="D117" i="8"/>
  <c r="C117" i="8"/>
  <c r="F117" i="8"/>
  <c r="J115" i="8"/>
  <c r="T233" i="6"/>
  <c r="R234" i="6"/>
  <c r="S234" i="6"/>
  <c r="Q235" i="6"/>
  <c r="J116" i="8"/>
  <c r="D118" i="8"/>
  <c r="C118" i="8"/>
  <c r="F118" i="8"/>
  <c r="G117" i="8"/>
  <c r="J117" i="8"/>
  <c r="T234" i="6"/>
  <c r="R235" i="6"/>
  <c r="S235" i="6"/>
  <c r="Q236" i="6"/>
  <c r="I117" i="8"/>
  <c r="H117" i="8"/>
  <c r="G118" i="8"/>
  <c r="I118" i="8"/>
  <c r="H118" i="8"/>
  <c r="T235" i="6"/>
  <c r="S236" i="6"/>
  <c r="R236" i="6"/>
  <c r="Q237" i="6"/>
  <c r="J118" i="8"/>
  <c r="D119" i="8"/>
  <c r="C119" i="8"/>
  <c r="F119" i="8"/>
  <c r="T236" i="6"/>
  <c r="S237" i="6"/>
  <c r="R237" i="6"/>
  <c r="Q238" i="6"/>
  <c r="G119" i="8"/>
  <c r="I119" i="8"/>
  <c r="H119" i="8"/>
  <c r="T237" i="6"/>
  <c r="Q239" i="6"/>
  <c r="S238" i="6"/>
  <c r="R238" i="6"/>
  <c r="D120" i="8"/>
  <c r="G120" i="8"/>
  <c r="I120" i="8"/>
  <c r="H120" i="8"/>
  <c r="F120" i="8"/>
  <c r="C120" i="8"/>
  <c r="J119" i="8"/>
  <c r="T238" i="6"/>
  <c r="S239" i="6"/>
  <c r="R239" i="6"/>
  <c r="Q240" i="6"/>
  <c r="T239" i="6"/>
  <c r="J120" i="8"/>
  <c r="D122" i="8"/>
  <c r="C122" i="8"/>
  <c r="F122" i="8"/>
  <c r="D121" i="8"/>
  <c r="G121" i="8"/>
  <c r="I121" i="8"/>
  <c r="H121" i="8"/>
  <c r="C121" i="8"/>
  <c r="F121" i="8"/>
  <c r="R240" i="6"/>
  <c r="S240" i="6"/>
  <c r="Q241" i="6"/>
  <c r="J121" i="8"/>
  <c r="G122" i="8"/>
  <c r="I122" i="8"/>
  <c r="H122" i="8"/>
  <c r="T240" i="6"/>
  <c r="S241" i="6"/>
  <c r="R241" i="6"/>
  <c r="Q242" i="6"/>
  <c r="J122" i="8"/>
  <c r="T241" i="6"/>
  <c r="Q243" i="6"/>
  <c r="S242" i="6"/>
  <c r="R242" i="6"/>
  <c r="T242" i="6"/>
  <c r="S243" i="6"/>
  <c r="R243" i="6"/>
  <c r="Q244" i="6"/>
  <c r="T243" i="6"/>
  <c r="S244" i="6"/>
  <c r="R244" i="6"/>
  <c r="Q245" i="6"/>
  <c r="D123" i="8"/>
  <c r="C123" i="8"/>
  <c r="F123" i="8"/>
  <c r="T244" i="6"/>
  <c r="R245" i="6"/>
  <c r="S245" i="6"/>
  <c r="Q246" i="6"/>
  <c r="D124" i="8"/>
  <c r="G124" i="8"/>
  <c r="I124" i="8"/>
  <c r="H124" i="8"/>
  <c r="C124" i="8"/>
  <c r="F124" i="8"/>
  <c r="G123" i="8"/>
  <c r="J123" i="8"/>
  <c r="T245" i="6"/>
  <c r="S246" i="6"/>
  <c r="R246" i="6"/>
  <c r="Q247" i="6"/>
  <c r="J124" i="8"/>
  <c r="I123" i="8"/>
  <c r="H123" i="8"/>
  <c r="D125" i="8"/>
  <c r="G125" i="8"/>
  <c r="I125" i="8"/>
  <c r="H125" i="8"/>
  <c r="C125" i="8"/>
  <c r="F125" i="8"/>
  <c r="T246" i="6"/>
  <c r="S247" i="6"/>
  <c r="R247" i="6"/>
  <c r="Q248" i="6"/>
  <c r="J125" i="8"/>
  <c r="D126" i="8"/>
  <c r="C126" i="8"/>
  <c r="F126" i="8"/>
  <c r="T247" i="6"/>
  <c r="Q249" i="6"/>
  <c r="S248" i="6"/>
  <c r="R248" i="6"/>
  <c r="D127" i="8"/>
  <c r="F127" i="8"/>
  <c r="C127" i="8"/>
  <c r="G126" i="8"/>
  <c r="J126" i="8"/>
  <c r="R249" i="6"/>
  <c r="T248" i="6"/>
  <c r="Q250" i="6"/>
  <c r="S249" i="6"/>
  <c r="I126" i="8"/>
  <c r="H126" i="8"/>
  <c r="G127" i="8"/>
  <c r="I127" i="8"/>
  <c r="H127" i="8"/>
  <c r="T249" i="6"/>
  <c r="S250" i="6"/>
  <c r="R250" i="6"/>
  <c r="Q251" i="6"/>
  <c r="J127" i="8"/>
  <c r="T250" i="6"/>
  <c r="R251" i="6"/>
  <c r="S251" i="6"/>
  <c r="Q252" i="6"/>
  <c r="D128" i="8"/>
  <c r="F128" i="8"/>
  <c r="C128" i="8"/>
  <c r="T251" i="6"/>
  <c r="S252" i="6"/>
  <c r="R252" i="6"/>
  <c r="D129" i="8"/>
  <c r="F129" i="8"/>
  <c r="C129" i="8"/>
  <c r="G128" i="8"/>
  <c r="J128" i="8"/>
  <c r="T252" i="6"/>
  <c r="I128" i="8"/>
  <c r="H128" i="8"/>
  <c r="D130" i="8"/>
  <c r="G130" i="8"/>
  <c r="I130" i="8"/>
  <c r="H130" i="8"/>
  <c r="C130" i="8"/>
  <c r="F130" i="8"/>
  <c r="G129" i="8"/>
  <c r="J129" i="8"/>
  <c r="J130" i="8"/>
  <c r="I129" i="8"/>
  <c r="H129" i="8"/>
</calcChain>
</file>

<file path=xl/sharedStrings.xml><?xml version="1.0" encoding="utf-8"?>
<sst xmlns="http://schemas.openxmlformats.org/spreadsheetml/2006/main" count="2322" uniqueCount="439">
  <si>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</si>
  <si>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</si>
  <si>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</si>
  <si>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</si>
  <si>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</si>
  <si>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</si>
  <si>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</si>
  <si>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</si>
  <si>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</si>
  <si>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</si>
  <si>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</si>
  <si>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</si>
  <si>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</si>
  <si>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</si>
  <si>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</si>
  <si>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</si>
  <si>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</si>
  <si>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</si>
  <si>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</si>
  <si>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</si>
  <si>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</si>
  <si>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</si>
  <si>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</si>
  <si>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</si>
  <si>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</si>
  <si>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</si>
  <si>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</si>
  <si>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</si>
  <si>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</si>
  <si>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</si>
  <si>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</si>
  <si>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</si>
  <si>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</si>
  <si>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</si>
  <si>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</si>
  <si>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</si>
  <si>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</si>
  <si>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</si>
  <si>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</si>
  <si>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</si>
  <si>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</si>
  <si>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</si>
  <si>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</si>
  <si>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</si>
  <si>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</si>
  <si>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</si>
  <si>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</si>
  <si>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</si>
  <si>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</si>
  <si>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</si>
  <si>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</si>
  <si>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</si>
  <si>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</si>
  <si>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</si>
  <si>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</si>
  <si>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</si>
  <si>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</si>
  <si>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</si>
  <si>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</si>
  <si>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</si>
  <si>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</si>
  <si>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</si>
  <si>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</si>
  <si>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</si>
  <si>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</si>
  <si>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</si>
  <si>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</si>
  <si>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</si>
  <si>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</si>
  <si>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</si>
  <si>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</si>
  <si>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</si>
  <si>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</si>
  <si>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</si>
  <si>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</si>
  <si>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</si>
  <si>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</si>
  <si>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</si>
  <si>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</si>
  <si>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</si>
  <si>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</si>
  <si>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</si>
  <si>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</si>
  <si>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</si>
  <si>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</si>
  <si>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</si>
  <si>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</si>
  <si>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</si>
  <si>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</si>
  <si>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</si>
  <si>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</si>
  <si>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</si>
  <si>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</si>
  <si>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</si>
  <si>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</si>
  <si>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</si>
  <si>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</si>
  <si>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</si>
  <si>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</si>
  <si>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</si>
  <si>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</si>
  <si>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</si>
  <si>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</si>
  <si>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</si>
  <si>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</si>
  <si>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</si>
  <si>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</si>
  <si>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</si>
  <si>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</si>
  <si>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</si>
  <si>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</si>
  <si>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</si>
  <si>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</si>
  <si>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</si>
  <si>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</si>
  <si>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</si>
  <si>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</si>
  <si>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</si>
  <si>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</si>
  <si>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</si>
  <si>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</si>
  <si>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</si>
  <si>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</si>
  <si>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</si>
  <si>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</si>
  <si>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</si>
  <si>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</si>
  <si>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</si>
  <si>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</si>
  <si>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</si>
  <si>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</si>
  <si>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</si>
  <si>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</si>
  <si>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</si>
  <si>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</si>
  <si>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</si>
  <si>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</si>
  <si>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</si>
  <si>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</si>
  <si>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</si>
  <si>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</si>
  <si>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</si>
  <si>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</si>
  <si>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</si>
  <si>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</si>
  <si>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</si>
  <si>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</si>
  <si>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</si>
  <si>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</si>
  <si>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</si>
  <si>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</si>
  <si>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</si>
  <si>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</si>
  <si>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</si>
  <si>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</si>
  <si>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</si>
  <si>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</si>
  <si>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</si>
  <si>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</si>
  <si>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</si>
  <si>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</si>
  <si>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</si>
  <si>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</si>
  <si>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</si>
  <si>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</si>
  <si>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</si>
  <si>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</si>
  <si>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</si>
  <si>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</si>
  <si>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</si>
  <si>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</si>
  <si>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</si>
  <si>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</si>
  <si>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</si>
  <si>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</si>
  <si>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</si>
  <si>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</si>
  <si>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</si>
  <si>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</si>
  <si>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</si>
  <si>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</si>
  <si>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</si>
  <si>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</si>
  <si>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</si>
  <si>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</si>
  <si>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</si>
  <si>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</si>
  <si>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</si>
  <si>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</si>
  <si>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</si>
  <si>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</si>
  <si>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</si>
  <si>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</si>
  <si>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</si>
  <si>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</si>
  <si>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</si>
  <si>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</si>
  <si>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</si>
  <si>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</si>
  <si>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</si>
  <si>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</si>
  <si>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</si>
  <si>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</si>
  <si>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</si>
  <si>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</si>
  <si>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</si>
  <si>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</si>
  <si>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</si>
  <si>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</si>
  <si>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</si>
  <si>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</si>
  <si>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</si>
  <si>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</si>
  <si>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</si>
  <si>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</si>
  <si>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</si>
  <si>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</si>
  <si>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</si>
  <si>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</si>
  <si>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</si>
  <si>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</si>
  <si>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</si>
  <si>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</si>
  <si>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</si>
  <si>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</si>
  <si>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</si>
  <si>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</si>
  <si>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</si>
  <si>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</si>
  <si>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</si>
  <si>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</si>
  <si>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</si>
  <si>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</si>
  <si>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</si>
  <si>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</si>
  <si>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</si>
  <si>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</si>
  <si>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</si>
  <si>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</si>
  <si>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</si>
  <si>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</si>
  <si>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</si>
  <si>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</si>
  <si>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</si>
  <si>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</si>
  <si>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</si>
  <si>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</si>
  <si>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</si>
  <si>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</si>
  <si>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</si>
  <si>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</si>
  <si>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</si>
  <si>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</si>
  <si>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</si>
  <si>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</si>
  <si>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</si>
  <si>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</si>
  <si>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</si>
  <si>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</si>
  <si>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</si>
  <si>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</si>
  <si>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</si>
  <si>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</si>
  <si>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</si>
  <si>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</si>
  <si>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</si>
  <si>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</si>
  <si>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</si>
  <si>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</si>
  <si>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</si>
  <si>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</si>
  <si>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</si>
  <si>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</si>
  <si>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</si>
  <si>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</si>
  <si>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</si>
  <si>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</si>
  <si>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</si>
  <si>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</si>
  <si>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</si>
  <si>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</si>
  <si>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</si>
  <si>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</si>
  <si>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</si>
  <si>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</si>
  <si>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</si>
  <si>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</si>
  <si>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</si>
  <si>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</si>
  <si>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</si>
  <si>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</si>
  <si>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</si>
  <si>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</si>
  <si>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</si>
  <si>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</si>
  <si>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</si>
  <si>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</si>
  <si>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</si>
  <si>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</si>
  <si>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</si>
  <si>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</si>
  <si>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</si>
  <si>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</si>
  <si>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</si>
  <si>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</si>
  <si>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</si>
  <si>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</si>
  <si>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</si>
  <si>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</si>
  <si>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</si>
  <si>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</si>
  <si>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</si>
  <si>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</si>
  <si>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</si>
  <si>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</si>
  <si>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</si>
  <si>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</si>
  <si>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</si>
  <si>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</si>
  <si>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</si>
  <si>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</si>
  <si>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</si>
  <si>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</si>
  <si>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</si>
  <si>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</si>
  <si>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</si>
  <si>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</si>
  <si>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</si>
  <si>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</si>
  <si>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</si>
  <si>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</si>
  <si>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</si>
  <si>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</si>
  <si>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</si>
  <si>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</si>
  <si>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</si>
  <si>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</si>
  <si>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</si>
  <si>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</si>
  <si>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</si>
  <si>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</si>
  <si>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</si>
  <si>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</si>
  <si>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</si>
  <si>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</si>
  <si>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</si>
  <si>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</si>
  <si>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</si>
  <si>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</si>
  <si>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</si>
  <si>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</si>
  <si>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</si>
  <si>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</si>
  <si>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</si>
  <si>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</si>
  <si>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</si>
  <si>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</si>
  <si>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</si>
  <si>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</si>
  <si>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</si>
  <si>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</si>
  <si>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</si>
  <si>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</si>
  <si>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</si>
  <si>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</si>
  <si>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</si>
  <si>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</si>
  <si>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</si>
  <si>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</si>
  <si>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</si>
  <si>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</si>
  <si>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</si>
  <si>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</si>
  <si>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</si>
  <si>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</si>
  <si>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</si>
  <si>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</si>
  <si>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</si>
  <si>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</si>
  <si>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</si>
  <si>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</si>
  <si>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</si>
  <si>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</si>
  <si>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</si>
  <si>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</si>
  <si>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</si>
  <si>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</si>
  <si>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</si>
  <si>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</si>
  <si>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</si>
  <si>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</si>
  <si>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</si>
  <si>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</si>
  <si>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</si>
  <si>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</si>
  <si>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</si>
  <si>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</si>
  <si>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Evolve</t>
  </si>
  <si>
    <t>Santa</t>
  </si>
  <si>
    <t>Hold to Max (#4)</t>
  </si>
  <si>
    <t>Bench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</si>
  <si>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</si>
  <si>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</si>
  <si>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</si>
  <si>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</si>
  <si>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</si>
  <si>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</si>
  <si>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</si>
  <si>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</si>
  <si>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Hold to Max Evolve</t>
  </si>
  <si>
    <t>Evolution Key</t>
  </si>
  <si>
    <t>Evolution Subkey</t>
  </si>
  <si>
    <t>Evolution Key Number</t>
  </si>
  <si>
    <t>ID</t>
  </si>
  <si>
    <t>Max HP</t>
  </si>
  <si>
    <t>Max Atk</t>
  </si>
  <si>
    <t>Max Def</t>
  </si>
  <si>
    <t>Avg %</t>
  </si>
  <si>
    <t>Spare Pokemon</t>
  </si>
  <si>
    <t>Km Buddy Distance</t>
  </si>
  <si>
    <t>Hold to Max</t>
  </si>
  <si>
    <t>Bench (Best Grass)</t>
  </si>
  <si>
    <t>Bench (Best)</t>
  </si>
  <si>
    <t>Bench (Best Bug; Legacy)</t>
  </si>
  <si>
    <t>Bench (Best Legacy)</t>
  </si>
  <si>
    <t>Bench (5th Moveset)</t>
  </si>
  <si>
    <t>Bench (3rd Moveset)</t>
  </si>
  <si>
    <t>Bench (2nd Moveset)</t>
  </si>
  <si>
    <t>Bench (Legacy Santa)</t>
  </si>
  <si>
    <t>Bench (8th Moveset)</t>
  </si>
  <si>
    <t>Bench (Best Fire)</t>
  </si>
  <si>
    <t>Bench (6th Moveset)</t>
  </si>
  <si>
    <t>Bench (Best Legacy Rock)</t>
  </si>
  <si>
    <t>Bench (??)</t>
  </si>
  <si>
    <t>Bench (4th Moveset)</t>
  </si>
  <si>
    <t>Bench (Best Ice; Legacy)</t>
  </si>
  <si>
    <t>Bench (Best Steel)</t>
  </si>
  <si>
    <t>Bench (9th Moveset)</t>
  </si>
  <si>
    <t>Bench (Best Flying)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</si>
</sst>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5" borderId="0" xfId="0" applyFont="1" applyFill="1"/>
    <xf numFmtId="164" fontId="0" fillId="4" borderId="0" xfId="0" applyNumberFormat="1" applyFill="1"/>
    <xf numFmtId="165" fontId="0" fillId="4" borderId="0" xfId="0" applyNumberFormat="1" applyFill="1"/>
    <xf numFmtId="21" fontId="0" fillId="4" borderId="0" xfId="0" applyNumberFormat="1" applyFont="1" applyFill="1"/>
  </cellXfs>
  <cellStyles count="1">
    <cellStyle name="Normal" xfId="0" builtinId="0"/>
  </cellStyles>
  <dxfs count="12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4101"/>
  <sheetViews>
    <sheetView tabSelected="1" zoomScale="85" zoomScaleNormal="85" workbookViewId="0">
      <pane xSplit="11" ySplit="2" topLeftCell="L3" activePane="bottomRight" state="frozen"/>
      <selection activeCell="CX6" sqref="CX6"/>
      <selection pane="topRight" activeCell="CX6" sqref="CX6"/>
      <selection pane="bottomLeft" activeCell="CX6" sqref="CX6"/>
      <selection pane="bottomRight" activeCell="B14" sqref="B14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215</v>
      </c>
      <c r="B1" s="7">
        <f>COUNTA('My Pokemon'!$A$3:$A$502)</f>
        <v>207</v>
      </c>
      <c r="C1" s="6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Pokemon'!$CX$3:$CX$352,"Evolve")</f>
        <v>Evolves: 30</v>
      </c>
      <c r="CY1" s="7"/>
      <c r="CZ1" s="46">
        <f ca="1">MIN(NOW(),DB1)</f>
        <v>42785.031423611115</v>
      </c>
      <c r="DA1" s="70">
        <v>42785.01059027778</v>
      </c>
      <c r="DB1" s="46">
        <f>DA1+0.5/24</f>
        <v>42785.031423611115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417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 t="s">
        <v>0</v>
      </c>
      <c r="F3" s="19">
        <v>1</v>
      </c>
      <c r="G3" s="19"/>
      <c r="H3" s="19">
        <v>1</v>
      </c>
      <c r="I3" s="19" t="s">
        <v>0</v>
      </c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IF(P3="","",IF($C3&gt;10,MAX(0,ROUNDUP(Q3*$C3-$M3+1000,0)-1000),0))</f>
        <v>17</v>
      </c>
      <c r="S3" s="24">
        <f t="shared" ref="S3:S66" si="1">IF(P3="","",MIN(15,ROUNDDOWN(Q3*($C3+1)-$M3+1000,0)-1000))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IF(AH3="","",IF($C3&gt;10,MAX(0,ROUNDUP(AI3*$C3-$M3+1000,0)-1000),0))</f>
        <v>16</v>
      </c>
      <c r="AK3" s="24">
        <f t="shared" ref="AK3:AK66" si="7">IF(AH3="","",MIN(15,ROUNDDOWN(AI3*($C3+1)-$M3+1000,0)-1000))</f>
        <v>15</v>
      </c>
      <c r="AL3" s="25">
        <f t="shared" ref="AL3:AL66" si="8">IFERROR(IF($B3&gt;10,100*AI3^4*$B3^2,$N3^2*$O3*($M3+AJ3)),"")</f>
        <v>244410480.45899603</v>
      </c>
      <c r="AM3" s="25">
        <f t="shared" ref="AM3:AM66" si="9">IFERROR(100*AI3^4*($B3+1)^2,"")</f>
        <v>245309874.29151335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IF(AZ3="","",IF($C3&gt;10,MAX(0,ROUNDUP(BA3*$C3-$M3+1000,0)-1000),0))</f>
        <v>14</v>
      </c>
      <c r="BC3" s="24">
        <f t="shared" ref="BC3:BC66" si="13">IF(AZ3="","",MIN(15,ROUNDDOWN(BA3*($C3+1)-$M3+1000,0)-1000))</f>
        <v>15</v>
      </c>
      <c r="BD3" s="25">
        <f t="shared" ref="BD3:BD66" si="14">IFERROR(IF($B3&gt;10,100*BA3^4*$B3^2,$N3^2*$O3*($M3+BB3)),"")</f>
        <v>232346908.49035606</v>
      </c>
      <c r="BE3" s="25">
        <f t="shared" ref="BE3:BE66" si="15">IFERROR(100*BA3^4*($B3+1)^2,"")</f>
        <v>233201910.19121704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1</v>
      </c>
      <c r="BH3" s="24">
        <v>41</v>
      </c>
      <c r="BI3" s="24">
        <v>41</v>
      </c>
      <c r="BJ3" s="26">
        <v>0.91111111111111109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11</v>
      </c>
      <c r="BP3" s="24">
        <v>15</v>
      </c>
      <c r="BQ3" s="24">
        <v>15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IF(BR3="","",IF($C3&gt;10,MAX(0,ROUNDUP(BS3*$C3-$M3+1000,0)-1000),0))</f>
        <v>13</v>
      </c>
      <c r="BU3" s="24">
        <f t="shared" ref="BU3:BU66" si="19">IF(BR3="","",MIN(15,ROUNDDOWN(BS3*($C3+1)-$M3+1000,0)-1000))</f>
        <v>14</v>
      </c>
      <c r="BV3" s="25">
        <f t="shared" ref="BV3:BV66" si="20">IFERROR(IF($B3&gt;10,100*BS3^4*$B3^2,$N3^2*$O3*($M3+BT3)),"")</f>
        <v>221147861.58509597</v>
      </c>
      <c r="BW3" s="25">
        <f t="shared" ref="BW3:BW66" si="21">IFERROR(100*BS3^4*($B3+1)^2,"")</f>
        <v>221961652.47659335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65">
        <f t="shared" ref="CL3:CL66" si="25">IF(OR(CJ3="",CK3=""),"",(CM3+CN3)/2)</f>
        <v>0.91111111111111109</v>
      </c>
      <c r="CM3" s="26">
        <f t="shared" ref="CM3:CM66" si="26">IF(OR(CJ3="",CK3=""),"",MIN(Z3,AR3,BJ3,CB3))</f>
        <v>0.91111111111111109</v>
      </c>
      <c r="CN3" s="26">
        <f t="shared" ref="CN3:CN66" si="27">IF(OR(CJ3="",CK3=""),"",MAX(AA3,AS3,BK3,CC3))</f>
        <v>0.91111111111111109</v>
      </c>
      <c r="CO3" s="29">
        <f t="shared" ref="CO3:CO66" si="28">IF(OR(CJ3="",CK3=""),"",MIN(AB3,AT3,BL3,CD3))</f>
        <v>15</v>
      </c>
      <c r="CP3" s="29">
        <f t="shared" ref="CP3:CP66" si="29">IF(OR(CJ3="",CK3=""),"",MAX(AC3,AU3,BM3,CE3))</f>
        <v>15</v>
      </c>
      <c r="CQ3" s="29">
        <f t="shared" ref="CQ3:CQ66" si="30">IF(OR(CJ3="",CK3=""),"",MIN(AD3,AV3,BN3,CF3))</f>
        <v>11</v>
      </c>
      <c r="CR3" s="29">
        <f t="shared" ref="CR3:CR66" si="31">IF(OR(CJ3="",CK3=""),"",MAX(AE3,AW3,BO3,CG3))</f>
        <v>11</v>
      </c>
      <c r="CS3" s="29">
        <f t="shared" ref="CS3:CS66" si="32">IF(OR(CJ3="",CK3=""),"",MIN(AF3,AX3,BP3,CH3))</f>
        <v>15</v>
      </c>
      <c r="CT3" s="29">
        <f t="shared" ref="CT3:CT66" si="33">IF(OR(CJ3="",CK3=""),"",MAX(AG3,AY3,BQ3,CI3))</f>
        <v>15</v>
      </c>
      <c r="CU3" s="30">
        <f t="shared" ref="CU3:CU66" si="34">IF(CO3=CP3,CP3,CO3&amp;"-"&amp;CP3)</f>
        <v>15</v>
      </c>
      <c r="CV3" s="30">
        <f t="shared" ref="CV3:CV66" si="35">IF(CQ3=CR3,CR3,CQ3&amp;"-"&amp;CR3)</f>
        <v>11</v>
      </c>
      <c r="CW3" s="30">
        <f t="shared" ref="CW3:CW66" si="36">IF(CS3=CT3,CT3,CS3&amp;"-"&amp;CT3)</f>
        <v>15</v>
      </c>
      <c r="CX3" s="18" t="s">
        <v>394</v>
      </c>
    </row>
    <row r="4" spans="1:106" x14ac:dyDescent="0.25">
      <c r="A4" s="31" t="s">
        <v>18</v>
      </c>
      <c r="B4" s="13">
        <v>540</v>
      </c>
      <c r="C4" s="13">
        <v>60</v>
      </c>
      <c r="D4" s="13">
        <v>25</v>
      </c>
      <c r="E4" s="32" t="s">
        <v>0</v>
      </c>
      <c r="F4" s="32"/>
      <c r="G4" s="32">
        <v>1</v>
      </c>
      <c r="H4" s="32"/>
      <c r="I4" s="32" t="s">
        <v>2</v>
      </c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12</v>
      </c>
      <c r="AK4" s="37">
        <f t="shared" si="7"/>
        <v>13</v>
      </c>
      <c r="AL4" s="38">
        <f t="shared" si="8"/>
        <v>240829422.92199409</v>
      </c>
      <c r="AM4" s="38">
        <f t="shared" si="9"/>
        <v>241722209.63728446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11</v>
      </c>
      <c r="BC4" s="37">
        <f t="shared" si="13"/>
        <v>12</v>
      </c>
      <c r="BD4" s="38">
        <f t="shared" si="14"/>
        <v>228942604.19748804</v>
      </c>
      <c r="BE4" s="38">
        <f t="shared" si="15"/>
        <v>229791324.89411867</v>
      </c>
      <c r="BF4" s="38" t="b">
        <f t="shared" si="16"/>
        <v>0</v>
      </c>
      <c r="BG4" s="37">
        <f t="array" ref="BG4:BQ4">IF(BF4,"",IVSolution($M4,$N4,$O4,BB4,BC4,BD4,BE4,$E4,$F4,$G4,$H4,$I4))</f>
        <v>1</v>
      </c>
      <c r="BH4" s="37">
        <v>37</v>
      </c>
      <c r="BI4" s="37">
        <v>37</v>
      </c>
      <c r="BJ4" s="39">
        <v>0.82222222222222219</v>
      </c>
      <c r="BK4" s="39">
        <v>0.82222222222222219</v>
      </c>
      <c r="BL4" s="37">
        <v>12</v>
      </c>
      <c r="BM4" s="37">
        <v>12</v>
      </c>
      <c r="BN4" s="37">
        <v>14</v>
      </c>
      <c r="BO4" s="37">
        <v>14</v>
      </c>
      <c r="BP4" s="37">
        <v>11</v>
      </c>
      <c r="BQ4" s="37">
        <v>11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10</v>
      </c>
      <c r="BU4" s="37">
        <f t="shared" si="19"/>
        <v>10</v>
      </c>
      <c r="BV4" s="38">
        <f t="shared" si="20"/>
        <v>217907643.67367938</v>
      </c>
      <c r="BW4" s="38">
        <f t="shared" si="21"/>
        <v>218715456.30334759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66">
        <f t="shared" si="25"/>
        <v>0.82222222222222219</v>
      </c>
      <c r="CM4" s="39">
        <f t="shared" si="26"/>
        <v>0.82222222222222219</v>
      </c>
      <c r="CN4" s="39">
        <f t="shared" si="27"/>
        <v>0.82222222222222219</v>
      </c>
      <c r="CO4" s="42">
        <f t="shared" si="28"/>
        <v>12</v>
      </c>
      <c r="CP4" s="42">
        <f t="shared" si="29"/>
        <v>12</v>
      </c>
      <c r="CQ4" s="42">
        <f t="shared" si="30"/>
        <v>14</v>
      </c>
      <c r="CR4" s="42">
        <f t="shared" si="31"/>
        <v>14</v>
      </c>
      <c r="CS4" s="42">
        <f t="shared" si="32"/>
        <v>11</v>
      </c>
      <c r="CT4" s="42">
        <f t="shared" si="33"/>
        <v>11</v>
      </c>
      <c r="CU4" s="43">
        <f t="shared" si="34"/>
        <v>12</v>
      </c>
      <c r="CV4" s="43">
        <f t="shared" si="35"/>
        <v>14</v>
      </c>
      <c r="CW4" s="43">
        <f t="shared" si="36"/>
        <v>11</v>
      </c>
      <c r="CX4" s="13" t="s">
        <v>395</v>
      </c>
      <c r="CZ4" s="1"/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 t="s">
        <v>0</v>
      </c>
      <c r="F5" s="32"/>
      <c r="G5" s="32"/>
      <c r="H5" s="32">
        <v>1</v>
      </c>
      <c r="I5" s="32" t="s">
        <v>0</v>
      </c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2</v>
      </c>
      <c r="BH5" s="37">
        <v>41</v>
      </c>
      <c r="BI5" s="37">
        <v>42</v>
      </c>
      <c r="BJ5" s="39">
        <v>0.91111111111111109</v>
      </c>
      <c r="BK5" s="39">
        <v>0.93333333333333335</v>
      </c>
      <c r="BL5" s="37">
        <v>13</v>
      </c>
      <c r="BM5" s="37">
        <v>14</v>
      </c>
      <c r="BN5" s="37">
        <v>13</v>
      </c>
      <c r="BO5" s="37">
        <v>13</v>
      </c>
      <c r="BP5" s="37">
        <v>15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66">
        <f t="shared" si="25"/>
        <v>0.92222222222222228</v>
      </c>
      <c r="CM5" s="39">
        <f t="shared" si="26"/>
        <v>0.91111111111111109</v>
      </c>
      <c r="CN5" s="39">
        <f t="shared" si="27"/>
        <v>0.93333333333333335</v>
      </c>
      <c r="CO5" s="42">
        <f t="shared" si="28"/>
        <v>13</v>
      </c>
      <c r="CP5" s="42">
        <f t="shared" si="29"/>
        <v>14</v>
      </c>
      <c r="CQ5" s="42">
        <f t="shared" si="30"/>
        <v>13</v>
      </c>
      <c r="CR5" s="42">
        <f t="shared" si="31"/>
        <v>13</v>
      </c>
      <c r="CS5" s="42">
        <f t="shared" si="32"/>
        <v>15</v>
      </c>
      <c r="CT5" s="42">
        <f t="shared" si="33"/>
        <v>15</v>
      </c>
      <c r="CU5" s="43" t="str">
        <f t="shared" si="34"/>
        <v>13-14</v>
      </c>
      <c r="CV5" s="43">
        <f t="shared" si="35"/>
        <v>13</v>
      </c>
      <c r="CW5" s="43">
        <f t="shared" si="36"/>
        <v>15</v>
      </c>
      <c r="CX5" s="13" t="s">
        <v>396</v>
      </c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 t="s">
        <v>0</v>
      </c>
      <c r="F6" s="32"/>
      <c r="G6" s="32">
        <v>1</v>
      </c>
      <c r="H6" s="32">
        <v>1</v>
      </c>
      <c r="I6" s="32" t="s">
        <v>2</v>
      </c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1</v>
      </c>
      <c r="BH6" s="37">
        <v>41</v>
      </c>
      <c r="BI6" s="37">
        <v>41</v>
      </c>
      <c r="BJ6" s="39">
        <v>0.91111111111111109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14</v>
      </c>
      <c r="BP6" s="37">
        <v>14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66">
        <f t="shared" si="25"/>
        <v>0.91111111111111109</v>
      </c>
      <c r="CM6" s="39">
        <f t="shared" si="26"/>
        <v>0.91111111111111109</v>
      </c>
      <c r="CN6" s="39">
        <f t="shared" si="27"/>
        <v>0.91111111111111109</v>
      </c>
      <c r="CO6" s="42">
        <f t="shared" si="28"/>
        <v>13</v>
      </c>
      <c r="CP6" s="42">
        <f t="shared" si="29"/>
        <v>13</v>
      </c>
      <c r="CQ6" s="42">
        <f t="shared" si="30"/>
        <v>14</v>
      </c>
      <c r="CR6" s="42">
        <f t="shared" si="31"/>
        <v>14</v>
      </c>
      <c r="CS6" s="42">
        <f t="shared" si="32"/>
        <v>14</v>
      </c>
      <c r="CT6" s="42">
        <f t="shared" si="33"/>
        <v>14</v>
      </c>
      <c r="CU6" s="43">
        <f t="shared" si="34"/>
        <v>13</v>
      </c>
      <c r="CV6" s="43">
        <f t="shared" si="35"/>
        <v>14</v>
      </c>
      <c r="CW6" s="43">
        <f t="shared" si="36"/>
        <v>14</v>
      </c>
      <c r="CX6" s="13" t="s">
        <v>421</v>
      </c>
    </row>
    <row r="7" spans="1:106" x14ac:dyDescent="0.25">
      <c r="A7" s="31" t="s">
        <v>24</v>
      </c>
      <c r="B7" s="13">
        <v>454</v>
      </c>
      <c r="C7" s="13">
        <v>54</v>
      </c>
      <c r="D7" s="13">
        <v>25</v>
      </c>
      <c r="E7" s="32" t="s">
        <v>0</v>
      </c>
      <c r="F7" s="32">
        <v>1</v>
      </c>
      <c r="G7" s="32">
        <v>1</v>
      </c>
      <c r="H7" s="32"/>
      <c r="I7" s="32" t="s">
        <v>2</v>
      </c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170229071.79351759</v>
      </c>
      <c r="AM7" s="38">
        <f t="shared" si="9"/>
        <v>170979805.48842874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13</v>
      </c>
      <c r="BC7" s="37">
        <f t="shared" si="13"/>
        <v>14</v>
      </c>
      <c r="BD7" s="38">
        <f t="shared" si="14"/>
        <v>161826933.49372238</v>
      </c>
      <c r="BE7" s="38">
        <f t="shared" si="15"/>
        <v>162540612.59939975</v>
      </c>
      <c r="BF7" s="38" t="b">
        <f t="shared" si="16"/>
        <v>0</v>
      </c>
      <c r="BG7" s="37">
        <f t="array" ref="BG7:BQ7">IF(BF7,"",IVSolution($M7,$N7,$O7,BB7,BC7,BD7,BE7,$E7,$F7,$G7,$H7,$I7))</f>
        <v>1</v>
      </c>
      <c r="BH7" s="37">
        <v>37</v>
      </c>
      <c r="BI7" s="37">
        <v>37</v>
      </c>
      <c r="BJ7" s="39">
        <v>0.82222222222222219</v>
      </c>
      <c r="BK7" s="39">
        <v>0.82222222222222219</v>
      </c>
      <c r="BL7" s="37">
        <v>13</v>
      </c>
      <c r="BM7" s="37">
        <v>13</v>
      </c>
      <c r="BN7" s="37">
        <v>13</v>
      </c>
      <c r="BO7" s="37">
        <v>13</v>
      </c>
      <c r="BP7" s="37">
        <v>11</v>
      </c>
      <c r="BQ7" s="37">
        <v>11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12</v>
      </c>
      <c r="BU7" s="37">
        <f t="shared" si="19"/>
        <v>12</v>
      </c>
      <c r="BV7" s="38">
        <f t="shared" si="20"/>
        <v>154026926.89795646</v>
      </c>
      <c r="BW7" s="38">
        <f t="shared" si="21"/>
        <v>154706206.89829725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66">
        <f t="shared" si="25"/>
        <v>0.82222222222222219</v>
      </c>
      <c r="CM7" s="39">
        <f t="shared" si="26"/>
        <v>0.82222222222222219</v>
      </c>
      <c r="CN7" s="39">
        <f t="shared" si="27"/>
        <v>0.82222222222222219</v>
      </c>
      <c r="CO7" s="42">
        <f t="shared" si="28"/>
        <v>13</v>
      </c>
      <c r="CP7" s="42">
        <f t="shared" si="29"/>
        <v>13</v>
      </c>
      <c r="CQ7" s="42">
        <f t="shared" si="30"/>
        <v>13</v>
      </c>
      <c r="CR7" s="42">
        <f t="shared" si="31"/>
        <v>13</v>
      </c>
      <c r="CS7" s="42">
        <f t="shared" si="32"/>
        <v>11</v>
      </c>
      <c r="CT7" s="42">
        <f t="shared" si="33"/>
        <v>11</v>
      </c>
      <c r="CU7" s="43">
        <f t="shared" si="34"/>
        <v>13</v>
      </c>
      <c r="CV7" s="43">
        <f t="shared" si="35"/>
        <v>13</v>
      </c>
      <c r="CW7" s="43">
        <f t="shared" si="36"/>
        <v>11</v>
      </c>
      <c r="CX7" s="13" t="s">
        <v>396</v>
      </c>
    </row>
    <row r="8" spans="1:106" x14ac:dyDescent="0.25">
      <c r="A8" s="31" t="s">
        <v>24</v>
      </c>
      <c r="B8" s="13">
        <v>451</v>
      </c>
      <c r="C8" s="13">
        <v>53</v>
      </c>
      <c r="D8" s="13">
        <v>25</v>
      </c>
      <c r="E8" s="32" t="s">
        <v>2</v>
      </c>
      <c r="F8" s="32"/>
      <c r="G8" s="32">
        <v>1</v>
      </c>
      <c r="H8" s="32"/>
      <c r="I8" s="32" t="s">
        <v>2</v>
      </c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12</v>
      </c>
      <c r="AK8" s="37">
        <f t="shared" si="7"/>
        <v>13</v>
      </c>
      <c r="AL8" s="38">
        <f t="shared" si="8"/>
        <v>167986781.38462454</v>
      </c>
      <c r="AM8" s="38">
        <f t="shared" si="9"/>
        <v>168732559.7416155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11</v>
      </c>
      <c r="BC8" s="37">
        <f t="shared" si="13"/>
        <v>12</v>
      </c>
      <c r="BD8" s="38">
        <f t="shared" si="14"/>
        <v>159695317.68303588</v>
      </c>
      <c r="BE8" s="38">
        <f t="shared" si="15"/>
        <v>160404286.03554046</v>
      </c>
      <c r="BF8" s="38" t="b">
        <f t="shared" si="16"/>
        <v>0</v>
      </c>
      <c r="BG8" s="37">
        <f t="array" ref="BG8:BQ8">IF(BF8,"",IVSolution($M8,$N8,$O8,BB8,BC8,BD8,BE8,$E8,$F8,$G8,$H8,$I8))</f>
        <v>3</v>
      </c>
      <c r="BH8" s="37">
        <v>35</v>
      </c>
      <c r="BI8" s="37">
        <v>36</v>
      </c>
      <c r="BJ8" s="39">
        <v>0.77777777777777779</v>
      </c>
      <c r="BK8" s="39">
        <v>0.8</v>
      </c>
      <c r="BL8" s="37">
        <v>11</v>
      </c>
      <c r="BM8" s="37">
        <v>12</v>
      </c>
      <c r="BN8" s="37">
        <v>13</v>
      </c>
      <c r="BO8" s="37">
        <v>14</v>
      </c>
      <c r="BP8" s="37">
        <v>9</v>
      </c>
      <c r="BQ8" s="37">
        <v>12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10</v>
      </c>
      <c r="BU8" s="37">
        <f t="shared" si="19"/>
        <v>11</v>
      </c>
      <c r="BV8" s="38">
        <f t="shared" si="20"/>
        <v>151998054.28967786</v>
      </c>
      <c r="BW8" s="38">
        <f t="shared" si="21"/>
        <v>152672850.59364676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66">
        <f t="shared" si="25"/>
        <v>0.78888888888888897</v>
      </c>
      <c r="CM8" s="39">
        <f t="shared" si="26"/>
        <v>0.77777777777777779</v>
      </c>
      <c r="CN8" s="39">
        <f t="shared" si="27"/>
        <v>0.8</v>
      </c>
      <c r="CO8" s="42">
        <f t="shared" si="28"/>
        <v>11</v>
      </c>
      <c r="CP8" s="42">
        <f t="shared" si="29"/>
        <v>12</v>
      </c>
      <c r="CQ8" s="42">
        <f t="shared" si="30"/>
        <v>13</v>
      </c>
      <c r="CR8" s="42">
        <f t="shared" si="31"/>
        <v>14</v>
      </c>
      <c r="CS8" s="42">
        <f t="shared" si="32"/>
        <v>9</v>
      </c>
      <c r="CT8" s="42">
        <f t="shared" si="33"/>
        <v>12</v>
      </c>
      <c r="CU8" s="43" t="str">
        <f t="shared" si="34"/>
        <v>11-12</v>
      </c>
      <c r="CV8" s="43" t="str">
        <f t="shared" si="35"/>
        <v>13-14</v>
      </c>
      <c r="CW8" s="43" t="str">
        <f t="shared" si="36"/>
        <v>9-12</v>
      </c>
      <c r="CX8" s="13" t="s">
        <v>395</v>
      </c>
    </row>
    <row r="9" spans="1:106" x14ac:dyDescent="0.25">
      <c r="A9" s="31" t="s">
        <v>24</v>
      </c>
      <c r="B9" s="13">
        <v>387</v>
      </c>
      <c r="C9" s="13">
        <v>48</v>
      </c>
      <c r="D9" s="13">
        <v>22</v>
      </c>
      <c r="E9" s="32" t="s">
        <v>0</v>
      </c>
      <c r="F9" s="32"/>
      <c r="G9" s="32">
        <v>1</v>
      </c>
      <c r="H9" s="32"/>
      <c r="I9" s="32" t="s">
        <v>0</v>
      </c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Multipliers'!$D:$D,MATCH(AH9,'Level Multipliers'!$A:$A,0)),"")</f>
        <v>1.7894510926096343</v>
      </c>
      <c r="AJ9" s="37">
        <f t="shared" si="6"/>
        <v>8</v>
      </c>
      <c r="AK9" s="37">
        <f t="shared" si="7"/>
        <v>9</v>
      </c>
      <c r="AL9" s="38">
        <f t="shared" si="8"/>
        <v>153568189.04463983</v>
      </c>
      <c r="AM9" s="38">
        <f t="shared" si="9"/>
        <v>154362848.46354225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Multipliers'!$D:$D,MATCH(AZ9,'Level Multipliers'!$A:$A,0)),"")</f>
        <v>1.7644323332558229</v>
      </c>
      <c r="BB9" s="37">
        <f t="shared" si="12"/>
        <v>7</v>
      </c>
      <c r="BC9" s="37">
        <f t="shared" si="13"/>
        <v>8</v>
      </c>
      <c r="BD9" s="38">
        <f t="shared" si="14"/>
        <v>145158329.14256939</v>
      </c>
      <c r="BE9" s="38">
        <f t="shared" si="15"/>
        <v>145909470.60098532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Multipliers'!$D:$D,MATCH(BR9,'Level Multipliers'!$A:$A,0)),"")</f>
        <v>1.7404346161581328</v>
      </c>
      <c r="BT9" s="37">
        <f t="shared" si="18"/>
        <v>6</v>
      </c>
      <c r="BU9" s="37">
        <f t="shared" si="19"/>
        <v>7</v>
      </c>
      <c r="BV9" s="38">
        <f t="shared" si="20"/>
        <v>137420897.38746381</v>
      </c>
      <c r="BW9" s="38">
        <f t="shared" si="21"/>
        <v>138132000.45602462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66">
        <f t="shared" si="25"/>
        <v>0.82222222222222219</v>
      </c>
      <c r="CM9" s="39">
        <f t="shared" si="26"/>
        <v>0.82222222222222219</v>
      </c>
      <c r="CN9" s="39">
        <f t="shared" si="27"/>
        <v>0.82222222222222219</v>
      </c>
      <c r="CO9" s="42">
        <f t="shared" si="28"/>
        <v>10</v>
      </c>
      <c r="CP9" s="42">
        <f t="shared" si="29"/>
        <v>10</v>
      </c>
      <c r="CQ9" s="42">
        <f t="shared" si="30"/>
        <v>15</v>
      </c>
      <c r="CR9" s="42">
        <f t="shared" si="31"/>
        <v>15</v>
      </c>
      <c r="CS9" s="42">
        <f t="shared" si="32"/>
        <v>12</v>
      </c>
      <c r="CT9" s="42">
        <f t="shared" si="33"/>
        <v>12</v>
      </c>
      <c r="CU9" s="43">
        <f t="shared" si="34"/>
        <v>10</v>
      </c>
      <c r="CV9" s="43">
        <f t="shared" si="35"/>
        <v>15</v>
      </c>
      <c r="CW9" s="43">
        <f t="shared" si="36"/>
        <v>12</v>
      </c>
      <c r="CX9" s="13" t="s">
        <v>394</v>
      </c>
      <c r="CZ9" s="1"/>
    </row>
    <row r="10" spans="1:106" x14ac:dyDescent="0.25">
      <c r="A10" s="31" t="s">
        <v>29</v>
      </c>
      <c r="B10" s="13">
        <v>557</v>
      </c>
      <c r="C10" s="13">
        <v>66</v>
      </c>
      <c r="D10" s="13">
        <v>40</v>
      </c>
      <c r="E10" s="32" t="s">
        <v>0</v>
      </c>
      <c r="F10" s="32"/>
      <c r="G10" s="32">
        <v>1</v>
      </c>
      <c r="H10" s="32"/>
      <c r="I10" s="32" t="s">
        <v>2</v>
      </c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Multipliers'!$D:$D,MATCH(AH10,'Level Multipliers'!$A:$A,0)),"")</f>
        <v>1.4823997223704843</v>
      </c>
      <c r="AJ10" s="37">
        <f t="shared" si="6"/>
        <v>10</v>
      </c>
      <c r="AK10" s="37">
        <f t="shared" si="7"/>
        <v>11</v>
      </c>
      <c r="AL10" s="38">
        <f t="shared" si="8"/>
        <v>149820654.59188798</v>
      </c>
      <c r="AM10" s="38">
        <f t="shared" si="9"/>
        <v>150359093.1682249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Multipliers'!$D:$D,MATCH(AZ10,'Level Multipliers'!$A:$A,0)),"")</f>
        <v>1.4680732523857296</v>
      </c>
      <c r="BB10" s="37">
        <f t="shared" si="12"/>
        <v>9</v>
      </c>
      <c r="BC10" s="37">
        <f t="shared" si="13"/>
        <v>10</v>
      </c>
      <c r="BD10" s="38">
        <f t="shared" si="14"/>
        <v>144112381.37962979</v>
      </c>
      <c r="BE10" s="38">
        <f t="shared" si="15"/>
        <v>144630305.06427756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Multipliers'!$D:$D,MATCH(BR10,'Level Multipliers'!$A:$A,0)),"")</f>
        <v>1.4541543636838528</v>
      </c>
      <c r="BT10" s="37">
        <f t="shared" si="18"/>
        <v>8</v>
      </c>
      <c r="BU10" s="37">
        <f t="shared" si="19"/>
        <v>9</v>
      </c>
      <c r="BV10" s="38">
        <f t="shared" si="20"/>
        <v>138724265.44602799</v>
      </c>
      <c r="BW10" s="38">
        <f t="shared" si="21"/>
        <v>139222824.84822533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66">
        <f t="shared" si="25"/>
        <v>0.84444444444444444</v>
      </c>
      <c r="CM10" s="39">
        <f t="shared" si="26"/>
        <v>0.84444444444444444</v>
      </c>
      <c r="CN10" s="39">
        <f t="shared" si="27"/>
        <v>0.84444444444444444</v>
      </c>
      <c r="CO10" s="42">
        <f t="shared" si="28"/>
        <v>11</v>
      </c>
      <c r="CP10" s="42">
        <f t="shared" si="29"/>
        <v>12</v>
      </c>
      <c r="CQ10" s="42">
        <f t="shared" si="30"/>
        <v>14</v>
      </c>
      <c r="CR10" s="42">
        <f t="shared" si="31"/>
        <v>14</v>
      </c>
      <c r="CS10" s="42">
        <f t="shared" si="32"/>
        <v>12</v>
      </c>
      <c r="CT10" s="42">
        <f t="shared" si="33"/>
        <v>13</v>
      </c>
      <c r="CU10" s="43" t="str">
        <f t="shared" si="34"/>
        <v>11-12</v>
      </c>
      <c r="CV10" s="43">
        <f t="shared" si="35"/>
        <v>14</v>
      </c>
      <c r="CW10" s="43" t="str">
        <f t="shared" si="36"/>
        <v>12-13</v>
      </c>
      <c r="CX10" s="13"/>
    </row>
    <row r="11" spans="1:106" x14ac:dyDescent="0.25">
      <c r="A11" s="31" t="s">
        <v>29</v>
      </c>
      <c r="B11" s="13">
        <v>268</v>
      </c>
      <c r="C11" s="13">
        <v>47</v>
      </c>
      <c r="D11" s="13">
        <v>13</v>
      </c>
      <c r="E11" s="32" t="s">
        <v>0</v>
      </c>
      <c r="F11" s="32">
        <v>1</v>
      </c>
      <c r="G11" s="32"/>
      <c r="H11" s="32"/>
      <c r="I11" s="32" t="s">
        <v>2</v>
      </c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Multipliers'!$D:$D,MATCH(AH11,'Level Multipliers'!$A:$A,0)),"")</f>
        <v>2.2072134251772386</v>
      </c>
      <c r="AJ11" s="37">
        <f t="shared" si="6"/>
        <v>16</v>
      </c>
      <c r="AK11" s="37">
        <f t="shared" si="7"/>
        <v>15</v>
      </c>
      <c r="AL11" s="38">
        <f t="shared" si="8"/>
        <v>170469585.12440327</v>
      </c>
      <c r="AM11" s="38">
        <f t="shared" si="9"/>
        <v>171744119.64227757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Multipliers'!$D:$D,MATCH(AZ11,'Level Multipliers'!$A:$A,0)),"")</f>
        <v>2.1607681195435338</v>
      </c>
      <c r="BB11" s="37">
        <f t="shared" si="12"/>
        <v>14</v>
      </c>
      <c r="BC11" s="37">
        <f t="shared" si="13"/>
        <v>15</v>
      </c>
      <c r="BD11" s="38">
        <f t="shared" si="14"/>
        <v>156567725.40627441</v>
      </c>
      <c r="BE11" s="38">
        <f t="shared" si="15"/>
        <v>157738321.1478534</v>
      </c>
      <c r="BF11" s="38" t="b">
        <f t="shared" si="16"/>
        <v>0</v>
      </c>
      <c r="BG11" s="37">
        <f t="array" ref="BG11:BQ11">IF(BF11,"",IVSolution($M11,$N11,$O11,BB11,BC11,BD11,BE11,$E11,$F11,$G11,$H11,$I11))</f>
        <v>1</v>
      </c>
      <c r="BH11" s="37">
        <v>40</v>
      </c>
      <c r="BI11" s="37">
        <v>40</v>
      </c>
      <c r="BJ11" s="39">
        <v>0.88888888888888884</v>
      </c>
      <c r="BK11" s="39">
        <v>0.88888888888888884</v>
      </c>
      <c r="BL11" s="37">
        <v>14</v>
      </c>
      <c r="BM11" s="37">
        <v>14</v>
      </c>
      <c r="BN11" s="37">
        <v>13</v>
      </c>
      <c r="BO11" s="37">
        <v>13</v>
      </c>
      <c r="BP11" s="37">
        <v>13</v>
      </c>
      <c r="BQ11" s="37">
        <v>13</v>
      </c>
      <c r="BR11" s="40">
        <f t="shared" si="17"/>
        <v>12.5</v>
      </c>
      <c r="BS11" s="36">
        <f>IFERROR(INDEX('Level Multipliers'!$D:$D,MATCH(BR11,'Level Multipliers'!$A:$A,0)),"")</f>
        <v>2.1171365709672214</v>
      </c>
      <c r="BT11" s="37">
        <f t="shared" si="18"/>
        <v>12</v>
      </c>
      <c r="BU11" s="37">
        <f t="shared" si="19"/>
        <v>13</v>
      </c>
      <c r="BV11" s="38">
        <f t="shared" si="20"/>
        <v>144299585.82835087</v>
      </c>
      <c r="BW11" s="38">
        <f t="shared" si="21"/>
        <v>145378457.48113859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66">
        <f t="shared" si="25"/>
        <v>0.88888888888888884</v>
      </c>
      <c r="CM11" s="39">
        <f t="shared" si="26"/>
        <v>0.88888888888888884</v>
      </c>
      <c r="CN11" s="39">
        <f t="shared" si="27"/>
        <v>0.88888888888888884</v>
      </c>
      <c r="CO11" s="42">
        <f t="shared" si="28"/>
        <v>14</v>
      </c>
      <c r="CP11" s="42">
        <f t="shared" si="29"/>
        <v>14</v>
      </c>
      <c r="CQ11" s="42">
        <f t="shared" si="30"/>
        <v>13</v>
      </c>
      <c r="CR11" s="42">
        <f t="shared" si="31"/>
        <v>13</v>
      </c>
      <c r="CS11" s="42">
        <f t="shared" si="32"/>
        <v>13</v>
      </c>
      <c r="CT11" s="42">
        <f t="shared" si="33"/>
        <v>13</v>
      </c>
      <c r="CU11" s="43">
        <f t="shared" si="34"/>
        <v>14</v>
      </c>
      <c r="CV11" s="43">
        <f t="shared" si="35"/>
        <v>13</v>
      </c>
      <c r="CW11" s="43">
        <f t="shared" si="36"/>
        <v>13</v>
      </c>
      <c r="CX11" s="13"/>
    </row>
    <row r="12" spans="1:106" x14ac:dyDescent="0.25">
      <c r="A12" s="31" t="s">
        <v>32</v>
      </c>
      <c r="B12" s="13">
        <v>1808</v>
      </c>
      <c r="C12" s="13">
        <v>121</v>
      </c>
      <c r="D12" s="13">
        <v>45</v>
      </c>
      <c r="E12" s="32" t="s">
        <v>0</v>
      </c>
      <c r="F12" s="32"/>
      <c r="G12" s="32"/>
      <c r="H12" s="32">
        <v>1</v>
      </c>
      <c r="I12" s="32" t="s">
        <v>0</v>
      </c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Multipliers'!$D:$D,MATCH(AH12,'Level Multipliers'!$A:$A,0)),"")</f>
        <v>1.4274643259182833</v>
      </c>
      <c r="AJ12" s="37">
        <f t="shared" si="6"/>
        <v>15</v>
      </c>
      <c r="AK12" s="37">
        <f t="shared" si="7"/>
        <v>15</v>
      </c>
      <c r="AL12" s="38">
        <f t="shared" si="8"/>
        <v>1357243924.5349624</v>
      </c>
      <c r="AM12" s="38">
        <f t="shared" si="9"/>
        <v>1358745715.7612243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Multipliers'!$D:$D,MATCH(AZ12,'Level Multipliers'!$A:$A,0)),"")</f>
        <v>1.4146588542279308</v>
      </c>
      <c r="BB12" s="37">
        <f t="shared" si="12"/>
        <v>14</v>
      </c>
      <c r="BC12" s="37">
        <f t="shared" si="13"/>
        <v>14</v>
      </c>
      <c r="BD12" s="38">
        <f t="shared" si="14"/>
        <v>1309193199.6903076</v>
      </c>
      <c r="BE12" s="38">
        <f t="shared" si="15"/>
        <v>1310641822.760365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Multipliers'!$D:$D,MATCH(BR12,'Level Multipliers'!$A:$A,0)),"")</f>
        <v>1.4021920400529488</v>
      </c>
      <c r="BT12" s="37">
        <f t="shared" si="18"/>
        <v>12</v>
      </c>
      <c r="BU12" s="37">
        <f t="shared" si="19"/>
        <v>13</v>
      </c>
      <c r="BV12" s="38">
        <f t="shared" si="20"/>
        <v>1263650116.7284641</v>
      </c>
      <c r="BW12" s="38">
        <f t="shared" si="21"/>
        <v>1265048346.3495822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66">
        <f t="shared" si="25"/>
        <v>0.93333333333333335</v>
      </c>
      <c r="CM12" s="39">
        <f t="shared" si="26"/>
        <v>0.93333333333333335</v>
      </c>
      <c r="CN12" s="39">
        <f t="shared" si="27"/>
        <v>0.93333333333333335</v>
      </c>
      <c r="CO12" s="42">
        <f t="shared" si="28"/>
        <v>14</v>
      </c>
      <c r="CP12" s="42">
        <f t="shared" si="29"/>
        <v>14</v>
      </c>
      <c r="CQ12" s="42">
        <f t="shared" si="30"/>
        <v>13</v>
      </c>
      <c r="CR12" s="42">
        <f t="shared" si="31"/>
        <v>13</v>
      </c>
      <c r="CS12" s="42">
        <f t="shared" si="32"/>
        <v>15</v>
      </c>
      <c r="CT12" s="42">
        <f t="shared" si="33"/>
        <v>15</v>
      </c>
      <c r="CU12" s="43">
        <f t="shared" si="34"/>
        <v>14</v>
      </c>
      <c r="CV12" s="43">
        <f t="shared" si="35"/>
        <v>13</v>
      </c>
      <c r="CW12" s="43">
        <f t="shared" si="36"/>
        <v>15</v>
      </c>
      <c r="CX12" s="13" t="s">
        <v>422</v>
      </c>
    </row>
    <row r="13" spans="1:106" x14ac:dyDescent="0.25">
      <c r="A13" s="31" t="s">
        <v>36</v>
      </c>
      <c r="B13" s="13">
        <v>848</v>
      </c>
      <c r="C13" s="13">
        <v>74</v>
      </c>
      <c r="D13" s="13">
        <v>22</v>
      </c>
      <c r="E13" s="32" t="s">
        <v>0</v>
      </c>
      <c r="F13" s="32"/>
      <c r="G13" s="32">
        <v>1</v>
      </c>
      <c r="H13" s="32"/>
      <c r="I13" s="32" t="s">
        <v>2</v>
      </c>
      <c r="J13" s="13"/>
      <c r="K13" s="33"/>
      <c r="L13" s="34">
        <f>IFERROR(INDEX('Pokemon Data'!A:A,MATCH($A13,'Pokemon Data'!$B:$B,0)),"")</f>
        <v>12</v>
      </c>
      <c r="M13" s="34">
        <f>IFERROR(INDEX('Pokemon Data'!I:I,MATCH($A13,'Pokemon Data'!$B:$B,0)),"")</f>
        <v>120</v>
      </c>
      <c r="N13" s="34">
        <f>IFERROR(INDEX('Pokemon Data'!J:J,MATCH($A13,'Pokemon Data'!$B:$B,0)),"")</f>
        <v>167</v>
      </c>
      <c r="O13" s="34">
        <f>IFERROR(INDEX('Pokemon Data'!K:K,MATCH($A13,'Pokemon Data'!$B:$B,0)),"")</f>
        <v>151</v>
      </c>
      <c r="P13" s="35">
        <f>IFERROR(INDEX('Level Multipliers'!$A:$A,MATCH($D13,'Level Multipliers'!$B:$B,0)),"")</f>
        <v>17</v>
      </c>
      <c r="Q13" s="36">
        <f>IFERROR(INDEX('Level Multipliers'!$D:$D,MATCH(P13,'Level Multipliers'!$A:$A,0)),"")</f>
        <v>1.8155651132027117</v>
      </c>
      <c r="R13" s="37">
        <f t="shared" si="0"/>
        <v>15</v>
      </c>
      <c r="S13" s="37">
        <f t="shared" si="1"/>
        <v>15</v>
      </c>
      <c r="T13" s="38">
        <f t="shared" si="2"/>
        <v>781338133.19259131</v>
      </c>
      <c r="U13" s="38">
        <f t="shared" si="3"/>
        <v>783181998.35260689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17.5</v>
      </c>
      <c r="AI13" s="36">
        <f>IFERROR(INDEX('Level Multipliers'!$D:$D,MATCH(AH13,'Level Multipliers'!$A:$A,0)),"")</f>
        <v>1.7894510926096343</v>
      </c>
      <c r="AJ13" s="37">
        <f t="shared" si="6"/>
        <v>13</v>
      </c>
      <c r="AK13" s="37">
        <f t="shared" si="7"/>
        <v>14</v>
      </c>
      <c r="AL13" s="38">
        <f t="shared" si="8"/>
        <v>737345505.51019692</v>
      </c>
      <c r="AM13" s="38">
        <f t="shared" si="9"/>
        <v>739085553.29584515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18</v>
      </c>
      <c r="BA13" s="36">
        <f>IFERROR(INDEX('Level Multipliers'!$D:$D,MATCH(AZ13,'Level Multipliers'!$A:$A,0)),"")</f>
        <v>1.7644323332558229</v>
      </c>
      <c r="BB13" s="37">
        <f t="shared" si="12"/>
        <v>11</v>
      </c>
      <c r="BC13" s="37">
        <f t="shared" si="13"/>
        <v>12</v>
      </c>
      <c r="BD13" s="38">
        <f t="shared" si="14"/>
        <v>696966228.79059231</v>
      </c>
      <c r="BE13" s="38">
        <f t="shared" si="15"/>
        <v>698610986.28082693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37</v>
      </c>
      <c r="BI13" s="37">
        <v>37</v>
      </c>
      <c r="BJ13" s="39">
        <v>0.82222222222222219</v>
      </c>
      <c r="BK13" s="39">
        <v>0.82222222222222219</v>
      </c>
      <c r="BL13" s="37">
        <v>12</v>
      </c>
      <c r="BM13" s="37">
        <v>12</v>
      </c>
      <c r="BN13" s="37">
        <v>13</v>
      </c>
      <c r="BO13" s="37">
        <v>13</v>
      </c>
      <c r="BP13" s="37">
        <v>12</v>
      </c>
      <c r="BQ13" s="37">
        <v>12</v>
      </c>
      <c r="BR13" s="40">
        <f t="shared" si="17"/>
        <v>18.5</v>
      </c>
      <c r="BS13" s="36">
        <f>IFERROR(INDEX('Level Multipliers'!$D:$D,MATCH(BR13,'Level Multipliers'!$A:$A,0)),"")</f>
        <v>1.7404346161581328</v>
      </c>
      <c r="BT13" s="37">
        <f t="shared" si="18"/>
        <v>9</v>
      </c>
      <c r="BU13" s="37">
        <f t="shared" si="19"/>
        <v>10</v>
      </c>
      <c r="BV13" s="38">
        <f t="shared" si="20"/>
        <v>659815562.59916782</v>
      </c>
      <c r="BW13" s="38">
        <f t="shared" si="21"/>
        <v>661372648.93122935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18</v>
      </c>
      <c r="CK13" s="41">
        <f t="shared" si="24"/>
        <v>18</v>
      </c>
      <c r="CL13" s="66">
        <f t="shared" si="25"/>
        <v>0.82222222222222219</v>
      </c>
      <c r="CM13" s="39">
        <f t="shared" si="26"/>
        <v>0.82222222222222219</v>
      </c>
      <c r="CN13" s="39">
        <f t="shared" si="27"/>
        <v>0.82222222222222219</v>
      </c>
      <c r="CO13" s="42">
        <f t="shared" si="28"/>
        <v>12</v>
      </c>
      <c r="CP13" s="42">
        <f t="shared" si="29"/>
        <v>12</v>
      </c>
      <c r="CQ13" s="42">
        <f t="shared" si="30"/>
        <v>13</v>
      </c>
      <c r="CR13" s="42">
        <f t="shared" si="31"/>
        <v>13</v>
      </c>
      <c r="CS13" s="42">
        <f t="shared" si="32"/>
        <v>12</v>
      </c>
      <c r="CT13" s="42">
        <f t="shared" si="33"/>
        <v>12</v>
      </c>
      <c r="CU13" s="43">
        <f t="shared" si="34"/>
        <v>12</v>
      </c>
      <c r="CV13" s="43">
        <f t="shared" si="35"/>
        <v>13</v>
      </c>
      <c r="CW13" s="43">
        <f t="shared" si="36"/>
        <v>12</v>
      </c>
      <c r="CX13" s="13" t="s">
        <v>423</v>
      </c>
    </row>
    <row r="14" spans="1:106" x14ac:dyDescent="0.25">
      <c r="A14" s="31" t="s">
        <v>37</v>
      </c>
      <c r="B14" s="13">
        <v>212</v>
      </c>
      <c r="C14" s="13">
        <v>54</v>
      </c>
      <c r="D14" s="13">
        <v>25</v>
      </c>
      <c r="E14" s="32" t="s">
        <v>2</v>
      </c>
      <c r="F14" s="32"/>
      <c r="G14" s="32">
        <v>1</v>
      </c>
      <c r="H14" s="32"/>
      <c r="I14" s="32" t="s">
        <v>2</v>
      </c>
      <c r="J14" s="13"/>
      <c r="K14" s="33"/>
      <c r="L14" s="34">
        <f>IFERROR(INDEX('Pokemon Data'!A:A,MATCH($A14,'Pokemon Data'!$B:$B,0)),"")</f>
        <v>13</v>
      </c>
      <c r="M14" s="34">
        <f>IFERROR(INDEX('Pokemon Data'!I:I,MATCH($A14,'Pokemon Data'!$B:$B,0)),"")</f>
        <v>80</v>
      </c>
      <c r="N14" s="34">
        <f>IFERROR(INDEX('Pokemon Data'!J:J,MATCH($A14,'Pokemon Data'!$B:$B,0)),"")</f>
        <v>63</v>
      </c>
      <c r="O14" s="34">
        <f>IFERROR(INDEX('Pokemon Data'!K:K,MATCH($A14,'Pokemon Data'!$B:$B,0)),"")</f>
        <v>55</v>
      </c>
      <c r="P14" s="35">
        <f>IFERROR(INDEX('Level Multipliers'!$A:$A,MATCH($D14,'Level Multipliers'!$B:$B,0)),"")</f>
        <v>19</v>
      </c>
      <c r="Q14" s="36">
        <f>IFERROR(INDEX('Level Multipliers'!$D:$D,MATCH(P14,'Level Multipliers'!$A:$A,0)),"")</f>
        <v>1.7173900470456649</v>
      </c>
      <c r="R14" s="37">
        <f t="shared" si="0"/>
        <v>13</v>
      </c>
      <c r="S14" s="37">
        <f t="shared" si="1"/>
        <v>14</v>
      </c>
      <c r="T14" s="38">
        <f t="shared" si="2"/>
        <v>39097364.978982411</v>
      </c>
      <c r="U14" s="38">
        <f t="shared" si="3"/>
        <v>39467077.957713</v>
      </c>
      <c r="V14" s="38" t="b">
        <f t="shared" si="4"/>
        <v>0</v>
      </c>
      <c r="W14" s="37">
        <f t="array" ref="W14:AG14">IF(V14,"",IVSolution($M14,$N14,$O14,R14,S14,T14,U14,$E14,$F14,$G14,$H14,$I14))</f>
        <v>0</v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19.5</v>
      </c>
      <c r="AI14" s="36">
        <f>IFERROR(INDEX('Level Multipliers'!$D:$D,MATCH(AH14,'Level Multipliers'!$A:$A,0)),"")</f>
        <v>1.6952373266621776</v>
      </c>
      <c r="AJ14" s="37">
        <f t="shared" si="6"/>
        <v>12</v>
      </c>
      <c r="AK14" s="37">
        <f t="shared" si="7"/>
        <v>13</v>
      </c>
      <c r="AL14" s="38">
        <f t="shared" si="8"/>
        <v>37118784.58095371</v>
      </c>
      <c r="AM14" s="38">
        <f t="shared" si="9"/>
        <v>37469787.683634944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20</v>
      </c>
      <c r="BA14" s="36">
        <f>IFERROR(INDEX('Level Multipliers'!$D:$D,MATCH(AZ14,'Level Multipliers'!$A:$A,0)),"")</f>
        <v>1.6739202944034379</v>
      </c>
      <c r="BB14" s="37">
        <f t="shared" si="12"/>
        <v>11</v>
      </c>
      <c r="BC14" s="37">
        <f t="shared" si="13"/>
        <v>12</v>
      </c>
      <c r="BD14" s="38">
        <f t="shared" si="14"/>
        <v>35286681.766295962</v>
      </c>
      <c r="BE14" s="38">
        <f t="shared" si="15"/>
        <v>35620360.116035104</v>
      </c>
      <c r="BF14" s="38" t="b">
        <f t="shared" si="16"/>
        <v>0</v>
      </c>
      <c r="BG14" s="37">
        <f t="array" ref="BG14:BQ14">IF(BF14,"",IVSolution($M14,$N14,$O14,BB14,BC14,BD14,BE14,$E14,$F14,$G14,$H14,$I14))</f>
        <v>2</v>
      </c>
      <c r="BH14" s="37">
        <v>36</v>
      </c>
      <c r="BI14" s="37">
        <v>36</v>
      </c>
      <c r="BJ14" s="39">
        <v>0.8</v>
      </c>
      <c r="BK14" s="39">
        <v>0.8</v>
      </c>
      <c r="BL14" s="37">
        <v>11</v>
      </c>
      <c r="BM14" s="37">
        <v>12</v>
      </c>
      <c r="BN14" s="37">
        <v>14</v>
      </c>
      <c r="BO14" s="37">
        <v>14</v>
      </c>
      <c r="BP14" s="37">
        <v>10</v>
      </c>
      <c r="BQ14" s="37">
        <v>11</v>
      </c>
      <c r="BR14" s="40">
        <f t="shared" si="17"/>
        <v>20.5</v>
      </c>
      <c r="BS14" s="36">
        <f>IFERROR(INDEX('Level Multipliers'!$D:$D,MATCH(BR14,'Level Multipliers'!$A:$A,0)),"")</f>
        <v>1.6533745038028393</v>
      </c>
      <c r="BT14" s="37">
        <f t="shared" si="18"/>
        <v>10</v>
      </c>
      <c r="BU14" s="37">
        <f t="shared" si="19"/>
        <v>10</v>
      </c>
      <c r="BV14" s="38">
        <f t="shared" si="20"/>
        <v>33585874.956343777</v>
      </c>
      <c r="BW14" s="38">
        <f t="shared" si="21"/>
        <v>33903470.11601907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20</v>
      </c>
      <c r="CK14" s="41">
        <f t="shared" si="24"/>
        <v>20</v>
      </c>
      <c r="CL14" s="66">
        <f t="shared" si="25"/>
        <v>0.8</v>
      </c>
      <c r="CM14" s="39">
        <f t="shared" si="26"/>
        <v>0.8</v>
      </c>
      <c r="CN14" s="39">
        <f t="shared" si="27"/>
        <v>0.8</v>
      </c>
      <c r="CO14" s="42">
        <f t="shared" si="28"/>
        <v>11</v>
      </c>
      <c r="CP14" s="42">
        <f t="shared" si="29"/>
        <v>12</v>
      </c>
      <c r="CQ14" s="42">
        <f t="shared" si="30"/>
        <v>14</v>
      </c>
      <c r="CR14" s="42">
        <f t="shared" si="31"/>
        <v>14</v>
      </c>
      <c r="CS14" s="42">
        <f t="shared" si="32"/>
        <v>10</v>
      </c>
      <c r="CT14" s="42">
        <f t="shared" si="33"/>
        <v>11</v>
      </c>
      <c r="CU14" s="43" t="str">
        <f t="shared" si="34"/>
        <v>11-12</v>
      </c>
      <c r="CV14" s="43">
        <f t="shared" si="35"/>
        <v>14</v>
      </c>
      <c r="CW14" s="43" t="str">
        <f t="shared" si="36"/>
        <v>10-11</v>
      </c>
      <c r="CX14" s="13" t="s">
        <v>420</v>
      </c>
    </row>
    <row r="15" spans="1:106" x14ac:dyDescent="0.25">
      <c r="A15" s="31" t="s">
        <v>39</v>
      </c>
      <c r="B15" s="13">
        <v>1300</v>
      </c>
      <c r="C15" s="13">
        <v>98</v>
      </c>
      <c r="D15" s="13">
        <v>40</v>
      </c>
      <c r="E15" s="32" t="s">
        <v>0</v>
      </c>
      <c r="F15" s="32">
        <v>1</v>
      </c>
      <c r="G15" s="32">
        <v>1</v>
      </c>
      <c r="H15" s="32"/>
      <c r="I15" s="32" t="s">
        <v>2</v>
      </c>
      <c r="J15" s="13"/>
      <c r="K15" s="33"/>
      <c r="L15" s="34">
        <f>IFERROR(INDEX('Pokemon Data'!A:A,MATCH($A15,'Pokemon Data'!$B:$B,0)),"")</f>
        <v>15</v>
      </c>
      <c r="M15" s="34">
        <f>IFERROR(INDEX('Pokemon Data'!I:I,MATCH($A15,'Pokemon Data'!$B:$B,0)),"")</f>
        <v>130</v>
      </c>
      <c r="N15" s="34">
        <f>IFERROR(INDEX('Pokemon Data'!J:J,MATCH($A15,'Pokemon Data'!$B:$B,0)),"")</f>
        <v>169</v>
      </c>
      <c r="O15" s="34">
        <f>IFERROR(INDEX('Pokemon Data'!K:K,MATCH($A15,'Pokemon Data'!$B:$B,0)),"")</f>
        <v>150</v>
      </c>
      <c r="P15" s="35">
        <f>IFERROR(INDEX('Level Multipliers'!$A:$A,MATCH($D15,'Level Multipliers'!$B:$B,0)),"")</f>
        <v>25</v>
      </c>
      <c r="Q15" s="36">
        <f>IFERROR(INDEX('Level Multipliers'!$D:$D,MATCH(P15,'Level Multipliers'!$A:$A,0)),"")</f>
        <v>1.4971539093132804</v>
      </c>
      <c r="R15" s="37">
        <f t="shared" si="0"/>
        <v>17</v>
      </c>
      <c r="S15" s="37">
        <f t="shared" si="1"/>
        <v>15</v>
      </c>
      <c r="T15" s="38">
        <f t="shared" si="2"/>
        <v>849087601.41234422</v>
      </c>
      <c r="U15" s="38">
        <f t="shared" si="3"/>
        <v>850394392.44860077</v>
      </c>
      <c r="V15" s="38" t="b">
        <f t="shared" si="4"/>
        <v>1</v>
      </c>
      <c r="W15" s="37" t="str">
        <f t="array" ref="W15:AG15">IF(V15,"",IVSolution($M15,$N15,$O15,R15,S15,T15,U15,$E15,$F15,$G15,$H15,$I15))</f>
        <v/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25.5</v>
      </c>
      <c r="AI15" s="36">
        <f>IFERROR(INDEX('Level Multipliers'!$D:$D,MATCH(AH15,'Level Multipliers'!$A:$A,0)),"")</f>
        <v>1.4823997223704843</v>
      </c>
      <c r="AJ15" s="37">
        <f t="shared" si="6"/>
        <v>16</v>
      </c>
      <c r="AK15" s="37">
        <f t="shared" si="7"/>
        <v>15</v>
      </c>
      <c r="AL15" s="38">
        <f t="shared" si="8"/>
        <v>816108694.17883921</v>
      </c>
      <c r="AM15" s="38">
        <f t="shared" si="9"/>
        <v>817364728.92059016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26</v>
      </c>
      <c r="BA15" s="36">
        <f>IFERROR(INDEX('Level Multipliers'!$D:$D,MATCH(AZ15,'Level Multipliers'!$A:$A,0)),"")</f>
        <v>1.4680732523857296</v>
      </c>
      <c r="BB15" s="37">
        <f t="shared" si="12"/>
        <v>14</v>
      </c>
      <c r="BC15" s="37">
        <f t="shared" si="13"/>
        <v>15</v>
      </c>
      <c r="BD15" s="38">
        <f t="shared" si="14"/>
        <v>785014374.0401237</v>
      </c>
      <c r="BE15" s="38">
        <f t="shared" si="15"/>
        <v>786222552.96727073</v>
      </c>
      <c r="BF15" s="38" t="b">
        <f t="shared" si="16"/>
        <v>0</v>
      </c>
      <c r="BG15" s="37">
        <f t="array" ref="BG15:BQ15">IF(BF15,"",IVSolution($M15,$N15,$O15,BB15,BC15,BD15,BE15,$E15,$F15,$G15,$H15,$I15))</f>
        <v>1</v>
      </c>
      <c r="BH15" s="37">
        <v>41</v>
      </c>
      <c r="BI15" s="37">
        <v>41</v>
      </c>
      <c r="BJ15" s="39">
        <v>0.91111111111111109</v>
      </c>
      <c r="BK15" s="39">
        <v>0.91111111111111109</v>
      </c>
      <c r="BL15" s="37">
        <v>14</v>
      </c>
      <c r="BM15" s="37">
        <v>14</v>
      </c>
      <c r="BN15" s="37">
        <v>14</v>
      </c>
      <c r="BO15" s="37">
        <v>14</v>
      </c>
      <c r="BP15" s="37">
        <v>13</v>
      </c>
      <c r="BQ15" s="37">
        <v>13</v>
      </c>
      <c r="BR15" s="40">
        <f t="shared" si="17"/>
        <v>26.5</v>
      </c>
      <c r="BS15" s="36">
        <f>IFERROR(INDEX('Level Multipliers'!$D:$D,MATCH(BR15,'Level Multipliers'!$A:$A,0)),"")</f>
        <v>1.4541543636838528</v>
      </c>
      <c r="BT15" s="37">
        <f t="shared" si="18"/>
        <v>13</v>
      </c>
      <c r="BU15" s="37">
        <f t="shared" si="19"/>
        <v>13</v>
      </c>
      <c r="BV15" s="38">
        <f t="shared" si="20"/>
        <v>755664026.64887667</v>
      </c>
      <c r="BW15" s="38">
        <f t="shared" si="21"/>
        <v>756827033.82835221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26</v>
      </c>
      <c r="CK15" s="41">
        <f t="shared" si="24"/>
        <v>26</v>
      </c>
      <c r="CL15" s="66">
        <f t="shared" si="25"/>
        <v>0.91111111111111109</v>
      </c>
      <c r="CM15" s="39">
        <f t="shared" si="26"/>
        <v>0.91111111111111109</v>
      </c>
      <c r="CN15" s="39">
        <f t="shared" si="27"/>
        <v>0.91111111111111109</v>
      </c>
      <c r="CO15" s="42">
        <f t="shared" si="28"/>
        <v>14</v>
      </c>
      <c r="CP15" s="42">
        <f t="shared" si="29"/>
        <v>14</v>
      </c>
      <c r="CQ15" s="42">
        <f t="shared" si="30"/>
        <v>14</v>
      </c>
      <c r="CR15" s="42">
        <f t="shared" si="31"/>
        <v>14</v>
      </c>
      <c r="CS15" s="42">
        <f t="shared" si="32"/>
        <v>13</v>
      </c>
      <c r="CT15" s="42">
        <f t="shared" si="33"/>
        <v>13</v>
      </c>
      <c r="CU15" s="43">
        <f t="shared" si="34"/>
        <v>14</v>
      </c>
      <c r="CV15" s="43">
        <f t="shared" si="35"/>
        <v>14</v>
      </c>
      <c r="CW15" s="43">
        <f t="shared" si="36"/>
        <v>13</v>
      </c>
      <c r="CX15" s="13" t="s">
        <v>424</v>
      </c>
      <c r="CZ15" s="12"/>
    </row>
    <row r="16" spans="1:106" x14ac:dyDescent="0.25">
      <c r="A16" s="31" t="s">
        <v>40</v>
      </c>
      <c r="B16" s="13">
        <v>408</v>
      </c>
      <c r="C16" s="13">
        <v>62</v>
      </c>
      <c r="D16" s="13">
        <v>45</v>
      </c>
      <c r="E16" s="32" t="s">
        <v>3</v>
      </c>
      <c r="F16" s="32">
        <v>1</v>
      </c>
      <c r="G16" s="32">
        <v>1</v>
      </c>
      <c r="H16" s="32">
        <v>1</v>
      </c>
      <c r="I16" s="32" t="s">
        <v>3</v>
      </c>
      <c r="J16" s="13"/>
      <c r="K16" s="33"/>
      <c r="L16" s="34">
        <f>IFERROR(INDEX('Pokemon Data'!A:A,MATCH($A16,'Pokemon Data'!$B:$B,0)),"")</f>
        <v>16</v>
      </c>
      <c r="M16" s="34">
        <f>IFERROR(INDEX('Pokemon Data'!I:I,MATCH($A16,'Pokemon Data'!$B:$B,0)),"")</f>
        <v>80</v>
      </c>
      <c r="N16" s="34">
        <f>IFERROR(INDEX('Pokemon Data'!J:J,MATCH($A16,'Pokemon Data'!$B:$B,0)),"")</f>
        <v>85</v>
      </c>
      <c r="O16" s="34">
        <f>IFERROR(INDEX('Pokemon Data'!K:K,MATCH($A16,'Pokemon Data'!$B:$B,0)),"")</f>
        <v>76</v>
      </c>
      <c r="P16" s="35">
        <f>IFERROR(INDEX('Level Multipliers'!$A:$A,MATCH($D16,'Level Multipliers'!$B:$B,0)),"")</f>
        <v>27</v>
      </c>
      <c r="Q16" s="36">
        <f>IFERROR(INDEX('Level Multipliers'!$D:$D,MATCH(P16,'Level Multipliers'!$A:$A,0)),"")</f>
        <v>1.4406239915890684</v>
      </c>
      <c r="R16" s="37">
        <f t="shared" si="0"/>
        <v>10</v>
      </c>
      <c r="S16" s="37">
        <f t="shared" si="1"/>
        <v>10</v>
      </c>
      <c r="T16" s="38">
        <f t="shared" si="2"/>
        <v>71700617.921211332</v>
      </c>
      <c r="U16" s="38">
        <f t="shared" si="3"/>
        <v>72052522.265944302</v>
      </c>
      <c r="V16" s="38" t="b">
        <f t="shared" si="4"/>
        <v>0</v>
      </c>
      <c r="W16" s="37">
        <f t="array" ref="W16:AG16">IF(V16,"",IVSolution($M16,$N16,$O16,R16,S16,T16,U16,$E16,$F16,$G16,$H16,$I16))</f>
        <v>0</v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27.5</v>
      </c>
      <c r="AI16" s="36">
        <f>IFERROR(INDEX('Level Multipliers'!$D:$D,MATCH(AH16,'Level Multipliers'!$A:$A,0)),"")</f>
        <v>1.4274643259182833</v>
      </c>
      <c r="AJ16" s="37">
        <f t="shared" si="6"/>
        <v>9</v>
      </c>
      <c r="AK16" s="37">
        <f t="shared" si="7"/>
        <v>9</v>
      </c>
      <c r="AL16" s="38">
        <f t="shared" si="8"/>
        <v>69116443.098822087</v>
      </c>
      <c r="AM16" s="38">
        <f t="shared" si="9"/>
        <v>69455664.39598988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28</v>
      </c>
      <c r="BA16" s="36">
        <f>IFERROR(INDEX('Level Multipliers'!$D:$D,MATCH(AZ16,'Level Multipliers'!$A:$A,0)),"")</f>
        <v>1.4146588542279308</v>
      </c>
      <c r="BB16" s="37">
        <f t="shared" si="12"/>
        <v>8</v>
      </c>
      <c r="BC16" s="37">
        <f t="shared" si="13"/>
        <v>9</v>
      </c>
      <c r="BD16" s="38">
        <f t="shared" si="14"/>
        <v>66669502.552950315</v>
      </c>
      <c r="BE16" s="38">
        <f t="shared" si="15"/>
        <v>66996714.344002798</v>
      </c>
      <c r="BF16" s="38" t="b">
        <f t="shared" si="16"/>
        <v>0</v>
      </c>
      <c r="BG16" s="37">
        <f t="array" ref="BG16:BQ16">IF(BF16,"",IVSolution($M16,$N16,$O16,BB16,BC16,BD16,BE16,$E16,$F16,$G16,$H16,$I16))</f>
        <v>1</v>
      </c>
      <c r="BH16" s="37">
        <v>27</v>
      </c>
      <c r="BI16" s="37">
        <v>27</v>
      </c>
      <c r="BJ16" s="39">
        <v>0.6</v>
      </c>
      <c r="BK16" s="39">
        <v>0.6</v>
      </c>
      <c r="BL16" s="37">
        <v>9</v>
      </c>
      <c r="BM16" s="37">
        <v>9</v>
      </c>
      <c r="BN16" s="37">
        <v>9</v>
      </c>
      <c r="BO16" s="37">
        <v>9</v>
      </c>
      <c r="BP16" s="37">
        <v>9</v>
      </c>
      <c r="BQ16" s="37">
        <v>9</v>
      </c>
      <c r="BR16" s="40">
        <f t="shared" si="17"/>
        <v>28.5</v>
      </c>
      <c r="BS16" s="36">
        <f>IFERROR(INDEX('Level Multipliers'!$D:$D,MATCH(BR16,'Level Multipliers'!$A:$A,0)),"")</f>
        <v>1.4021920400529488</v>
      </c>
      <c r="BT16" s="37">
        <f t="shared" si="18"/>
        <v>7</v>
      </c>
      <c r="BU16" s="37">
        <f t="shared" si="19"/>
        <v>8</v>
      </c>
      <c r="BV16" s="38">
        <f t="shared" si="20"/>
        <v>64350261.445898958</v>
      </c>
      <c r="BW16" s="38">
        <f t="shared" si="21"/>
        <v>64666090.475606881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28</v>
      </c>
      <c r="CK16" s="41">
        <f t="shared" si="24"/>
        <v>28</v>
      </c>
      <c r="CL16" s="66">
        <f t="shared" si="25"/>
        <v>0.6</v>
      </c>
      <c r="CM16" s="39">
        <f t="shared" si="26"/>
        <v>0.6</v>
      </c>
      <c r="CN16" s="39">
        <f t="shared" si="27"/>
        <v>0.6</v>
      </c>
      <c r="CO16" s="42">
        <f t="shared" si="28"/>
        <v>9</v>
      </c>
      <c r="CP16" s="42">
        <f t="shared" si="29"/>
        <v>9</v>
      </c>
      <c r="CQ16" s="42">
        <f t="shared" si="30"/>
        <v>9</v>
      </c>
      <c r="CR16" s="42">
        <f t="shared" si="31"/>
        <v>9</v>
      </c>
      <c r="CS16" s="42">
        <f t="shared" si="32"/>
        <v>9</v>
      </c>
      <c r="CT16" s="42">
        <f t="shared" si="33"/>
        <v>9</v>
      </c>
      <c r="CU16" s="43">
        <f t="shared" si="34"/>
        <v>9</v>
      </c>
      <c r="CV16" s="43">
        <f t="shared" si="35"/>
        <v>9</v>
      </c>
      <c r="CW16" s="43">
        <f t="shared" si="36"/>
        <v>9</v>
      </c>
      <c r="CX16" s="13" t="s">
        <v>397</v>
      </c>
    </row>
    <row r="17" spans="1:102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Multipliers'!$D:$D,MATCH(P17,'Level Multipliers'!$A:$A,0)),"")</f>
        <v>1.4406239915890684</v>
      </c>
      <c r="R17" s="37">
        <f t="shared" si="0"/>
        <v>14</v>
      </c>
      <c r="S17" s="37">
        <f t="shared" si="1"/>
        <v>15</v>
      </c>
      <c r="T17" s="38">
        <f t="shared" si="2"/>
        <v>68916395.541341141</v>
      </c>
      <c r="U17" s="38">
        <f t="shared" si="3"/>
        <v>69261408.246519983</v>
      </c>
      <c r="V17" s="38" t="b">
        <f t="shared" si="4"/>
        <v>0</v>
      </c>
      <c r="W17" s="37">
        <f t="array" ref="W17:AG17">IF(V17,"",IVSolution($M17,$N17,$O17,R17,S17,T17,U17,$E17,$F17,$G17,$H17,$I17))</f>
        <v>1</v>
      </c>
      <c r="X17" s="37">
        <v>29</v>
      </c>
      <c r="Y17" s="37">
        <v>29</v>
      </c>
      <c r="Z17" s="39">
        <v>0.64444444444444449</v>
      </c>
      <c r="AA17" s="39">
        <v>0.64444444444444449</v>
      </c>
      <c r="AB17" s="37">
        <v>15</v>
      </c>
      <c r="AC17" s="37">
        <v>15</v>
      </c>
      <c r="AD17" s="37">
        <v>11</v>
      </c>
      <c r="AE17" s="37">
        <v>11</v>
      </c>
      <c r="AF17" s="37">
        <v>3</v>
      </c>
      <c r="AG17" s="37">
        <v>3</v>
      </c>
      <c r="AH17" s="40">
        <f t="shared" si="5"/>
        <v>27.5</v>
      </c>
      <c r="AI17" s="36">
        <f>IFERROR(INDEX('Level Multipliers'!$D:$D,MATCH(AH17,'Level Multipliers'!$A:$A,0)),"")</f>
        <v>1.4274643259182833</v>
      </c>
      <c r="AJ17" s="37">
        <f t="shared" si="6"/>
        <v>13</v>
      </c>
      <c r="AK17" s="37">
        <f t="shared" si="7"/>
        <v>14</v>
      </c>
      <c r="AL17" s="38">
        <f t="shared" si="8"/>
        <v>66432567.376799397</v>
      </c>
      <c r="AM17" s="38">
        <f t="shared" si="9"/>
        <v>66765145.417229496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28</v>
      </c>
      <c r="BA17" s="36">
        <f>IFERROR(INDEX('Level Multipliers'!$D:$D,MATCH(AZ17,'Level Multipliers'!$A:$A,0)),"")</f>
        <v>1.4146588542279308</v>
      </c>
      <c r="BB17" s="37">
        <f t="shared" si="12"/>
        <v>12</v>
      </c>
      <c r="BC17" s="37">
        <f t="shared" si="13"/>
        <v>13</v>
      </c>
      <c r="BD17" s="38">
        <f t="shared" si="14"/>
        <v>64080644.514562011</v>
      </c>
      <c r="BE17" s="38">
        <f t="shared" si="15"/>
        <v>64401448.241163038</v>
      </c>
      <c r="BF17" s="38" t="b">
        <f t="shared" si="16"/>
        <v>0</v>
      </c>
      <c r="BG17" s="37">
        <f t="array" ref="BG17:BQ17">IF(BF17,"",IVSolution($M17,$N17,$O17,BB17,BC17,BD17,BE17,$E17,$F17,$G17,$H17,$I17))</f>
        <v>0</v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28.5</v>
      </c>
      <c r="BS17" s="36">
        <f>IFERROR(INDEX('Level Multipliers'!$D:$D,MATCH(BR17,'Level Multipliers'!$A:$A,0)),"")</f>
        <v>1.4021920400529488</v>
      </c>
      <c r="BT17" s="37">
        <f t="shared" si="18"/>
        <v>12</v>
      </c>
      <c r="BU17" s="37">
        <f t="shared" si="19"/>
        <v>12</v>
      </c>
      <c r="BV17" s="38">
        <f t="shared" si="20"/>
        <v>61851462.366300419</v>
      </c>
      <c r="BW17" s="38">
        <f t="shared" si="21"/>
        <v>62161106.249771714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27</v>
      </c>
      <c r="CK17" s="41">
        <f t="shared" si="24"/>
        <v>27</v>
      </c>
      <c r="CL17" s="66">
        <f t="shared" si="25"/>
        <v>0.64444444444444449</v>
      </c>
      <c r="CM17" s="39">
        <f t="shared" si="26"/>
        <v>0.64444444444444449</v>
      </c>
      <c r="CN17" s="39">
        <f t="shared" si="27"/>
        <v>0.64444444444444449</v>
      </c>
      <c r="CO17" s="42">
        <f t="shared" si="28"/>
        <v>15</v>
      </c>
      <c r="CP17" s="42">
        <f t="shared" si="29"/>
        <v>15</v>
      </c>
      <c r="CQ17" s="42">
        <f t="shared" si="30"/>
        <v>11</v>
      </c>
      <c r="CR17" s="42">
        <f t="shared" si="31"/>
        <v>11</v>
      </c>
      <c r="CS17" s="42">
        <f t="shared" si="32"/>
        <v>3</v>
      </c>
      <c r="CT17" s="42">
        <f t="shared" si="33"/>
        <v>3</v>
      </c>
      <c r="CU17" s="43">
        <f t="shared" si="34"/>
        <v>15</v>
      </c>
      <c r="CV17" s="43">
        <f t="shared" si="35"/>
        <v>11</v>
      </c>
      <c r="CW17" s="43">
        <f t="shared" si="36"/>
        <v>3</v>
      </c>
      <c r="CX17" s="13" t="s">
        <v>397</v>
      </c>
    </row>
    <row r="18" spans="1:102" x14ac:dyDescent="0.25">
      <c r="A18" s="31" t="s">
        <v>40</v>
      </c>
      <c r="B18" s="13">
        <v>356</v>
      </c>
      <c r="C18" s="13">
        <v>63</v>
      </c>
      <c r="D18" s="13">
        <v>40</v>
      </c>
      <c r="E18" s="32" t="s">
        <v>3</v>
      </c>
      <c r="F18" s="32">
        <v>1</v>
      </c>
      <c r="G18" s="32"/>
      <c r="H18" s="32"/>
      <c r="I18" s="32" t="s">
        <v>0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Multipliers'!$D:$D,MATCH(P18,'Level Multipliers'!$A:$A,0)),"")</f>
        <v>1.4971539093132804</v>
      </c>
      <c r="R18" s="37">
        <f t="shared" si="0"/>
        <v>15</v>
      </c>
      <c r="S18" s="37">
        <f t="shared" si="1"/>
        <v>15</v>
      </c>
      <c r="T18" s="38">
        <f t="shared" si="2"/>
        <v>63674536.244138971</v>
      </c>
      <c r="U18" s="38">
        <f t="shared" si="3"/>
        <v>64032760.77656915</v>
      </c>
      <c r="V18" s="38" t="b">
        <f t="shared" si="4"/>
        <v>0</v>
      </c>
      <c r="W18" s="37">
        <f t="array" ref="W18:AG18">IF(V18,"",IVSolution($M18,$N18,$O18,R18,S18,T18,U18,$E18,$F18,$G18,$H18,$I18))</f>
        <v>5</v>
      </c>
      <c r="X18" s="37">
        <v>24</v>
      </c>
      <c r="Y18" s="37">
        <v>29</v>
      </c>
      <c r="Z18" s="39">
        <v>0.53333333333333333</v>
      </c>
      <c r="AA18" s="39">
        <v>0.64444444444444449</v>
      </c>
      <c r="AB18" s="37">
        <v>15</v>
      </c>
      <c r="AC18" s="37">
        <v>15</v>
      </c>
      <c r="AD18" s="37">
        <v>3</v>
      </c>
      <c r="AE18" s="37">
        <v>9</v>
      </c>
      <c r="AF18" s="37">
        <v>0</v>
      </c>
      <c r="AG18" s="37">
        <v>11</v>
      </c>
      <c r="AH18" s="40">
        <f t="shared" si="5"/>
        <v>25.5</v>
      </c>
      <c r="AI18" s="36">
        <f>IFERROR(INDEX('Level Multipliers'!$D:$D,MATCH(AH18,'Level Multipliers'!$A:$A,0)),"")</f>
        <v>1.4823997223704843</v>
      </c>
      <c r="AJ18" s="37">
        <f t="shared" si="6"/>
        <v>14</v>
      </c>
      <c r="AK18" s="37">
        <f t="shared" si="7"/>
        <v>14</v>
      </c>
      <c r="AL18" s="38">
        <f t="shared" si="8"/>
        <v>61201391.399674177</v>
      </c>
      <c r="AM18" s="38">
        <f t="shared" si="9"/>
        <v>61545702.34579815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26</v>
      </c>
      <c r="BA18" s="36">
        <f>IFERROR(INDEX('Level Multipliers'!$D:$D,MATCH(AZ18,'Level Multipliers'!$A:$A,0)),"")</f>
        <v>1.4680732523857296</v>
      </c>
      <c r="BB18" s="37">
        <f t="shared" si="12"/>
        <v>13</v>
      </c>
      <c r="BC18" s="37">
        <f t="shared" si="13"/>
        <v>13</v>
      </c>
      <c r="BD18" s="38">
        <f t="shared" si="14"/>
        <v>58869574.975354508</v>
      </c>
      <c r="BE18" s="38">
        <f t="shared" si="15"/>
        <v>59200767.430201024</v>
      </c>
      <c r="BF18" s="38" t="b">
        <f t="shared" si="16"/>
        <v>0</v>
      </c>
      <c r="BG18" s="37">
        <f t="array" ref="BG18:BQ18">IF(BF18,"",IVSolution($M18,$N18,$O18,BB18,BC18,BD18,BE18,$E18,$F18,$G18,$H18,$I18))</f>
        <v>0</v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26.5</v>
      </c>
      <c r="BS18" s="36">
        <f>IFERROR(INDEX('Level Multipliers'!$D:$D,MATCH(BR18,'Level Multipliers'!$A:$A,0)),"")</f>
        <v>1.4541543636838528</v>
      </c>
      <c r="BT18" s="37">
        <f t="shared" si="18"/>
        <v>12</v>
      </c>
      <c r="BU18" s="37">
        <f t="shared" si="19"/>
        <v>13</v>
      </c>
      <c r="BV18" s="38">
        <f t="shared" si="20"/>
        <v>56668542.059983447</v>
      </c>
      <c r="BW18" s="38">
        <f t="shared" si="21"/>
        <v>56987351.794303358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25</v>
      </c>
      <c r="CK18" s="41">
        <f t="shared" si="24"/>
        <v>25</v>
      </c>
      <c r="CL18" s="66">
        <f t="shared" si="25"/>
        <v>0.58888888888888891</v>
      </c>
      <c r="CM18" s="39">
        <f t="shared" si="26"/>
        <v>0.53333333333333333</v>
      </c>
      <c r="CN18" s="39">
        <f t="shared" si="27"/>
        <v>0.64444444444444449</v>
      </c>
      <c r="CO18" s="42">
        <f t="shared" si="28"/>
        <v>15</v>
      </c>
      <c r="CP18" s="42">
        <f t="shared" si="29"/>
        <v>15</v>
      </c>
      <c r="CQ18" s="42">
        <f t="shared" si="30"/>
        <v>3</v>
      </c>
      <c r="CR18" s="42">
        <f t="shared" si="31"/>
        <v>9</v>
      </c>
      <c r="CS18" s="42">
        <f t="shared" si="32"/>
        <v>0</v>
      </c>
      <c r="CT18" s="42">
        <f t="shared" si="33"/>
        <v>11</v>
      </c>
      <c r="CU18" s="43">
        <f t="shared" si="34"/>
        <v>15</v>
      </c>
      <c r="CV18" s="43" t="str">
        <f t="shared" si="35"/>
        <v>3-9</v>
      </c>
      <c r="CW18" s="43" t="str">
        <f t="shared" si="36"/>
        <v>0-11</v>
      </c>
      <c r="CX18" s="13" t="s">
        <v>397</v>
      </c>
    </row>
    <row r="19" spans="1:102" x14ac:dyDescent="0.25">
      <c r="A19" s="31" t="s">
        <v>40</v>
      </c>
      <c r="B19" s="13">
        <v>352</v>
      </c>
      <c r="C19" s="13">
        <v>56</v>
      </c>
      <c r="D19" s="13">
        <v>35</v>
      </c>
      <c r="E19" s="32" t="s">
        <v>3</v>
      </c>
      <c r="F19" s="32"/>
      <c r="G19" s="32"/>
      <c r="H19" s="32">
        <v>1</v>
      </c>
      <c r="I19" s="32" t="s">
        <v>3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Multipliers'!$D:$D,MATCH(P19,'Level Multipliers'!$A:$A,0)),"")</f>
        <v>1.5609074973486676</v>
      </c>
      <c r="R19" s="37">
        <f t="shared" si="0"/>
        <v>8</v>
      </c>
      <c r="S19" s="37">
        <f t="shared" si="1"/>
        <v>8</v>
      </c>
      <c r="T19" s="38">
        <f t="shared" si="2"/>
        <v>73551916.513048097</v>
      </c>
      <c r="U19" s="38">
        <f t="shared" si="3"/>
        <v>73970418.74979347</v>
      </c>
      <c r="V19" s="38" t="b">
        <f t="shared" si="4"/>
        <v>0</v>
      </c>
      <c r="W19" s="37">
        <f t="array" ref="W19:AG19">IF(V19,"",IVSolution($M19,$N19,$O19,R19,S19,T19,U19,$E19,$F19,$G19,$H19,$I19))</f>
        <v>0</v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23.5</v>
      </c>
      <c r="AI19" s="36">
        <f>IFERROR(INDEX('Level Multipliers'!$D:$D,MATCH(AH19,'Level Multipliers'!$A:$A,0)),"")</f>
        <v>1.5442084375315592</v>
      </c>
      <c r="AJ19" s="37">
        <f t="shared" si="6"/>
        <v>7</v>
      </c>
      <c r="AK19" s="37">
        <f t="shared" si="7"/>
        <v>8</v>
      </c>
      <c r="AL19" s="38">
        <f t="shared" si="8"/>
        <v>70454544.484709874</v>
      </c>
      <c r="AM19" s="38">
        <f t="shared" si="9"/>
        <v>70855423.018588677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24</v>
      </c>
      <c r="BA19" s="36">
        <f>IFERROR(INDEX('Level Multipliers'!$D:$D,MATCH(AZ19,'Level Multipliers'!$A:$A,0)),"")</f>
        <v>1.5280341520389438</v>
      </c>
      <c r="BB19" s="37">
        <f t="shared" si="12"/>
        <v>6</v>
      </c>
      <c r="BC19" s="37">
        <f t="shared" si="13"/>
        <v>7</v>
      </c>
      <c r="BD19" s="38">
        <f t="shared" si="14"/>
        <v>67548789.51723209</v>
      </c>
      <c r="BE19" s="38">
        <f t="shared" si="15"/>
        <v>67933134.62804085</v>
      </c>
      <c r="BF19" s="38" t="b">
        <f t="shared" si="16"/>
        <v>0</v>
      </c>
      <c r="BG19" s="37">
        <f t="array" ref="BG19:BQ19">IF(BF19,"",IVSolution($M19,$N19,$O19,BB19,BC19,BD19,BE19,$E19,$F19,$G19,$H19,$I19))</f>
        <v>1</v>
      </c>
      <c r="BH19" s="37">
        <v>28</v>
      </c>
      <c r="BI19" s="37">
        <v>28</v>
      </c>
      <c r="BJ19" s="39">
        <v>0.62222222222222223</v>
      </c>
      <c r="BK19" s="39">
        <v>0.62222222222222223</v>
      </c>
      <c r="BL19" s="37">
        <v>7</v>
      </c>
      <c r="BM19" s="37">
        <v>7</v>
      </c>
      <c r="BN19" s="37">
        <v>9</v>
      </c>
      <c r="BO19" s="37">
        <v>9</v>
      </c>
      <c r="BP19" s="37">
        <v>12</v>
      </c>
      <c r="BQ19" s="37">
        <v>12</v>
      </c>
      <c r="BR19" s="40">
        <f t="shared" si="17"/>
        <v>24.5</v>
      </c>
      <c r="BS19" s="36">
        <f>IFERROR(INDEX('Level Multipliers'!$D:$D,MATCH(BR19,'Level Multipliers'!$A:$A,0)),"")</f>
        <v>1.5123576273617088</v>
      </c>
      <c r="BT19" s="37">
        <f t="shared" si="18"/>
        <v>5</v>
      </c>
      <c r="BU19" s="37">
        <f t="shared" si="19"/>
        <v>6</v>
      </c>
      <c r="BV19" s="38">
        <f t="shared" si="20"/>
        <v>64819149.878050938</v>
      </c>
      <c r="BW19" s="38">
        <f t="shared" si="21"/>
        <v>65187963.642449394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24</v>
      </c>
      <c r="CK19" s="41">
        <f t="shared" si="24"/>
        <v>24</v>
      </c>
      <c r="CL19" s="66">
        <f t="shared" si="25"/>
        <v>0.62222222222222223</v>
      </c>
      <c r="CM19" s="39">
        <f t="shared" si="26"/>
        <v>0.62222222222222223</v>
      </c>
      <c r="CN19" s="39">
        <f t="shared" si="27"/>
        <v>0.62222222222222223</v>
      </c>
      <c r="CO19" s="42">
        <f t="shared" si="28"/>
        <v>7</v>
      </c>
      <c r="CP19" s="42">
        <f t="shared" si="29"/>
        <v>7</v>
      </c>
      <c r="CQ19" s="42">
        <f t="shared" si="30"/>
        <v>9</v>
      </c>
      <c r="CR19" s="42">
        <f t="shared" si="31"/>
        <v>9</v>
      </c>
      <c r="CS19" s="42">
        <f t="shared" si="32"/>
        <v>12</v>
      </c>
      <c r="CT19" s="42">
        <f t="shared" si="33"/>
        <v>12</v>
      </c>
      <c r="CU19" s="43">
        <f t="shared" si="34"/>
        <v>7</v>
      </c>
      <c r="CV19" s="43">
        <f t="shared" si="35"/>
        <v>9</v>
      </c>
      <c r="CW19" s="43">
        <f t="shared" si="36"/>
        <v>12</v>
      </c>
      <c r="CX19" s="13" t="s">
        <v>397</v>
      </c>
    </row>
    <row r="20" spans="1:102" x14ac:dyDescent="0.25">
      <c r="A20" s="31" t="s">
        <v>40</v>
      </c>
      <c r="B20" s="13">
        <v>335</v>
      </c>
      <c r="C20" s="13">
        <v>59</v>
      </c>
      <c r="D20" s="13">
        <v>35</v>
      </c>
      <c r="E20" s="32" t="s">
        <v>3</v>
      </c>
      <c r="F20" s="32">
        <v>1</v>
      </c>
      <c r="G20" s="32"/>
      <c r="H20" s="32">
        <v>1</v>
      </c>
      <c r="I20" s="32" t="s">
        <v>3</v>
      </c>
      <c r="J20" s="13"/>
      <c r="K20" s="33"/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Multipliers'!$D:$D,MATCH(P20,'Level Multipliers'!$A:$A,0)),"")</f>
        <v>1.5609074973486676</v>
      </c>
      <c r="R20" s="37">
        <f t="shared" si="0"/>
        <v>13</v>
      </c>
      <c r="S20" s="37">
        <f t="shared" si="1"/>
        <v>13</v>
      </c>
      <c r="T20" s="38">
        <f t="shared" si="2"/>
        <v>66619026.267730035</v>
      </c>
      <c r="U20" s="38">
        <f t="shared" si="3"/>
        <v>67017345.417880595</v>
      </c>
      <c r="V20" s="38" t="b">
        <f t="shared" si="4"/>
        <v>0</v>
      </c>
      <c r="W20" s="37">
        <f t="array" ref="W20:AG20">IF(V20,"",IVSolution($M20,$N20,$O20,R20,S20,T20,U20,$E20,$F20,$G20,$H20,$I20))</f>
        <v>0</v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23.5</v>
      </c>
      <c r="AI20" s="36">
        <f>IFERROR(INDEX('Level Multipliers'!$D:$D,MATCH(AH20,'Level Multipliers'!$A:$A,0)),"")</f>
        <v>1.5442084375315592</v>
      </c>
      <c r="AJ20" s="37">
        <f t="shared" si="6"/>
        <v>12</v>
      </c>
      <c r="AK20" s="37">
        <f t="shared" si="7"/>
        <v>12</v>
      </c>
      <c r="AL20" s="38">
        <f t="shared" si="8"/>
        <v>63813607.75113447</v>
      </c>
      <c r="AM20" s="38">
        <f t="shared" si="9"/>
        <v>64195153.13586168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24</v>
      </c>
      <c r="BA20" s="36">
        <f>IFERROR(INDEX('Level Multipliers'!$D:$D,MATCH(AZ20,'Level Multipliers'!$A:$A,0)),"")</f>
        <v>1.5280341520389438</v>
      </c>
      <c r="BB20" s="37">
        <f t="shared" si="12"/>
        <v>11</v>
      </c>
      <c r="BC20" s="37">
        <f t="shared" si="13"/>
        <v>11</v>
      </c>
      <c r="BD20" s="38">
        <f t="shared" si="14"/>
        <v>61181744.76668527</v>
      </c>
      <c r="BE20" s="38">
        <f t="shared" si="15"/>
        <v>61547554.084916018</v>
      </c>
      <c r="BF20" s="38" t="b">
        <f t="shared" si="16"/>
        <v>0</v>
      </c>
      <c r="BG20" s="37">
        <f t="array" ref="BG20:BQ20">IF(BF20,"",IVSolution($M20,$N20,$O20,BB20,BC20,BD20,BE20,$E20,$F20,$G20,$H20,$I20))</f>
        <v>1</v>
      </c>
      <c r="BH20" s="37">
        <v>25</v>
      </c>
      <c r="BI20" s="37">
        <v>25</v>
      </c>
      <c r="BJ20" s="39">
        <v>0.55555555555555558</v>
      </c>
      <c r="BK20" s="39">
        <v>0.55555555555555558</v>
      </c>
      <c r="BL20" s="37">
        <v>11</v>
      </c>
      <c r="BM20" s="37">
        <v>11</v>
      </c>
      <c r="BN20" s="37">
        <v>3</v>
      </c>
      <c r="BO20" s="37">
        <v>3</v>
      </c>
      <c r="BP20" s="37">
        <v>11</v>
      </c>
      <c r="BQ20" s="37">
        <v>11</v>
      </c>
      <c r="BR20" s="40">
        <f t="shared" si="17"/>
        <v>24.5</v>
      </c>
      <c r="BS20" s="36">
        <f>IFERROR(INDEX('Level Multipliers'!$D:$D,MATCH(BR20,'Level Multipliers'!$A:$A,0)),"")</f>
        <v>1.5123576273617088</v>
      </c>
      <c r="BT20" s="37">
        <f t="shared" si="18"/>
        <v>10</v>
      </c>
      <c r="BU20" s="37">
        <f t="shared" si="19"/>
        <v>10</v>
      </c>
      <c r="BV20" s="38">
        <f t="shared" si="20"/>
        <v>58709396.751228906</v>
      </c>
      <c r="BW20" s="38">
        <f t="shared" si="21"/>
        <v>59060423.752521619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24</v>
      </c>
      <c r="CK20" s="41">
        <f t="shared" si="24"/>
        <v>24</v>
      </c>
      <c r="CL20" s="66">
        <f t="shared" si="25"/>
        <v>0.55555555555555558</v>
      </c>
      <c r="CM20" s="39">
        <f t="shared" si="26"/>
        <v>0.55555555555555558</v>
      </c>
      <c r="CN20" s="39">
        <f t="shared" si="27"/>
        <v>0.55555555555555558</v>
      </c>
      <c r="CO20" s="42">
        <f t="shared" si="28"/>
        <v>11</v>
      </c>
      <c r="CP20" s="42">
        <f t="shared" si="29"/>
        <v>11</v>
      </c>
      <c r="CQ20" s="42">
        <f t="shared" si="30"/>
        <v>3</v>
      </c>
      <c r="CR20" s="42">
        <f t="shared" si="31"/>
        <v>3</v>
      </c>
      <c r="CS20" s="42">
        <f t="shared" si="32"/>
        <v>11</v>
      </c>
      <c r="CT20" s="42">
        <f t="shared" si="33"/>
        <v>11</v>
      </c>
      <c r="CU20" s="43">
        <f t="shared" si="34"/>
        <v>11</v>
      </c>
      <c r="CV20" s="43">
        <f t="shared" si="35"/>
        <v>3</v>
      </c>
      <c r="CW20" s="43">
        <f t="shared" si="36"/>
        <v>11</v>
      </c>
      <c r="CX20" s="13" t="s">
        <v>397</v>
      </c>
    </row>
    <row r="21" spans="1:102" x14ac:dyDescent="0.25">
      <c r="A21" s="31" t="s">
        <v>40</v>
      </c>
      <c r="B21" s="13">
        <v>312</v>
      </c>
      <c r="C21" s="13">
        <v>57</v>
      </c>
      <c r="D21" s="13">
        <v>30</v>
      </c>
      <c r="E21" s="32" t="s">
        <v>3</v>
      </c>
      <c r="F21" s="32"/>
      <c r="G21" s="32"/>
      <c r="H21" s="32">
        <v>1</v>
      </c>
      <c r="I21" s="32" t="s">
        <v>0</v>
      </c>
      <c r="J21" s="13"/>
      <c r="K21" s="33">
        <v>22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21</v>
      </c>
      <c r="Q21" s="36">
        <f>IFERROR(INDEX('Level Multipliers'!$D:$D,MATCH(P21,'Level Multipliers'!$A:$A,0)),"")</f>
        <v>1.6335670981213306</v>
      </c>
      <c r="R21" s="37">
        <f t="shared" si="0"/>
        <v>14</v>
      </c>
      <c r="S21" s="37">
        <f t="shared" si="1"/>
        <v>14</v>
      </c>
      <c r="T21" s="38">
        <f t="shared" si="2"/>
        <v>69319767.696650773</v>
      </c>
      <c r="U21" s="38">
        <f t="shared" si="3"/>
        <v>69764837.293240264</v>
      </c>
      <c r="V21" s="38" t="b">
        <f t="shared" si="4"/>
        <v>1</v>
      </c>
      <c r="W21" s="37" t="str">
        <f t="array" ref="W21:AG21">IF(V21,"",IVSolution($M21,$N21,$O21,R21,S21,T21,U21,$E21,$F21,$G21,$H21,$I21))</f>
        <v/>
      </c>
      <c r="X21" s="37" t="str">
        <v/>
      </c>
      <c r="Y21" s="37" t="str">
        <v/>
      </c>
      <c r="Z21" s="39" t="str">
        <v/>
      </c>
      <c r="AA21" s="39" t="str">
        <v/>
      </c>
      <c r="AB21" s="37" t="str">
        <v/>
      </c>
      <c r="AC21" s="37" t="str">
        <v/>
      </c>
      <c r="AD21" s="37" t="str">
        <v/>
      </c>
      <c r="AE21" s="37" t="str">
        <v/>
      </c>
      <c r="AF21" s="37" t="str">
        <v/>
      </c>
      <c r="AG21" s="37" t="str">
        <v/>
      </c>
      <c r="AH21" s="40">
        <f t="shared" si="5"/>
        <v>21.5</v>
      </c>
      <c r="AI21" s="36">
        <f>IFERROR(INDEX('Level Multipliers'!$D:$D,MATCH(AH21,'Level Multipliers'!$A:$A,0)),"")</f>
        <v>1.6144549045635799</v>
      </c>
      <c r="AJ21" s="37">
        <f t="shared" si="6"/>
        <v>13</v>
      </c>
      <c r="AK21" s="37">
        <f t="shared" si="7"/>
        <v>13</v>
      </c>
      <c r="AL21" s="38">
        <f t="shared" si="8"/>
        <v>66132183.594893306</v>
      </c>
      <c r="AM21" s="38">
        <f t="shared" si="9"/>
        <v>66556787.214498095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22</v>
      </c>
      <c r="BA21" s="36">
        <f>IFERROR(INDEX('Level Multipliers'!$D:$D,MATCH(AZ21,'Level Multipliers'!$A:$A,0)),"")</f>
        <v>1.5959981933118279</v>
      </c>
      <c r="BB21" s="37">
        <f t="shared" si="12"/>
        <v>11</v>
      </c>
      <c r="BC21" s="37">
        <f t="shared" si="13"/>
        <v>12</v>
      </c>
      <c r="BD21" s="38">
        <f t="shared" si="14"/>
        <v>63159512.553383619</v>
      </c>
      <c r="BE21" s="38">
        <f t="shared" si="15"/>
        <v>63565030.051594757</v>
      </c>
      <c r="BF21" s="38" t="b">
        <f t="shared" si="16"/>
        <v>0</v>
      </c>
      <c r="BG21" s="37">
        <f t="array" ref="BG21:BQ21">IF(BF21,"",IVSolution($M21,$N21,$O21,BB21,BC21,BD21,BE21,$E21,$F21,$G21,$H21,$I21))</f>
        <v>1</v>
      </c>
      <c r="BH21" s="37">
        <v>29</v>
      </c>
      <c r="BI21" s="37">
        <v>29</v>
      </c>
      <c r="BJ21" s="39">
        <v>0.64444444444444449</v>
      </c>
      <c r="BK21" s="39">
        <v>0.64444444444444449</v>
      </c>
      <c r="BL21" s="37">
        <v>12</v>
      </c>
      <c r="BM21" s="37">
        <v>12</v>
      </c>
      <c r="BN21" s="37">
        <v>2</v>
      </c>
      <c r="BO21" s="37">
        <v>2</v>
      </c>
      <c r="BP21" s="37">
        <v>15</v>
      </c>
      <c r="BQ21" s="37">
        <v>15</v>
      </c>
      <c r="BR21" s="40">
        <f t="shared" si="17"/>
        <v>22.5</v>
      </c>
      <c r="BS21" s="36">
        <f>IFERROR(INDEX('Level Multipliers'!$D:$D,MATCH(BR21,'Level Multipliers'!$A:$A,0)),"")</f>
        <v>1.578160334674382</v>
      </c>
      <c r="BT21" s="37">
        <f t="shared" si="18"/>
        <v>10</v>
      </c>
      <c r="BU21" s="37">
        <f t="shared" si="19"/>
        <v>11</v>
      </c>
      <c r="BV21" s="38">
        <f t="shared" si="20"/>
        <v>60382860.476223394</v>
      </c>
      <c r="BW21" s="38">
        <f t="shared" si="21"/>
        <v>60770550.398536429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22</v>
      </c>
      <c r="CK21" s="41">
        <f t="shared" si="24"/>
        <v>22</v>
      </c>
      <c r="CL21" s="66">
        <f t="shared" si="25"/>
        <v>0.64444444444444449</v>
      </c>
      <c r="CM21" s="39">
        <f t="shared" si="26"/>
        <v>0.64444444444444449</v>
      </c>
      <c r="CN21" s="39">
        <f t="shared" si="27"/>
        <v>0.64444444444444449</v>
      </c>
      <c r="CO21" s="42">
        <f t="shared" si="28"/>
        <v>12</v>
      </c>
      <c r="CP21" s="42">
        <f t="shared" si="29"/>
        <v>12</v>
      </c>
      <c r="CQ21" s="42">
        <f t="shared" si="30"/>
        <v>2</v>
      </c>
      <c r="CR21" s="42">
        <f t="shared" si="31"/>
        <v>2</v>
      </c>
      <c r="CS21" s="42">
        <f t="shared" si="32"/>
        <v>15</v>
      </c>
      <c r="CT21" s="42">
        <f t="shared" si="33"/>
        <v>15</v>
      </c>
      <c r="CU21" s="43">
        <f t="shared" si="34"/>
        <v>12</v>
      </c>
      <c r="CV21" s="43">
        <f t="shared" si="35"/>
        <v>2</v>
      </c>
      <c r="CW21" s="43">
        <f t="shared" si="36"/>
        <v>15</v>
      </c>
      <c r="CX21" s="13" t="s">
        <v>397</v>
      </c>
    </row>
    <row r="22" spans="1:102" x14ac:dyDescent="0.25">
      <c r="A22" s="31" t="s">
        <v>40</v>
      </c>
      <c r="B22" s="13">
        <v>309</v>
      </c>
      <c r="C22" s="13">
        <v>52</v>
      </c>
      <c r="D22" s="13">
        <v>30</v>
      </c>
      <c r="E22" s="32" t="s">
        <v>3</v>
      </c>
      <c r="F22" s="32"/>
      <c r="G22" s="32"/>
      <c r="H22" s="32">
        <v>1</v>
      </c>
      <c r="I22" s="32" t="s">
        <v>0</v>
      </c>
      <c r="J22" s="13"/>
      <c r="K22" s="33"/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21</v>
      </c>
      <c r="Q22" s="36">
        <f>IFERROR(INDEX('Level Multipliers'!$D:$D,MATCH(P22,'Level Multipliers'!$A:$A,0)),"")</f>
        <v>1.6335670981213306</v>
      </c>
      <c r="R22" s="37">
        <f t="shared" si="0"/>
        <v>5</v>
      </c>
      <c r="S22" s="37">
        <f t="shared" si="1"/>
        <v>6</v>
      </c>
      <c r="T22" s="38">
        <f t="shared" si="2"/>
        <v>67993104.243136838</v>
      </c>
      <c r="U22" s="38">
        <f t="shared" si="3"/>
        <v>68433901.17159906</v>
      </c>
      <c r="V22" s="38" t="b">
        <f t="shared" si="4"/>
        <v>0</v>
      </c>
      <c r="W22" s="37">
        <f t="array" ref="W22:AG22">IF(V22,"",IVSolution($M22,$N22,$O22,R22,S22,T22,U22,$E22,$F22,$G22,$H22,$I22))</f>
        <v>1</v>
      </c>
      <c r="X22" s="37">
        <v>29</v>
      </c>
      <c r="Y22" s="37">
        <v>29</v>
      </c>
      <c r="Z22" s="39">
        <v>0.64444444444444449</v>
      </c>
      <c r="AA22" s="39">
        <v>0.64444444444444449</v>
      </c>
      <c r="AB22" s="37">
        <v>5</v>
      </c>
      <c r="AC22" s="37">
        <v>5</v>
      </c>
      <c r="AD22" s="37">
        <v>9</v>
      </c>
      <c r="AE22" s="37">
        <v>9</v>
      </c>
      <c r="AF22" s="37">
        <v>15</v>
      </c>
      <c r="AG22" s="37">
        <v>15</v>
      </c>
      <c r="AH22" s="40">
        <f t="shared" si="5"/>
        <v>21.5</v>
      </c>
      <c r="AI22" s="36">
        <f>IFERROR(INDEX('Level Multipliers'!$D:$D,MATCH(AH22,'Level Multipliers'!$A:$A,0)),"")</f>
        <v>1.6144549045635799</v>
      </c>
      <c r="AJ22" s="37">
        <f t="shared" si="6"/>
        <v>4</v>
      </c>
      <c r="AK22" s="37">
        <f t="shared" si="7"/>
        <v>5</v>
      </c>
      <c r="AL22" s="38">
        <f t="shared" si="8"/>
        <v>64866525.125575356</v>
      </c>
      <c r="AM22" s="38">
        <f t="shared" si="9"/>
        <v>65287052.550431937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22</v>
      </c>
      <c r="BA22" s="36">
        <f>IFERROR(INDEX('Level Multipliers'!$D:$D,MATCH(AZ22,'Level Multipliers'!$A:$A,0)),"")</f>
        <v>1.5959981933118279</v>
      </c>
      <c r="BB22" s="37">
        <f t="shared" si="12"/>
        <v>3</v>
      </c>
      <c r="BC22" s="37">
        <f t="shared" si="13"/>
        <v>4</v>
      </c>
      <c r="BD22" s="38">
        <f t="shared" si="14"/>
        <v>61950745.994715869</v>
      </c>
      <c r="BE22" s="38">
        <f t="shared" si="15"/>
        <v>62352370.524944179</v>
      </c>
      <c r="BF22" s="38" t="b">
        <f t="shared" si="16"/>
        <v>0</v>
      </c>
      <c r="BG22" s="37">
        <f t="array" ref="BG22:BQ22">IF(BF22,"",IVSolution($M22,$N22,$O22,BB22,BC22,BD22,BE22,$E22,$F22,$G22,$H22,$I22))</f>
        <v>0</v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22.5</v>
      </c>
      <c r="BS22" s="36">
        <f>IFERROR(INDEX('Level Multipliers'!$D:$D,MATCH(BR22,'Level Multipliers'!$A:$A,0)),"")</f>
        <v>1.578160334674382</v>
      </c>
      <c r="BT22" s="37">
        <f t="shared" si="18"/>
        <v>3</v>
      </c>
      <c r="BU22" s="37">
        <f t="shared" si="19"/>
        <v>3</v>
      </c>
      <c r="BV22" s="38">
        <f t="shared" si="20"/>
        <v>59227234.355792716</v>
      </c>
      <c r="BW22" s="38">
        <f t="shared" si="21"/>
        <v>59611202.454851538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21</v>
      </c>
      <c r="CK22" s="41">
        <f t="shared" si="24"/>
        <v>21</v>
      </c>
      <c r="CL22" s="66">
        <f t="shared" si="25"/>
        <v>0.64444444444444449</v>
      </c>
      <c r="CM22" s="39">
        <f t="shared" si="26"/>
        <v>0.64444444444444449</v>
      </c>
      <c r="CN22" s="39">
        <f t="shared" si="27"/>
        <v>0.64444444444444449</v>
      </c>
      <c r="CO22" s="42">
        <f t="shared" si="28"/>
        <v>5</v>
      </c>
      <c r="CP22" s="42">
        <f t="shared" si="29"/>
        <v>5</v>
      </c>
      <c r="CQ22" s="42">
        <f t="shared" si="30"/>
        <v>9</v>
      </c>
      <c r="CR22" s="42">
        <f t="shared" si="31"/>
        <v>9</v>
      </c>
      <c r="CS22" s="42">
        <f t="shared" si="32"/>
        <v>15</v>
      </c>
      <c r="CT22" s="42">
        <f t="shared" si="33"/>
        <v>15</v>
      </c>
      <c r="CU22" s="43">
        <f t="shared" si="34"/>
        <v>5</v>
      </c>
      <c r="CV22" s="43">
        <f t="shared" si="35"/>
        <v>9</v>
      </c>
      <c r="CW22" s="43">
        <f t="shared" si="36"/>
        <v>15</v>
      </c>
      <c r="CX22" s="13" t="s">
        <v>397</v>
      </c>
    </row>
    <row r="23" spans="1:102" x14ac:dyDescent="0.25">
      <c r="A23" s="31" t="s">
        <v>40</v>
      </c>
      <c r="B23" s="13">
        <v>301</v>
      </c>
      <c r="C23" s="13">
        <v>55</v>
      </c>
      <c r="D23" s="13">
        <v>30</v>
      </c>
      <c r="E23" s="32" t="s">
        <v>3</v>
      </c>
      <c r="F23" s="32">
        <v>1</v>
      </c>
      <c r="G23" s="32"/>
      <c r="H23" s="32"/>
      <c r="I23" s="32" t="s">
        <v>3</v>
      </c>
      <c r="J23" s="13"/>
      <c r="K23" s="33"/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21</v>
      </c>
      <c r="Q23" s="36">
        <f>IFERROR(INDEX('Level Multipliers'!$D:$D,MATCH(P23,'Level Multipliers'!$A:$A,0)),"")</f>
        <v>1.6335670981213306</v>
      </c>
      <c r="R23" s="37">
        <f t="shared" si="0"/>
        <v>10</v>
      </c>
      <c r="S23" s="37">
        <f t="shared" si="1"/>
        <v>11</v>
      </c>
      <c r="T23" s="38">
        <f t="shared" si="2"/>
        <v>64518000.832966149</v>
      </c>
      <c r="U23" s="38">
        <f t="shared" si="3"/>
        <v>64947403.979755685</v>
      </c>
      <c r="V23" s="38" t="b">
        <f t="shared" si="4"/>
        <v>0</v>
      </c>
      <c r="W23" s="37">
        <f t="array" ref="W23:AG23">IF(V23,"",IVSolution($M23,$N23,$O23,R23,S23,T23,U23,$E23,$F23,$G23,$H23,$I23))</f>
        <v>6</v>
      </c>
      <c r="X23" s="37">
        <v>24</v>
      </c>
      <c r="Y23" s="37">
        <v>27</v>
      </c>
      <c r="Z23" s="39">
        <v>0.53333333333333333</v>
      </c>
      <c r="AA23" s="39">
        <v>0.6</v>
      </c>
      <c r="AB23" s="37">
        <v>10</v>
      </c>
      <c r="AC23" s="37">
        <v>11</v>
      </c>
      <c r="AD23" s="37">
        <v>6</v>
      </c>
      <c r="AE23" s="37">
        <v>10</v>
      </c>
      <c r="AF23" s="37">
        <v>3</v>
      </c>
      <c r="AG23" s="37">
        <v>10</v>
      </c>
      <c r="AH23" s="40">
        <f t="shared" si="5"/>
        <v>21.5</v>
      </c>
      <c r="AI23" s="36">
        <f>IFERROR(INDEX('Level Multipliers'!$D:$D,MATCH(AH23,'Level Multipliers'!$A:$A,0)),"")</f>
        <v>1.6144549045635799</v>
      </c>
      <c r="AJ23" s="37">
        <f t="shared" si="6"/>
        <v>9</v>
      </c>
      <c r="AK23" s="37">
        <f t="shared" si="7"/>
        <v>10</v>
      </c>
      <c r="AL23" s="38">
        <f t="shared" si="8"/>
        <v>61551220.06370119</v>
      </c>
      <c r="AM23" s="38">
        <f t="shared" si="9"/>
        <v>61960877.635895886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22</v>
      </c>
      <c r="BA23" s="36">
        <f>IFERROR(INDEX('Level Multipliers'!$D:$D,MATCH(AZ23,'Level Multipliers'!$A:$A,0)),"")</f>
        <v>1.5959981933118279</v>
      </c>
      <c r="BB23" s="37">
        <f t="shared" si="12"/>
        <v>8</v>
      </c>
      <c r="BC23" s="37">
        <f t="shared" si="13"/>
        <v>9</v>
      </c>
      <c r="BD23" s="38">
        <f t="shared" si="14"/>
        <v>58784465.368683323</v>
      </c>
      <c r="BE23" s="38">
        <f t="shared" si="15"/>
        <v>59175708.650957428</v>
      </c>
      <c r="BF23" s="38" t="b">
        <f t="shared" si="16"/>
        <v>0</v>
      </c>
      <c r="BG23" s="37">
        <f t="array" ref="BG23:BQ23">IF(BF23,"",IVSolution($M23,$N23,$O23,BB23,BC23,BD23,BE23,$E23,$F23,$G23,$H23,$I23))</f>
        <v>0</v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22.5</v>
      </c>
      <c r="BS23" s="36">
        <f>IFERROR(INDEX('Level Multipliers'!$D:$D,MATCH(BR23,'Level Multipliers'!$A:$A,0)),"")</f>
        <v>1.578160334674382</v>
      </c>
      <c r="BT23" s="37">
        <f t="shared" si="18"/>
        <v>7</v>
      </c>
      <c r="BU23" s="37">
        <f t="shared" si="19"/>
        <v>8</v>
      </c>
      <c r="BV23" s="38">
        <f t="shared" si="20"/>
        <v>56200151.442372575</v>
      </c>
      <c r="BW23" s="38">
        <f t="shared" si="21"/>
        <v>56574194.679420188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21</v>
      </c>
      <c r="CK23" s="41">
        <f t="shared" si="24"/>
        <v>21</v>
      </c>
      <c r="CL23" s="66">
        <f t="shared" si="25"/>
        <v>0.56666666666666665</v>
      </c>
      <c r="CM23" s="39">
        <f t="shared" si="26"/>
        <v>0.53333333333333333</v>
      </c>
      <c r="CN23" s="39">
        <f t="shared" si="27"/>
        <v>0.6</v>
      </c>
      <c r="CO23" s="42">
        <f t="shared" si="28"/>
        <v>10</v>
      </c>
      <c r="CP23" s="42">
        <f t="shared" si="29"/>
        <v>11</v>
      </c>
      <c r="CQ23" s="42">
        <f t="shared" si="30"/>
        <v>6</v>
      </c>
      <c r="CR23" s="42">
        <f t="shared" si="31"/>
        <v>10</v>
      </c>
      <c r="CS23" s="42">
        <f t="shared" si="32"/>
        <v>3</v>
      </c>
      <c r="CT23" s="42">
        <f t="shared" si="33"/>
        <v>10</v>
      </c>
      <c r="CU23" s="43" t="str">
        <f t="shared" si="34"/>
        <v>10-11</v>
      </c>
      <c r="CV23" s="43" t="str">
        <f t="shared" si="35"/>
        <v>6-10</v>
      </c>
      <c r="CW23" s="43" t="str">
        <f t="shared" si="36"/>
        <v>3-10</v>
      </c>
      <c r="CX23" s="13" t="s">
        <v>397</v>
      </c>
    </row>
    <row r="24" spans="1:102" x14ac:dyDescent="0.25">
      <c r="A24" s="31" t="s">
        <v>40</v>
      </c>
      <c r="B24" s="13">
        <v>295</v>
      </c>
      <c r="C24" s="13">
        <v>56</v>
      </c>
      <c r="D24" s="13">
        <v>30</v>
      </c>
      <c r="E24" s="32" t="s">
        <v>3</v>
      </c>
      <c r="F24" s="32">
        <v>1</v>
      </c>
      <c r="G24" s="32"/>
      <c r="H24" s="32"/>
      <c r="I24" s="32" t="s">
        <v>3</v>
      </c>
      <c r="J24" s="13"/>
      <c r="K24" s="33">
        <v>21</v>
      </c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21</v>
      </c>
      <c r="Q24" s="36">
        <f>IFERROR(INDEX('Level Multipliers'!$D:$D,MATCH(P24,'Level Multipliers'!$A:$A,0)),"")</f>
        <v>1.6335670981213306</v>
      </c>
      <c r="R24" s="37">
        <f t="shared" si="0"/>
        <v>12</v>
      </c>
      <c r="S24" s="37">
        <f t="shared" si="1"/>
        <v>13</v>
      </c>
      <c r="T24" s="38">
        <f t="shared" si="2"/>
        <v>61971490.629119754</v>
      </c>
      <c r="U24" s="38">
        <f t="shared" si="3"/>
        <v>62392348.439654775</v>
      </c>
      <c r="V24" s="38" t="b">
        <f t="shared" si="4"/>
        <v>0</v>
      </c>
      <c r="W24" s="37">
        <f t="array" ref="W24:AG24">IF(V24,"",IVSolution($M24,$N24,$O24,R24,S24,T24,U24,$E24,$F24,$G24,$H24,$I24))</f>
        <v>2</v>
      </c>
      <c r="X24" s="37">
        <v>23</v>
      </c>
      <c r="Y24" s="37">
        <v>26</v>
      </c>
      <c r="Z24" s="39">
        <v>0.51111111111111107</v>
      </c>
      <c r="AA24" s="39">
        <v>0.57777777777777772</v>
      </c>
      <c r="AB24" s="37">
        <v>12</v>
      </c>
      <c r="AC24" s="37">
        <v>12</v>
      </c>
      <c r="AD24" s="37">
        <v>3</v>
      </c>
      <c r="AE24" s="37">
        <v>7</v>
      </c>
      <c r="AF24" s="37">
        <v>4</v>
      </c>
      <c r="AG24" s="37">
        <v>11</v>
      </c>
      <c r="AH24" s="40">
        <f t="shared" si="5"/>
        <v>21.5</v>
      </c>
      <c r="AI24" s="36">
        <f>IFERROR(INDEX('Level Multipliers'!$D:$D,MATCH(AH24,'Level Multipliers'!$A:$A,0)),"")</f>
        <v>1.6144549045635799</v>
      </c>
      <c r="AJ24" s="37">
        <f t="shared" si="6"/>
        <v>11</v>
      </c>
      <c r="AK24" s="37">
        <f t="shared" si="7"/>
        <v>12</v>
      </c>
      <c r="AL24" s="38">
        <f t="shared" si="8"/>
        <v>59121807.993770443</v>
      </c>
      <c r="AM24" s="38">
        <f t="shared" si="9"/>
        <v>59523313.17646873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22</v>
      </c>
      <c r="BA24" s="36">
        <f>IFERROR(INDEX('Level Multipliers'!$D:$D,MATCH(AZ24,'Level Multipliers'!$A:$A,0)),"")</f>
        <v>1.5959981933118279</v>
      </c>
      <c r="BB24" s="37">
        <f t="shared" si="12"/>
        <v>10</v>
      </c>
      <c r="BC24" s="37">
        <f t="shared" si="13"/>
        <v>10</v>
      </c>
      <c r="BD24" s="38">
        <f t="shared" si="14"/>
        <v>56464256.450918488</v>
      </c>
      <c r="BE24" s="38">
        <f t="shared" si="15"/>
        <v>56847713.797226943</v>
      </c>
      <c r="BF24" s="38" t="b">
        <f t="shared" si="16"/>
        <v>1</v>
      </c>
      <c r="BG24" s="37" t="str">
        <f t="array" ref="BG24:BQ24">IF(BF24,"",IVSolution($M24,$N24,$O24,BB24,BC24,BD24,BE24,$E24,$F24,$G24,$H24,$I24))</f>
        <v/>
      </c>
      <c r="BH24" s="37" t="str">
        <v/>
      </c>
      <c r="BI24" s="37" t="str">
        <v/>
      </c>
      <c r="BJ24" s="39" t="str">
        <v/>
      </c>
      <c r="BK24" s="39" t="str">
        <v/>
      </c>
      <c r="BL24" s="37" t="str">
        <v/>
      </c>
      <c r="BM24" s="37" t="str">
        <v/>
      </c>
      <c r="BN24" s="37" t="str">
        <v/>
      </c>
      <c r="BO24" s="37" t="str">
        <v/>
      </c>
      <c r="BP24" s="37" t="str">
        <v/>
      </c>
      <c r="BQ24" s="37" t="str">
        <v/>
      </c>
      <c r="BR24" s="40">
        <f t="shared" si="17"/>
        <v>22.5</v>
      </c>
      <c r="BS24" s="36">
        <f>IFERROR(INDEX('Level Multipliers'!$D:$D,MATCH(BR24,'Level Multipliers'!$A:$A,0)),"")</f>
        <v>1.578160334674382</v>
      </c>
      <c r="BT24" s="37">
        <f t="shared" si="18"/>
        <v>9</v>
      </c>
      <c r="BU24" s="37">
        <f t="shared" si="19"/>
        <v>9</v>
      </c>
      <c r="BV24" s="38">
        <f t="shared" si="20"/>
        <v>53981944.782866344</v>
      </c>
      <c r="BW24" s="38">
        <f t="shared" si="21"/>
        <v>54348544.373405538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21</v>
      </c>
      <c r="CK24" s="41">
        <f t="shared" si="24"/>
        <v>21</v>
      </c>
      <c r="CL24" s="66">
        <f t="shared" si="25"/>
        <v>0.5444444444444444</v>
      </c>
      <c r="CM24" s="39">
        <f t="shared" si="26"/>
        <v>0.51111111111111107</v>
      </c>
      <c r="CN24" s="39">
        <f t="shared" si="27"/>
        <v>0.57777777777777772</v>
      </c>
      <c r="CO24" s="42">
        <f t="shared" si="28"/>
        <v>12</v>
      </c>
      <c r="CP24" s="42">
        <f t="shared" si="29"/>
        <v>12</v>
      </c>
      <c r="CQ24" s="42">
        <f t="shared" si="30"/>
        <v>3</v>
      </c>
      <c r="CR24" s="42">
        <f t="shared" si="31"/>
        <v>7</v>
      </c>
      <c r="CS24" s="42">
        <f t="shared" si="32"/>
        <v>4</v>
      </c>
      <c r="CT24" s="42">
        <f t="shared" si="33"/>
        <v>11</v>
      </c>
      <c r="CU24" s="43">
        <f t="shared" si="34"/>
        <v>12</v>
      </c>
      <c r="CV24" s="43" t="str">
        <f t="shared" si="35"/>
        <v>3-7</v>
      </c>
      <c r="CW24" s="43" t="str">
        <f t="shared" si="36"/>
        <v>4-11</v>
      </c>
      <c r="CX24" s="13" t="s">
        <v>397</v>
      </c>
    </row>
    <row r="25" spans="1:102" x14ac:dyDescent="0.25">
      <c r="A25" s="31" t="s">
        <v>40</v>
      </c>
      <c r="B25" s="13">
        <v>276</v>
      </c>
      <c r="C25" s="13">
        <v>48</v>
      </c>
      <c r="D25" s="13">
        <v>25</v>
      </c>
      <c r="E25" s="32" t="s">
        <v>3</v>
      </c>
      <c r="F25" s="32"/>
      <c r="G25" s="32">
        <v>1</v>
      </c>
      <c r="H25" s="32"/>
      <c r="I25" s="32" t="s">
        <v>3</v>
      </c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19</v>
      </c>
      <c r="Q25" s="36">
        <f>IFERROR(INDEX('Level Multipliers'!$D:$D,MATCH(P25,'Level Multipliers'!$A:$A,0)),"")</f>
        <v>1.7173900470456649</v>
      </c>
      <c r="R25" s="37">
        <f t="shared" si="0"/>
        <v>3</v>
      </c>
      <c r="S25" s="37">
        <f t="shared" si="1"/>
        <v>4</v>
      </c>
      <c r="T25" s="38">
        <f t="shared" si="2"/>
        <v>66266484.394779377</v>
      </c>
      <c r="U25" s="38">
        <f t="shared" si="3"/>
        <v>66747546.223574705</v>
      </c>
      <c r="V25" s="38" t="b">
        <f t="shared" si="4"/>
        <v>0</v>
      </c>
      <c r="W25" s="37">
        <f t="array" ref="W25:AG25">IF(V25,"",IVSolution($M25,$N25,$O25,R25,S25,T25,U25,$E25,$F25,$G25,$H25,$I25))</f>
        <v>3</v>
      </c>
      <c r="X25" s="37">
        <v>24</v>
      </c>
      <c r="Y25" s="37">
        <v>25</v>
      </c>
      <c r="Z25" s="39">
        <v>0.53333333333333333</v>
      </c>
      <c r="AA25" s="39">
        <v>0.55555555555555558</v>
      </c>
      <c r="AB25" s="37">
        <v>3</v>
      </c>
      <c r="AC25" s="37">
        <v>4</v>
      </c>
      <c r="AD25" s="37">
        <v>11</v>
      </c>
      <c r="AE25" s="37">
        <v>12</v>
      </c>
      <c r="AF25" s="37">
        <v>8</v>
      </c>
      <c r="AG25" s="37">
        <v>10</v>
      </c>
      <c r="AH25" s="40">
        <f t="shared" si="5"/>
        <v>19.5</v>
      </c>
      <c r="AI25" s="36">
        <f>IFERROR(INDEX('Level Multipliers'!$D:$D,MATCH(AH25,'Level Multipliers'!$A:$A,0)),"")</f>
        <v>1.6952373266621776</v>
      </c>
      <c r="AJ25" s="37">
        <f t="shared" si="6"/>
        <v>2</v>
      </c>
      <c r="AK25" s="37">
        <f t="shared" si="7"/>
        <v>3</v>
      </c>
      <c r="AL25" s="38">
        <f t="shared" si="8"/>
        <v>62912970.234930798</v>
      </c>
      <c r="AM25" s="38">
        <f t="shared" si="9"/>
        <v>63369687.213243082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20</v>
      </c>
      <c r="BA25" s="36">
        <f>IFERROR(INDEX('Level Multipliers'!$D:$D,MATCH(AZ25,'Level Multipliers'!$A:$A,0)),"")</f>
        <v>1.6739202944034379</v>
      </c>
      <c r="BB25" s="37">
        <f t="shared" si="12"/>
        <v>1</v>
      </c>
      <c r="BC25" s="37">
        <f t="shared" si="13"/>
        <v>2</v>
      </c>
      <c r="BD25" s="38">
        <f t="shared" si="14"/>
        <v>59807722.281714164</v>
      </c>
      <c r="BE25" s="38">
        <f t="shared" si="15"/>
        <v>60241896.699139439</v>
      </c>
      <c r="BF25" s="38" t="b">
        <f t="shared" si="16"/>
        <v>0</v>
      </c>
      <c r="BG25" s="37">
        <f t="array" ref="BG25:BQ25">IF(BF25,"",IVSolution($M25,$N25,$O25,BB25,BC25,BD25,BE25,$E25,$F25,$G25,$H25,$I25))</f>
        <v>0</v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20.5</v>
      </c>
      <c r="BS25" s="36">
        <f>IFERROR(INDEX('Level Multipliers'!$D:$D,MATCH(BR25,'Level Multipliers'!$A:$A,0)),"")</f>
        <v>1.6533745038028393</v>
      </c>
      <c r="BT25" s="37">
        <f t="shared" si="18"/>
        <v>0</v>
      </c>
      <c r="BU25" s="37">
        <f t="shared" si="19"/>
        <v>1</v>
      </c>
      <c r="BV25" s="38">
        <f t="shared" si="20"/>
        <v>56925009.137469828</v>
      </c>
      <c r="BW25" s="38">
        <f t="shared" si="21"/>
        <v>57338256.486412026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19</v>
      </c>
      <c r="CK25" s="41">
        <f t="shared" si="24"/>
        <v>19</v>
      </c>
      <c r="CL25" s="66">
        <f t="shared" si="25"/>
        <v>0.54444444444444451</v>
      </c>
      <c r="CM25" s="39">
        <f t="shared" si="26"/>
        <v>0.53333333333333333</v>
      </c>
      <c r="CN25" s="39">
        <f t="shared" si="27"/>
        <v>0.55555555555555558</v>
      </c>
      <c r="CO25" s="42">
        <f t="shared" si="28"/>
        <v>3</v>
      </c>
      <c r="CP25" s="42">
        <f t="shared" si="29"/>
        <v>4</v>
      </c>
      <c r="CQ25" s="42">
        <f t="shared" si="30"/>
        <v>11</v>
      </c>
      <c r="CR25" s="42">
        <f t="shared" si="31"/>
        <v>12</v>
      </c>
      <c r="CS25" s="42">
        <f t="shared" si="32"/>
        <v>8</v>
      </c>
      <c r="CT25" s="42">
        <f t="shared" si="33"/>
        <v>10</v>
      </c>
      <c r="CU25" s="43" t="str">
        <f t="shared" si="34"/>
        <v>3-4</v>
      </c>
      <c r="CV25" s="43" t="str">
        <f t="shared" si="35"/>
        <v>11-12</v>
      </c>
      <c r="CW25" s="43" t="str">
        <f t="shared" si="36"/>
        <v>8-10</v>
      </c>
      <c r="CX25" s="13"/>
    </row>
    <row r="26" spans="1:102" x14ac:dyDescent="0.25">
      <c r="A26" s="31" t="s">
        <v>40</v>
      </c>
      <c r="B26" s="13">
        <v>268</v>
      </c>
      <c r="C26" s="13">
        <v>48</v>
      </c>
      <c r="D26" s="13">
        <v>22</v>
      </c>
      <c r="E26" s="32" t="s">
        <v>3</v>
      </c>
      <c r="F26" s="32"/>
      <c r="G26" s="32">
        <v>1</v>
      </c>
      <c r="H26" s="32"/>
      <c r="I26" s="32" t="s">
        <v>2</v>
      </c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17</v>
      </c>
      <c r="Q26" s="36">
        <f>IFERROR(INDEX('Level Multipliers'!$D:$D,MATCH(P26,'Level Multipliers'!$A:$A,0)),"")</f>
        <v>1.8155651132027117</v>
      </c>
      <c r="R26" s="37">
        <f t="shared" si="0"/>
        <v>8</v>
      </c>
      <c r="S26" s="37">
        <f t="shared" si="1"/>
        <v>8</v>
      </c>
      <c r="T26" s="38">
        <f t="shared" si="2"/>
        <v>78039935.918065652</v>
      </c>
      <c r="U26" s="38">
        <f t="shared" si="3"/>
        <v>78623410.043539047</v>
      </c>
      <c r="V26" s="38" t="b">
        <f t="shared" si="4"/>
        <v>0</v>
      </c>
      <c r="W26" s="37">
        <f t="array" ref="W26:AG26">IF(V26,"",IVSolution($M26,$N26,$O26,R26,S26,T26,U26,$E26,$F26,$G26,$H26,$I26))</f>
        <v>0</v>
      </c>
      <c r="X26" s="37" t="str">
        <v/>
      </c>
      <c r="Y26" s="37" t="str">
        <v/>
      </c>
      <c r="Z26" s="39" t="str">
        <v/>
      </c>
      <c r="AA26" s="39" t="str">
        <v/>
      </c>
      <c r="AB26" s="37" t="str">
        <v/>
      </c>
      <c r="AC26" s="37" t="str">
        <v/>
      </c>
      <c r="AD26" s="37" t="str">
        <v/>
      </c>
      <c r="AE26" s="37" t="str">
        <v/>
      </c>
      <c r="AF26" s="37" t="str">
        <v/>
      </c>
      <c r="AG26" s="37" t="str">
        <v/>
      </c>
      <c r="AH26" s="40">
        <f t="shared" si="5"/>
        <v>17.5</v>
      </c>
      <c r="AI26" s="36">
        <f>IFERROR(INDEX('Level Multipliers'!$D:$D,MATCH(AH26,'Level Multipliers'!$A:$A,0)),"")</f>
        <v>1.7894510926096343</v>
      </c>
      <c r="AJ26" s="37">
        <f t="shared" si="6"/>
        <v>6</v>
      </c>
      <c r="AK26" s="37">
        <f t="shared" si="7"/>
        <v>7</v>
      </c>
      <c r="AL26" s="38">
        <f t="shared" si="8"/>
        <v>73645958.842899472</v>
      </c>
      <c r="AM26" s="38">
        <f t="shared" si="9"/>
        <v>74196580.917674437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18</v>
      </c>
      <c r="BA26" s="36">
        <f>IFERROR(INDEX('Level Multipliers'!$D:$D,MATCH(AZ26,'Level Multipliers'!$A:$A,0)),"")</f>
        <v>1.7644323332558229</v>
      </c>
      <c r="BB26" s="37">
        <f t="shared" si="12"/>
        <v>5</v>
      </c>
      <c r="BC26" s="37">
        <f t="shared" si="13"/>
        <v>6</v>
      </c>
      <c r="BD26" s="38">
        <f t="shared" si="14"/>
        <v>69612882.721630678</v>
      </c>
      <c r="BE26" s="38">
        <f t="shared" si="15"/>
        <v>70133351.061204016</v>
      </c>
      <c r="BF26" s="38" t="b">
        <f t="shared" si="16"/>
        <v>0</v>
      </c>
      <c r="BG26" s="37">
        <f t="array" ref="BG26:BQ26">IF(BF26,"",IVSolution($M26,$N26,$O26,BB26,BC26,BD26,BE26,$E26,$F26,$G26,$H26,$I26))</f>
        <v>2</v>
      </c>
      <c r="BH26" s="37">
        <v>27</v>
      </c>
      <c r="BI26" s="37">
        <v>27</v>
      </c>
      <c r="BJ26" s="39">
        <v>0.6</v>
      </c>
      <c r="BK26" s="39">
        <v>0.6</v>
      </c>
      <c r="BL26" s="37">
        <v>5</v>
      </c>
      <c r="BM26" s="37">
        <v>6</v>
      </c>
      <c r="BN26" s="37">
        <v>14</v>
      </c>
      <c r="BO26" s="37">
        <v>14</v>
      </c>
      <c r="BP26" s="37">
        <v>7</v>
      </c>
      <c r="BQ26" s="37">
        <v>8</v>
      </c>
      <c r="BR26" s="40">
        <f t="shared" si="17"/>
        <v>18.5</v>
      </c>
      <c r="BS26" s="36">
        <f>IFERROR(INDEX('Level Multipliers'!$D:$D,MATCH(BR26,'Level Multipliers'!$A:$A,0)),"")</f>
        <v>1.7404346161581328</v>
      </c>
      <c r="BT26" s="37">
        <f t="shared" si="18"/>
        <v>4</v>
      </c>
      <c r="BU26" s="37">
        <f t="shared" si="19"/>
        <v>5</v>
      </c>
      <c r="BV26" s="38">
        <f t="shared" si="20"/>
        <v>65902279.737176582</v>
      </c>
      <c r="BW26" s="38">
        <f t="shared" si="21"/>
        <v>66395005.347263239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18</v>
      </c>
      <c r="CK26" s="41">
        <f t="shared" si="24"/>
        <v>18</v>
      </c>
      <c r="CL26" s="66">
        <f t="shared" si="25"/>
        <v>0.6</v>
      </c>
      <c r="CM26" s="39">
        <f t="shared" si="26"/>
        <v>0.6</v>
      </c>
      <c r="CN26" s="39">
        <f t="shared" si="27"/>
        <v>0.6</v>
      </c>
      <c r="CO26" s="42">
        <f t="shared" si="28"/>
        <v>5</v>
      </c>
      <c r="CP26" s="42">
        <f t="shared" si="29"/>
        <v>6</v>
      </c>
      <c r="CQ26" s="42">
        <f t="shared" si="30"/>
        <v>14</v>
      </c>
      <c r="CR26" s="42">
        <f t="shared" si="31"/>
        <v>14</v>
      </c>
      <c r="CS26" s="42">
        <f t="shared" si="32"/>
        <v>7</v>
      </c>
      <c r="CT26" s="42">
        <f t="shared" si="33"/>
        <v>8</v>
      </c>
      <c r="CU26" s="43" t="str">
        <f t="shared" si="34"/>
        <v>5-6</v>
      </c>
      <c r="CV26" s="43">
        <f t="shared" si="35"/>
        <v>14</v>
      </c>
      <c r="CW26" s="43" t="str">
        <f t="shared" si="36"/>
        <v>7-8</v>
      </c>
      <c r="CX26" s="13" t="s">
        <v>397</v>
      </c>
    </row>
    <row r="27" spans="1:102" x14ac:dyDescent="0.25">
      <c r="A27" s="31" t="s">
        <v>40</v>
      </c>
      <c r="B27" s="13">
        <v>226</v>
      </c>
      <c r="C27" s="13">
        <v>48</v>
      </c>
      <c r="D27" s="13">
        <v>19</v>
      </c>
      <c r="E27" s="32" t="s">
        <v>3</v>
      </c>
      <c r="F27" s="32"/>
      <c r="G27" s="32"/>
      <c r="H27" s="32">
        <v>1</v>
      </c>
      <c r="I27" s="32" t="s">
        <v>0</v>
      </c>
      <c r="J27" s="13"/>
      <c r="K27" s="33"/>
      <c r="L27" s="34">
        <f>IFERROR(INDEX('Pokemon Data'!A:A,MATCH($A27,'Pokemon Data'!$B:$B,0)),"")</f>
        <v>16</v>
      </c>
      <c r="M27" s="34">
        <f>IFERROR(INDEX('Pokemon Data'!I:I,MATCH($A27,'Pokemon Data'!$B:$B,0)),"")</f>
        <v>80</v>
      </c>
      <c r="N27" s="34">
        <f>IFERROR(INDEX('Pokemon Data'!J:J,MATCH($A27,'Pokemon Data'!$B:$B,0)),"")</f>
        <v>85</v>
      </c>
      <c r="O27" s="34">
        <f>IFERROR(INDEX('Pokemon Data'!K:K,MATCH($A27,'Pokemon Data'!$B:$B,0)),"")</f>
        <v>76</v>
      </c>
      <c r="P27" s="35">
        <f>IFERROR(INDEX('Level Multipliers'!$A:$A,MATCH($D27,'Level Multipliers'!$B:$B,0)),"")</f>
        <v>15</v>
      </c>
      <c r="Q27" s="36">
        <f>IFERROR(INDEX('Level Multipliers'!$D:$D,MATCH(P27,'Level Multipliers'!$A:$A,0)),"")</f>
        <v>1.9327632386874845</v>
      </c>
      <c r="R27" s="37">
        <f t="shared" si="0"/>
        <v>13</v>
      </c>
      <c r="S27" s="37">
        <f t="shared" si="1"/>
        <v>14</v>
      </c>
      <c r="T27" s="38">
        <f t="shared" si="2"/>
        <v>71274061.11517325</v>
      </c>
      <c r="U27" s="38">
        <f t="shared" si="3"/>
        <v>71906200.469961673</v>
      </c>
      <c r="V27" s="38" t="b">
        <f t="shared" si="4"/>
        <v>0</v>
      </c>
      <c r="W27" s="37">
        <f t="array" ref="W27:AG27">IF(V27,"",IVSolution($M27,$N27,$O27,R27,S27,T27,U27,$E27,$F27,$G27,$H27,$I27))</f>
        <v>0</v>
      </c>
      <c r="X27" s="37" t="str">
        <v/>
      </c>
      <c r="Y27" s="37" t="str">
        <v/>
      </c>
      <c r="Z27" s="39" t="str">
        <v/>
      </c>
      <c r="AA27" s="39" t="str">
        <v/>
      </c>
      <c r="AB27" s="37" t="str">
        <v/>
      </c>
      <c r="AC27" s="37" t="str">
        <v/>
      </c>
      <c r="AD27" s="37" t="str">
        <v/>
      </c>
      <c r="AE27" s="37" t="str">
        <v/>
      </c>
      <c r="AF27" s="37" t="str">
        <v/>
      </c>
      <c r="AG27" s="37" t="str">
        <v/>
      </c>
      <c r="AH27" s="40">
        <f t="shared" si="5"/>
        <v>15.5</v>
      </c>
      <c r="AI27" s="36">
        <f>IFERROR(INDEX('Level Multipliers'!$D:$D,MATCH(AH27,'Level Multipliers'!$A:$A,0)),"")</f>
        <v>1.9013484732050823</v>
      </c>
      <c r="AJ27" s="37">
        <f t="shared" si="6"/>
        <v>12</v>
      </c>
      <c r="AK27" s="37">
        <f t="shared" si="7"/>
        <v>13</v>
      </c>
      <c r="AL27" s="38">
        <f t="shared" si="8"/>
        <v>66751919.624058448</v>
      </c>
      <c r="AM27" s="38">
        <f t="shared" si="9"/>
        <v>67343951.490095302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16</v>
      </c>
      <c r="BA27" s="36">
        <f>IFERROR(INDEX('Level Multipliers'!$D:$D,MATCH(AZ27,'Level Multipliers'!$A:$A,0)),"")</f>
        <v>1.8714174200985207</v>
      </c>
      <c r="BB27" s="37">
        <f t="shared" si="12"/>
        <v>10</v>
      </c>
      <c r="BC27" s="37">
        <f t="shared" si="13"/>
        <v>11</v>
      </c>
      <c r="BD27" s="38">
        <f t="shared" si="14"/>
        <v>62646894.820842728</v>
      </c>
      <c r="BE27" s="38">
        <f t="shared" si="15"/>
        <v>63202518.662839785</v>
      </c>
      <c r="BF27" s="38" t="b">
        <f t="shared" si="16"/>
        <v>0</v>
      </c>
      <c r="BG27" s="37">
        <f t="array" ref="BG27:BQ27">IF(BF27,"",IVSolution($M27,$N27,$O27,BB27,BC27,BD27,BE27,$E27,$F27,$G27,$H27,$I27))</f>
        <v>1</v>
      </c>
      <c r="BH27" s="37">
        <v>28</v>
      </c>
      <c r="BI27" s="37">
        <v>28</v>
      </c>
      <c r="BJ27" s="39">
        <v>0.62222222222222223</v>
      </c>
      <c r="BK27" s="39">
        <v>0.62222222222222223</v>
      </c>
      <c r="BL27" s="37">
        <v>11</v>
      </c>
      <c r="BM27" s="37">
        <v>11</v>
      </c>
      <c r="BN27" s="37">
        <v>2</v>
      </c>
      <c r="BO27" s="37">
        <v>2</v>
      </c>
      <c r="BP27" s="37">
        <v>15</v>
      </c>
      <c r="BQ27" s="37">
        <v>15</v>
      </c>
      <c r="BR27" s="40">
        <f t="shared" si="17"/>
        <v>16.5</v>
      </c>
      <c r="BS27" s="36">
        <f>IFERROR(INDEX('Level Multipliers'!$D:$D,MATCH(BR27,'Level Multipliers'!$A:$A,0)),"")</f>
        <v>1.8428568206029767</v>
      </c>
      <c r="BT27" s="37">
        <f t="shared" si="18"/>
        <v>9</v>
      </c>
      <c r="BU27" s="37">
        <f t="shared" si="19"/>
        <v>10</v>
      </c>
      <c r="BV27" s="38">
        <f t="shared" si="20"/>
        <v>58909217.728557467</v>
      </c>
      <c r="BW27" s="38">
        <f t="shared" si="21"/>
        <v>59431691.603391759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16</v>
      </c>
      <c r="CK27" s="41">
        <f t="shared" si="24"/>
        <v>16</v>
      </c>
      <c r="CL27" s="66">
        <f t="shared" si="25"/>
        <v>0.62222222222222223</v>
      </c>
      <c r="CM27" s="39">
        <f t="shared" si="26"/>
        <v>0.62222222222222223</v>
      </c>
      <c r="CN27" s="39">
        <f t="shared" si="27"/>
        <v>0.62222222222222223</v>
      </c>
      <c r="CO27" s="42">
        <f t="shared" si="28"/>
        <v>11</v>
      </c>
      <c r="CP27" s="42">
        <f t="shared" si="29"/>
        <v>11</v>
      </c>
      <c r="CQ27" s="42">
        <f t="shared" si="30"/>
        <v>2</v>
      </c>
      <c r="CR27" s="42">
        <f t="shared" si="31"/>
        <v>2</v>
      </c>
      <c r="CS27" s="42">
        <f t="shared" si="32"/>
        <v>15</v>
      </c>
      <c r="CT27" s="42">
        <f t="shared" si="33"/>
        <v>15</v>
      </c>
      <c r="CU27" s="43">
        <f t="shared" si="34"/>
        <v>11</v>
      </c>
      <c r="CV27" s="43">
        <f t="shared" si="35"/>
        <v>2</v>
      </c>
      <c r="CW27" s="43">
        <f t="shared" si="36"/>
        <v>15</v>
      </c>
      <c r="CX27" s="13" t="s">
        <v>397</v>
      </c>
    </row>
    <row r="28" spans="1:102" x14ac:dyDescent="0.25">
      <c r="A28" s="31" t="s">
        <v>40</v>
      </c>
      <c r="B28" s="13">
        <v>222</v>
      </c>
      <c r="C28" s="13">
        <v>46</v>
      </c>
      <c r="D28" s="13">
        <v>19</v>
      </c>
      <c r="E28" s="32"/>
      <c r="F28" s="32"/>
      <c r="G28" s="32"/>
      <c r="H28" s="32"/>
      <c r="I28" s="32"/>
      <c r="J28" s="13"/>
      <c r="K28" s="33">
        <v>15</v>
      </c>
      <c r="L28" s="34">
        <f>IFERROR(INDEX('Pokemon Data'!A:A,MATCH($A28,'Pokemon Data'!$B:$B,0)),"")</f>
        <v>16</v>
      </c>
      <c r="M28" s="34">
        <f>IFERROR(INDEX('Pokemon Data'!I:I,MATCH($A28,'Pokemon Data'!$B:$B,0)),"")</f>
        <v>80</v>
      </c>
      <c r="N28" s="34">
        <f>IFERROR(INDEX('Pokemon Data'!J:J,MATCH($A28,'Pokemon Data'!$B:$B,0)),"")</f>
        <v>85</v>
      </c>
      <c r="O28" s="34">
        <f>IFERROR(INDEX('Pokemon Data'!K:K,MATCH($A28,'Pokemon Data'!$B:$B,0)),"")</f>
        <v>76</v>
      </c>
      <c r="P28" s="35">
        <f>IFERROR(INDEX('Level Multipliers'!$A:$A,MATCH($D28,'Level Multipliers'!$B:$B,0)),"")</f>
        <v>15</v>
      </c>
      <c r="Q28" s="36">
        <f>IFERROR(INDEX('Level Multipliers'!$D:$D,MATCH(P28,'Level Multipliers'!$A:$A,0)),"")</f>
        <v>1.9327632386874845</v>
      </c>
      <c r="R28" s="37">
        <f t="shared" si="0"/>
        <v>9</v>
      </c>
      <c r="S28" s="37">
        <f t="shared" si="1"/>
        <v>10</v>
      </c>
      <c r="T28" s="38">
        <f t="shared" si="2"/>
        <v>68773412.71830602</v>
      </c>
      <c r="U28" s="38">
        <f t="shared" si="3"/>
        <v>69394388.464179859</v>
      </c>
      <c r="V28" s="38" t="b">
        <f t="shared" si="4"/>
        <v>0</v>
      </c>
      <c r="W28" s="37">
        <f t="array" ref="W28:AG28">IF(V28,"",IVSolution($M28,$N28,$O28,R28,S28,T28,U28,$E28,$F28,$G28,$H28,$I28))</f>
        <v>14</v>
      </c>
      <c r="X28" s="37">
        <v>26</v>
      </c>
      <c r="Y28" s="37">
        <v>32</v>
      </c>
      <c r="Z28" s="39">
        <v>0.57777777777777772</v>
      </c>
      <c r="AA28" s="39">
        <v>0.71111111111111114</v>
      </c>
      <c r="AB28" s="37">
        <v>9</v>
      </c>
      <c r="AC28" s="37">
        <v>10</v>
      </c>
      <c r="AD28" s="37">
        <v>7</v>
      </c>
      <c r="AE28" s="37">
        <v>15</v>
      </c>
      <c r="AF28" s="37">
        <v>1</v>
      </c>
      <c r="AG28" s="37">
        <v>15</v>
      </c>
      <c r="AH28" s="40">
        <f t="shared" si="5"/>
        <v>15.5</v>
      </c>
      <c r="AI28" s="36">
        <f>IFERROR(INDEX('Level Multipliers'!$D:$D,MATCH(AH28,'Level Multipliers'!$A:$A,0)),"")</f>
        <v>1.9013484732050823</v>
      </c>
      <c r="AJ28" s="37">
        <f t="shared" si="6"/>
        <v>8</v>
      </c>
      <c r="AK28" s="37">
        <f t="shared" si="7"/>
        <v>9</v>
      </c>
      <c r="AL28" s="38">
        <f t="shared" si="8"/>
        <v>64409930.432142235</v>
      </c>
      <c r="AM28" s="38">
        <f t="shared" si="9"/>
        <v>64991506.989286609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16</v>
      </c>
      <c r="BA28" s="36">
        <f>IFERROR(INDEX('Level Multipliers'!$D:$D,MATCH(AZ28,'Level Multipliers'!$A:$A,0)),"")</f>
        <v>1.8714174200985207</v>
      </c>
      <c r="BB28" s="37">
        <f t="shared" si="12"/>
        <v>7</v>
      </c>
      <c r="BC28" s="37">
        <f t="shared" si="13"/>
        <v>7</v>
      </c>
      <c r="BD28" s="38">
        <f t="shared" si="14"/>
        <v>60448930.306805797</v>
      </c>
      <c r="BE28" s="38">
        <f t="shared" si="15"/>
        <v>60994741.807222337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16.5</v>
      </c>
      <c r="BS28" s="36">
        <f>IFERROR(INDEX('Level Multipliers'!$D:$D,MATCH(BR28,'Level Multipliers'!$A:$A,0)),"")</f>
        <v>1.8428568206029767</v>
      </c>
      <c r="BT28" s="37">
        <f t="shared" si="18"/>
        <v>5</v>
      </c>
      <c r="BU28" s="37">
        <f t="shared" si="19"/>
        <v>6</v>
      </c>
      <c r="BV28" s="38">
        <f t="shared" si="20"/>
        <v>56842389.508462414</v>
      </c>
      <c r="BW28" s="38">
        <f t="shared" si="21"/>
        <v>57355636.471599855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15</v>
      </c>
      <c r="CK28" s="41">
        <f t="shared" si="24"/>
        <v>15</v>
      </c>
      <c r="CL28" s="66">
        <f t="shared" si="25"/>
        <v>0.64444444444444438</v>
      </c>
      <c r="CM28" s="39">
        <f t="shared" si="26"/>
        <v>0.57777777777777772</v>
      </c>
      <c r="CN28" s="39">
        <f t="shared" si="27"/>
        <v>0.71111111111111114</v>
      </c>
      <c r="CO28" s="42">
        <f t="shared" si="28"/>
        <v>9</v>
      </c>
      <c r="CP28" s="42">
        <f t="shared" si="29"/>
        <v>10</v>
      </c>
      <c r="CQ28" s="42">
        <f t="shared" si="30"/>
        <v>7</v>
      </c>
      <c r="CR28" s="42">
        <f t="shared" si="31"/>
        <v>15</v>
      </c>
      <c r="CS28" s="42">
        <f t="shared" si="32"/>
        <v>1</v>
      </c>
      <c r="CT28" s="42">
        <f t="shared" si="33"/>
        <v>15</v>
      </c>
      <c r="CU28" s="43" t="str">
        <f t="shared" si="34"/>
        <v>9-10</v>
      </c>
      <c r="CV28" s="43" t="str">
        <f t="shared" si="35"/>
        <v>7-15</v>
      </c>
      <c r="CW28" s="43" t="str">
        <f t="shared" si="36"/>
        <v>1-15</v>
      </c>
      <c r="CX28" s="13" t="s">
        <v>397</v>
      </c>
    </row>
    <row r="29" spans="1:102" x14ac:dyDescent="0.25">
      <c r="A29" s="31" t="s">
        <v>40</v>
      </c>
      <c r="B29" s="13">
        <v>176</v>
      </c>
      <c r="C29" s="13">
        <v>43</v>
      </c>
      <c r="D29" s="13">
        <v>13</v>
      </c>
      <c r="E29" s="32" t="s">
        <v>3</v>
      </c>
      <c r="F29" s="32">
        <v>1</v>
      </c>
      <c r="G29" s="32">
        <v>1</v>
      </c>
      <c r="H29" s="32"/>
      <c r="I29" s="32" t="s">
        <v>2</v>
      </c>
      <c r="J29" s="13"/>
      <c r="K29" s="33"/>
      <c r="L29" s="34">
        <f>IFERROR(INDEX('Pokemon Data'!A:A,MATCH($A29,'Pokemon Data'!$B:$B,0)),"")</f>
        <v>16</v>
      </c>
      <c r="M29" s="34">
        <f>IFERROR(INDEX('Pokemon Data'!I:I,MATCH($A29,'Pokemon Data'!$B:$B,0)),"")</f>
        <v>80</v>
      </c>
      <c r="N29" s="34">
        <f>IFERROR(INDEX('Pokemon Data'!J:J,MATCH($A29,'Pokemon Data'!$B:$B,0)),"")</f>
        <v>85</v>
      </c>
      <c r="O29" s="34">
        <f>IFERROR(INDEX('Pokemon Data'!K:K,MATCH($A29,'Pokemon Data'!$B:$B,0)),"")</f>
        <v>76</v>
      </c>
      <c r="P29" s="35">
        <f>IFERROR(INDEX('Level Multipliers'!$A:$A,MATCH($D29,'Level Multipliers'!$B:$B,0)),"")</f>
        <v>11</v>
      </c>
      <c r="Q29" s="36">
        <f>IFERROR(INDEX('Level Multipliers'!$D:$D,MATCH(P29,'Level Multipliers'!$A:$A,0)),"")</f>
        <v>2.2567884714123854</v>
      </c>
      <c r="R29" s="37">
        <f t="shared" si="0"/>
        <v>18</v>
      </c>
      <c r="S29" s="37">
        <f t="shared" si="1"/>
        <v>15</v>
      </c>
      <c r="T29" s="38">
        <f t="shared" si="2"/>
        <v>80350531.531049266</v>
      </c>
      <c r="U29" s="38">
        <f t="shared" si="3"/>
        <v>81266199.713850796</v>
      </c>
      <c r="V29" s="38" t="b">
        <f t="shared" si="4"/>
        <v>1</v>
      </c>
      <c r="W29" s="37" t="str">
        <f t="array" ref="W29:AG29">IF(V29,"",IVSolution($M29,$N29,$O29,R29,S29,T29,U29,$E29,$F29,$G29,$H29,$I29))</f>
        <v/>
      </c>
      <c r="X29" s="37" t="str">
        <v/>
      </c>
      <c r="Y29" s="37" t="str">
        <v/>
      </c>
      <c r="Z29" s="39" t="str">
        <v/>
      </c>
      <c r="AA29" s="39" t="str">
        <v/>
      </c>
      <c r="AB29" s="37" t="str">
        <v/>
      </c>
      <c r="AC29" s="37" t="str">
        <v/>
      </c>
      <c r="AD29" s="37" t="str">
        <v/>
      </c>
      <c r="AE29" s="37" t="str">
        <v/>
      </c>
      <c r="AF29" s="37" t="str">
        <v/>
      </c>
      <c r="AG29" s="37" t="str">
        <v/>
      </c>
      <c r="AH29" s="40">
        <f t="shared" si="5"/>
        <v>11.5</v>
      </c>
      <c r="AI29" s="36">
        <f>IFERROR(INDEX('Level Multipliers'!$D:$D,MATCH(AH29,'Level Multipliers'!$A:$A,0)),"")</f>
        <v>2.2072134251772386</v>
      </c>
      <c r="AJ29" s="37">
        <f t="shared" si="6"/>
        <v>15</v>
      </c>
      <c r="AK29" s="37">
        <f t="shared" si="7"/>
        <v>15</v>
      </c>
      <c r="AL29" s="38">
        <f t="shared" si="8"/>
        <v>73519518.111126021</v>
      </c>
      <c r="AM29" s="38">
        <f t="shared" si="9"/>
        <v>74357340.615427017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12</v>
      </c>
      <c r="BA29" s="36">
        <f>IFERROR(INDEX('Level Multipliers'!$D:$D,MATCH(AZ29,'Level Multipliers'!$A:$A,0)),"")</f>
        <v>2.1607681195435338</v>
      </c>
      <c r="BB29" s="37">
        <f t="shared" si="12"/>
        <v>13</v>
      </c>
      <c r="BC29" s="37">
        <f t="shared" si="13"/>
        <v>15</v>
      </c>
      <c r="BD29" s="38">
        <f t="shared" si="14"/>
        <v>67523973.35409829</v>
      </c>
      <c r="BE29" s="38">
        <f t="shared" si="15"/>
        <v>68293471.113460273</v>
      </c>
      <c r="BF29" s="38" t="b">
        <f t="shared" si="16"/>
        <v>0</v>
      </c>
      <c r="BG29" s="37">
        <f t="array" ref="BG29:BQ29">IF(BF29,"",IVSolution($M29,$N29,$O29,BB29,BC29,BD29,BE29,$E29,$F29,$G29,$H29,$I29))</f>
        <v>1</v>
      </c>
      <c r="BH29" s="37">
        <v>26</v>
      </c>
      <c r="BI29" s="37">
        <v>26</v>
      </c>
      <c r="BJ29" s="39">
        <v>0.57777777777777772</v>
      </c>
      <c r="BK29" s="39">
        <v>0.57777777777777772</v>
      </c>
      <c r="BL29" s="37">
        <v>13</v>
      </c>
      <c r="BM29" s="37">
        <v>13</v>
      </c>
      <c r="BN29" s="37">
        <v>13</v>
      </c>
      <c r="BO29" s="37">
        <v>13</v>
      </c>
      <c r="BP29" s="37">
        <v>0</v>
      </c>
      <c r="BQ29" s="37">
        <v>0</v>
      </c>
      <c r="BR29" s="40">
        <f t="shared" si="17"/>
        <v>12.5</v>
      </c>
      <c r="BS29" s="36">
        <f>IFERROR(INDEX('Level Multipliers'!$D:$D,MATCH(BR29,'Level Multipliers'!$A:$A,0)),"")</f>
        <v>2.1171365709672214</v>
      </c>
      <c r="BT29" s="37">
        <f t="shared" si="18"/>
        <v>12</v>
      </c>
      <c r="BU29" s="37">
        <f t="shared" si="19"/>
        <v>13</v>
      </c>
      <c r="BV29" s="38">
        <f t="shared" si="20"/>
        <v>62233013.625236638</v>
      </c>
      <c r="BW29" s="38">
        <f t="shared" si="21"/>
        <v>62942216.033866175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12</v>
      </c>
      <c r="CK29" s="41">
        <f t="shared" si="24"/>
        <v>12</v>
      </c>
      <c r="CL29" s="66">
        <f t="shared" si="25"/>
        <v>0.57777777777777772</v>
      </c>
      <c r="CM29" s="39">
        <f t="shared" si="26"/>
        <v>0.57777777777777772</v>
      </c>
      <c r="CN29" s="39">
        <f t="shared" si="27"/>
        <v>0.57777777777777772</v>
      </c>
      <c r="CO29" s="42">
        <f t="shared" si="28"/>
        <v>13</v>
      </c>
      <c r="CP29" s="42">
        <f t="shared" si="29"/>
        <v>13</v>
      </c>
      <c r="CQ29" s="42">
        <f t="shared" si="30"/>
        <v>13</v>
      </c>
      <c r="CR29" s="42">
        <f t="shared" si="31"/>
        <v>13</v>
      </c>
      <c r="CS29" s="42">
        <f t="shared" si="32"/>
        <v>0</v>
      </c>
      <c r="CT29" s="42">
        <f t="shared" si="33"/>
        <v>0</v>
      </c>
      <c r="CU29" s="43">
        <f t="shared" si="34"/>
        <v>13</v>
      </c>
      <c r="CV29" s="43">
        <f t="shared" si="35"/>
        <v>13</v>
      </c>
      <c r="CW29" s="43">
        <f t="shared" si="36"/>
        <v>0</v>
      </c>
      <c r="CX29" s="13" t="s">
        <v>397</v>
      </c>
    </row>
    <row r="30" spans="1:102" x14ac:dyDescent="0.25">
      <c r="A30" s="31" t="s">
        <v>40</v>
      </c>
      <c r="B30" s="13">
        <v>152</v>
      </c>
      <c r="C30" s="13">
        <v>39</v>
      </c>
      <c r="D30" s="13">
        <v>13</v>
      </c>
      <c r="E30" s="32" t="s">
        <v>3</v>
      </c>
      <c r="F30" s="32"/>
      <c r="G30" s="32"/>
      <c r="H30" s="32">
        <v>1</v>
      </c>
      <c r="I30" s="32" t="s">
        <v>0</v>
      </c>
      <c r="J30" s="13"/>
      <c r="K30" s="33"/>
      <c r="L30" s="34">
        <f>IFERROR(INDEX('Pokemon Data'!A:A,MATCH($A30,'Pokemon Data'!$B:$B,0)),"")</f>
        <v>16</v>
      </c>
      <c r="M30" s="34">
        <f>IFERROR(INDEX('Pokemon Data'!I:I,MATCH($A30,'Pokemon Data'!$B:$B,0)),"")</f>
        <v>80</v>
      </c>
      <c r="N30" s="34">
        <f>IFERROR(INDEX('Pokemon Data'!J:J,MATCH($A30,'Pokemon Data'!$B:$B,0)),"")</f>
        <v>85</v>
      </c>
      <c r="O30" s="34">
        <f>IFERROR(INDEX('Pokemon Data'!K:K,MATCH($A30,'Pokemon Data'!$B:$B,0)),"")</f>
        <v>76</v>
      </c>
      <c r="P30" s="35">
        <f>IFERROR(INDEX('Level Multipliers'!$A:$A,MATCH($D30,'Level Multipliers'!$B:$B,0)),"")</f>
        <v>11</v>
      </c>
      <c r="Q30" s="36">
        <f>IFERROR(INDEX('Level Multipliers'!$D:$D,MATCH(P30,'Level Multipliers'!$A:$A,0)),"")</f>
        <v>2.2567884714123854</v>
      </c>
      <c r="R30" s="37">
        <f t="shared" si="0"/>
        <v>9</v>
      </c>
      <c r="S30" s="37">
        <f t="shared" si="1"/>
        <v>10</v>
      </c>
      <c r="T30" s="38">
        <f t="shared" si="2"/>
        <v>59930871.658489227</v>
      </c>
      <c r="U30" s="38">
        <f t="shared" si="3"/>
        <v>60722029.720116615</v>
      </c>
      <c r="V30" s="38" t="b">
        <f t="shared" si="4"/>
        <v>0</v>
      </c>
      <c r="W30" s="37">
        <f t="array" ref="W30:AG30">IF(V30,"",IVSolution($M30,$N30,$O30,R30,S30,T30,U30,$E30,$F30,$G30,$H30,$I30))</f>
        <v>1</v>
      </c>
      <c r="X30" s="37">
        <v>26</v>
      </c>
      <c r="Y30" s="37">
        <v>26</v>
      </c>
      <c r="Z30" s="39">
        <v>0.57777777777777772</v>
      </c>
      <c r="AA30" s="39">
        <v>0.57777777777777772</v>
      </c>
      <c r="AB30" s="37">
        <v>10</v>
      </c>
      <c r="AC30" s="37">
        <v>10</v>
      </c>
      <c r="AD30" s="37">
        <v>1</v>
      </c>
      <c r="AE30" s="37">
        <v>1</v>
      </c>
      <c r="AF30" s="37">
        <v>15</v>
      </c>
      <c r="AG30" s="37">
        <v>15</v>
      </c>
      <c r="AH30" s="40">
        <f t="shared" si="5"/>
        <v>11.5</v>
      </c>
      <c r="AI30" s="36">
        <f>IFERROR(INDEX('Level Multipliers'!$D:$D,MATCH(AH30,'Level Multipliers'!$A:$A,0)),"")</f>
        <v>2.2072134251772386</v>
      </c>
      <c r="AJ30" s="37">
        <f t="shared" si="6"/>
        <v>7</v>
      </c>
      <c r="AK30" s="37">
        <f t="shared" si="7"/>
        <v>8</v>
      </c>
      <c r="AL30" s="38">
        <f t="shared" si="8"/>
        <v>54835838.921728291</v>
      </c>
      <c r="AM30" s="38">
        <f t="shared" si="9"/>
        <v>55559736.552923203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12</v>
      </c>
      <c r="BA30" s="36">
        <f>IFERROR(INDEX('Level Multipliers'!$D:$D,MATCH(AZ30,'Level Multipliers'!$A:$A,0)),"")</f>
        <v>2.1607681195435338</v>
      </c>
      <c r="BB30" s="37">
        <f t="shared" si="12"/>
        <v>5</v>
      </c>
      <c r="BC30" s="37">
        <f t="shared" si="13"/>
        <v>6</v>
      </c>
      <c r="BD30" s="38">
        <f t="shared" si="14"/>
        <v>50363955.332292326</v>
      </c>
      <c r="BE30" s="38">
        <f t="shared" si="15"/>
        <v>51028818.835423782</v>
      </c>
      <c r="BF30" s="38" t="b">
        <f t="shared" si="16"/>
        <v>0</v>
      </c>
      <c r="BG30" s="37">
        <f t="array" ref="BG30:BQ30">IF(BF30,"",IVSolution($M30,$N30,$O30,BB30,BC30,BD30,BE30,$E30,$F30,$G30,$H30,$I30))</f>
        <v>0</v>
      </c>
      <c r="BH30" s="37" t="str">
        <v/>
      </c>
      <c r="BI30" s="37" t="str">
        <v/>
      </c>
      <c r="BJ30" s="39" t="str">
        <v/>
      </c>
      <c r="BK30" s="39" t="str">
        <v/>
      </c>
      <c r="BL30" s="37" t="str">
        <v/>
      </c>
      <c r="BM30" s="37" t="str">
        <v/>
      </c>
      <c r="BN30" s="37" t="str">
        <v/>
      </c>
      <c r="BO30" s="37" t="str">
        <v/>
      </c>
      <c r="BP30" s="37" t="str">
        <v/>
      </c>
      <c r="BQ30" s="37" t="str">
        <v/>
      </c>
      <c r="BR30" s="40">
        <f t="shared" si="17"/>
        <v>12.5</v>
      </c>
      <c r="BS30" s="36">
        <f>IFERROR(INDEX('Level Multipliers'!$D:$D,MATCH(BR30,'Level Multipliers'!$A:$A,0)),"")</f>
        <v>2.1171365709672214</v>
      </c>
      <c r="BT30" s="37">
        <f t="shared" si="18"/>
        <v>3</v>
      </c>
      <c r="BU30" s="37">
        <f t="shared" si="19"/>
        <v>4</v>
      </c>
      <c r="BV30" s="38">
        <f t="shared" si="20"/>
        <v>46417599.005600058</v>
      </c>
      <c r="BW30" s="38">
        <f t="shared" si="21"/>
        <v>47030365.959231809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11</v>
      </c>
      <c r="CK30" s="41">
        <f t="shared" si="24"/>
        <v>11</v>
      </c>
      <c r="CL30" s="66">
        <f t="shared" si="25"/>
        <v>0.57777777777777772</v>
      </c>
      <c r="CM30" s="39">
        <f t="shared" si="26"/>
        <v>0.57777777777777772</v>
      </c>
      <c r="CN30" s="39">
        <f t="shared" si="27"/>
        <v>0.57777777777777772</v>
      </c>
      <c r="CO30" s="42">
        <f t="shared" si="28"/>
        <v>10</v>
      </c>
      <c r="CP30" s="42">
        <f t="shared" si="29"/>
        <v>10</v>
      </c>
      <c r="CQ30" s="42">
        <f t="shared" si="30"/>
        <v>1</v>
      </c>
      <c r="CR30" s="42">
        <f t="shared" si="31"/>
        <v>1</v>
      </c>
      <c r="CS30" s="42">
        <f t="shared" si="32"/>
        <v>15</v>
      </c>
      <c r="CT30" s="42">
        <f t="shared" si="33"/>
        <v>15</v>
      </c>
      <c r="CU30" s="43">
        <f t="shared" si="34"/>
        <v>10</v>
      </c>
      <c r="CV30" s="43">
        <f t="shared" si="35"/>
        <v>1</v>
      </c>
      <c r="CW30" s="43">
        <f t="shared" si="36"/>
        <v>15</v>
      </c>
      <c r="CX30" s="13" t="s">
        <v>397</v>
      </c>
    </row>
    <row r="31" spans="1:102" x14ac:dyDescent="0.25">
      <c r="A31" s="31" t="s">
        <v>40</v>
      </c>
      <c r="B31" s="13">
        <v>147</v>
      </c>
      <c r="C31" s="13">
        <v>38</v>
      </c>
      <c r="D31" s="13">
        <v>10</v>
      </c>
      <c r="E31" s="32" t="s">
        <v>2</v>
      </c>
      <c r="F31" s="32">
        <v>1</v>
      </c>
      <c r="G31" s="32"/>
      <c r="H31" s="32">
        <v>1</v>
      </c>
      <c r="I31" s="32" t="s">
        <v>3</v>
      </c>
      <c r="J31" s="13"/>
      <c r="K31" s="33"/>
      <c r="L31" s="34">
        <f>IFERROR(INDEX('Pokemon Data'!A:A,MATCH($A31,'Pokemon Data'!$B:$B,0)),"")</f>
        <v>16</v>
      </c>
      <c r="M31" s="34">
        <f>IFERROR(INDEX('Pokemon Data'!I:I,MATCH($A31,'Pokemon Data'!$B:$B,0)),"")</f>
        <v>80</v>
      </c>
      <c r="N31" s="34">
        <f>IFERROR(INDEX('Pokemon Data'!J:J,MATCH($A31,'Pokemon Data'!$B:$B,0)),"")</f>
        <v>85</v>
      </c>
      <c r="O31" s="34">
        <f>IFERROR(INDEX('Pokemon Data'!K:K,MATCH($A31,'Pokemon Data'!$B:$B,0)),"")</f>
        <v>76</v>
      </c>
      <c r="P31" s="35">
        <f>IFERROR(INDEX('Level Multipliers'!$A:$A,MATCH($D31,'Level Multipliers'!$B:$B,0)),"")</f>
        <v>9</v>
      </c>
      <c r="Q31" s="36">
        <f>IFERROR(INDEX('Level Multipliers'!$D:$D,MATCH(P31,'Level Multipliers'!$A:$A,0)),"")</f>
        <v>2.5027074524512973</v>
      </c>
      <c r="R31" s="37">
        <f t="shared" si="0"/>
        <v>16</v>
      </c>
      <c r="S31" s="37">
        <f t="shared" si="1"/>
        <v>15</v>
      </c>
      <c r="T31" s="38">
        <f t="shared" si="2"/>
        <v>84776409.055701718</v>
      </c>
      <c r="U31" s="38">
        <f t="shared" si="3"/>
        <v>85933752.7861581</v>
      </c>
      <c r="V31" s="38" t="b">
        <f t="shared" si="4"/>
        <v>1</v>
      </c>
      <c r="W31" s="37" t="str">
        <f t="array" ref="W31:AG31">IF(V31,"",IVSolution($M31,$N31,$O31,R31,S31,T31,U31,$E31,$F31,$G31,$H31,$I31))</f>
        <v/>
      </c>
      <c r="X31" s="37" t="str">
        <v/>
      </c>
      <c r="Y31" s="37" t="str">
        <v/>
      </c>
      <c r="Z31" s="39" t="str">
        <v/>
      </c>
      <c r="AA31" s="39" t="str">
        <v/>
      </c>
      <c r="AB31" s="37" t="str">
        <v/>
      </c>
      <c r="AC31" s="37" t="str">
        <v/>
      </c>
      <c r="AD31" s="37" t="str">
        <v/>
      </c>
      <c r="AE31" s="37" t="str">
        <v/>
      </c>
      <c r="AF31" s="37" t="str">
        <v/>
      </c>
      <c r="AG31" s="37" t="str">
        <v/>
      </c>
      <c r="AH31" s="40">
        <f t="shared" si="5"/>
        <v>9.5</v>
      </c>
      <c r="AI31" s="36">
        <f>IFERROR(INDEX('Level Multipliers'!$D:$D,MATCH(AH31,'Level Multipliers'!$A:$A,0)),"")</f>
        <v>2.4319447427583007</v>
      </c>
      <c r="AJ31" s="37">
        <f t="shared" si="6"/>
        <v>13</v>
      </c>
      <c r="AK31" s="37">
        <f t="shared" si="7"/>
        <v>14</v>
      </c>
      <c r="AL31" s="38">
        <f t="shared" si="8"/>
        <v>75587412.903894499</v>
      </c>
      <c r="AM31" s="38">
        <f t="shared" si="9"/>
        <v>76619311.039238513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10</v>
      </c>
      <c r="BA31" s="36">
        <f>IFERROR(INDEX('Level Multipliers'!$D:$D,MATCH(AZ31,'Level Multipliers'!$A:$A,0)),"")</f>
        <v>2.366863825187552</v>
      </c>
      <c r="BB31" s="37">
        <f t="shared" si="12"/>
        <v>10</v>
      </c>
      <c r="BC31" s="37">
        <f t="shared" si="13"/>
        <v>12</v>
      </c>
      <c r="BD31" s="38">
        <f t="shared" si="14"/>
        <v>67815310.96457845</v>
      </c>
      <c r="BE31" s="38">
        <f t="shared" si="15"/>
        <v>68741106.546722487</v>
      </c>
      <c r="BF31" s="38" t="b">
        <f t="shared" si="16"/>
        <v>0</v>
      </c>
      <c r="BG31" s="37">
        <f t="array" ref="BG31:BQ31">IF(BF31,"",IVSolution($M31,$N31,$O31,BB31,BC31,BD31,BE31,$E31,$F31,$G31,$H31,$I31))</f>
        <v>2</v>
      </c>
      <c r="BH31" s="37">
        <v>30</v>
      </c>
      <c r="BI31" s="37">
        <v>31</v>
      </c>
      <c r="BJ31" s="39">
        <v>0.66666666666666663</v>
      </c>
      <c r="BK31" s="39">
        <v>0.68888888888888888</v>
      </c>
      <c r="BL31" s="37">
        <v>11</v>
      </c>
      <c r="BM31" s="37">
        <v>12</v>
      </c>
      <c r="BN31" s="37">
        <v>7</v>
      </c>
      <c r="BO31" s="37">
        <v>8</v>
      </c>
      <c r="BP31" s="37">
        <v>11</v>
      </c>
      <c r="BQ31" s="37">
        <v>12</v>
      </c>
      <c r="BR31" s="40">
        <f t="shared" si="17"/>
        <v>10.5</v>
      </c>
      <c r="BS31" s="36">
        <f>IFERROR(INDEX('Level Multipliers'!$D:$D,MATCH(BR31,'Level Multipliers'!$A:$A,0)),"")</f>
        <v>2.3098613358274029</v>
      </c>
      <c r="BT31" s="37">
        <f t="shared" si="18"/>
        <v>8</v>
      </c>
      <c r="BU31" s="37">
        <f t="shared" si="19"/>
        <v>10</v>
      </c>
      <c r="BV31" s="38">
        <f t="shared" si="20"/>
        <v>61514614.540566966</v>
      </c>
      <c r="BW31" s="38">
        <f t="shared" si="21"/>
        <v>62354394.784422182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10</v>
      </c>
      <c r="CK31" s="41">
        <f t="shared" si="24"/>
        <v>10</v>
      </c>
      <c r="CL31" s="66">
        <f t="shared" si="25"/>
        <v>0.67777777777777781</v>
      </c>
      <c r="CM31" s="39">
        <f t="shared" si="26"/>
        <v>0.66666666666666663</v>
      </c>
      <c r="CN31" s="39">
        <f t="shared" si="27"/>
        <v>0.68888888888888888</v>
      </c>
      <c r="CO31" s="42">
        <f t="shared" si="28"/>
        <v>11</v>
      </c>
      <c r="CP31" s="42">
        <f t="shared" si="29"/>
        <v>12</v>
      </c>
      <c r="CQ31" s="42">
        <f t="shared" si="30"/>
        <v>7</v>
      </c>
      <c r="CR31" s="42">
        <f t="shared" si="31"/>
        <v>8</v>
      </c>
      <c r="CS31" s="42">
        <f t="shared" si="32"/>
        <v>11</v>
      </c>
      <c r="CT31" s="42">
        <f t="shared" si="33"/>
        <v>12</v>
      </c>
      <c r="CU31" s="43" t="str">
        <f t="shared" si="34"/>
        <v>11-12</v>
      </c>
      <c r="CV31" s="43" t="str">
        <f t="shared" si="35"/>
        <v>7-8</v>
      </c>
      <c r="CW31" s="43" t="str">
        <f t="shared" si="36"/>
        <v>11-12</v>
      </c>
      <c r="CX31" s="13" t="s">
        <v>397</v>
      </c>
    </row>
    <row r="32" spans="1:102" x14ac:dyDescent="0.25">
      <c r="A32" s="31" t="s">
        <v>40</v>
      </c>
      <c r="B32" s="13">
        <v>116</v>
      </c>
      <c r="C32" s="13">
        <v>30</v>
      </c>
      <c r="D32" s="13">
        <v>8</v>
      </c>
      <c r="E32" s="32"/>
      <c r="F32" s="32"/>
      <c r="G32" s="32"/>
      <c r="H32" s="32"/>
      <c r="I32" s="32"/>
      <c r="J32" s="13"/>
      <c r="K32" s="33"/>
      <c r="L32" s="34">
        <f>IFERROR(INDEX('Pokemon Data'!A:A,MATCH($A32,'Pokemon Data'!$B:$B,0)),"")</f>
        <v>16</v>
      </c>
      <c r="M32" s="34">
        <f>IFERROR(INDEX('Pokemon Data'!I:I,MATCH($A32,'Pokemon Data'!$B:$B,0)),"")</f>
        <v>80</v>
      </c>
      <c r="N32" s="34">
        <f>IFERROR(INDEX('Pokemon Data'!J:J,MATCH($A32,'Pokemon Data'!$B:$B,0)),"")</f>
        <v>85</v>
      </c>
      <c r="O32" s="34">
        <f>IFERROR(INDEX('Pokemon Data'!K:K,MATCH($A32,'Pokemon Data'!$B:$B,0)),"")</f>
        <v>76</v>
      </c>
      <c r="P32" s="35">
        <f>IFERROR(INDEX('Level Multipliers'!$A:$A,MATCH($D32,'Level Multipliers'!$B:$B,0)),"")</f>
        <v>7</v>
      </c>
      <c r="Q32" s="36">
        <f>IFERROR(INDEX('Level Multipliers'!$D:$D,MATCH(P32,'Level Multipliers'!$A:$A,0)),"")</f>
        <v>2.8635844799030687</v>
      </c>
      <c r="R32" s="37">
        <f t="shared" si="0"/>
        <v>6</v>
      </c>
      <c r="S32" s="37">
        <f t="shared" si="1"/>
        <v>8</v>
      </c>
      <c r="T32" s="38">
        <f t="shared" si="2"/>
        <v>90480705.510476455</v>
      </c>
      <c r="U32" s="38">
        <f t="shared" si="3"/>
        <v>92047441.864812151</v>
      </c>
      <c r="V32" s="38" t="b">
        <f t="shared" si="4"/>
        <v>1</v>
      </c>
      <c r="W32" s="37" t="str">
        <f t="array" ref="W32:AG32">IF(V32,"",IVSolution($M32,$N32,$O32,R32,S32,T32,U32,$E32,$F32,$G32,$H32,$I32))</f>
        <v/>
      </c>
      <c r="X32" s="37" t="str">
        <v/>
      </c>
      <c r="Y32" s="37" t="str">
        <v/>
      </c>
      <c r="Z32" s="39" t="str">
        <v/>
      </c>
      <c r="AA32" s="39" t="str">
        <v/>
      </c>
      <c r="AB32" s="37" t="str">
        <v/>
      </c>
      <c r="AC32" s="37" t="str">
        <v/>
      </c>
      <c r="AD32" s="37" t="str">
        <v/>
      </c>
      <c r="AE32" s="37" t="str">
        <v/>
      </c>
      <c r="AF32" s="37" t="str">
        <v/>
      </c>
      <c r="AG32" s="37" t="str">
        <v/>
      </c>
      <c r="AH32" s="40">
        <f t="shared" si="5"/>
        <v>7.5</v>
      </c>
      <c r="AI32" s="36">
        <f>IFERROR(INDEX('Level Multipliers'!$D:$D,MATCH(AH32,'Level Multipliers'!$A:$A,0)),"")</f>
        <v>2.7589423510530713</v>
      </c>
      <c r="AJ32" s="37">
        <f t="shared" si="6"/>
        <v>3</v>
      </c>
      <c r="AK32" s="37">
        <f t="shared" si="7"/>
        <v>5</v>
      </c>
      <c r="AL32" s="38">
        <f t="shared" si="8"/>
        <v>77962630.117246926</v>
      </c>
      <c r="AM32" s="38">
        <f t="shared" si="9"/>
        <v>79312607.288569659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8</v>
      </c>
      <c r="BA32" s="36">
        <f>IFERROR(INDEX('Level Multipliers'!$D:$D,MATCH(AZ32,'Level Multipliers'!$A:$A,0)),"")</f>
        <v>2.6649924305944541</v>
      </c>
      <c r="BB32" s="37">
        <f t="shared" si="12"/>
        <v>0</v>
      </c>
      <c r="BC32" s="37">
        <f t="shared" si="13"/>
        <v>2</v>
      </c>
      <c r="BD32" s="38">
        <f t="shared" si="14"/>
        <v>67873445.763677478</v>
      </c>
      <c r="BE32" s="38">
        <f t="shared" si="15"/>
        <v>69048721.689876705</v>
      </c>
      <c r="BF32" s="38" t="b">
        <f t="shared" si="16"/>
        <v>0</v>
      </c>
      <c r="BG32" s="37">
        <f t="array" ref="BG32:BQ32">IF(BF32,"",IVSolution($M32,$N32,$O32,BB32,BC32,BD32,BE32,$E32,$F32,$G32,$H32,$I32))</f>
        <v>20</v>
      </c>
      <c r="BH32" s="37">
        <v>24</v>
      </c>
      <c r="BI32" s="37">
        <v>28</v>
      </c>
      <c r="BJ32" s="39">
        <v>0.53333333333333333</v>
      </c>
      <c r="BK32" s="39">
        <v>0.62222222222222223</v>
      </c>
      <c r="BL32" s="37">
        <v>0</v>
      </c>
      <c r="BM32" s="37">
        <v>2</v>
      </c>
      <c r="BN32" s="37">
        <v>11</v>
      </c>
      <c r="BO32" s="37">
        <v>15</v>
      </c>
      <c r="BP32" s="37">
        <v>7</v>
      </c>
      <c r="BQ32" s="37">
        <v>15</v>
      </c>
      <c r="BR32" s="40">
        <f t="shared" si="17"/>
        <v>8.5</v>
      </c>
      <c r="BS32" s="36">
        <f>IFERROR(INDEX('Level Multipliers'!$D:$D,MATCH(BR32,'Level Multipliers'!$A:$A,0)),"")</f>
        <v>2.5800298976397995</v>
      </c>
      <c r="BT32" s="37">
        <f t="shared" si="18"/>
        <v>0</v>
      </c>
      <c r="BU32" s="37">
        <f t="shared" si="19"/>
        <v>-1</v>
      </c>
      <c r="BV32" s="38">
        <f t="shared" si="20"/>
        <v>59623152.215507984</v>
      </c>
      <c r="BW32" s="38">
        <f t="shared" si="21"/>
        <v>60655568.570012547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8</v>
      </c>
      <c r="CK32" s="41">
        <f t="shared" si="24"/>
        <v>8</v>
      </c>
      <c r="CL32" s="66">
        <f t="shared" si="25"/>
        <v>0.57777777777777772</v>
      </c>
      <c r="CM32" s="39">
        <f t="shared" si="26"/>
        <v>0.53333333333333333</v>
      </c>
      <c r="CN32" s="39">
        <f t="shared" si="27"/>
        <v>0.62222222222222223</v>
      </c>
      <c r="CO32" s="42">
        <f t="shared" si="28"/>
        <v>0</v>
      </c>
      <c r="CP32" s="42">
        <f t="shared" si="29"/>
        <v>2</v>
      </c>
      <c r="CQ32" s="42">
        <f t="shared" si="30"/>
        <v>11</v>
      </c>
      <c r="CR32" s="42">
        <f t="shared" si="31"/>
        <v>15</v>
      </c>
      <c r="CS32" s="42">
        <f t="shared" si="32"/>
        <v>7</v>
      </c>
      <c r="CT32" s="42">
        <f t="shared" si="33"/>
        <v>15</v>
      </c>
      <c r="CU32" s="43" t="str">
        <f t="shared" si="34"/>
        <v>0-2</v>
      </c>
      <c r="CV32" s="43" t="str">
        <f t="shared" si="35"/>
        <v>11-15</v>
      </c>
      <c r="CW32" s="43" t="str">
        <f t="shared" si="36"/>
        <v>7-15</v>
      </c>
      <c r="CX32" s="13" t="s">
        <v>397</v>
      </c>
    </row>
    <row r="33" spans="1:102" x14ac:dyDescent="0.25">
      <c r="A33" s="31" t="s">
        <v>40</v>
      </c>
      <c r="B33" s="13">
        <v>114</v>
      </c>
      <c r="C33" s="13">
        <v>34</v>
      </c>
      <c r="D33" s="13">
        <v>8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16</v>
      </c>
      <c r="M33" s="34">
        <f>IFERROR(INDEX('Pokemon Data'!I:I,MATCH($A33,'Pokemon Data'!$B:$B,0)),"")</f>
        <v>80</v>
      </c>
      <c r="N33" s="34">
        <f>IFERROR(INDEX('Pokemon Data'!J:J,MATCH($A33,'Pokemon Data'!$B:$B,0)),"")</f>
        <v>85</v>
      </c>
      <c r="O33" s="34">
        <f>IFERROR(INDEX('Pokemon Data'!K:K,MATCH($A33,'Pokemon Data'!$B:$B,0)),"")</f>
        <v>76</v>
      </c>
      <c r="P33" s="35">
        <f>IFERROR(INDEX('Level Multipliers'!$A:$A,MATCH($D33,'Level Multipliers'!$B:$B,0)),"")</f>
        <v>7</v>
      </c>
      <c r="Q33" s="36">
        <f>IFERROR(INDEX('Level Multipliers'!$D:$D,MATCH(P33,'Level Multipliers'!$A:$A,0)),"")</f>
        <v>2.8635844799030687</v>
      </c>
      <c r="R33" s="37">
        <f t="shared" si="0"/>
        <v>18</v>
      </c>
      <c r="S33" s="37">
        <f t="shared" si="1"/>
        <v>15</v>
      </c>
      <c r="T33" s="38">
        <f t="shared" si="2"/>
        <v>87387577.94397682</v>
      </c>
      <c r="U33" s="38">
        <f t="shared" si="3"/>
        <v>88927417.536864683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7.5</v>
      </c>
      <c r="AI33" s="36">
        <f>IFERROR(INDEX('Level Multipliers'!$D:$D,MATCH(AH33,'Level Multipliers'!$A:$A,0)),"")</f>
        <v>2.7589423510530713</v>
      </c>
      <c r="AJ33" s="37">
        <f t="shared" si="6"/>
        <v>14</v>
      </c>
      <c r="AK33" s="37">
        <f t="shared" si="7"/>
        <v>15</v>
      </c>
      <c r="AL33" s="38">
        <f t="shared" si="8"/>
        <v>75297439.135236412</v>
      </c>
      <c r="AM33" s="38">
        <f t="shared" si="9"/>
        <v>76624240.73280251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8</v>
      </c>
      <c r="BA33" s="36">
        <f>IFERROR(INDEX('Level Multipliers'!$D:$D,MATCH(AZ33,'Level Multipliers'!$A:$A,0)),"")</f>
        <v>2.6649924305944541</v>
      </c>
      <c r="BB33" s="37">
        <f t="shared" si="12"/>
        <v>11</v>
      </c>
      <c r="BC33" s="37">
        <f t="shared" si="13"/>
        <v>13</v>
      </c>
      <c r="BD33" s="38">
        <f t="shared" si="14"/>
        <v>65553158.527404316</v>
      </c>
      <c r="BE33" s="38">
        <f t="shared" si="15"/>
        <v>66708258.042853348</v>
      </c>
      <c r="BF33" s="38" t="b">
        <f t="shared" si="16"/>
        <v>0</v>
      </c>
      <c r="BG33" s="37">
        <f t="array" ref="BG33:BQ33">IF(BF33,"",IVSolution($M33,$N33,$O33,BB33,BC33,BD33,BE33,$E33,$F33,$G33,$H33,$I33))</f>
        <v>38</v>
      </c>
      <c r="BH33" s="37">
        <v>24</v>
      </c>
      <c r="BI33" s="37">
        <v>31</v>
      </c>
      <c r="BJ33" s="39">
        <v>0.53333333333333333</v>
      </c>
      <c r="BK33" s="39">
        <v>0.68888888888888888</v>
      </c>
      <c r="BL33" s="37">
        <v>11</v>
      </c>
      <c r="BM33" s="37">
        <v>13</v>
      </c>
      <c r="BN33" s="37">
        <v>4</v>
      </c>
      <c r="BO33" s="37">
        <v>13</v>
      </c>
      <c r="BP33" s="37">
        <v>0</v>
      </c>
      <c r="BQ33" s="37">
        <v>15</v>
      </c>
      <c r="BR33" s="40">
        <f t="shared" si="17"/>
        <v>8.5</v>
      </c>
      <c r="BS33" s="36">
        <f>IFERROR(INDEX('Level Multipliers'!$D:$D,MATCH(BR33,'Level Multipliers'!$A:$A,0)),"")</f>
        <v>2.5800298976397995</v>
      </c>
      <c r="BT33" s="37">
        <f t="shared" si="18"/>
        <v>8</v>
      </c>
      <c r="BU33" s="37">
        <f t="shared" si="19"/>
        <v>10</v>
      </c>
      <c r="BV33" s="38">
        <f t="shared" si="20"/>
        <v>57584905.335370228</v>
      </c>
      <c r="BW33" s="38">
        <f t="shared" si="21"/>
        <v>58599597.803960547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8</v>
      </c>
      <c r="CK33" s="41">
        <f t="shared" si="24"/>
        <v>8</v>
      </c>
      <c r="CL33" s="66">
        <f t="shared" si="25"/>
        <v>0.61111111111111116</v>
      </c>
      <c r="CM33" s="39">
        <f t="shared" si="26"/>
        <v>0.53333333333333333</v>
      </c>
      <c r="CN33" s="39">
        <f t="shared" si="27"/>
        <v>0.68888888888888888</v>
      </c>
      <c r="CO33" s="42">
        <f t="shared" si="28"/>
        <v>11</v>
      </c>
      <c r="CP33" s="42">
        <f t="shared" si="29"/>
        <v>13</v>
      </c>
      <c r="CQ33" s="42">
        <f t="shared" si="30"/>
        <v>4</v>
      </c>
      <c r="CR33" s="42">
        <f t="shared" si="31"/>
        <v>13</v>
      </c>
      <c r="CS33" s="42">
        <f t="shared" si="32"/>
        <v>0</v>
      </c>
      <c r="CT33" s="42">
        <f t="shared" si="33"/>
        <v>15</v>
      </c>
      <c r="CU33" s="43" t="str">
        <f t="shared" si="34"/>
        <v>11-13</v>
      </c>
      <c r="CV33" s="43" t="str">
        <f t="shared" si="35"/>
        <v>4-13</v>
      </c>
      <c r="CW33" s="43" t="str">
        <f t="shared" si="36"/>
        <v>0-15</v>
      </c>
      <c r="CX33" s="13" t="s">
        <v>397</v>
      </c>
    </row>
    <row r="34" spans="1:102" x14ac:dyDescent="0.25">
      <c r="A34" s="31" t="s">
        <v>40</v>
      </c>
      <c r="B34" s="13">
        <v>103</v>
      </c>
      <c r="C34" s="13">
        <v>32</v>
      </c>
      <c r="D34" s="13">
        <v>8</v>
      </c>
      <c r="E34" s="32" t="s">
        <v>3</v>
      </c>
      <c r="F34" s="32"/>
      <c r="G34" s="32">
        <v>1</v>
      </c>
      <c r="H34" s="32"/>
      <c r="I34" s="32" t="s">
        <v>0</v>
      </c>
      <c r="J34" s="13"/>
      <c r="K34" s="33"/>
      <c r="L34" s="34">
        <f>IFERROR(INDEX('Pokemon Data'!A:A,MATCH($A34,'Pokemon Data'!$B:$B,0)),"")</f>
        <v>16</v>
      </c>
      <c r="M34" s="34">
        <f>IFERROR(INDEX('Pokemon Data'!I:I,MATCH($A34,'Pokemon Data'!$B:$B,0)),"")</f>
        <v>80</v>
      </c>
      <c r="N34" s="34">
        <f>IFERROR(INDEX('Pokemon Data'!J:J,MATCH($A34,'Pokemon Data'!$B:$B,0)),"")</f>
        <v>85</v>
      </c>
      <c r="O34" s="34">
        <f>IFERROR(INDEX('Pokemon Data'!K:K,MATCH($A34,'Pokemon Data'!$B:$B,0)),"")</f>
        <v>76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0"/>
        <v>12</v>
      </c>
      <c r="S34" s="37">
        <f t="shared" si="1"/>
        <v>14</v>
      </c>
      <c r="T34" s="38">
        <f t="shared" si="2"/>
        <v>71336935.549988464</v>
      </c>
      <c r="U34" s="38">
        <f t="shared" si="3"/>
        <v>72728842.954913303</v>
      </c>
      <c r="V34" s="38" t="b">
        <f t="shared" si="4"/>
        <v>0</v>
      </c>
      <c r="W34" s="37">
        <f t="array" ref="W34:AG34">IF(V34,"",IVSolution($M34,$N34,$O34,R34,S34,T34,U34,$E34,$F34,$G34,$H34,$I34))</f>
        <v>3</v>
      </c>
      <c r="X34" s="37">
        <v>29</v>
      </c>
      <c r="Y34" s="37">
        <v>29</v>
      </c>
      <c r="Z34" s="39">
        <v>0.64444444444444449</v>
      </c>
      <c r="AA34" s="39">
        <v>0.64444444444444449</v>
      </c>
      <c r="AB34" s="37">
        <v>12</v>
      </c>
      <c r="AC34" s="37">
        <v>14</v>
      </c>
      <c r="AD34" s="37">
        <v>15</v>
      </c>
      <c r="AE34" s="37">
        <v>15</v>
      </c>
      <c r="AF34" s="37">
        <v>0</v>
      </c>
      <c r="AG34" s="37">
        <v>2</v>
      </c>
      <c r="AH34" s="40">
        <f t="shared" si="5"/>
        <v>7.5</v>
      </c>
      <c r="AI34" s="36">
        <f>IFERROR(INDEX('Level Multipliers'!$D:$D,MATCH(AH34,'Level Multipliers'!$A:$A,0)),"")</f>
        <v>2.7589423510530713</v>
      </c>
      <c r="AJ34" s="37">
        <f t="shared" si="6"/>
        <v>9</v>
      </c>
      <c r="AK34" s="37">
        <f t="shared" si="7"/>
        <v>11</v>
      </c>
      <c r="AL34" s="38">
        <f t="shared" si="8"/>
        <v>61467415.495977461</v>
      </c>
      <c r="AM34" s="38">
        <f t="shared" si="9"/>
        <v>62666751.437882192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8</v>
      </c>
      <c r="BA34" s="36">
        <f>IFERROR(INDEX('Level Multipliers'!$D:$D,MATCH(AZ34,'Level Multipliers'!$A:$A,0)),"")</f>
        <v>2.6649924305944541</v>
      </c>
      <c r="BB34" s="37">
        <f t="shared" si="12"/>
        <v>6</v>
      </c>
      <c r="BC34" s="37">
        <f t="shared" si="13"/>
        <v>7</v>
      </c>
      <c r="BD34" s="38">
        <f t="shared" si="14"/>
        <v>53512885.41222164</v>
      </c>
      <c r="BE34" s="38">
        <f t="shared" si="15"/>
        <v>54557014.668544561</v>
      </c>
      <c r="BF34" s="38" t="b">
        <f t="shared" si="16"/>
        <v>0</v>
      </c>
      <c r="BG34" s="37">
        <f t="array" ref="BG34:BQ34">IF(BF34,"",IVSolution($M34,$N34,$O34,BB34,BC34,BD34,BE34,$E34,$F34,$G34,$H34,$I34))</f>
        <v>0</v>
      </c>
      <c r="BH34" s="37" t="str">
        <v/>
      </c>
      <c r="BI34" s="37" t="str">
        <v/>
      </c>
      <c r="BJ34" s="39" t="str">
        <v/>
      </c>
      <c r="BK34" s="39" t="str">
        <v/>
      </c>
      <c r="BL34" s="37" t="str">
        <v/>
      </c>
      <c r="BM34" s="37" t="str">
        <v/>
      </c>
      <c r="BN34" s="37" t="str">
        <v/>
      </c>
      <c r="BO34" s="37" t="str">
        <v/>
      </c>
      <c r="BP34" s="37" t="str">
        <v/>
      </c>
      <c r="BQ34" s="37" t="str">
        <v/>
      </c>
      <c r="BR34" s="40">
        <f t="shared" si="17"/>
        <v>8.5</v>
      </c>
      <c r="BS34" s="36">
        <f>IFERROR(INDEX('Level Multipliers'!$D:$D,MATCH(BR34,'Level Multipliers'!$A:$A,0)),"")</f>
        <v>2.5800298976397995</v>
      </c>
      <c r="BT34" s="37">
        <f t="shared" si="18"/>
        <v>3</v>
      </c>
      <c r="BU34" s="37">
        <f t="shared" si="19"/>
        <v>5</v>
      </c>
      <c r="BV34" s="38">
        <f t="shared" si="20"/>
        <v>47008176.416046686</v>
      </c>
      <c r="BW34" s="38">
        <f t="shared" si="21"/>
        <v>47925387.512108676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7</v>
      </c>
      <c r="CK34" s="41">
        <f t="shared" si="24"/>
        <v>7</v>
      </c>
      <c r="CL34" s="66">
        <f t="shared" si="25"/>
        <v>0.64444444444444449</v>
      </c>
      <c r="CM34" s="39">
        <f t="shared" si="26"/>
        <v>0.64444444444444449</v>
      </c>
      <c r="CN34" s="39">
        <f t="shared" si="27"/>
        <v>0.64444444444444449</v>
      </c>
      <c r="CO34" s="42">
        <f t="shared" si="28"/>
        <v>12</v>
      </c>
      <c r="CP34" s="42">
        <f t="shared" si="29"/>
        <v>14</v>
      </c>
      <c r="CQ34" s="42">
        <f t="shared" si="30"/>
        <v>15</v>
      </c>
      <c r="CR34" s="42">
        <f t="shared" si="31"/>
        <v>15</v>
      </c>
      <c r="CS34" s="42">
        <f t="shared" si="32"/>
        <v>0</v>
      </c>
      <c r="CT34" s="42">
        <f t="shared" si="33"/>
        <v>2</v>
      </c>
      <c r="CU34" s="43" t="str">
        <f t="shared" si="34"/>
        <v>12-14</v>
      </c>
      <c r="CV34" s="43">
        <f t="shared" si="35"/>
        <v>15</v>
      </c>
      <c r="CW34" s="43" t="str">
        <f t="shared" si="36"/>
        <v>0-2</v>
      </c>
      <c r="CX34" s="13" t="s">
        <v>397</v>
      </c>
    </row>
    <row r="35" spans="1:102" x14ac:dyDescent="0.25">
      <c r="A35" s="31" t="s">
        <v>40</v>
      </c>
      <c r="B35" s="13">
        <v>84</v>
      </c>
      <c r="C35" s="13">
        <v>27</v>
      </c>
      <c r="D35" s="13">
        <v>6</v>
      </c>
      <c r="E35" s="32" t="s">
        <v>3</v>
      </c>
      <c r="F35" s="32"/>
      <c r="G35" s="32">
        <v>1</v>
      </c>
      <c r="H35" s="32"/>
      <c r="I35" s="32" t="s">
        <v>3</v>
      </c>
      <c r="J35" s="13"/>
      <c r="K35" s="33"/>
      <c r="L35" s="34">
        <f>IFERROR(INDEX('Pokemon Data'!A:A,MATCH($A35,'Pokemon Data'!$B:$B,0)),"")</f>
        <v>16</v>
      </c>
      <c r="M35" s="34">
        <f>IFERROR(INDEX('Pokemon Data'!I:I,MATCH($A35,'Pokemon Data'!$B:$B,0)),"")</f>
        <v>80</v>
      </c>
      <c r="N35" s="34">
        <f>IFERROR(INDEX('Pokemon Data'!J:J,MATCH($A35,'Pokemon Data'!$B:$B,0)),"")</f>
        <v>85</v>
      </c>
      <c r="O35" s="34">
        <f>IFERROR(INDEX('Pokemon Data'!K:K,MATCH($A35,'Pokemon Data'!$B:$B,0)),"")</f>
        <v>76</v>
      </c>
      <c r="P35" s="35">
        <f>IFERROR(INDEX('Level Multipliers'!$A:$A,MATCH($D35,'Level Multipliers'!$B:$B,0)),"")</f>
        <v>5</v>
      </c>
      <c r="Q35" s="36">
        <f>IFERROR(INDEX('Level Multipliers'!$D:$D,MATCH(P35,'Level Multipliers'!$A:$A,0)),"")</f>
        <v>3.4453071462968556</v>
      </c>
      <c r="R35" s="37">
        <f t="shared" si="0"/>
        <v>14</v>
      </c>
      <c r="S35" s="37">
        <f t="shared" si="1"/>
        <v>15</v>
      </c>
      <c r="T35" s="38">
        <f t="shared" si="2"/>
        <v>99419220.103942007</v>
      </c>
      <c r="U35" s="38">
        <f t="shared" si="3"/>
        <v>101800434.41765603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5.5</v>
      </c>
      <c r="AI35" s="36">
        <f>IFERROR(INDEX('Level Multipliers'!$D:$D,MATCH(AH35,'Level Multipliers'!$A:$A,0)),"")</f>
        <v>3.2673611577633439</v>
      </c>
      <c r="AJ35" s="37">
        <f t="shared" si="6"/>
        <v>9</v>
      </c>
      <c r="AK35" s="37">
        <f t="shared" si="7"/>
        <v>11</v>
      </c>
      <c r="AL35" s="38">
        <f t="shared" si="8"/>
        <v>80416865.221309856</v>
      </c>
      <c r="AM35" s="38">
        <f t="shared" si="9"/>
        <v>82342949.436502784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6</v>
      </c>
      <c r="BA35" s="36">
        <f>IFERROR(INDEX('Level Multipliers'!$D:$D,MATCH(AZ35,'Level Multipliers'!$A:$A,0)),"")</f>
        <v>3.1144148940514844</v>
      </c>
      <c r="BB35" s="37">
        <f t="shared" si="12"/>
        <v>5</v>
      </c>
      <c r="BC35" s="37">
        <f t="shared" si="13"/>
        <v>7</v>
      </c>
      <c r="BD35" s="38">
        <f t="shared" si="14"/>
        <v>66384156.70645579</v>
      </c>
      <c r="BE35" s="38">
        <f t="shared" si="15"/>
        <v>67974140.051607579</v>
      </c>
      <c r="BF35" s="38" t="b">
        <f t="shared" si="16"/>
        <v>0</v>
      </c>
      <c r="BG35" s="37">
        <f t="array" ref="BG35:BQ35">IF(BF35,"",IVSolution($M35,$N35,$O35,BB35,BC35,BD35,BE35,$E35,$F35,$G35,$H35,$I35))</f>
        <v>12</v>
      </c>
      <c r="BH35" s="37">
        <v>25</v>
      </c>
      <c r="BI35" s="37">
        <v>26</v>
      </c>
      <c r="BJ35" s="39">
        <v>0.55555555555555558</v>
      </c>
      <c r="BK35" s="39">
        <v>0.57777777777777772</v>
      </c>
      <c r="BL35" s="37">
        <v>5</v>
      </c>
      <c r="BM35" s="37">
        <v>7</v>
      </c>
      <c r="BN35" s="37">
        <v>10</v>
      </c>
      <c r="BO35" s="37">
        <v>12</v>
      </c>
      <c r="BP35" s="37">
        <v>6</v>
      </c>
      <c r="BQ35" s="37">
        <v>10</v>
      </c>
      <c r="BR35" s="40">
        <f t="shared" si="17"/>
        <v>6.5</v>
      </c>
      <c r="BS35" s="36">
        <f>IFERROR(INDEX('Level Multipliers'!$D:$D,MATCH(BR35,'Level Multipliers'!$A:$A,0)),"")</f>
        <v>2.9811143544095775</v>
      </c>
      <c r="BT35" s="37">
        <f t="shared" si="18"/>
        <v>1</v>
      </c>
      <c r="BU35" s="37">
        <f t="shared" si="19"/>
        <v>3</v>
      </c>
      <c r="BV35" s="38">
        <f t="shared" si="20"/>
        <v>55727956.10239467</v>
      </c>
      <c r="BW35" s="38">
        <f t="shared" si="21"/>
        <v>57062710.153033093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6</v>
      </c>
      <c r="CK35" s="41">
        <f t="shared" si="24"/>
        <v>6</v>
      </c>
      <c r="CL35" s="66">
        <f t="shared" si="25"/>
        <v>0.56666666666666665</v>
      </c>
      <c r="CM35" s="39">
        <f t="shared" si="26"/>
        <v>0.55555555555555558</v>
      </c>
      <c r="CN35" s="39">
        <f t="shared" si="27"/>
        <v>0.57777777777777772</v>
      </c>
      <c r="CO35" s="42">
        <f t="shared" si="28"/>
        <v>5</v>
      </c>
      <c r="CP35" s="42">
        <f t="shared" si="29"/>
        <v>7</v>
      </c>
      <c r="CQ35" s="42">
        <f t="shared" si="30"/>
        <v>10</v>
      </c>
      <c r="CR35" s="42">
        <f t="shared" si="31"/>
        <v>12</v>
      </c>
      <c r="CS35" s="42">
        <f t="shared" si="32"/>
        <v>6</v>
      </c>
      <c r="CT35" s="42">
        <f t="shared" si="33"/>
        <v>10</v>
      </c>
      <c r="CU35" s="43" t="str">
        <f t="shared" si="34"/>
        <v>5-7</v>
      </c>
      <c r="CV35" s="43" t="str">
        <f t="shared" si="35"/>
        <v>10-12</v>
      </c>
      <c r="CW35" s="43" t="str">
        <f t="shared" si="36"/>
        <v>6-10</v>
      </c>
      <c r="CX35" s="13" t="s">
        <v>397</v>
      </c>
    </row>
    <row r="36" spans="1:102" x14ac:dyDescent="0.25">
      <c r="A36" s="31" t="s">
        <v>40</v>
      </c>
      <c r="B36" s="13">
        <v>38</v>
      </c>
      <c r="C36" s="13">
        <v>18</v>
      </c>
      <c r="D36" s="13">
        <v>4</v>
      </c>
      <c r="E36" s="32" t="s">
        <v>3</v>
      </c>
      <c r="F36" s="32"/>
      <c r="G36" s="32">
        <v>1</v>
      </c>
      <c r="H36" s="32"/>
      <c r="I36" s="32" t="s">
        <v>3</v>
      </c>
      <c r="J36" s="13"/>
      <c r="K36" s="33"/>
      <c r="L36" s="34">
        <f>IFERROR(INDEX('Pokemon Data'!A:A,MATCH($A36,'Pokemon Data'!$B:$B,0)),"")</f>
        <v>16</v>
      </c>
      <c r="M36" s="34">
        <f>IFERROR(INDEX('Pokemon Data'!I:I,MATCH($A36,'Pokemon Data'!$B:$B,0)),"")</f>
        <v>80</v>
      </c>
      <c r="N36" s="34">
        <f>IFERROR(INDEX('Pokemon Data'!J:J,MATCH($A36,'Pokemon Data'!$B:$B,0)),"")</f>
        <v>85</v>
      </c>
      <c r="O36" s="34">
        <f>IFERROR(INDEX('Pokemon Data'!K:K,MATCH($A36,'Pokemon Data'!$B:$B,0)),"")</f>
        <v>76</v>
      </c>
      <c r="P36" s="35">
        <f>IFERROR(INDEX('Level Multipliers'!$A:$A,MATCH($D36,'Level Multipliers'!$B:$B,0)),"")</f>
        <v>3</v>
      </c>
      <c r="Q36" s="36">
        <f>IFERROR(INDEX('Level Multipliers'!$D:$D,MATCH(P36,'Level Multipliers'!$A:$A,0)),"")</f>
        <v>4.6353708335264541</v>
      </c>
      <c r="R36" s="37">
        <f t="shared" si="0"/>
        <v>4</v>
      </c>
      <c r="S36" s="37">
        <f t="shared" si="1"/>
        <v>8</v>
      </c>
      <c r="T36" s="38">
        <f t="shared" si="2"/>
        <v>66666112.122279577</v>
      </c>
      <c r="U36" s="38">
        <f t="shared" si="3"/>
        <v>70221022.533232167</v>
      </c>
      <c r="V36" s="38" t="b">
        <f t="shared" si="4"/>
        <v>0</v>
      </c>
      <c r="W36" s="37">
        <f t="array" ref="W36:AG36">IF(V36,"",IVSolution($M36,$N36,$O36,R36,S36,T36,U36,$E36,$F36,$G36,$H36,$I36))</f>
        <v>32</v>
      </c>
      <c r="X36" s="37">
        <v>25</v>
      </c>
      <c r="Y36" s="37">
        <v>29</v>
      </c>
      <c r="Z36" s="39">
        <v>0.55555555555555558</v>
      </c>
      <c r="AA36" s="39">
        <v>0.64444444444444449</v>
      </c>
      <c r="AB36" s="37">
        <v>4</v>
      </c>
      <c r="AC36" s="37">
        <v>8</v>
      </c>
      <c r="AD36" s="37">
        <v>10</v>
      </c>
      <c r="AE36" s="37">
        <v>12</v>
      </c>
      <c r="AF36" s="37">
        <v>5</v>
      </c>
      <c r="AG36" s="37">
        <v>11</v>
      </c>
      <c r="AH36" s="40">
        <f t="shared" si="5"/>
        <v>3.5</v>
      </c>
      <c r="AI36" s="36">
        <f>IFERROR(INDEX('Level Multipliers'!$D:$D,MATCH(AH36,'Level Multipliers'!$A:$A,0)),"")</f>
        <v>4.227031290291726</v>
      </c>
      <c r="AJ36" s="37">
        <f t="shared" si="6"/>
        <v>0</v>
      </c>
      <c r="AK36" s="37">
        <f t="shared" si="7"/>
        <v>0</v>
      </c>
      <c r="AL36" s="38">
        <f t="shared" si="8"/>
        <v>46100861.784457833</v>
      </c>
      <c r="AM36" s="38">
        <f t="shared" si="9"/>
        <v>48559148.735568121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4</v>
      </c>
      <c r="BA36" s="36">
        <f>IFERROR(INDEX('Level Multipliers'!$D:$D,MATCH(AZ36,'Level Multipliers'!$A:$A,0)),"")</f>
        <v>3.9105263875552758</v>
      </c>
      <c r="BB36" s="37">
        <f t="shared" si="12"/>
        <v>0</v>
      </c>
      <c r="BC36" s="37">
        <f t="shared" si="13"/>
        <v>-6</v>
      </c>
      <c r="BD36" s="38">
        <f t="shared" si="14"/>
        <v>33768212.827992015</v>
      </c>
      <c r="BE36" s="38">
        <f t="shared" si="15"/>
        <v>35568872.376299068</v>
      </c>
      <c r="BF36" s="38" t="b">
        <f t="shared" si="16"/>
        <v>1</v>
      </c>
      <c r="BG36" s="37" t="str">
        <f t="array" ref="BG36:BQ36">IF(BF36,"",IVSolution($M36,$N36,$O36,BB36,BC36,BD36,BE36,$E36,$F36,$G36,$H36,$I36))</f>
        <v/>
      </c>
      <c r="BH36" s="37" t="str">
        <v/>
      </c>
      <c r="BI36" s="37" t="str">
        <v/>
      </c>
      <c r="BJ36" s="39" t="str">
        <v/>
      </c>
      <c r="BK36" s="39" t="str">
        <v/>
      </c>
      <c r="BL36" s="37" t="str">
        <v/>
      </c>
      <c r="BM36" s="37" t="str">
        <v/>
      </c>
      <c r="BN36" s="37" t="str">
        <v/>
      </c>
      <c r="BO36" s="37" t="str">
        <v/>
      </c>
      <c r="BP36" s="37" t="str">
        <v/>
      </c>
      <c r="BQ36" s="37" t="str">
        <v/>
      </c>
      <c r="BR36" s="40">
        <f t="shared" si="17"/>
        <v>4.5</v>
      </c>
      <c r="BS36" s="36">
        <f>IFERROR(INDEX('Level Multipliers'!$D:$D,MATCH(BR36,'Level Multipliers'!$A:$A,0)),"")</f>
        <v>3.6559011428916688</v>
      </c>
      <c r="BT36" s="37">
        <f t="shared" si="18"/>
        <v>0</v>
      </c>
      <c r="BU36" s="37">
        <f t="shared" si="19"/>
        <v>-11</v>
      </c>
      <c r="BV36" s="38">
        <f t="shared" si="20"/>
        <v>25795560.452078138</v>
      </c>
      <c r="BW36" s="38">
        <f t="shared" si="21"/>
        <v>27171085.49003521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3</v>
      </c>
      <c r="CK36" s="41">
        <f t="shared" si="24"/>
        <v>3</v>
      </c>
      <c r="CL36" s="66">
        <f t="shared" si="25"/>
        <v>0.60000000000000009</v>
      </c>
      <c r="CM36" s="39">
        <f t="shared" si="26"/>
        <v>0.55555555555555558</v>
      </c>
      <c r="CN36" s="39">
        <f t="shared" si="27"/>
        <v>0.64444444444444449</v>
      </c>
      <c r="CO36" s="42">
        <f t="shared" si="28"/>
        <v>4</v>
      </c>
      <c r="CP36" s="42">
        <f t="shared" si="29"/>
        <v>8</v>
      </c>
      <c r="CQ36" s="42">
        <f t="shared" si="30"/>
        <v>10</v>
      </c>
      <c r="CR36" s="42">
        <f t="shared" si="31"/>
        <v>12</v>
      </c>
      <c r="CS36" s="42">
        <f t="shared" si="32"/>
        <v>5</v>
      </c>
      <c r="CT36" s="42">
        <f t="shared" si="33"/>
        <v>11</v>
      </c>
      <c r="CU36" s="43" t="str">
        <f t="shared" si="34"/>
        <v>4-8</v>
      </c>
      <c r="CV36" s="43" t="str">
        <f t="shared" si="35"/>
        <v>10-12</v>
      </c>
      <c r="CW36" s="43" t="str">
        <f t="shared" si="36"/>
        <v>5-11</v>
      </c>
      <c r="CX36" s="13" t="s">
        <v>397</v>
      </c>
    </row>
    <row r="37" spans="1:102" x14ac:dyDescent="0.25">
      <c r="A37" s="31" t="s">
        <v>40</v>
      </c>
      <c r="B37" s="13">
        <v>38</v>
      </c>
      <c r="C37" s="13">
        <v>17</v>
      </c>
      <c r="D37" s="13">
        <v>4</v>
      </c>
      <c r="E37" s="32" t="s">
        <v>3</v>
      </c>
      <c r="F37" s="32"/>
      <c r="G37" s="32">
        <v>1</v>
      </c>
      <c r="H37" s="32">
        <v>1</v>
      </c>
      <c r="I37" s="32" t="s">
        <v>3</v>
      </c>
      <c r="J37" s="13"/>
      <c r="K37" s="33"/>
      <c r="L37" s="34">
        <f>IFERROR(INDEX('Pokemon Data'!A:A,MATCH($A37,'Pokemon Data'!$B:$B,0)),"")</f>
        <v>16</v>
      </c>
      <c r="M37" s="34">
        <f>IFERROR(INDEX('Pokemon Data'!I:I,MATCH($A37,'Pokemon Data'!$B:$B,0)),"")</f>
        <v>80</v>
      </c>
      <c r="N37" s="34">
        <f>IFERROR(INDEX('Pokemon Data'!J:J,MATCH($A37,'Pokemon Data'!$B:$B,0)),"")</f>
        <v>85</v>
      </c>
      <c r="O37" s="34">
        <f>IFERROR(INDEX('Pokemon Data'!K:K,MATCH($A37,'Pokemon Data'!$B:$B,0)),"")</f>
        <v>76</v>
      </c>
      <c r="P37" s="35">
        <f>IFERROR(INDEX('Level Multipliers'!$A:$A,MATCH($D37,'Level Multipliers'!$B:$B,0)),"")</f>
        <v>3</v>
      </c>
      <c r="Q37" s="36">
        <f>IFERROR(INDEX('Level Multipliers'!$D:$D,MATCH(P37,'Level Multipliers'!$A:$A,0)),"")</f>
        <v>4.6353708335264541</v>
      </c>
      <c r="R37" s="37">
        <f t="shared" si="0"/>
        <v>0</v>
      </c>
      <c r="S37" s="37">
        <f t="shared" si="1"/>
        <v>3</v>
      </c>
      <c r="T37" s="38">
        <f t="shared" si="2"/>
        <v>66666112.122279577</v>
      </c>
      <c r="U37" s="38">
        <f t="shared" si="3"/>
        <v>70221022.533232167</v>
      </c>
      <c r="V37" s="38" t="b">
        <f t="shared" si="4"/>
        <v>0</v>
      </c>
      <c r="W37" s="37">
        <f t="array" ref="W37:AG37">IF(V37,"",IVSolution($M37,$N37,$O37,R37,S37,T37,U37,$E37,$F37,$G37,$H37,$I37))</f>
        <v>3</v>
      </c>
      <c r="X37" s="37">
        <v>25</v>
      </c>
      <c r="Y37" s="37">
        <v>27</v>
      </c>
      <c r="Z37" s="39">
        <v>0.55555555555555558</v>
      </c>
      <c r="AA37" s="39">
        <v>0.6</v>
      </c>
      <c r="AB37" s="37">
        <v>1</v>
      </c>
      <c r="AC37" s="37">
        <v>3</v>
      </c>
      <c r="AD37" s="37">
        <v>12</v>
      </c>
      <c r="AE37" s="37">
        <v>12</v>
      </c>
      <c r="AF37" s="37">
        <v>12</v>
      </c>
      <c r="AG37" s="37">
        <v>12</v>
      </c>
      <c r="AH37" s="40">
        <f t="shared" si="5"/>
        <v>3.5</v>
      </c>
      <c r="AI37" s="36">
        <f>IFERROR(INDEX('Level Multipliers'!$D:$D,MATCH(AH37,'Level Multipliers'!$A:$A,0)),"")</f>
        <v>4.227031290291726</v>
      </c>
      <c r="AJ37" s="37">
        <f t="shared" si="6"/>
        <v>0</v>
      </c>
      <c r="AK37" s="37">
        <f t="shared" si="7"/>
        <v>-4</v>
      </c>
      <c r="AL37" s="38">
        <f t="shared" si="8"/>
        <v>46100861.784457833</v>
      </c>
      <c r="AM37" s="38">
        <f t="shared" si="9"/>
        <v>48559148.735568121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4</v>
      </c>
      <c r="BA37" s="36">
        <f>IFERROR(INDEX('Level Multipliers'!$D:$D,MATCH(AZ37,'Level Multipliers'!$A:$A,0)),"")</f>
        <v>3.9105263875552758</v>
      </c>
      <c r="BB37" s="37">
        <f t="shared" si="12"/>
        <v>0</v>
      </c>
      <c r="BC37" s="37">
        <f t="shared" si="13"/>
        <v>-10</v>
      </c>
      <c r="BD37" s="38">
        <f t="shared" si="14"/>
        <v>33768212.827992015</v>
      </c>
      <c r="BE37" s="38">
        <f t="shared" si="15"/>
        <v>35568872.376299068</v>
      </c>
      <c r="BF37" s="38" t="b">
        <f t="shared" si="16"/>
        <v>1</v>
      </c>
      <c r="BG37" s="37" t="str">
        <f t="array" ref="BG37:BQ37">IF(BF37,"",IVSolution($M37,$N37,$O37,BB37,BC37,BD37,BE37,$E37,$F37,$G37,$H37,$I37))</f>
        <v/>
      </c>
      <c r="BH37" s="37" t="str">
        <v/>
      </c>
      <c r="BI37" s="37" t="str">
        <v/>
      </c>
      <c r="BJ37" s="39" t="str">
        <v/>
      </c>
      <c r="BK37" s="39" t="str">
        <v/>
      </c>
      <c r="BL37" s="37" t="str">
        <v/>
      </c>
      <c r="BM37" s="37" t="str">
        <v/>
      </c>
      <c r="BN37" s="37" t="str">
        <v/>
      </c>
      <c r="BO37" s="37" t="str">
        <v/>
      </c>
      <c r="BP37" s="37" t="str">
        <v/>
      </c>
      <c r="BQ37" s="37" t="str">
        <v/>
      </c>
      <c r="BR37" s="40">
        <f t="shared" si="17"/>
        <v>4.5</v>
      </c>
      <c r="BS37" s="36">
        <f>IFERROR(INDEX('Level Multipliers'!$D:$D,MATCH(BR37,'Level Multipliers'!$A:$A,0)),"")</f>
        <v>3.6559011428916688</v>
      </c>
      <c r="BT37" s="37">
        <f t="shared" si="18"/>
        <v>0</v>
      </c>
      <c r="BU37" s="37">
        <f t="shared" si="19"/>
        <v>-15</v>
      </c>
      <c r="BV37" s="38">
        <f t="shared" si="20"/>
        <v>25795560.452078138</v>
      </c>
      <c r="BW37" s="38">
        <f t="shared" si="21"/>
        <v>27171085.49003521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3</v>
      </c>
      <c r="CK37" s="41">
        <f t="shared" si="24"/>
        <v>3</v>
      </c>
      <c r="CL37" s="66">
        <f t="shared" si="25"/>
        <v>0.57777777777777772</v>
      </c>
      <c r="CM37" s="39">
        <f t="shared" si="26"/>
        <v>0.55555555555555558</v>
      </c>
      <c r="CN37" s="39">
        <f t="shared" si="27"/>
        <v>0.6</v>
      </c>
      <c r="CO37" s="42">
        <f t="shared" si="28"/>
        <v>1</v>
      </c>
      <c r="CP37" s="42">
        <f t="shared" si="29"/>
        <v>3</v>
      </c>
      <c r="CQ37" s="42">
        <f t="shared" si="30"/>
        <v>12</v>
      </c>
      <c r="CR37" s="42">
        <f t="shared" si="31"/>
        <v>12</v>
      </c>
      <c r="CS37" s="42">
        <f t="shared" si="32"/>
        <v>12</v>
      </c>
      <c r="CT37" s="42">
        <f t="shared" si="33"/>
        <v>12</v>
      </c>
      <c r="CU37" s="43" t="str">
        <f t="shared" si="34"/>
        <v>1-3</v>
      </c>
      <c r="CV37" s="43">
        <f t="shared" si="35"/>
        <v>12</v>
      </c>
      <c r="CW37" s="43">
        <f t="shared" si="36"/>
        <v>12</v>
      </c>
      <c r="CX37" s="13" t="s">
        <v>397</v>
      </c>
    </row>
    <row r="38" spans="1:102" x14ac:dyDescent="0.25">
      <c r="A38" s="31" t="s">
        <v>40</v>
      </c>
      <c r="B38" s="13">
        <v>37</v>
      </c>
      <c r="C38" s="13">
        <v>19</v>
      </c>
      <c r="D38" s="13">
        <v>4</v>
      </c>
      <c r="E38" s="32" t="s">
        <v>3</v>
      </c>
      <c r="F38" s="32">
        <v>1</v>
      </c>
      <c r="G38" s="32"/>
      <c r="H38" s="32">
        <v>1</v>
      </c>
      <c r="I38" s="32" t="s">
        <v>3</v>
      </c>
      <c r="J38" s="13"/>
      <c r="K38" s="33"/>
      <c r="L38" s="34">
        <f>IFERROR(INDEX('Pokemon Data'!A:A,MATCH($A38,'Pokemon Data'!$B:$B,0)),"")</f>
        <v>16</v>
      </c>
      <c r="M38" s="34">
        <f>IFERROR(INDEX('Pokemon Data'!I:I,MATCH($A38,'Pokemon Data'!$B:$B,0)),"")</f>
        <v>80</v>
      </c>
      <c r="N38" s="34">
        <f>IFERROR(INDEX('Pokemon Data'!J:J,MATCH($A38,'Pokemon Data'!$B:$B,0)),"")</f>
        <v>85</v>
      </c>
      <c r="O38" s="34">
        <f>IFERROR(INDEX('Pokemon Data'!K:K,MATCH($A38,'Pokemon Data'!$B:$B,0)),"")</f>
        <v>76</v>
      </c>
      <c r="P38" s="35">
        <f>IFERROR(INDEX('Level Multipliers'!$A:$A,MATCH($D38,'Level Multipliers'!$B:$B,0)),"")</f>
        <v>3</v>
      </c>
      <c r="Q38" s="36">
        <f>IFERROR(INDEX('Level Multipliers'!$D:$D,MATCH(P38,'Level Multipliers'!$A:$A,0)),"")</f>
        <v>4.6353708335264541</v>
      </c>
      <c r="R38" s="37">
        <f t="shared" si="0"/>
        <v>9</v>
      </c>
      <c r="S38" s="37">
        <f t="shared" si="1"/>
        <v>12</v>
      </c>
      <c r="T38" s="38">
        <f t="shared" si="2"/>
        <v>63203537.046676412</v>
      </c>
      <c r="U38" s="38">
        <f t="shared" si="3"/>
        <v>66666112.122279577</v>
      </c>
      <c r="V38" s="38" t="b">
        <f t="shared" si="4"/>
        <v>0</v>
      </c>
      <c r="W38" s="37">
        <f t="array" ref="W38:AG38">IF(V38,"",IVSolution($M38,$N38,$O38,R38,S38,T38,U38,$E38,$F38,$G38,$H38,$I38))</f>
        <v>8</v>
      </c>
      <c r="X38" s="37">
        <v>25</v>
      </c>
      <c r="Y38" s="37">
        <v>29</v>
      </c>
      <c r="Z38" s="39">
        <v>0.55555555555555558</v>
      </c>
      <c r="AA38" s="39">
        <v>0.64444444444444449</v>
      </c>
      <c r="AB38" s="37">
        <v>9</v>
      </c>
      <c r="AC38" s="37">
        <v>12</v>
      </c>
      <c r="AD38" s="37">
        <v>4</v>
      </c>
      <c r="AE38" s="37">
        <v>8</v>
      </c>
      <c r="AF38" s="37">
        <v>9</v>
      </c>
      <c r="AG38" s="37">
        <v>12</v>
      </c>
      <c r="AH38" s="40">
        <f t="shared" si="5"/>
        <v>3.5</v>
      </c>
      <c r="AI38" s="36">
        <f>IFERROR(INDEX('Level Multipliers'!$D:$D,MATCH(AH38,'Level Multipliers'!$A:$A,0)),"")</f>
        <v>4.227031290291726</v>
      </c>
      <c r="AJ38" s="37">
        <f t="shared" si="6"/>
        <v>1</v>
      </c>
      <c r="AK38" s="37">
        <f t="shared" si="7"/>
        <v>4</v>
      </c>
      <c r="AL38" s="38">
        <f t="shared" si="8"/>
        <v>43706426.442467295</v>
      </c>
      <c r="AM38" s="38">
        <f t="shared" si="9"/>
        <v>46100861.784457833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4</v>
      </c>
      <c r="BA38" s="36">
        <f>IFERROR(INDEX('Level Multipliers'!$D:$D,MATCH(AZ38,'Level Multipliers'!$A:$A,0)),"")</f>
        <v>3.9105263875552758</v>
      </c>
      <c r="BB38" s="37">
        <f t="shared" si="12"/>
        <v>0</v>
      </c>
      <c r="BC38" s="37">
        <f t="shared" si="13"/>
        <v>-2</v>
      </c>
      <c r="BD38" s="38">
        <f t="shared" si="14"/>
        <v>32014323.657563064</v>
      </c>
      <c r="BE38" s="38">
        <f t="shared" si="15"/>
        <v>33768212.827992015</v>
      </c>
      <c r="BF38" s="38" t="b">
        <f t="shared" si="16"/>
        <v>1</v>
      </c>
      <c r="BG38" s="37" t="str">
        <f t="array" ref="BG38:BQ38">IF(BF38,"",IVSolution($M38,$N38,$O38,BB38,BC38,BD38,BE38,$E38,$F38,$G38,$H38,$I38))</f>
        <v/>
      </c>
      <c r="BH38" s="37" t="str">
        <v/>
      </c>
      <c r="BI38" s="37" t="str">
        <v/>
      </c>
      <c r="BJ38" s="39" t="str">
        <v/>
      </c>
      <c r="BK38" s="39" t="str">
        <v/>
      </c>
      <c r="BL38" s="37" t="str">
        <v/>
      </c>
      <c r="BM38" s="37" t="str">
        <v/>
      </c>
      <c r="BN38" s="37" t="str">
        <v/>
      </c>
      <c r="BO38" s="37" t="str">
        <v/>
      </c>
      <c r="BP38" s="37" t="str">
        <v/>
      </c>
      <c r="BQ38" s="37" t="str">
        <v/>
      </c>
      <c r="BR38" s="40">
        <f t="shared" si="17"/>
        <v>4.5</v>
      </c>
      <c r="BS38" s="36">
        <f>IFERROR(INDEX('Level Multipliers'!$D:$D,MATCH(BR38,'Level Multipliers'!$A:$A,0)),"")</f>
        <v>3.6559011428916688</v>
      </c>
      <c r="BT38" s="37">
        <f t="shared" si="18"/>
        <v>0</v>
      </c>
      <c r="BU38" s="37">
        <f t="shared" si="19"/>
        <v>-7</v>
      </c>
      <c r="BV38" s="38">
        <f t="shared" si="20"/>
        <v>24455763.33718488</v>
      </c>
      <c r="BW38" s="38">
        <f t="shared" si="21"/>
        <v>25795560.452078138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3</v>
      </c>
      <c r="CK38" s="41">
        <f t="shared" si="24"/>
        <v>3</v>
      </c>
      <c r="CL38" s="66">
        <f t="shared" si="25"/>
        <v>0.60000000000000009</v>
      </c>
      <c r="CM38" s="39">
        <f t="shared" si="26"/>
        <v>0.55555555555555558</v>
      </c>
      <c r="CN38" s="39">
        <f t="shared" si="27"/>
        <v>0.64444444444444449</v>
      </c>
      <c r="CO38" s="42">
        <f t="shared" si="28"/>
        <v>9</v>
      </c>
      <c r="CP38" s="42">
        <f t="shared" si="29"/>
        <v>12</v>
      </c>
      <c r="CQ38" s="42">
        <f t="shared" si="30"/>
        <v>4</v>
      </c>
      <c r="CR38" s="42">
        <f t="shared" si="31"/>
        <v>8</v>
      </c>
      <c r="CS38" s="42">
        <f t="shared" si="32"/>
        <v>9</v>
      </c>
      <c r="CT38" s="42">
        <f t="shared" si="33"/>
        <v>12</v>
      </c>
      <c r="CU38" s="43" t="str">
        <f t="shared" si="34"/>
        <v>9-12</v>
      </c>
      <c r="CV38" s="43" t="str">
        <f t="shared" si="35"/>
        <v>4-8</v>
      </c>
      <c r="CW38" s="43" t="str">
        <f t="shared" si="36"/>
        <v>9-12</v>
      </c>
      <c r="CX38" s="13" t="s">
        <v>397</v>
      </c>
    </row>
    <row r="39" spans="1:102" x14ac:dyDescent="0.25">
      <c r="A39" s="31" t="s">
        <v>40</v>
      </c>
      <c r="B39" s="13">
        <v>36</v>
      </c>
      <c r="C39" s="13">
        <v>19</v>
      </c>
      <c r="D39" s="13">
        <v>4</v>
      </c>
      <c r="E39" s="32" t="s">
        <v>3</v>
      </c>
      <c r="F39" s="32">
        <v>1</v>
      </c>
      <c r="G39" s="32"/>
      <c r="H39" s="32">
        <v>1</v>
      </c>
      <c r="I39" s="32" t="s">
        <v>3</v>
      </c>
      <c r="J39" s="13"/>
      <c r="K39" s="33"/>
      <c r="L39" s="34">
        <f>IFERROR(INDEX('Pokemon Data'!A:A,MATCH($A39,'Pokemon Data'!$B:$B,0)),"")</f>
        <v>16</v>
      </c>
      <c r="M39" s="34">
        <f>IFERROR(INDEX('Pokemon Data'!I:I,MATCH($A39,'Pokemon Data'!$B:$B,0)),"")</f>
        <v>80</v>
      </c>
      <c r="N39" s="34">
        <f>IFERROR(INDEX('Pokemon Data'!J:J,MATCH($A39,'Pokemon Data'!$B:$B,0)),"")</f>
        <v>85</v>
      </c>
      <c r="O39" s="34">
        <f>IFERROR(INDEX('Pokemon Data'!K:K,MATCH($A39,'Pokemon Data'!$B:$B,0)),"")</f>
        <v>76</v>
      </c>
      <c r="P39" s="35">
        <f>IFERROR(INDEX('Level Multipliers'!$A:$A,MATCH($D39,'Level Multipliers'!$B:$B,0)),"")</f>
        <v>3</v>
      </c>
      <c r="Q39" s="36">
        <f>IFERROR(INDEX('Level Multipliers'!$D:$D,MATCH(P39,'Level Multipliers'!$A:$A,0)),"")</f>
        <v>4.6353708335264541</v>
      </c>
      <c r="R39" s="37">
        <f t="shared" si="0"/>
        <v>9</v>
      </c>
      <c r="S39" s="37">
        <f t="shared" si="1"/>
        <v>12</v>
      </c>
      <c r="T39" s="38">
        <f t="shared" si="2"/>
        <v>59833297.306422666</v>
      </c>
      <c r="U39" s="38">
        <f t="shared" si="3"/>
        <v>63203537.046676412</v>
      </c>
      <c r="V39" s="38" t="b">
        <f t="shared" si="4"/>
        <v>0</v>
      </c>
      <c r="W39" s="37">
        <f t="array" ref="W39:AG39">IF(V39,"",IVSolution($M39,$N39,$O39,R39,S39,T39,U39,$E39,$F39,$G39,$H39,$I39))</f>
        <v>11</v>
      </c>
      <c r="X39" s="37">
        <v>23</v>
      </c>
      <c r="Y39" s="37">
        <v>27</v>
      </c>
      <c r="Z39" s="39">
        <v>0.51111111111111107</v>
      </c>
      <c r="AA39" s="39">
        <v>0.6</v>
      </c>
      <c r="AB39" s="37">
        <v>9</v>
      </c>
      <c r="AC39" s="37">
        <v>12</v>
      </c>
      <c r="AD39" s="37">
        <v>1</v>
      </c>
      <c r="AE39" s="37">
        <v>6</v>
      </c>
      <c r="AF39" s="37">
        <v>9</v>
      </c>
      <c r="AG39" s="37">
        <v>12</v>
      </c>
      <c r="AH39" s="40">
        <f t="shared" si="5"/>
        <v>3.5</v>
      </c>
      <c r="AI39" s="36">
        <f>IFERROR(INDEX('Level Multipliers'!$D:$D,MATCH(AH39,'Level Multipliers'!$A:$A,0)),"")</f>
        <v>4.227031290291726</v>
      </c>
      <c r="AJ39" s="37">
        <f t="shared" si="6"/>
        <v>1</v>
      </c>
      <c r="AK39" s="37">
        <f t="shared" si="7"/>
        <v>4</v>
      </c>
      <c r="AL39" s="38">
        <f t="shared" si="8"/>
        <v>41375842.709596507</v>
      </c>
      <c r="AM39" s="38">
        <f t="shared" si="9"/>
        <v>43706426.442467295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4</v>
      </c>
      <c r="BA39" s="36">
        <f>IFERROR(INDEX('Level Multipliers'!$D:$D,MATCH(AZ39,'Level Multipliers'!$A:$A,0)),"")</f>
        <v>3.9105263875552758</v>
      </c>
      <c r="BB39" s="37">
        <f t="shared" si="12"/>
        <v>0</v>
      </c>
      <c r="BC39" s="37">
        <f t="shared" si="13"/>
        <v>-2</v>
      </c>
      <c r="BD39" s="38">
        <f t="shared" si="14"/>
        <v>30307204.865012225</v>
      </c>
      <c r="BE39" s="38">
        <f t="shared" si="15"/>
        <v>32014323.657563064</v>
      </c>
      <c r="BF39" s="38" t="b">
        <f t="shared" si="16"/>
        <v>1</v>
      </c>
      <c r="BG39" s="37" t="str">
        <f t="array" ref="BG39:BQ39">IF(BF39,"",IVSolution($M39,$N39,$O39,BB39,BC39,BD39,BE39,$E39,$F39,$G39,$H39,$I39))</f>
        <v/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4.5</v>
      </c>
      <c r="BS39" s="36">
        <f>IFERROR(INDEX('Level Multipliers'!$D:$D,MATCH(BR39,'Level Multipliers'!$A:$A,0)),"")</f>
        <v>3.6559011428916688</v>
      </c>
      <c r="BT39" s="37">
        <f t="shared" si="18"/>
        <v>0</v>
      </c>
      <c r="BU39" s="37">
        <f t="shared" si="19"/>
        <v>-7</v>
      </c>
      <c r="BV39" s="38">
        <f t="shared" si="20"/>
        <v>23151694.145355448</v>
      </c>
      <c r="BW39" s="38">
        <f t="shared" si="21"/>
        <v>24455763.33718488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3</v>
      </c>
      <c r="CK39" s="41">
        <f t="shared" si="24"/>
        <v>3</v>
      </c>
      <c r="CL39" s="66">
        <f t="shared" si="25"/>
        <v>0.55555555555555558</v>
      </c>
      <c r="CM39" s="39">
        <f t="shared" si="26"/>
        <v>0.51111111111111107</v>
      </c>
      <c r="CN39" s="39">
        <f t="shared" si="27"/>
        <v>0.6</v>
      </c>
      <c r="CO39" s="42">
        <f t="shared" si="28"/>
        <v>9</v>
      </c>
      <c r="CP39" s="42">
        <f t="shared" si="29"/>
        <v>12</v>
      </c>
      <c r="CQ39" s="42">
        <f t="shared" si="30"/>
        <v>1</v>
      </c>
      <c r="CR39" s="42">
        <f t="shared" si="31"/>
        <v>6</v>
      </c>
      <c r="CS39" s="42">
        <f t="shared" si="32"/>
        <v>9</v>
      </c>
      <c r="CT39" s="42">
        <f t="shared" si="33"/>
        <v>12</v>
      </c>
      <c r="CU39" s="43" t="str">
        <f t="shared" si="34"/>
        <v>9-12</v>
      </c>
      <c r="CV39" s="43" t="str">
        <f t="shared" si="35"/>
        <v>1-6</v>
      </c>
      <c r="CW39" s="43" t="str">
        <f t="shared" si="36"/>
        <v>9-12</v>
      </c>
      <c r="CX39" s="13" t="s">
        <v>397</v>
      </c>
    </row>
    <row r="40" spans="1:102" x14ac:dyDescent="0.25">
      <c r="A40" s="31" t="s">
        <v>40</v>
      </c>
      <c r="B40" s="13">
        <v>22</v>
      </c>
      <c r="C40" s="13">
        <v>14</v>
      </c>
      <c r="D40" s="13">
        <v>2</v>
      </c>
      <c r="E40" s="32" t="s">
        <v>3</v>
      </c>
      <c r="F40" s="32"/>
      <c r="G40" s="32">
        <v>1</v>
      </c>
      <c r="H40" s="32"/>
      <c r="I40" s="32" t="s">
        <v>3</v>
      </c>
      <c r="J40" s="13"/>
      <c r="K40" s="33"/>
      <c r="L40" s="34">
        <f>IFERROR(INDEX('Pokemon Data'!A:A,MATCH($A40,'Pokemon Data'!$B:$B,0)),"")</f>
        <v>16</v>
      </c>
      <c r="M40" s="34">
        <f>IFERROR(INDEX('Pokemon Data'!I:I,MATCH($A40,'Pokemon Data'!$B:$B,0)),"")</f>
        <v>80</v>
      </c>
      <c r="N40" s="34">
        <f>IFERROR(INDEX('Pokemon Data'!J:J,MATCH($A40,'Pokemon Data'!$B:$B,0)),"")</f>
        <v>85</v>
      </c>
      <c r="O40" s="34">
        <f>IFERROR(INDEX('Pokemon Data'!K:K,MATCH($A40,'Pokemon Data'!$B:$B,0)),"")</f>
        <v>76</v>
      </c>
      <c r="P40" s="35">
        <f>IFERROR(INDEX('Level Multipliers'!$A:$A,MATCH($D40,'Level Multipliers'!$B:$B,0)),"")</f>
        <v>1</v>
      </c>
      <c r="Q40" s="36">
        <f>IFERROR(INDEX('Level Multipliers'!$D:$D,MATCH(P40,'Level Multipliers'!$A:$A,0)),"")</f>
        <v>10.638298236606033</v>
      </c>
      <c r="R40" s="37">
        <f t="shared" si="0"/>
        <v>69</v>
      </c>
      <c r="S40" s="37">
        <f t="shared" si="1"/>
        <v>15</v>
      </c>
      <c r="T40" s="38">
        <f t="shared" si="2"/>
        <v>619917657.38697326</v>
      </c>
      <c r="U40" s="38">
        <f t="shared" si="3"/>
        <v>677554629.66468775</v>
      </c>
      <c r="V40" s="38" t="b">
        <f t="shared" si="4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5"/>
        <v>1.5</v>
      </c>
      <c r="AI40" s="36">
        <f>IFERROR(INDEX('Level Multipliers'!$D:$D,MATCH(AH40,'Level Multipliers'!$A:$A,0)),"")</f>
        <v>7.3998742209257209</v>
      </c>
      <c r="AJ40" s="37">
        <f t="shared" si="6"/>
        <v>24</v>
      </c>
      <c r="AK40" s="37">
        <f t="shared" si="7"/>
        <v>15</v>
      </c>
      <c r="AL40" s="38">
        <f t="shared" si="8"/>
        <v>145125160.55133584</v>
      </c>
      <c r="AM40" s="38">
        <f t="shared" si="9"/>
        <v>158618202.3381336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2</v>
      </c>
      <c r="BA40" s="36">
        <f>IFERROR(INDEX('Level Multipliers'!$D:$D,MATCH(AZ40,'Level Multipliers'!$A:$A,0)),"")</f>
        <v>6.0096923264843083</v>
      </c>
      <c r="BB40" s="37">
        <f t="shared" si="12"/>
        <v>5</v>
      </c>
      <c r="BC40" s="37">
        <f t="shared" si="13"/>
        <v>10</v>
      </c>
      <c r="BD40" s="38">
        <f t="shared" si="14"/>
        <v>63132692.988868989</v>
      </c>
      <c r="BE40" s="38">
        <f t="shared" si="15"/>
        <v>69002468.163453922</v>
      </c>
      <c r="BF40" s="38" t="b">
        <f t="shared" si="16"/>
        <v>0</v>
      </c>
      <c r="BG40" s="37">
        <f t="array" ref="BG40:BQ40">IF(BF40,"",IVSolution($M40,$N40,$O40,BB40,BC40,BD40,BE40,$E40,$F40,$G40,$H40,$I40))</f>
        <v>89</v>
      </c>
      <c r="BH40" s="37">
        <v>23</v>
      </c>
      <c r="BI40" s="37">
        <v>28</v>
      </c>
      <c r="BJ40" s="39">
        <v>0.51111111111111107</v>
      </c>
      <c r="BK40" s="39">
        <v>0.62222222222222223</v>
      </c>
      <c r="BL40" s="37">
        <v>5</v>
      </c>
      <c r="BM40" s="37">
        <v>10</v>
      </c>
      <c r="BN40" s="37">
        <v>9</v>
      </c>
      <c r="BO40" s="37">
        <v>12</v>
      </c>
      <c r="BP40" s="37">
        <v>1</v>
      </c>
      <c r="BQ40" s="37">
        <v>10</v>
      </c>
      <c r="BR40" s="40">
        <f t="shared" si="17"/>
        <v>2.5</v>
      </c>
      <c r="BS40" s="36">
        <f>IFERROR(INDEX('Level Multipliers'!$D:$D,MATCH(BR40,'Level Multipliers'!$A:$A,0)),"")</f>
        <v>5.1907358424704109</v>
      </c>
      <c r="BT40" s="37">
        <f t="shared" si="18"/>
        <v>0</v>
      </c>
      <c r="BU40" s="37">
        <f t="shared" si="19"/>
        <v>-3</v>
      </c>
      <c r="BV40" s="38">
        <f t="shared" si="20"/>
        <v>35136708.37195085</v>
      </c>
      <c r="BW40" s="38">
        <f t="shared" si="21"/>
        <v>38403551.092483476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2</v>
      </c>
      <c r="CK40" s="41">
        <f t="shared" si="24"/>
        <v>2</v>
      </c>
      <c r="CL40" s="66">
        <f t="shared" si="25"/>
        <v>0.56666666666666665</v>
      </c>
      <c r="CM40" s="39">
        <f t="shared" si="26"/>
        <v>0.51111111111111107</v>
      </c>
      <c r="CN40" s="39">
        <f t="shared" si="27"/>
        <v>0.62222222222222223</v>
      </c>
      <c r="CO40" s="42">
        <f t="shared" si="28"/>
        <v>5</v>
      </c>
      <c r="CP40" s="42">
        <f t="shared" si="29"/>
        <v>10</v>
      </c>
      <c r="CQ40" s="42">
        <f t="shared" si="30"/>
        <v>9</v>
      </c>
      <c r="CR40" s="42">
        <f t="shared" si="31"/>
        <v>12</v>
      </c>
      <c r="CS40" s="42">
        <f t="shared" si="32"/>
        <v>1</v>
      </c>
      <c r="CT40" s="42">
        <f t="shared" si="33"/>
        <v>10</v>
      </c>
      <c r="CU40" s="43" t="str">
        <f t="shared" si="34"/>
        <v>5-10</v>
      </c>
      <c r="CV40" s="43" t="str">
        <f t="shared" si="35"/>
        <v>9-12</v>
      </c>
      <c r="CW40" s="43" t="str">
        <f t="shared" si="36"/>
        <v>1-10</v>
      </c>
      <c r="CX40" s="13" t="s">
        <v>397</v>
      </c>
    </row>
    <row r="41" spans="1:102" x14ac:dyDescent="0.25">
      <c r="A41" s="31" t="s">
        <v>40</v>
      </c>
      <c r="B41" s="13">
        <v>22</v>
      </c>
      <c r="C41" s="13">
        <v>15</v>
      </c>
      <c r="D41" s="13">
        <v>2</v>
      </c>
      <c r="E41" s="32" t="s">
        <v>3</v>
      </c>
      <c r="F41" s="32">
        <v>1</v>
      </c>
      <c r="G41" s="32"/>
      <c r="H41" s="32"/>
      <c r="I41" s="32" t="s">
        <v>2</v>
      </c>
      <c r="J41" s="13"/>
      <c r="K41" s="33"/>
      <c r="L41" s="34">
        <f>IFERROR(INDEX('Pokemon Data'!A:A,MATCH($A41,'Pokemon Data'!$B:$B,0)),"")</f>
        <v>16</v>
      </c>
      <c r="M41" s="34">
        <f>IFERROR(INDEX('Pokemon Data'!I:I,MATCH($A41,'Pokemon Data'!$B:$B,0)),"")</f>
        <v>80</v>
      </c>
      <c r="N41" s="34">
        <f>IFERROR(INDEX('Pokemon Data'!J:J,MATCH($A41,'Pokemon Data'!$B:$B,0)),"")</f>
        <v>85</v>
      </c>
      <c r="O41" s="34">
        <f>IFERROR(INDEX('Pokemon Data'!K:K,MATCH($A41,'Pokemon Data'!$B:$B,0)),"")</f>
        <v>76</v>
      </c>
      <c r="P41" s="35">
        <f>IFERROR(INDEX('Level Multipliers'!$A:$A,MATCH($D41,'Level Multipliers'!$B:$B,0)),"")</f>
        <v>1</v>
      </c>
      <c r="Q41" s="36">
        <f>IFERROR(INDEX('Level Multipliers'!$D:$D,MATCH(P41,'Level Multipliers'!$A:$A,0)),"")</f>
        <v>10.638298236606033</v>
      </c>
      <c r="R41" s="37">
        <f t="shared" si="0"/>
        <v>80</v>
      </c>
      <c r="S41" s="37">
        <f t="shared" si="1"/>
        <v>15</v>
      </c>
      <c r="T41" s="38">
        <f t="shared" si="2"/>
        <v>619917657.38697326</v>
      </c>
      <c r="U41" s="38">
        <f t="shared" si="3"/>
        <v>677554629.66468775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1.5</v>
      </c>
      <c r="AI41" s="36">
        <f>IFERROR(INDEX('Level Multipliers'!$D:$D,MATCH(AH41,'Level Multipliers'!$A:$A,0)),"")</f>
        <v>7.3998742209257209</v>
      </c>
      <c r="AJ41" s="37">
        <f t="shared" si="6"/>
        <v>31</v>
      </c>
      <c r="AK41" s="37">
        <f t="shared" si="7"/>
        <v>15</v>
      </c>
      <c r="AL41" s="38">
        <f t="shared" si="8"/>
        <v>145125160.55133584</v>
      </c>
      <c r="AM41" s="38">
        <f t="shared" si="9"/>
        <v>158618202.3381336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</v>
      </c>
      <c r="BA41" s="36">
        <f>IFERROR(INDEX('Level Multipliers'!$D:$D,MATCH(AZ41,'Level Multipliers'!$A:$A,0)),"")</f>
        <v>6.0096923264843083</v>
      </c>
      <c r="BB41" s="37">
        <f t="shared" si="12"/>
        <v>11</v>
      </c>
      <c r="BC41" s="37">
        <f t="shared" si="13"/>
        <v>15</v>
      </c>
      <c r="BD41" s="38">
        <f t="shared" si="14"/>
        <v>63132692.988868989</v>
      </c>
      <c r="BE41" s="38">
        <f t="shared" si="15"/>
        <v>69002468.163453922</v>
      </c>
      <c r="BF41" s="38" t="b">
        <f t="shared" si="16"/>
        <v>0</v>
      </c>
      <c r="BG41" s="37">
        <f t="array" ref="BG41:BQ41">IF(BF41,"",IVSolution($M41,$N41,$O41,BB41,BC41,BD41,BE41,$E41,$F41,$G41,$H41,$I41))</f>
        <v>91</v>
      </c>
      <c r="BH41" s="37">
        <v>23</v>
      </c>
      <c r="BI41" s="37">
        <v>29</v>
      </c>
      <c r="BJ41" s="39">
        <v>0.51111111111111107</v>
      </c>
      <c r="BK41" s="39">
        <v>0.64444444444444449</v>
      </c>
      <c r="BL41" s="37">
        <v>13</v>
      </c>
      <c r="BM41" s="37">
        <v>14</v>
      </c>
      <c r="BN41" s="37">
        <v>2</v>
      </c>
      <c r="BO41" s="37">
        <v>13</v>
      </c>
      <c r="BP41" s="37">
        <v>0</v>
      </c>
      <c r="BQ41" s="37">
        <v>13</v>
      </c>
      <c r="BR41" s="40">
        <f t="shared" si="17"/>
        <v>2.5</v>
      </c>
      <c r="BS41" s="36">
        <f>IFERROR(INDEX('Level Multipliers'!$D:$D,MATCH(BR41,'Level Multipliers'!$A:$A,0)),"")</f>
        <v>5.1907358424704109</v>
      </c>
      <c r="BT41" s="37">
        <f t="shared" si="18"/>
        <v>0</v>
      </c>
      <c r="BU41" s="37">
        <f t="shared" si="19"/>
        <v>3</v>
      </c>
      <c r="BV41" s="38">
        <f t="shared" si="20"/>
        <v>35136708.37195085</v>
      </c>
      <c r="BW41" s="38">
        <f t="shared" si="21"/>
        <v>38403551.092483476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2</v>
      </c>
      <c r="CK41" s="41">
        <f t="shared" si="24"/>
        <v>2</v>
      </c>
      <c r="CL41" s="66">
        <f t="shared" si="25"/>
        <v>0.57777777777777772</v>
      </c>
      <c r="CM41" s="39">
        <f t="shared" si="26"/>
        <v>0.51111111111111107</v>
      </c>
      <c r="CN41" s="39">
        <f t="shared" si="27"/>
        <v>0.64444444444444449</v>
      </c>
      <c r="CO41" s="42">
        <f t="shared" si="28"/>
        <v>13</v>
      </c>
      <c r="CP41" s="42">
        <f t="shared" si="29"/>
        <v>14</v>
      </c>
      <c r="CQ41" s="42">
        <f t="shared" si="30"/>
        <v>2</v>
      </c>
      <c r="CR41" s="42">
        <f t="shared" si="31"/>
        <v>13</v>
      </c>
      <c r="CS41" s="42">
        <f t="shared" si="32"/>
        <v>0</v>
      </c>
      <c r="CT41" s="42">
        <f t="shared" si="33"/>
        <v>13</v>
      </c>
      <c r="CU41" s="43" t="str">
        <f t="shared" si="34"/>
        <v>13-14</v>
      </c>
      <c r="CV41" s="43" t="str">
        <f t="shared" si="35"/>
        <v>2-13</v>
      </c>
      <c r="CW41" s="43" t="str">
        <f t="shared" si="36"/>
        <v>0-13</v>
      </c>
      <c r="CX41" s="13" t="s">
        <v>397</v>
      </c>
    </row>
    <row r="42" spans="1:102" x14ac:dyDescent="0.25">
      <c r="A42" s="31" t="s">
        <v>40</v>
      </c>
      <c r="B42" s="13">
        <v>21</v>
      </c>
      <c r="C42" s="13">
        <v>15</v>
      </c>
      <c r="D42" s="13">
        <v>2</v>
      </c>
      <c r="E42" s="32" t="s">
        <v>3</v>
      </c>
      <c r="F42" s="32">
        <v>1</v>
      </c>
      <c r="G42" s="32"/>
      <c r="H42" s="32">
        <v>1</v>
      </c>
      <c r="I42" s="32" t="s">
        <v>3</v>
      </c>
      <c r="J42" s="13"/>
      <c r="K42" s="33"/>
      <c r="L42" s="34">
        <f>IFERROR(INDEX('Pokemon Data'!A:A,MATCH($A42,'Pokemon Data'!$B:$B,0)),"")</f>
        <v>16</v>
      </c>
      <c r="M42" s="34">
        <f>IFERROR(INDEX('Pokemon Data'!I:I,MATCH($A42,'Pokemon Data'!$B:$B,0)),"")</f>
        <v>80</v>
      </c>
      <c r="N42" s="34">
        <f>IFERROR(INDEX('Pokemon Data'!J:J,MATCH($A42,'Pokemon Data'!$B:$B,0)),"")</f>
        <v>85</v>
      </c>
      <c r="O42" s="34">
        <f>IFERROR(INDEX('Pokemon Data'!K:K,MATCH($A42,'Pokemon Data'!$B:$B,0)),"")</f>
        <v>76</v>
      </c>
      <c r="P42" s="35">
        <f>IFERROR(INDEX('Level Multipliers'!$A:$A,MATCH($D42,'Level Multipliers'!$B:$B,0)),"")</f>
        <v>1</v>
      </c>
      <c r="Q42" s="36">
        <f>IFERROR(INDEX('Level Multipliers'!$D:$D,MATCH(P42,'Level Multipliers'!$A:$A,0)),"")</f>
        <v>10.638298236606033</v>
      </c>
      <c r="R42" s="37">
        <f t="shared" si="0"/>
        <v>80</v>
      </c>
      <c r="S42" s="37">
        <f t="shared" si="1"/>
        <v>15</v>
      </c>
      <c r="T42" s="38">
        <f t="shared" si="2"/>
        <v>564842328.32160175</v>
      </c>
      <c r="U42" s="38">
        <f t="shared" si="3"/>
        <v>619917657.38697326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1.5</v>
      </c>
      <c r="AI42" s="36">
        <f>IFERROR(INDEX('Level Multipliers'!$D:$D,MATCH(AH42,'Level Multipliers'!$A:$A,0)),"")</f>
        <v>7.3998742209257209</v>
      </c>
      <c r="AJ42" s="37">
        <f t="shared" si="6"/>
        <v>31</v>
      </c>
      <c r="AK42" s="37">
        <f t="shared" si="7"/>
        <v>15</v>
      </c>
      <c r="AL42" s="38">
        <f t="shared" si="8"/>
        <v>132231809.51061799</v>
      </c>
      <c r="AM42" s="38">
        <f t="shared" si="9"/>
        <v>145125160.55133584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</v>
      </c>
      <c r="BA42" s="36">
        <f>IFERROR(INDEX('Level Multipliers'!$D:$D,MATCH(AZ42,'Level Multipliers'!$A:$A,0)),"")</f>
        <v>6.0096923264843083</v>
      </c>
      <c r="BB42" s="37">
        <f t="shared" si="12"/>
        <v>11</v>
      </c>
      <c r="BC42" s="37">
        <f t="shared" si="13"/>
        <v>15</v>
      </c>
      <c r="BD42" s="38">
        <f t="shared" si="14"/>
        <v>57523796.710932285</v>
      </c>
      <c r="BE42" s="38">
        <f t="shared" si="15"/>
        <v>63132692.988868989</v>
      </c>
      <c r="BF42" s="38" t="b">
        <f t="shared" si="16"/>
        <v>0</v>
      </c>
      <c r="BG42" s="37">
        <f t="array" ref="BG42:BQ42">IF(BF42,"",IVSolution($M42,$N42,$O42,BB42,BC42,BD42,BE42,$E42,$F42,$G42,$H42,$I42))</f>
        <v>8</v>
      </c>
      <c r="BH42" s="37">
        <v>23</v>
      </c>
      <c r="BI42" s="37">
        <v>27</v>
      </c>
      <c r="BJ42" s="39">
        <v>0.51111111111111107</v>
      </c>
      <c r="BK42" s="39">
        <v>0.6</v>
      </c>
      <c r="BL42" s="37">
        <v>11</v>
      </c>
      <c r="BM42" s="37">
        <v>12</v>
      </c>
      <c r="BN42" s="37">
        <v>0</v>
      </c>
      <c r="BO42" s="37">
        <v>4</v>
      </c>
      <c r="BP42" s="37">
        <v>11</v>
      </c>
      <c r="BQ42" s="37">
        <v>12</v>
      </c>
      <c r="BR42" s="40">
        <f t="shared" si="17"/>
        <v>2.5</v>
      </c>
      <c r="BS42" s="36">
        <f>IFERROR(INDEX('Level Multipliers'!$D:$D,MATCH(BR42,'Level Multipliers'!$A:$A,0)),"")</f>
        <v>5.1907358424704109</v>
      </c>
      <c r="BT42" s="37">
        <f t="shared" si="18"/>
        <v>0</v>
      </c>
      <c r="BU42" s="37">
        <f t="shared" si="19"/>
        <v>3</v>
      </c>
      <c r="BV42" s="38">
        <f t="shared" si="20"/>
        <v>32015058.661219683</v>
      </c>
      <c r="BW42" s="38">
        <f t="shared" si="21"/>
        <v>35136708.37195085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</v>
      </c>
      <c r="CK42" s="41">
        <f t="shared" si="24"/>
        <v>2</v>
      </c>
      <c r="CL42" s="66">
        <f t="shared" si="25"/>
        <v>0.55555555555555558</v>
      </c>
      <c r="CM42" s="39">
        <f t="shared" si="26"/>
        <v>0.51111111111111107</v>
      </c>
      <c r="CN42" s="39">
        <f t="shared" si="27"/>
        <v>0.6</v>
      </c>
      <c r="CO42" s="42">
        <f t="shared" si="28"/>
        <v>11</v>
      </c>
      <c r="CP42" s="42">
        <f t="shared" si="29"/>
        <v>12</v>
      </c>
      <c r="CQ42" s="42">
        <f t="shared" si="30"/>
        <v>0</v>
      </c>
      <c r="CR42" s="42">
        <f t="shared" si="31"/>
        <v>4</v>
      </c>
      <c r="CS42" s="42">
        <f t="shared" si="32"/>
        <v>11</v>
      </c>
      <c r="CT42" s="42">
        <f t="shared" si="33"/>
        <v>12</v>
      </c>
      <c r="CU42" s="43" t="str">
        <f t="shared" si="34"/>
        <v>11-12</v>
      </c>
      <c r="CV42" s="43" t="str">
        <f t="shared" si="35"/>
        <v>0-4</v>
      </c>
      <c r="CW42" s="43" t="str">
        <f t="shared" si="36"/>
        <v>11-12</v>
      </c>
      <c r="CX42" s="13" t="s">
        <v>397</v>
      </c>
    </row>
    <row r="43" spans="1:102" x14ac:dyDescent="0.25">
      <c r="A43" s="31" t="s">
        <v>40</v>
      </c>
      <c r="B43" s="13">
        <v>10</v>
      </c>
      <c r="C43" s="13">
        <v>10</v>
      </c>
      <c r="D43" s="13">
        <v>2</v>
      </c>
      <c r="E43" s="32" t="s">
        <v>3</v>
      </c>
      <c r="F43" s="32"/>
      <c r="G43" s="32"/>
      <c r="H43" s="32">
        <v>1</v>
      </c>
      <c r="I43" s="32" t="s">
        <v>2</v>
      </c>
      <c r="J43" s="13"/>
      <c r="K43" s="33"/>
      <c r="L43" s="34">
        <f>IFERROR(INDEX('Pokemon Data'!A:A,MATCH($A43,'Pokemon Data'!$B:$B,0)),"")</f>
        <v>16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85</v>
      </c>
      <c r="O43" s="34">
        <f>IFERROR(INDEX('Pokemon Data'!K:K,MATCH($A43,'Pokemon Data'!$B:$B,0)),"")</f>
        <v>76</v>
      </c>
      <c r="P43" s="35">
        <f>IFERROR(INDEX('Level Multipliers'!$A:$A,MATCH($D43,'Level Multipliers'!$B:$B,0)),"")</f>
        <v>1</v>
      </c>
      <c r="Q43" s="36">
        <f>IFERROR(INDEX('Level Multipliers'!$D:$D,MATCH(P43,'Level Multipliers'!$A:$A,0)),"")</f>
        <v>10.638298236606033</v>
      </c>
      <c r="R43" s="37">
        <f t="shared" si="0"/>
        <v>0</v>
      </c>
      <c r="S43" s="37">
        <f t="shared" si="1"/>
        <v>15</v>
      </c>
      <c r="T43" s="38">
        <f t="shared" si="2"/>
        <v>43928000</v>
      </c>
      <c r="U43" s="38">
        <f t="shared" si="3"/>
        <v>154979414.34674332</v>
      </c>
      <c r="V43" s="38" t="b">
        <f t="shared" si="4"/>
        <v>0</v>
      </c>
      <c r="W43" s="37">
        <f t="array" ref="W43:AG43">IF(V43,"",IVSolution($M43,$N43,$O43,R43,S43,T43,U43,$E43,$F43,$G43,$H43,$I43))</f>
        <v>163</v>
      </c>
      <c r="X43" s="37">
        <v>23</v>
      </c>
      <c r="Y43" s="37">
        <v>29</v>
      </c>
      <c r="Z43" s="39">
        <v>0.51111111111111107</v>
      </c>
      <c r="AA43" s="39">
        <v>0.64444444444444449</v>
      </c>
      <c r="AB43" s="37">
        <v>0</v>
      </c>
      <c r="AC43" s="37">
        <v>13</v>
      </c>
      <c r="AD43" s="37">
        <v>0</v>
      </c>
      <c r="AE43" s="37">
        <v>13</v>
      </c>
      <c r="AF43" s="37">
        <v>13</v>
      </c>
      <c r="AG43" s="37">
        <v>14</v>
      </c>
      <c r="AH43" s="40">
        <f t="shared" si="5"/>
        <v>1.5</v>
      </c>
      <c r="AI43" s="36">
        <f>IFERROR(INDEX('Level Multipliers'!$D:$D,MATCH(AH43,'Level Multipliers'!$A:$A,0)),"")</f>
        <v>7.3998742209257209</v>
      </c>
      <c r="AJ43" s="37">
        <f t="shared" si="6"/>
        <v>0</v>
      </c>
      <c r="AK43" s="37">
        <f t="shared" si="7"/>
        <v>1</v>
      </c>
      <c r="AL43" s="38">
        <f t="shared" si="8"/>
        <v>43928000</v>
      </c>
      <c r="AM43" s="38">
        <f t="shared" si="9"/>
        <v>36281290.13783396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</v>
      </c>
      <c r="BA43" s="36">
        <f>IFERROR(INDEX('Level Multipliers'!$D:$D,MATCH(AZ43,'Level Multipliers'!$A:$A,0)),"")</f>
        <v>6.0096923264843083</v>
      </c>
      <c r="BB43" s="37">
        <f t="shared" si="12"/>
        <v>0</v>
      </c>
      <c r="BC43" s="37">
        <f t="shared" si="13"/>
        <v>-14</v>
      </c>
      <c r="BD43" s="38">
        <f t="shared" si="14"/>
        <v>43928000</v>
      </c>
      <c r="BE43" s="38">
        <f t="shared" si="15"/>
        <v>15783173.247217247</v>
      </c>
      <c r="BF43" s="38" t="b">
        <f t="shared" si="16"/>
        <v>1</v>
      </c>
      <c r="BG43" s="37" t="str">
        <f t="array" ref="BG43:BQ43">IF(BF43,"",IVSolution($M43,$N43,$O43,BB43,BC43,BD43,BE43,$E43,$F43,$G43,$H43,$I43))</f>
        <v/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7"/>
        <v>2.5</v>
      </c>
      <c r="BS43" s="36">
        <f>IFERROR(INDEX('Level Multipliers'!$D:$D,MATCH(BR43,'Level Multipliers'!$A:$A,0)),"")</f>
        <v>5.1907358424704109</v>
      </c>
      <c r="BT43" s="37">
        <f t="shared" si="18"/>
        <v>0</v>
      </c>
      <c r="BU43" s="37">
        <f t="shared" si="19"/>
        <v>-23</v>
      </c>
      <c r="BV43" s="38">
        <f t="shared" si="20"/>
        <v>43928000</v>
      </c>
      <c r="BW43" s="38">
        <f t="shared" si="21"/>
        <v>8784177.0929877125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1</v>
      </c>
      <c r="CK43" s="41">
        <f t="shared" si="24"/>
        <v>1</v>
      </c>
      <c r="CL43" s="66">
        <f t="shared" si="25"/>
        <v>0.57777777777777772</v>
      </c>
      <c r="CM43" s="39">
        <f t="shared" si="26"/>
        <v>0.51111111111111107</v>
      </c>
      <c r="CN43" s="39">
        <f t="shared" si="27"/>
        <v>0.64444444444444449</v>
      </c>
      <c r="CO43" s="42">
        <f t="shared" si="28"/>
        <v>0</v>
      </c>
      <c r="CP43" s="42">
        <f t="shared" si="29"/>
        <v>13</v>
      </c>
      <c r="CQ43" s="42">
        <f t="shared" si="30"/>
        <v>0</v>
      </c>
      <c r="CR43" s="42">
        <f t="shared" si="31"/>
        <v>13</v>
      </c>
      <c r="CS43" s="42">
        <f t="shared" si="32"/>
        <v>13</v>
      </c>
      <c r="CT43" s="42">
        <f t="shared" si="33"/>
        <v>14</v>
      </c>
      <c r="CU43" s="43" t="str">
        <f t="shared" si="34"/>
        <v>0-13</v>
      </c>
      <c r="CV43" s="43" t="str">
        <f t="shared" si="35"/>
        <v>0-13</v>
      </c>
      <c r="CW43" s="43" t="str">
        <f t="shared" si="36"/>
        <v>13-14</v>
      </c>
      <c r="CX43" s="13" t="s">
        <v>397</v>
      </c>
    </row>
    <row r="44" spans="1:102" x14ac:dyDescent="0.25">
      <c r="A44" s="31" t="s">
        <v>43</v>
      </c>
      <c r="B44" s="13">
        <v>1508</v>
      </c>
      <c r="C44" s="13">
        <v>124</v>
      </c>
      <c r="D44" s="13">
        <v>45</v>
      </c>
      <c r="E44" s="32" t="s">
        <v>0</v>
      </c>
      <c r="F44" s="32">
        <v>1</v>
      </c>
      <c r="G44" s="32"/>
      <c r="H44" s="32"/>
      <c r="I44" s="32" t="s">
        <v>2</v>
      </c>
      <c r="J44" s="13"/>
      <c r="K44" s="33">
        <v>27</v>
      </c>
      <c r="L44" s="34">
        <f>IFERROR(INDEX('Pokemon Data'!A:A,MATCH($A44,'Pokemon Data'!$B:$B,0)),"")</f>
        <v>18</v>
      </c>
      <c r="M44" s="34">
        <f>IFERROR(INDEX('Pokemon Data'!I:I,MATCH($A44,'Pokemon Data'!$B:$B,0)),"")</f>
        <v>166</v>
      </c>
      <c r="N44" s="34">
        <f>IFERROR(INDEX('Pokemon Data'!J:J,MATCH($A44,'Pokemon Data'!$B:$B,0)),"")</f>
        <v>166</v>
      </c>
      <c r="O44" s="34">
        <f>IFERROR(INDEX('Pokemon Data'!K:K,MATCH($A44,'Pokemon Data'!$B:$B,0)),"")</f>
        <v>157</v>
      </c>
      <c r="P44" s="35">
        <f>IFERROR(INDEX('Level Multipliers'!$A:$A,MATCH($D44,'Level Multipliers'!$B:$B,0)),"")</f>
        <v>27</v>
      </c>
      <c r="Q44" s="36">
        <f>IFERROR(INDEX('Level Multipliers'!$D:$D,MATCH(P44,'Level Multipliers'!$A:$A,0)),"")</f>
        <v>1.4406239915890684</v>
      </c>
      <c r="R44" s="37">
        <f t="shared" si="0"/>
        <v>13</v>
      </c>
      <c r="S44" s="37">
        <f t="shared" si="1"/>
        <v>14</v>
      </c>
      <c r="T44" s="38">
        <f t="shared" si="2"/>
        <v>979501838.18952751</v>
      </c>
      <c r="U44" s="38">
        <f t="shared" si="3"/>
        <v>980801342.97295392</v>
      </c>
      <c r="V44" s="38" t="b">
        <f t="shared" si="4"/>
        <v>0</v>
      </c>
      <c r="W44" s="37">
        <f t="array" ref="W44:AG44">IF(V44,"",IVSolution($M44,$N44,$O44,R44,S44,T44,U44,$E44,$F44,$G44,$H44,$I44))</f>
        <v>1</v>
      </c>
      <c r="X44" s="37">
        <v>40</v>
      </c>
      <c r="Y44" s="37">
        <v>40</v>
      </c>
      <c r="Z44" s="39">
        <v>0.88888888888888884</v>
      </c>
      <c r="AA44" s="39">
        <v>0.88888888888888884</v>
      </c>
      <c r="AB44" s="37">
        <v>14</v>
      </c>
      <c r="AC44" s="37">
        <v>14</v>
      </c>
      <c r="AD44" s="37">
        <v>13</v>
      </c>
      <c r="AE44" s="37">
        <v>13</v>
      </c>
      <c r="AF44" s="37">
        <v>13</v>
      </c>
      <c r="AG44" s="37">
        <v>13</v>
      </c>
      <c r="AH44" s="40">
        <f t="shared" si="5"/>
        <v>27.5</v>
      </c>
      <c r="AI44" s="36">
        <f>IFERROR(INDEX('Level Multipliers'!$D:$D,MATCH(AH44,'Level Multipliers'!$A:$A,0)),"")</f>
        <v>1.4274643259182833</v>
      </c>
      <c r="AJ44" s="37">
        <f t="shared" si="6"/>
        <v>12</v>
      </c>
      <c r="AK44" s="37">
        <f t="shared" si="7"/>
        <v>12</v>
      </c>
      <c r="AL44" s="38">
        <f t="shared" si="8"/>
        <v>944199436.86971211</v>
      </c>
      <c r="AM44" s="38">
        <f t="shared" si="9"/>
        <v>945452105.96831095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28</v>
      </c>
      <c r="BA44" s="36">
        <f>IFERROR(INDEX('Level Multipliers'!$D:$D,MATCH(AZ44,'Level Multipliers'!$A:$A,0)),"")</f>
        <v>1.4146588542279308</v>
      </c>
      <c r="BB44" s="37">
        <f t="shared" si="12"/>
        <v>10</v>
      </c>
      <c r="BC44" s="37">
        <f t="shared" si="13"/>
        <v>10</v>
      </c>
      <c r="BD44" s="38">
        <f t="shared" si="14"/>
        <v>910771792.42101836</v>
      </c>
      <c r="BE44" s="38">
        <f t="shared" si="15"/>
        <v>911980113.07414603</v>
      </c>
      <c r="BF44" s="38" t="b">
        <f t="shared" si="16"/>
        <v>1</v>
      </c>
      <c r="BG44" s="37" t="str">
        <f t="array" ref="BG44:BQ44">IF(BF44,"",IVSolution($M44,$N44,$O44,BB44,BC44,BD44,BE44,$E44,$F44,$G44,$H44,$I44))</f>
        <v/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28.5</v>
      </c>
      <c r="BS44" s="36">
        <f>IFERROR(INDEX('Level Multipliers'!$D:$D,MATCH(BR44,'Level Multipliers'!$A:$A,0)),"")</f>
        <v>1.4021920400529488</v>
      </c>
      <c r="BT44" s="37">
        <f t="shared" si="18"/>
        <v>8</v>
      </c>
      <c r="BU44" s="37">
        <f t="shared" si="19"/>
        <v>9</v>
      </c>
      <c r="BV44" s="38">
        <f t="shared" si="20"/>
        <v>879088649.46599126</v>
      </c>
      <c r="BW44" s="38">
        <f t="shared" si="21"/>
        <v>880254936.10323584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27</v>
      </c>
      <c r="CK44" s="41">
        <f t="shared" si="24"/>
        <v>27</v>
      </c>
      <c r="CL44" s="66">
        <f t="shared" si="25"/>
        <v>0.88888888888888884</v>
      </c>
      <c r="CM44" s="39">
        <f t="shared" si="26"/>
        <v>0.88888888888888884</v>
      </c>
      <c r="CN44" s="39">
        <f t="shared" si="27"/>
        <v>0.88888888888888884</v>
      </c>
      <c r="CO44" s="42">
        <f t="shared" si="28"/>
        <v>14</v>
      </c>
      <c r="CP44" s="42">
        <f t="shared" si="29"/>
        <v>14</v>
      </c>
      <c r="CQ44" s="42">
        <f t="shared" si="30"/>
        <v>13</v>
      </c>
      <c r="CR44" s="42">
        <f t="shared" si="31"/>
        <v>13</v>
      </c>
      <c r="CS44" s="42">
        <f t="shared" si="32"/>
        <v>13</v>
      </c>
      <c r="CT44" s="42">
        <f t="shared" si="33"/>
        <v>13</v>
      </c>
      <c r="CU44" s="43">
        <f t="shared" si="34"/>
        <v>14</v>
      </c>
      <c r="CV44" s="43">
        <f t="shared" si="35"/>
        <v>13</v>
      </c>
      <c r="CW44" s="43">
        <f t="shared" si="36"/>
        <v>13</v>
      </c>
      <c r="CX44" s="13" t="s">
        <v>425</v>
      </c>
    </row>
    <row r="45" spans="1:102" x14ac:dyDescent="0.25">
      <c r="A45" s="31" t="s">
        <v>43</v>
      </c>
      <c r="B45" s="13">
        <v>1105</v>
      </c>
      <c r="C45" s="13">
        <v>104</v>
      </c>
      <c r="D45" s="13">
        <v>25</v>
      </c>
      <c r="E45" s="32" t="s">
        <v>2</v>
      </c>
      <c r="F45" s="32"/>
      <c r="G45" s="32"/>
      <c r="H45" s="32">
        <v>1</v>
      </c>
      <c r="I45" s="32" t="s">
        <v>2</v>
      </c>
      <c r="J45" s="13"/>
      <c r="K45" s="33"/>
      <c r="L45" s="34">
        <f>IFERROR(INDEX('Pokemon Data'!A:A,MATCH($A45,'Pokemon Data'!$B:$B,0)),"")</f>
        <v>18</v>
      </c>
      <c r="M45" s="34">
        <f>IFERROR(INDEX('Pokemon Data'!I:I,MATCH($A45,'Pokemon Data'!$B:$B,0)),"")</f>
        <v>166</v>
      </c>
      <c r="N45" s="34">
        <f>IFERROR(INDEX('Pokemon Data'!J:J,MATCH($A45,'Pokemon Data'!$B:$B,0)),"")</f>
        <v>166</v>
      </c>
      <c r="O45" s="34">
        <f>IFERROR(INDEX('Pokemon Data'!K:K,MATCH($A45,'Pokemon Data'!$B:$B,0)),"")</f>
        <v>157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0"/>
        <v>13</v>
      </c>
      <c r="S45" s="37">
        <f t="shared" si="1"/>
        <v>14</v>
      </c>
      <c r="T45" s="38">
        <f t="shared" si="2"/>
        <v>1062185387.892978</v>
      </c>
      <c r="U45" s="38">
        <f t="shared" si="3"/>
        <v>1064108765.2952681</v>
      </c>
      <c r="V45" s="38" t="b">
        <f t="shared" si="4"/>
        <v>1</v>
      </c>
      <c r="W45" s="37" t="str">
        <f t="array" ref="W45:AG45">IF(V45,"",IVSolution($M45,$N45,$O45,R45,S45,T45,U45,$E45,$F45,$G45,$H45,$I45))</f>
        <v/>
      </c>
      <c r="X45" s="37" t="str">
        <v/>
      </c>
      <c r="Y45" s="37" t="str">
        <v/>
      </c>
      <c r="Z45" s="39" t="str">
        <v/>
      </c>
      <c r="AA45" s="39" t="str">
        <v/>
      </c>
      <c r="AB45" s="37" t="str">
        <v/>
      </c>
      <c r="AC45" s="37" t="str">
        <v/>
      </c>
      <c r="AD45" s="37" t="str">
        <v/>
      </c>
      <c r="AE45" s="37" t="str">
        <v/>
      </c>
      <c r="AF45" s="37" t="str">
        <v/>
      </c>
      <c r="AG45" s="37" t="str">
        <v/>
      </c>
      <c r="AH45" s="40">
        <f t="shared" si="5"/>
        <v>19.5</v>
      </c>
      <c r="AI45" s="36">
        <f>IFERROR(INDEX('Level Multipliers'!$D:$D,MATCH(AH45,'Level Multipliers'!$A:$A,0)),"")</f>
        <v>1.6952373266621776</v>
      </c>
      <c r="AJ45" s="37">
        <f t="shared" si="6"/>
        <v>11</v>
      </c>
      <c r="AK45" s="37">
        <f t="shared" si="7"/>
        <v>11</v>
      </c>
      <c r="AL45" s="38">
        <f t="shared" si="8"/>
        <v>1008431914.0031818</v>
      </c>
      <c r="AM45" s="38">
        <f t="shared" si="9"/>
        <v>1010257956.0267776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20</v>
      </c>
      <c r="BA45" s="36">
        <f>IFERROR(INDEX('Level Multipliers'!$D:$D,MATCH(AZ45,'Level Multipliers'!$A:$A,0)),"")</f>
        <v>1.6739202944034379</v>
      </c>
      <c r="BB45" s="37">
        <f t="shared" si="12"/>
        <v>9</v>
      </c>
      <c r="BC45" s="37">
        <f t="shared" si="13"/>
        <v>9</v>
      </c>
      <c r="BD45" s="38">
        <f t="shared" si="14"/>
        <v>958657898.80054128</v>
      </c>
      <c r="BE45" s="38">
        <f t="shared" si="15"/>
        <v>960393811.34471357</v>
      </c>
      <c r="BF45" s="38" t="b">
        <f t="shared" si="16"/>
        <v>0</v>
      </c>
      <c r="BG45" s="37">
        <f t="array" ref="BG45:BQ45">IF(BF45,"",IVSolution($M45,$N45,$O45,BB45,BC45,BD45,BE45,$E45,$F45,$G45,$H45,$I45))</f>
        <v>1</v>
      </c>
      <c r="BH45" s="37">
        <v>36</v>
      </c>
      <c r="BI45" s="37">
        <v>36</v>
      </c>
      <c r="BJ45" s="39">
        <v>0.8</v>
      </c>
      <c r="BK45" s="39">
        <v>0.8</v>
      </c>
      <c r="BL45" s="37">
        <v>9</v>
      </c>
      <c r="BM45" s="37">
        <v>9</v>
      </c>
      <c r="BN45" s="37">
        <v>13</v>
      </c>
      <c r="BO45" s="37">
        <v>13</v>
      </c>
      <c r="BP45" s="37">
        <v>14</v>
      </c>
      <c r="BQ45" s="37">
        <v>14</v>
      </c>
      <c r="BR45" s="40">
        <f t="shared" si="17"/>
        <v>20.5</v>
      </c>
      <c r="BS45" s="36">
        <f>IFERROR(INDEX('Level Multipliers'!$D:$D,MATCH(BR45,'Level Multipliers'!$A:$A,0)),"")</f>
        <v>1.6533745038028393</v>
      </c>
      <c r="BT45" s="37">
        <f t="shared" si="18"/>
        <v>6</v>
      </c>
      <c r="BU45" s="37">
        <f t="shared" si="19"/>
        <v>7</v>
      </c>
      <c r="BV45" s="38">
        <f t="shared" si="20"/>
        <v>912450893.7471</v>
      </c>
      <c r="BW45" s="38">
        <f t="shared" si="21"/>
        <v>914103135.8601402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20</v>
      </c>
      <c r="CK45" s="41">
        <f t="shared" si="24"/>
        <v>20</v>
      </c>
      <c r="CL45" s="66">
        <f t="shared" si="25"/>
        <v>0.8</v>
      </c>
      <c r="CM45" s="39">
        <f t="shared" si="26"/>
        <v>0.8</v>
      </c>
      <c r="CN45" s="39">
        <f t="shared" si="27"/>
        <v>0.8</v>
      </c>
      <c r="CO45" s="42">
        <f t="shared" si="28"/>
        <v>9</v>
      </c>
      <c r="CP45" s="42">
        <f t="shared" si="29"/>
        <v>9</v>
      </c>
      <c r="CQ45" s="42">
        <f t="shared" si="30"/>
        <v>13</v>
      </c>
      <c r="CR45" s="42">
        <f t="shared" si="31"/>
        <v>13</v>
      </c>
      <c r="CS45" s="42">
        <f t="shared" si="32"/>
        <v>14</v>
      </c>
      <c r="CT45" s="42">
        <f t="shared" si="33"/>
        <v>14</v>
      </c>
      <c r="CU45" s="43">
        <f t="shared" si="34"/>
        <v>9</v>
      </c>
      <c r="CV45" s="43">
        <f t="shared" si="35"/>
        <v>13</v>
      </c>
      <c r="CW45" s="43">
        <f t="shared" si="36"/>
        <v>14</v>
      </c>
      <c r="CX45" s="13" t="s">
        <v>426</v>
      </c>
    </row>
    <row r="46" spans="1:102" x14ac:dyDescent="0.25">
      <c r="A46" s="31" t="s">
        <v>45</v>
      </c>
      <c r="B46" s="13">
        <v>1135</v>
      </c>
      <c r="C46" s="13">
        <v>84</v>
      </c>
      <c r="D46" s="13">
        <v>40</v>
      </c>
      <c r="E46" s="32" t="s">
        <v>0</v>
      </c>
      <c r="F46" s="32"/>
      <c r="G46" s="32">
        <v>1</v>
      </c>
      <c r="H46" s="32"/>
      <c r="I46" s="32" t="s">
        <v>0</v>
      </c>
      <c r="J46" s="13"/>
      <c r="K46" s="33"/>
      <c r="L46" s="34">
        <f>IFERROR(INDEX('Pokemon Data'!A:A,MATCH($A46,'Pokemon Data'!$B:$B,0)),"")</f>
        <v>20</v>
      </c>
      <c r="M46" s="34">
        <f>IFERROR(INDEX('Pokemon Data'!I:I,MATCH($A46,'Pokemon Data'!$B:$B,0)),"")</f>
        <v>110</v>
      </c>
      <c r="N46" s="34">
        <f>IFERROR(INDEX('Pokemon Data'!J:J,MATCH($A46,'Pokemon Data'!$B:$B,0)),"")</f>
        <v>161</v>
      </c>
      <c r="O46" s="34">
        <f>IFERROR(INDEX('Pokemon Data'!K:K,MATCH($A46,'Pokemon Data'!$B:$B,0)),"")</f>
        <v>144</v>
      </c>
      <c r="P46" s="35">
        <f>IFERROR(INDEX('Level Multipliers'!$A:$A,MATCH($D46,'Level Multipliers'!$B:$B,0)),"")</f>
        <v>25</v>
      </c>
      <c r="Q46" s="36">
        <f>IFERROR(INDEX('Level Multipliers'!$D:$D,MATCH(P46,'Level Multipliers'!$A:$A,0)),"")</f>
        <v>1.4971539093132804</v>
      </c>
      <c r="R46" s="37">
        <f t="shared" si="0"/>
        <v>16</v>
      </c>
      <c r="S46" s="37">
        <f t="shared" si="1"/>
        <v>15</v>
      </c>
      <c r="T46" s="38">
        <f t="shared" si="2"/>
        <v>647228328.59728825</v>
      </c>
      <c r="U46" s="38">
        <f t="shared" si="3"/>
        <v>648369321.46285474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25.5</v>
      </c>
      <c r="AI46" s="36">
        <f>IFERROR(INDEX('Level Multipliers'!$D:$D,MATCH(AH46,'Level Multipliers'!$A:$A,0)),"")</f>
        <v>1.4823997223704843</v>
      </c>
      <c r="AJ46" s="37">
        <f t="shared" si="6"/>
        <v>15</v>
      </c>
      <c r="AK46" s="37">
        <f t="shared" si="7"/>
        <v>15</v>
      </c>
      <c r="AL46" s="38">
        <f t="shared" si="8"/>
        <v>622089717.4902575</v>
      </c>
      <c r="AM46" s="38">
        <f t="shared" si="9"/>
        <v>623186393.72959483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26</v>
      </c>
      <c r="BA46" s="36">
        <f>IFERROR(INDEX('Level Multipliers'!$D:$D,MATCH(AZ46,'Level Multipliers'!$A:$A,0)),"")</f>
        <v>1.4680732523857296</v>
      </c>
      <c r="BB46" s="37">
        <f t="shared" si="12"/>
        <v>14</v>
      </c>
      <c r="BC46" s="37">
        <f t="shared" si="13"/>
        <v>14</v>
      </c>
      <c r="BD46" s="38">
        <f t="shared" si="14"/>
        <v>598387657.98688662</v>
      </c>
      <c r="BE46" s="38">
        <f t="shared" si="15"/>
        <v>599442550.08359969</v>
      </c>
      <c r="BF46" s="38" t="b">
        <f t="shared" si="16"/>
        <v>0</v>
      </c>
      <c r="BG46" s="37">
        <f t="array" ref="BG46:BQ46">IF(BF46,"",IVSolution($M46,$N46,$O46,BB46,BC46,BD46,BE46,$E46,$F46,$G46,$H46,$I46))</f>
        <v>1</v>
      </c>
      <c r="BH46" s="37">
        <v>41</v>
      </c>
      <c r="BI46" s="37">
        <v>41</v>
      </c>
      <c r="BJ46" s="39">
        <v>0.91111111111111109</v>
      </c>
      <c r="BK46" s="39">
        <v>0.91111111111111109</v>
      </c>
      <c r="BL46" s="37">
        <v>14</v>
      </c>
      <c r="BM46" s="37">
        <v>14</v>
      </c>
      <c r="BN46" s="37">
        <v>15</v>
      </c>
      <c r="BO46" s="37">
        <v>15</v>
      </c>
      <c r="BP46" s="37">
        <v>12</v>
      </c>
      <c r="BQ46" s="37">
        <v>12</v>
      </c>
      <c r="BR46" s="40">
        <f t="shared" si="17"/>
        <v>26.5</v>
      </c>
      <c r="BS46" s="36">
        <f>IFERROR(INDEX('Level Multipliers'!$D:$D,MATCH(BR46,'Level Multipliers'!$A:$A,0)),"")</f>
        <v>1.4541543636838528</v>
      </c>
      <c r="BT46" s="37">
        <f t="shared" si="18"/>
        <v>13</v>
      </c>
      <c r="BU46" s="37">
        <f t="shared" si="19"/>
        <v>13</v>
      </c>
      <c r="BV46" s="38">
        <f t="shared" si="20"/>
        <v>576014964.92884564</v>
      </c>
      <c r="BW46" s="38">
        <f t="shared" si="21"/>
        <v>577030416.41080987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26</v>
      </c>
      <c r="CK46" s="41">
        <f t="shared" si="24"/>
        <v>26</v>
      </c>
      <c r="CL46" s="66">
        <f t="shared" si="25"/>
        <v>0.91111111111111109</v>
      </c>
      <c r="CM46" s="39">
        <f t="shared" si="26"/>
        <v>0.91111111111111109</v>
      </c>
      <c r="CN46" s="39">
        <f t="shared" si="27"/>
        <v>0.91111111111111109</v>
      </c>
      <c r="CO46" s="42">
        <f t="shared" si="28"/>
        <v>14</v>
      </c>
      <c r="CP46" s="42">
        <f t="shared" si="29"/>
        <v>14</v>
      </c>
      <c r="CQ46" s="42">
        <f t="shared" si="30"/>
        <v>15</v>
      </c>
      <c r="CR46" s="42">
        <f t="shared" si="31"/>
        <v>15</v>
      </c>
      <c r="CS46" s="42">
        <f t="shared" si="32"/>
        <v>12</v>
      </c>
      <c r="CT46" s="42">
        <f t="shared" si="33"/>
        <v>12</v>
      </c>
      <c r="CU46" s="43">
        <f t="shared" si="34"/>
        <v>14</v>
      </c>
      <c r="CV46" s="43">
        <f t="shared" si="35"/>
        <v>15</v>
      </c>
      <c r="CW46" s="43">
        <f t="shared" si="36"/>
        <v>12</v>
      </c>
      <c r="CX46" s="13" t="s">
        <v>426</v>
      </c>
    </row>
    <row r="47" spans="1:102" x14ac:dyDescent="0.25">
      <c r="A47" s="31" t="s">
        <v>45</v>
      </c>
      <c r="B47" s="13">
        <v>250</v>
      </c>
      <c r="C47" s="13">
        <v>39</v>
      </c>
      <c r="D47" s="13">
        <v>6</v>
      </c>
      <c r="E47" s="32" t="s">
        <v>0</v>
      </c>
      <c r="F47" s="32"/>
      <c r="G47" s="32">
        <v>1</v>
      </c>
      <c r="H47" s="32"/>
      <c r="I47" s="32" t="s">
        <v>0</v>
      </c>
      <c r="J47" s="13"/>
      <c r="K47" s="33"/>
      <c r="L47" s="34">
        <f>IFERROR(INDEX('Pokemon Data'!A:A,MATCH($A47,'Pokemon Data'!$B:$B,0)),"")</f>
        <v>20</v>
      </c>
      <c r="M47" s="34">
        <f>IFERROR(INDEX('Pokemon Data'!I:I,MATCH($A47,'Pokemon Data'!$B:$B,0)),"")</f>
        <v>110</v>
      </c>
      <c r="N47" s="34">
        <f>IFERROR(INDEX('Pokemon Data'!J:J,MATCH($A47,'Pokemon Data'!$B:$B,0)),"")</f>
        <v>161</v>
      </c>
      <c r="O47" s="34">
        <f>IFERROR(INDEX('Pokemon Data'!K:K,MATCH($A47,'Pokemon Data'!$B:$B,0)),"")</f>
        <v>144</v>
      </c>
      <c r="P47" s="35">
        <f>IFERROR(INDEX('Level Multipliers'!$A:$A,MATCH($D47,'Level Multipliers'!$B:$B,0)),"")</f>
        <v>5</v>
      </c>
      <c r="Q47" s="36">
        <f>IFERROR(INDEX('Level Multipliers'!$D:$D,MATCH(P47,'Level Multipliers'!$A:$A,0)),"")</f>
        <v>3.4453071462968556</v>
      </c>
      <c r="R47" s="37">
        <f t="shared" si="0"/>
        <v>25</v>
      </c>
      <c r="S47" s="37">
        <f t="shared" si="1"/>
        <v>15</v>
      </c>
      <c r="T47" s="38">
        <f t="shared" si="2"/>
        <v>880626595.30844331</v>
      </c>
      <c r="U47" s="38">
        <f t="shared" si="3"/>
        <v>887685698.09643579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5.5</v>
      </c>
      <c r="AI47" s="36">
        <f>IFERROR(INDEX('Level Multipliers'!$D:$D,MATCH(AH47,'Level Multipliers'!$A:$A,0)),"")</f>
        <v>3.2673611577633439</v>
      </c>
      <c r="AJ47" s="37">
        <f t="shared" si="6"/>
        <v>18</v>
      </c>
      <c r="AK47" s="37">
        <f t="shared" si="7"/>
        <v>15</v>
      </c>
      <c r="AL47" s="38">
        <f t="shared" si="8"/>
        <v>712309251.18081999</v>
      </c>
      <c r="AM47" s="38">
        <f t="shared" si="9"/>
        <v>718019122.1382854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6</v>
      </c>
      <c r="BA47" s="36">
        <f>IFERROR(INDEX('Level Multipliers'!$D:$D,MATCH(AZ47,'Level Multipliers'!$A:$A,0)),"")</f>
        <v>3.1144148940514844</v>
      </c>
      <c r="BB47" s="37">
        <f t="shared" si="12"/>
        <v>12</v>
      </c>
      <c r="BC47" s="37">
        <f t="shared" si="13"/>
        <v>14</v>
      </c>
      <c r="BD47" s="38">
        <f t="shared" si="14"/>
        <v>588011592.14193416</v>
      </c>
      <c r="BE47" s="38">
        <f t="shared" si="15"/>
        <v>592725093.06454384</v>
      </c>
      <c r="BF47" s="38" t="b">
        <f t="shared" si="16"/>
        <v>0</v>
      </c>
      <c r="BG47" s="37">
        <f t="array" ref="BG47:BQ47">IF(BF47,"",IVSolution($M47,$N47,$O47,BB47,BC47,BD47,BE47,$E47,$F47,$G47,$H47,$I47))</f>
        <v>3</v>
      </c>
      <c r="BH47" s="37">
        <v>39</v>
      </c>
      <c r="BI47" s="37">
        <v>39</v>
      </c>
      <c r="BJ47" s="39">
        <v>0.8666666666666667</v>
      </c>
      <c r="BK47" s="39">
        <v>0.8666666666666667</v>
      </c>
      <c r="BL47" s="37">
        <v>12</v>
      </c>
      <c r="BM47" s="37">
        <v>14</v>
      </c>
      <c r="BN47" s="37">
        <v>15</v>
      </c>
      <c r="BO47" s="37">
        <v>15</v>
      </c>
      <c r="BP47" s="37">
        <v>10</v>
      </c>
      <c r="BQ47" s="37">
        <v>12</v>
      </c>
      <c r="BR47" s="40">
        <f t="shared" si="17"/>
        <v>6.5</v>
      </c>
      <c r="BS47" s="36">
        <f>IFERROR(INDEX('Level Multipliers'!$D:$D,MATCH(BR47,'Level Multipliers'!$A:$A,0)),"")</f>
        <v>2.9811143544095775</v>
      </c>
      <c r="BT47" s="37">
        <f t="shared" si="18"/>
        <v>7</v>
      </c>
      <c r="BU47" s="37">
        <f t="shared" si="19"/>
        <v>9</v>
      </c>
      <c r="BV47" s="38">
        <f t="shared" si="20"/>
        <v>493622060.14734513</v>
      </c>
      <c r="BW47" s="38">
        <f t="shared" si="21"/>
        <v>497578934.58148623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6</v>
      </c>
      <c r="CK47" s="41">
        <f t="shared" si="24"/>
        <v>6</v>
      </c>
      <c r="CL47" s="66">
        <f t="shared" si="25"/>
        <v>0.8666666666666667</v>
      </c>
      <c r="CM47" s="39">
        <f t="shared" si="26"/>
        <v>0.8666666666666667</v>
      </c>
      <c r="CN47" s="39">
        <f t="shared" si="27"/>
        <v>0.8666666666666667</v>
      </c>
      <c r="CO47" s="42">
        <f t="shared" si="28"/>
        <v>12</v>
      </c>
      <c r="CP47" s="42">
        <f t="shared" si="29"/>
        <v>14</v>
      </c>
      <c r="CQ47" s="42">
        <f t="shared" si="30"/>
        <v>15</v>
      </c>
      <c r="CR47" s="42">
        <f t="shared" si="31"/>
        <v>15</v>
      </c>
      <c r="CS47" s="42">
        <f t="shared" si="32"/>
        <v>10</v>
      </c>
      <c r="CT47" s="42">
        <f t="shared" si="33"/>
        <v>12</v>
      </c>
      <c r="CU47" s="43" t="str">
        <f t="shared" si="34"/>
        <v>12-14</v>
      </c>
      <c r="CV47" s="43">
        <f t="shared" si="35"/>
        <v>15</v>
      </c>
      <c r="CW47" s="43" t="str">
        <f t="shared" si="36"/>
        <v>10-12</v>
      </c>
      <c r="CX47" s="13" t="s">
        <v>422</v>
      </c>
    </row>
    <row r="48" spans="1:102" x14ac:dyDescent="0.25">
      <c r="A48" s="31" t="s">
        <v>47</v>
      </c>
      <c r="B48" s="13">
        <v>760</v>
      </c>
      <c r="C48" s="13">
        <v>73</v>
      </c>
      <c r="D48" s="13">
        <v>19</v>
      </c>
      <c r="E48" s="32" t="s">
        <v>0</v>
      </c>
      <c r="F48" s="32"/>
      <c r="G48" s="32">
        <v>1</v>
      </c>
      <c r="H48" s="32"/>
      <c r="I48" s="32" t="s">
        <v>2</v>
      </c>
      <c r="J48" s="13"/>
      <c r="K48" s="33">
        <v>15</v>
      </c>
      <c r="L48" s="34">
        <f>IFERROR(INDEX('Pokemon Data'!A:A,MATCH($A48,'Pokemon Data'!$B:$B,0)),"")</f>
        <v>22</v>
      </c>
      <c r="M48" s="34">
        <f>IFERROR(INDEX('Pokemon Data'!I:I,MATCH($A48,'Pokemon Data'!$B:$B,0)),"")</f>
        <v>130</v>
      </c>
      <c r="N48" s="34">
        <f>IFERROR(INDEX('Pokemon Data'!J:J,MATCH($A48,'Pokemon Data'!$B:$B,0)),"")</f>
        <v>182</v>
      </c>
      <c r="O48" s="34">
        <f>IFERROR(INDEX('Pokemon Data'!K:K,MATCH($A48,'Pokemon Data'!$B:$B,0)),"")</f>
        <v>135</v>
      </c>
      <c r="P48" s="35">
        <f>IFERROR(INDEX('Level Multipliers'!$A:$A,MATCH($D48,'Level Multipliers'!$B:$B,0)),"")</f>
        <v>15</v>
      </c>
      <c r="Q48" s="36">
        <f>IFERROR(INDEX('Level Multipliers'!$D:$D,MATCH(P48,'Level Multipliers'!$A:$A,0)),"")</f>
        <v>1.9327632386874845</v>
      </c>
      <c r="R48" s="37">
        <f t="shared" si="0"/>
        <v>12</v>
      </c>
      <c r="S48" s="37">
        <f t="shared" si="1"/>
        <v>13</v>
      </c>
      <c r="T48" s="38">
        <f t="shared" si="2"/>
        <v>806012563.63309717</v>
      </c>
      <c r="U48" s="38">
        <f t="shared" si="3"/>
        <v>808135044.77798283</v>
      </c>
      <c r="V48" s="38" t="b">
        <f t="shared" si="4"/>
        <v>0</v>
      </c>
      <c r="W48" s="37">
        <f t="array" ref="W48:AG48">IF(V48,"",IVSolution($M48,$N48,$O48,R48,S48,T48,U48,$E48,$F48,$G48,$H48,$I48))</f>
        <v>2</v>
      </c>
      <c r="X48" s="37">
        <v>39</v>
      </c>
      <c r="Y48" s="37">
        <v>39</v>
      </c>
      <c r="Z48" s="39">
        <v>0.8666666666666667</v>
      </c>
      <c r="AA48" s="39">
        <v>0.8666666666666667</v>
      </c>
      <c r="AB48" s="37">
        <v>12</v>
      </c>
      <c r="AC48" s="37">
        <v>13</v>
      </c>
      <c r="AD48" s="37">
        <v>14</v>
      </c>
      <c r="AE48" s="37">
        <v>14</v>
      </c>
      <c r="AF48" s="37">
        <v>12</v>
      </c>
      <c r="AG48" s="37">
        <v>13</v>
      </c>
      <c r="AH48" s="40">
        <f t="shared" si="5"/>
        <v>15.5</v>
      </c>
      <c r="AI48" s="36">
        <f>IFERROR(INDEX('Level Multipliers'!$D:$D,MATCH(AH48,'Level Multipliers'!$A:$A,0)),"")</f>
        <v>1.9013484732050823</v>
      </c>
      <c r="AJ48" s="37">
        <f t="shared" si="6"/>
        <v>9</v>
      </c>
      <c r="AK48" s="37">
        <f t="shared" si="7"/>
        <v>10</v>
      </c>
      <c r="AL48" s="38">
        <f t="shared" si="8"/>
        <v>754873302.03728092</v>
      </c>
      <c r="AM48" s="38">
        <f t="shared" si="9"/>
        <v>756861117.64046431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16</v>
      </c>
      <c r="BA48" s="36">
        <f>IFERROR(INDEX('Level Multipliers'!$D:$D,MATCH(AZ48,'Level Multipliers'!$A:$A,0)),"")</f>
        <v>1.8714174200985207</v>
      </c>
      <c r="BB48" s="37">
        <f t="shared" si="12"/>
        <v>7</v>
      </c>
      <c r="BC48" s="37">
        <f t="shared" si="13"/>
        <v>8</v>
      </c>
      <c r="BD48" s="38">
        <f t="shared" si="14"/>
        <v>708451062.11368859</v>
      </c>
      <c r="BE48" s="38">
        <f t="shared" si="15"/>
        <v>710316633.55668533</v>
      </c>
      <c r="BF48" s="38" t="b">
        <f t="shared" si="16"/>
        <v>1</v>
      </c>
      <c r="BG48" s="37" t="str">
        <f t="array" ref="BG48:BQ48">IF(BF48,"",IVSolution($M48,$N48,$O48,BB48,BC48,BD48,BE48,$E48,$F48,$G48,$H48,$I48))</f>
        <v/>
      </c>
      <c r="BH48" s="37" t="str">
        <v/>
      </c>
      <c r="BI48" s="37" t="str">
        <v/>
      </c>
      <c r="BJ48" s="39" t="str">
        <v/>
      </c>
      <c r="BK48" s="39" t="str">
        <v/>
      </c>
      <c r="BL48" s="37" t="str">
        <v/>
      </c>
      <c r="BM48" s="37" t="str">
        <v/>
      </c>
      <c r="BN48" s="37" t="str">
        <v/>
      </c>
      <c r="BO48" s="37" t="str">
        <v/>
      </c>
      <c r="BP48" s="37" t="str">
        <v/>
      </c>
      <c r="BQ48" s="37" t="str">
        <v/>
      </c>
      <c r="BR48" s="40">
        <f t="shared" si="17"/>
        <v>16.5</v>
      </c>
      <c r="BS48" s="36">
        <f>IFERROR(INDEX('Level Multipliers'!$D:$D,MATCH(BR48,'Level Multipliers'!$A:$A,0)),"")</f>
        <v>1.8428568206029767</v>
      </c>
      <c r="BT48" s="37">
        <f t="shared" si="18"/>
        <v>5</v>
      </c>
      <c r="BU48" s="37">
        <f t="shared" si="19"/>
        <v>6</v>
      </c>
      <c r="BV48" s="38">
        <f t="shared" si="20"/>
        <v>666183024.51278079</v>
      </c>
      <c r="BW48" s="38">
        <f t="shared" si="21"/>
        <v>667937291.09914494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15</v>
      </c>
      <c r="CK48" s="41">
        <f t="shared" si="24"/>
        <v>15</v>
      </c>
      <c r="CL48" s="66">
        <f t="shared" si="25"/>
        <v>0.8666666666666667</v>
      </c>
      <c r="CM48" s="39">
        <f t="shared" si="26"/>
        <v>0.8666666666666667</v>
      </c>
      <c r="CN48" s="39">
        <f t="shared" si="27"/>
        <v>0.8666666666666667</v>
      </c>
      <c r="CO48" s="42">
        <f t="shared" si="28"/>
        <v>12</v>
      </c>
      <c r="CP48" s="42">
        <f t="shared" si="29"/>
        <v>13</v>
      </c>
      <c r="CQ48" s="42">
        <f t="shared" si="30"/>
        <v>14</v>
      </c>
      <c r="CR48" s="42">
        <f t="shared" si="31"/>
        <v>14</v>
      </c>
      <c r="CS48" s="42">
        <f t="shared" si="32"/>
        <v>12</v>
      </c>
      <c r="CT48" s="42">
        <f t="shared" si="33"/>
        <v>13</v>
      </c>
      <c r="CU48" s="43" t="str">
        <f t="shared" si="34"/>
        <v>12-13</v>
      </c>
      <c r="CV48" s="43">
        <f t="shared" si="35"/>
        <v>14</v>
      </c>
      <c r="CW48" s="43" t="str">
        <f t="shared" si="36"/>
        <v>12-13</v>
      </c>
      <c r="CX48" s="13" t="s">
        <v>422</v>
      </c>
    </row>
    <row r="49" spans="1:102" x14ac:dyDescent="0.25">
      <c r="A49" s="31" t="s">
        <v>49</v>
      </c>
      <c r="B49" s="13">
        <v>981</v>
      </c>
      <c r="C49" s="13">
        <v>80</v>
      </c>
      <c r="D49" s="13">
        <v>25</v>
      </c>
      <c r="E49" s="32" t="s">
        <v>0</v>
      </c>
      <c r="F49" s="32">
        <v>1</v>
      </c>
      <c r="G49" s="32"/>
      <c r="H49" s="32"/>
      <c r="I49" s="32" t="s">
        <v>0</v>
      </c>
      <c r="J49" s="13"/>
      <c r="K49" s="33"/>
      <c r="L49" s="34">
        <f>IFERROR(INDEX('Pokemon Data'!A:A,MATCH($A49,'Pokemon Data'!$B:$B,0)),"")</f>
        <v>24</v>
      </c>
      <c r="M49" s="34">
        <f>IFERROR(INDEX('Pokemon Data'!I:I,MATCH($A49,'Pokemon Data'!$B:$B,0)),"")</f>
        <v>120</v>
      </c>
      <c r="N49" s="34">
        <f>IFERROR(INDEX('Pokemon Data'!J:J,MATCH($A49,'Pokemon Data'!$B:$B,0)),"")</f>
        <v>167</v>
      </c>
      <c r="O49" s="34">
        <f>IFERROR(INDEX('Pokemon Data'!K:K,MATCH($A49,'Pokemon Data'!$B:$B,0)),"")</f>
        <v>158</v>
      </c>
      <c r="P49" s="35">
        <f>IFERROR(INDEX('Level Multipliers'!$A:$A,MATCH($D49,'Level Multipliers'!$B:$B,0)),"")</f>
        <v>19</v>
      </c>
      <c r="Q49" s="36">
        <f>IFERROR(INDEX('Level Multipliers'!$D:$D,MATCH(P49,'Level Multipliers'!$A:$A,0)),"")</f>
        <v>1.7173900470456649</v>
      </c>
      <c r="R49" s="37">
        <f t="shared" si="0"/>
        <v>18</v>
      </c>
      <c r="S49" s="37">
        <f t="shared" si="1"/>
        <v>15</v>
      </c>
      <c r="T49" s="38">
        <f t="shared" si="2"/>
        <v>837170239.82152224</v>
      </c>
      <c r="U49" s="38">
        <f t="shared" si="3"/>
        <v>838877878.82681191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19.5</v>
      </c>
      <c r="AI49" s="36">
        <f>IFERROR(INDEX('Level Multipliers'!$D:$D,MATCH(AH49,'Level Multipliers'!$A:$A,0)),"")</f>
        <v>1.6952373266621776</v>
      </c>
      <c r="AJ49" s="37">
        <f t="shared" si="6"/>
        <v>16</v>
      </c>
      <c r="AK49" s="37">
        <f t="shared" si="7"/>
        <v>15</v>
      </c>
      <c r="AL49" s="38">
        <f t="shared" si="8"/>
        <v>794803992.70450318</v>
      </c>
      <c r="AM49" s="38">
        <f t="shared" si="9"/>
        <v>796425214.09406388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20</v>
      </c>
      <c r="BA49" s="36">
        <f>IFERROR(INDEX('Level Multipliers'!$D:$D,MATCH(AZ49,'Level Multipliers'!$A:$A,0)),"")</f>
        <v>1.6739202944034379</v>
      </c>
      <c r="BB49" s="37">
        <f t="shared" si="12"/>
        <v>14</v>
      </c>
      <c r="BC49" s="37">
        <f t="shared" si="13"/>
        <v>15</v>
      </c>
      <c r="BD49" s="38">
        <f t="shared" si="14"/>
        <v>755574189.01954317</v>
      </c>
      <c r="BE49" s="38">
        <f t="shared" si="15"/>
        <v>757115390.43257356</v>
      </c>
      <c r="BF49" s="38" t="b">
        <f t="shared" si="16"/>
        <v>0</v>
      </c>
      <c r="BG49" s="37">
        <f t="array" ref="BG49:BQ49">IF(BF49,"",IVSolution($M49,$N49,$O49,BB49,BC49,BD49,BE49,$E49,$F49,$G49,$H49,$I49))</f>
        <v>1</v>
      </c>
      <c r="BH49" s="37">
        <v>42</v>
      </c>
      <c r="BI49" s="37">
        <v>42</v>
      </c>
      <c r="BJ49" s="39">
        <v>0.93333333333333335</v>
      </c>
      <c r="BK49" s="39">
        <v>0.93333333333333335</v>
      </c>
      <c r="BL49" s="37">
        <v>15</v>
      </c>
      <c r="BM49" s="37">
        <v>15</v>
      </c>
      <c r="BN49" s="37">
        <v>14</v>
      </c>
      <c r="BO49" s="37">
        <v>14</v>
      </c>
      <c r="BP49" s="37">
        <v>13</v>
      </c>
      <c r="BQ49" s="37">
        <v>13</v>
      </c>
      <c r="BR49" s="40">
        <f t="shared" si="17"/>
        <v>20.5</v>
      </c>
      <c r="BS49" s="36">
        <f>IFERROR(INDEX('Level Multipliers'!$D:$D,MATCH(BR49,'Level Multipliers'!$A:$A,0)),"")</f>
        <v>1.6533745038028393</v>
      </c>
      <c r="BT49" s="37">
        <f t="shared" si="18"/>
        <v>13</v>
      </c>
      <c r="BU49" s="37">
        <f t="shared" si="19"/>
        <v>13</v>
      </c>
      <c r="BV49" s="38">
        <f t="shared" si="20"/>
        <v>719155754.02416241</v>
      </c>
      <c r="BW49" s="38">
        <f t="shared" si="21"/>
        <v>720622670.02049792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20</v>
      </c>
      <c r="CK49" s="41">
        <f t="shared" si="24"/>
        <v>20</v>
      </c>
      <c r="CL49" s="66">
        <f t="shared" si="25"/>
        <v>0.93333333333333335</v>
      </c>
      <c r="CM49" s="39">
        <f t="shared" si="26"/>
        <v>0.93333333333333335</v>
      </c>
      <c r="CN49" s="39">
        <f t="shared" si="27"/>
        <v>0.93333333333333335</v>
      </c>
      <c r="CO49" s="42">
        <f t="shared" si="28"/>
        <v>15</v>
      </c>
      <c r="CP49" s="42">
        <f t="shared" si="29"/>
        <v>15</v>
      </c>
      <c r="CQ49" s="42">
        <f t="shared" si="30"/>
        <v>14</v>
      </c>
      <c r="CR49" s="42">
        <f t="shared" si="31"/>
        <v>14</v>
      </c>
      <c r="CS49" s="42">
        <f t="shared" si="32"/>
        <v>13</v>
      </c>
      <c r="CT49" s="42">
        <f t="shared" si="33"/>
        <v>13</v>
      </c>
      <c r="CU49" s="43">
        <f t="shared" si="34"/>
        <v>15</v>
      </c>
      <c r="CV49" s="43">
        <f t="shared" si="35"/>
        <v>14</v>
      </c>
      <c r="CW49" s="43">
        <f t="shared" si="36"/>
        <v>13</v>
      </c>
      <c r="CX49" s="13" t="s">
        <v>422</v>
      </c>
    </row>
    <row r="50" spans="1:102" x14ac:dyDescent="0.25">
      <c r="A50" s="31" t="s">
        <v>50</v>
      </c>
      <c r="B50" s="13">
        <v>549</v>
      </c>
      <c r="C50" s="13">
        <v>52</v>
      </c>
      <c r="D50" s="13">
        <v>45</v>
      </c>
      <c r="E50" s="32" t="s">
        <v>3</v>
      </c>
      <c r="F50" s="32"/>
      <c r="G50" s="32">
        <v>1</v>
      </c>
      <c r="H50" s="32"/>
      <c r="I50" s="32" t="s">
        <v>2</v>
      </c>
      <c r="J50" s="13"/>
      <c r="K50" s="33">
        <v>27</v>
      </c>
      <c r="L50" s="34">
        <f>IFERROR(INDEX('Pokemon Data'!A:A,MATCH($A50,'Pokemon Data'!$B:$B,0)),"")</f>
        <v>25</v>
      </c>
      <c r="M50" s="34">
        <f>IFERROR(INDEX('Pokemon Data'!I:I,MATCH($A50,'Pokemon Data'!$B:$B,0)),"")</f>
        <v>70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101</v>
      </c>
      <c r="P50" s="35">
        <f>IFERROR(INDEX('Level Multipliers'!$A:$A,MATCH($D50,'Level Multipliers'!$B:$B,0)),"")</f>
        <v>27</v>
      </c>
      <c r="Q50" s="36">
        <f>IFERROR(INDEX('Level Multipliers'!$D:$D,MATCH(P50,'Level Multipliers'!$A:$A,0)),"")</f>
        <v>1.4406239915890684</v>
      </c>
      <c r="R50" s="37">
        <f t="shared" si="0"/>
        <v>5</v>
      </c>
      <c r="S50" s="37">
        <f t="shared" si="1"/>
        <v>6</v>
      </c>
      <c r="T50" s="38">
        <f t="shared" si="2"/>
        <v>129821690.82847351</v>
      </c>
      <c r="U50" s="38">
        <f t="shared" si="3"/>
        <v>130295060.3203481</v>
      </c>
      <c r="V50" s="38" t="b">
        <f t="shared" si="4"/>
        <v>0</v>
      </c>
      <c r="W50" s="37">
        <f t="array" ref="W50:AG50">IF(V50,"",IVSolution($M50,$N50,$O50,R50,S50,T50,U50,$E50,$F50,$G50,$H50,$I50))</f>
        <v>1</v>
      </c>
      <c r="X50" s="37">
        <v>28</v>
      </c>
      <c r="Y50" s="37">
        <v>28</v>
      </c>
      <c r="Z50" s="39">
        <v>0.62222222222222223</v>
      </c>
      <c r="AA50" s="39">
        <v>0.62222222222222223</v>
      </c>
      <c r="AB50" s="37">
        <v>5</v>
      </c>
      <c r="AC50" s="37">
        <v>5</v>
      </c>
      <c r="AD50" s="37">
        <v>13</v>
      </c>
      <c r="AE50" s="37">
        <v>13</v>
      </c>
      <c r="AF50" s="37">
        <v>10</v>
      </c>
      <c r="AG50" s="37">
        <v>10</v>
      </c>
      <c r="AH50" s="40">
        <f t="shared" si="5"/>
        <v>27.5</v>
      </c>
      <c r="AI50" s="36">
        <f>IFERROR(INDEX('Level Multipliers'!$D:$D,MATCH(AH50,'Level Multipliers'!$A:$A,0)),"")</f>
        <v>1.4274643259182833</v>
      </c>
      <c r="AJ50" s="37">
        <f t="shared" si="6"/>
        <v>5</v>
      </c>
      <c r="AK50" s="37">
        <f t="shared" si="7"/>
        <v>5</v>
      </c>
      <c r="AL50" s="38">
        <f t="shared" si="8"/>
        <v>125142763.99959198</v>
      </c>
      <c r="AM50" s="38">
        <f t="shared" si="9"/>
        <v>125599072.69676135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28</v>
      </c>
      <c r="BA50" s="36">
        <f>IFERROR(INDEX('Level Multipliers'!$D:$D,MATCH(AZ50,'Level Multipliers'!$A:$A,0)),"")</f>
        <v>1.4146588542279308</v>
      </c>
      <c r="BB50" s="37">
        <f t="shared" si="12"/>
        <v>4</v>
      </c>
      <c r="BC50" s="37">
        <f t="shared" si="13"/>
        <v>4</v>
      </c>
      <c r="BD50" s="38">
        <f t="shared" si="14"/>
        <v>120712314.60833441</v>
      </c>
      <c r="BE50" s="38">
        <f t="shared" si="15"/>
        <v>121152468.5353438</v>
      </c>
      <c r="BF50" s="38" t="b">
        <f t="shared" si="16"/>
        <v>1</v>
      </c>
      <c r="BG50" s="37" t="str">
        <f t="array" ref="BG50:BQ50">IF(BF50,"",IVSolution($M50,$N50,$O50,BB50,BC50,BD50,BE50,$E50,$F50,$G50,$H50,$I50))</f>
        <v/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28.5</v>
      </c>
      <c r="BS50" s="36">
        <f>IFERROR(INDEX('Level Multipliers'!$D:$D,MATCH(BR50,'Level Multipliers'!$A:$A,0)),"")</f>
        <v>1.4021920400529488</v>
      </c>
      <c r="BT50" s="37">
        <f t="shared" si="18"/>
        <v>3</v>
      </c>
      <c r="BU50" s="37">
        <f t="shared" si="19"/>
        <v>4</v>
      </c>
      <c r="BV50" s="38">
        <f t="shared" si="20"/>
        <v>116513078.80415821</v>
      </c>
      <c r="BW50" s="38">
        <f t="shared" si="21"/>
        <v>116937921.03628673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27</v>
      </c>
      <c r="CK50" s="41">
        <f t="shared" si="24"/>
        <v>27</v>
      </c>
      <c r="CL50" s="66">
        <f t="shared" si="25"/>
        <v>0.62222222222222223</v>
      </c>
      <c r="CM50" s="39">
        <f t="shared" si="26"/>
        <v>0.62222222222222223</v>
      </c>
      <c r="CN50" s="39">
        <f t="shared" si="27"/>
        <v>0.62222222222222223</v>
      </c>
      <c r="CO50" s="42">
        <f t="shared" si="28"/>
        <v>5</v>
      </c>
      <c r="CP50" s="42">
        <f t="shared" si="29"/>
        <v>5</v>
      </c>
      <c r="CQ50" s="42">
        <f t="shared" si="30"/>
        <v>13</v>
      </c>
      <c r="CR50" s="42">
        <f t="shared" si="31"/>
        <v>13</v>
      </c>
      <c r="CS50" s="42">
        <f t="shared" si="32"/>
        <v>10</v>
      </c>
      <c r="CT50" s="42">
        <f t="shared" si="33"/>
        <v>10</v>
      </c>
      <c r="CU50" s="43">
        <f t="shared" si="34"/>
        <v>5</v>
      </c>
      <c r="CV50" s="43">
        <f t="shared" si="35"/>
        <v>13</v>
      </c>
      <c r="CW50" s="43">
        <f t="shared" si="36"/>
        <v>10</v>
      </c>
      <c r="CX50" s="13" t="s">
        <v>398</v>
      </c>
    </row>
    <row r="51" spans="1:102" x14ac:dyDescent="0.25">
      <c r="A51" s="31" t="s">
        <v>50</v>
      </c>
      <c r="B51" s="13">
        <v>440</v>
      </c>
      <c r="C51" s="13">
        <v>49</v>
      </c>
      <c r="D51" s="13">
        <v>30</v>
      </c>
      <c r="E51" s="32" t="s">
        <v>2</v>
      </c>
      <c r="F51" s="32"/>
      <c r="G51" s="32">
        <v>1</v>
      </c>
      <c r="H51" s="32"/>
      <c r="I51" s="32" t="s">
        <v>3</v>
      </c>
      <c r="J51" s="13"/>
      <c r="K51" s="33">
        <v>21</v>
      </c>
      <c r="L51" s="34">
        <f>IFERROR(INDEX('Pokemon Data'!A:A,MATCH($A51,'Pokemon Data'!$B:$B,0)),"")</f>
        <v>25</v>
      </c>
      <c r="M51" s="34">
        <f>IFERROR(INDEX('Pokemon Data'!I:I,MATCH($A51,'Pokemon Data'!$B:$B,0)),"")</f>
        <v>70</v>
      </c>
      <c r="N51" s="34">
        <f>IFERROR(INDEX('Pokemon Data'!J:J,MATCH($A51,'Pokemon Data'!$B:$B,0)),"")</f>
        <v>112</v>
      </c>
      <c r="O51" s="34">
        <f>IFERROR(INDEX('Pokemon Data'!K:K,MATCH($A51,'Pokemon Data'!$B:$B,0)),"")</f>
        <v>101</v>
      </c>
      <c r="P51" s="35">
        <f>IFERROR(INDEX('Level Multipliers'!$A:$A,MATCH($D51,'Level Multipliers'!$B:$B,0)),"")</f>
        <v>21</v>
      </c>
      <c r="Q51" s="36">
        <f>IFERROR(INDEX('Level Multipliers'!$D:$D,MATCH(P51,'Level Multipliers'!$A:$A,0)),"")</f>
        <v>1.6335670981213306</v>
      </c>
      <c r="R51" s="37">
        <f t="shared" si="0"/>
        <v>11</v>
      </c>
      <c r="S51" s="37">
        <f t="shared" si="1"/>
        <v>11</v>
      </c>
      <c r="T51" s="38">
        <f t="shared" si="2"/>
        <v>137864758.23955858</v>
      </c>
      <c r="U51" s="38">
        <f t="shared" si="3"/>
        <v>138492128.34291112</v>
      </c>
      <c r="V51" s="38" t="b">
        <f t="shared" si="4"/>
        <v>0</v>
      </c>
      <c r="W51" s="37">
        <f t="array" ref="W51:AG51">IF(V51,"",IVSolution($M51,$N51,$O51,R51,S51,T51,U51,$E51,$F51,$G51,$H51,$I51))</f>
        <v>1</v>
      </c>
      <c r="X51" s="37">
        <v>33</v>
      </c>
      <c r="Y51" s="37">
        <v>33</v>
      </c>
      <c r="Z51" s="39">
        <v>0.73333333333333328</v>
      </c>
      <c r="AA51" s="39">
        <v>0.73333333333333328</v>
      </c>
      <c r="AB51" s="37">
        <v>11</v>
      </c>
      <c r="AC51" s="37">
        <v>11</v>
      </c>
      <c r="AD51" s="37">
        <v>12</v>
      </c>
      <c r="AE51" s="37">
        <v>12</v>
      </c>
      <c r="AF51" s="37">
        <v>10</v>
      </c>
      <c r="AG51" s="37">
        <v>10</v>
      </c>
      <c r="AH51" s="40">
        <f t="shared" si="5"/>
        <v>21.5</v>
      </c>
      <c r="AI51" s="36">
        <f>IFERROR(INDEX('Level Multipliers'!$D:$D,MATCH(AH51,'Level Multipliers'!$A:$A,0)),"")</f>
        <v>1.6144549045635799</v>
      </c>
      <c r="AJ51" s="37">
        <f t="shared" si="6"/>
        <v>10</v>
      </c>
      <c r="AK51" s="37">
        <f t="shared" si="7"/>
        <v>10</v>
      </c>
      <c r="AL51" s="38">
        <f t="shared" si="8"/>
        <v>131525217.2087786</v>
      </c>
      <c r="AM51" s="38">
        <f t="shared" si="9"/>
        <v>132123738.47097351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22</v>
      </c>
      <c r="BA51" s="36">
        <f>IFERROR(INDEX('Level Multipliers'!$D:$D,MATCH(AZ51,'Level Multipliers'!$A:$A,0)),"")</f>
        <v>1.5959981933118279</v>
      </c>
      <c r="BB51" s="37">
        <f t="shared" si="12"/>
        <v>9</v>
      </c>
      <c r="BC51" s="37">
        <f t="shared" si="13"/>
        <v>9</v>
      </c>
      <c r="BD51" s="38">
        <f t="shared" si="14"/>
        <v>125613100.2458813</v>
      </c>
      <c r="BE51" s="38">
        <f t="shared" si="15"/>
        <v>126184717.71135971</v>
      </c>
      <c r="BF51" s="38" t="b">
        <f t="shared" si="16"/>
        <v>1</v>
      </c>
      <c r="BG51" s="37" t="str">
        <f t="array" ref="BG51:BQ51">IF(BF51,"",IVSolution($M51,$N51,$O51,BB51,BC51,BD51,BE51,$E51,$F51,$G51,$H51,$I51))</f>
        <v/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22.5</v>
      </c>
      <c r="BS51" s="36">
        <f>IFERROR(INDEX('Level Multipliers'!$D:$D,MATCH(BR51,'Level Multipliers'!$A:$A,0)),"")</f>
        <v>1.578160334674382</v>
      </c>
      <c r="BT51" s="37">
        <f t="shared" si="18"/>
        <v>8</v>
      </c>
      <c r="BU51" s="37">
        <f t="shared" si="19"/>
        <v>8</v>
      </c>
      <c r="BV51" s="38">
        <f t="shared" si="20"/>
        <v>120090830.33568427</v>
      </c>
      <c r="BW51" s="38">
        <f t="shared" si="21"/>
        <v>120637318.05017671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21</v>
      </c>
      <c r="CK51" s="41">
        <f t="shared" si="24"/>
        <v>21</v>
      </c>
      <c r="CL51" s="66">
        <f t="shared" si="25"/>
        <v>0.73333333333333328</v>
      </c>
      <c r="CM51" s="39">
        <f t="shared" si="26"/>
        <v>0.73333333333333328</v>
      </c>
      <c r="CN51" s="39">
        <f t="shared" si="27"/>
        <v>0.73333333333333328</v>
      </c>
      <c r="CO51" s="42">
        <f t="shared" si="28"/>
        <v>11</v>
      </c>
      <c r="CP51" s="42">
        <f t="shared" si="29"/>
        <v>11</v>
      </c>
      <c r="CQ51" s="42">
        <f t="shared" si="30"/>
        <v>12</v>
      </c>
      <c r="CR51" s="42">
        <f t="shared" si="31"/>
        <v>12</v>
      </c>
      <c r="CS51" s="42">
        <f t="shared" si="32"/>
        <v>10</v>
      </c>
      <c r="CT51" s="42">
        <f t="shared" si="33"/>
        <v>10</v>
      </c>
      <c r="CU51" s="43">
        <f t="shared" si="34"/>
        <v>11</v>
      </c>
      <c r="CV51" s="43">
        <f t="shared" si="35"/>
        <v>12</v>
      </c>
      <c r="CW51" s="43">
        <f t="shared" si="36"/>
        <v>10</v>
      </c>
      <c r="CX51" s="13" t="s">
        <v>398</v>
      </c>
    </row>
    <row r="52" spans="1:102" x14ac:dyDescent="0.25">
      <c r="A52" s="31" t="s">
        <v>52</v>
      </c>
      <c r="B52" s="13">
        <v>1463</v>
      </c>
      <c r="C52" s="13">
        <v>91</v>
      </c>
      <c r="D52" s="13">
        <v>40</v>
      </c>
      <c r="E52" s="32" t="s">
        <v>0</v>
      </c>
      <c r="F52" s="32">
        <v>1</v>
      </c>
      <c r="G52" s="32"/>
      <c r="H52" s="32"/>
      <c r="I52" s="32" t="s">
        <v>0</v>
      </c>
      <c r="J52" s="13"/>
      <c r="K52" s="33"/>
      <c r="L52" s="34">
        <f>IFERROR(INDEX('Pokemon Data'!A:A,MATCH($A52,'Pokemon Data'!$B:$B,0)),"")</f>
        <v>26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193</v>
      </c>
      <c r="O52" s="34">
        <f>IFERROR(INDEX('Pokemon Data'!K:K,MATCH($A52,'Pokemon Data'!$B:$B,0)),"")</f>
        <v>165</v>
      </c>
      <c r="P52" s="35">
        <f>IFERROR(INDEX('Level Multipliers'!$A:$A,MATCH($D52,'Level Multipliers'!$B:$B,0)),"")</f>
        <v>25</v>
      </c>
      <c r="Q52" s="36">
        <f>IFERROR(INDEX('Level Multipliers'!$D:$D,MATCH(P52,'Level Multipliers'!$A:$A,0)),"")</f>
        <v>1.4971539093132804</v>
      </c>
      <c r="R52" s="37">
        <f t="shared" si="0"/>
        <v>17</v>
      </c>
      <c r="S52" s="37">
        <f t="shared" si="1"/>
        <v>15</v>
      </c>
      <c r="T52" s="38">
        <f t="shared" si="2"/>
        <v>1075361408.4895489</v>
      </c>
      <c r="U52" s="38">
        <f t="shared" si="3"/>
        <v>1076831988.0216992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25.5</v>
      </c>
      <c r="AI52" s="36">
        <f>IFERROR(INDEX('Level Multipliers'!$D:$D,MATCH(AH52,'Level Multipliers'!$A:$A,0)),"")</f>
        <v>1.4823997223704843</v>
      </c>
      <c r="AJ52" s="37">
        <f t="shared" si="6"/>
        <v>15</v>
      </c>
      <c r="AK52" s="37">
        <f t="shared" si="7"/>
        <v>15</v>
      </c>
      <c r="AL52" s="38">
        <f t="shared" si="8"/>
        <v>1033593934.7046555</v>
      </c>
      <c r="AM52" s="38">
        <f t="shared" si="9"/>
        <v>1035007396.3306091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26</v>
      </c>
      <c r="BA52" s="36">
        <f>IFERROR(INDEX('Level Multipliers'!$D:$D,MATCH(AZ52,'Level Multipliers'!$A:$A,0)),"")</f>
        <v>1.4680732523857296</v>
      </c>
      <c r="BB52" s="37">
        <f t="shared" si="12"/>
        <v>14</v>
      </c>
      <c r="BC52" s="37">
        <f t="shared" si="13"/>
        <v>15</v>
      </c>
      <c r="BD52" s="38">
        <f t="shared" si="14"/>
        <v>994213272.63306832</v>
      </c>
      <c r="BE52" s="38">
        <f t="shared" si="15"/>
        <v>995572880.36846209</v>
      </c>
      <c r="BF52" s="38" t="b">
        <f t="shared" si="16"/>
        <v>0</v>
      </c>
      <c r="BG52" s="37">
        <f t="array" ref="BG52:BQ52">IF(BF52,"",IVSolution($M52,$N52,$O52,BB52,BC52,BD52,BE52,$E52,$F52,$G52,$H52,$I52))</f>
        <v>1</v>
      </c>
      <c r="BH52" s="37">
        <v>38</v>
      </c>
      <c r="BI52" s="37">
        <v>38</v>
      </c>
      <c r="BJ52" s="39">
        <v>0.84444444444444444</v>
      </c>
      <c r="BK52" s="39">
        <v>0.84444444444444444</v>
      </c>
      <c r="BL52" s="37">
        <v>15</v>
      </c>
      <c r="BM52" s="37">
        <v>15</v>
      </c>
      <c r="BN52" s="37">
        <v>11</v>
      </c>
      <c r="BO52" s="37">
        <v>11</v>
      </c>
      <c r="BP52" s="37">
        <v>12</v>
      </c>
      <c r="BQ52" s="37">
        <v>12</v>
      </c>
      <c r="BR52" s="40">
        <f t="shared" si="17"/>
        <v>26.5</v>
      </c>
      <c r="BS52" s="36">
        <f>IFERROR(INDEX('Level Multipliers'!$D:$D,MATCH(BR52,'Level Multipliers'!$A:$A,0)),"")</f>
        <v>1.4541543636838528</v>
      </c>
      <c r="BT52" s="37">
        <f t="shared" si="18"/>
        <v>13</v>
      </c>
      <c r="BU52" s="37">
        <f t="shared" si="19"/>
        <v>13</v>
      </c>
      <c r="BV52" s="38">
        <f t="shared" si="20"/>
        <v>957041335.53516531</v>
      </c>
      <c r="BW52" s="38">
        <f t="shared" si="21"/>
        <v>958350109.85824299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26</v>
      </c>
      <c r="CK52" s="41">
        <f t="shared" si="24"/>
        <v>26</v>
      </c>
      <c r="CL52" s="66">
        <f t="shared" si="25"/>
        <v>0.84444444444444444</v>
      </c>
      <c r="CM52" s="39">
        <f t="shared" si="26"/>
        <v>0.84444444444444444</v>
      </c>
      <c r="CN52" s="39">
        <f t="shared" si="27"/>
        <v>0.84444444444444444</v>
      </c>
      <c r="CO52" s="42">
        <f t="shared" si="28"/>
        <v>15</v>
      </c>
      <c r="CP52" s="42">
        <f t="shared" si="29"/>
        <v>15</v>
      </c>
      <c r="CQ52" s="42">
        <f t="shared" si="30"/>
        <v>11</v>
      </c>
      <c r="CR52" s="42">
        <f t="shared" si="31"/>
        <v>11</v>
      </c>
      <c r="CS52" s="42">
        <f t="shared" si="32"/>
        <v>12</v>
      </c>
      <c r="CT52" s="42">
        <f t="shared" si="33"/>
        <v>12</v>
      </c>
      <c r="CU52" s="43">
        <f t="shared" si="34"/>
        <v>15</v>
      </c>
      <c r="CV52" s="43">
        <f t="shared" si="35"/>
        <v>11</v>
      </c>
      <c r="CW52" s="43">
        <f t="shared" si="36"/>
        <v>12</v>
      </c>
      <c r="CX52" s="13" t="s">
        <v>428</v>
      </c>
    </row>
    <row r="53" spans="1:102" x14ac:dyDescent="0.25">
      <c r="A53" s="31" t="s">
        <v>55</v>
      </c>
      <c r="B53" s="13">
        <v>1317</v>
      </c>
      <c r="C53" s="13">
        <v>98</v>
      </c>
      <c r="D53" s="13">
        <v>25</v>
      </c>
      <c r="E53" s="32" t="s">
        <v>0</v>
      </c>
      <c r="F53" s="32">
        <v>1</v>
      </c>
      <c r="G53" s="32"/>
      <c r="H53" s="32"/>
      <c r="I53" s="32" t="s">
        <v>0</v>
      </c>
      <c r="J53" s="13"/>
      <c r="K53" s="33"/>
      <c r="L53" s="34">
        <f>IFERROR(INDEX('Pokemon Data'!A:A,MATCH($A53,'Pokemon Data'!$B:$B,0)),"")</f>
        <v>28</v>
      </c>
      <c r="M53" s="34">
        <f>IFERROR(INDEX('Pokemon Data'!I:I,MATCH($A53,'Pokemon Data'!$B:$B,0)),"")</f>
        <v>150</v>
      </c>
      <c r="N53" s="34">
        <f>IFERROR(INDEX('Pokemon Data'!J:J,MATCH($A53,'Pokemon Data'!$B:$B,0)),"")</f>
        <v>182</v>
      </c>
      <c r="O53" s="34">
        <f>IFERROR(INDEX('Pokemon Data'!K:K,MATCH($A53,'Pokemon Data'!$B:$B,0)),"")</f>
        <v>202</v>
      </c>
      <c r="P53" s="35">
        <f>IFERROR(INDEX('Level Multipliers'!$A:$A,MATCH($D53,'Level Multipliers'!$B:$B,0)),"")</f>
        <v>19</v>
      </c>
      <c r="Q53" s="36">
        <f>IFERROR(INDEX('Level Multipliers'!$D:$D,MATCH(P53,'Level Multipliers'!$A:$A,0)),"")</f>
        <v>1.7173900470456649</v>
      </c>
      <c r="R53" s="37">
        <f t="shared" si="0"/>
        <v>19</v>
      </c>
      <c r="S53" s="37">
        <f t="shared" si="1"/>
        <v>15</v>
      </c>
      <c r="T53" s="38">
        <f t="shared" si="2"/>
        <v>1508854340.6245601</v>
      </c>
      <c r="U53" s="38">
        <f t="shared" si="3"/>
        <v>1511146561.0926898</v>
      </c>
      <c r="V53" s="38" t="b">
        <f t="shared" si="4"/>
        <v>1</v>
      </c>
      <c r="W53" s="37" t="str">
        <f t="array" ref="W53:AG53">IF(V53,"",IVSolution($M53,$N53,$O53,R53,S53,T53,U53,$E53,$F53,$G53,$H53,$I53))</f>
        <v/>
      </c>
      <c r="X53" s="37" t="str">
        <v/>
      </c>
      <c r="Y53" s="37" t="str">
        <v/>
      </c>
      <c r="Z53" s="39" t="str">
        <v/>
      </c>
      <c r="AA53" s="39" t="str">
        <v/>
      </c>
      <c r="AB53" s="37" t="str">
        <v/>
      </c>
      <c r="AC53" s="37" t="str">
        <v/>
      </c>
      <c r="AD53" s="37" t="str">
        <v/>
      </c>
      <c r="AE53" s="37" t="str">
        <v/>
      </c>
      <c r="AF53" s="37" t="str">
        <v/>
      </c>
      <c r="AG53" s="37" t="str">
        <v/>
      </c>
      <c r="AH53" s="40">
        <f t="shared" si="5"/>
        <v>19.5</v>
      </c>
      <c r="AI53" s="36">
        <f>IFERROR(INDEX('Level Multipliers'!$D:$D,MATCH(AH53,'Level Multipliers'!$A:$A,0)),"")</f>
        <v>1.6952373266621776</v>
      </c>
      <c r="AJ53" s="37">
        <f t="shared" si="6"/>
        <v>17</v>
      </c>
      <c r="AK53" s="37">
        <f t="shared" si="7"/>
        <v>15</v>
      </c>
      <c r="AL53" s="38">
        <f t="shared" si="8"/>
        <v>1432496518.9799266</v>
      </c>
      <c r="AM53" s="38">
        <f t="shared" si="9"/>
        <v>1434672738.2165501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20</v>
      </c>
      <c r="BA53" s="36">
        <f>IFERROR(INDEX('Level Multipliers'!$D:$D,MATCH(AZ53,'Level Multipliers'!$A:$A,0)),"")</f>
        <v>1.6739202944034379</v>
      </c>
      <c r="BB53" s="37">
        <f t="shared" si="12"/>
        <v>15</v>
      </c>
      <c r="BC53" s="37">
        <f t="shared" si="13"/>
        <v>15</v>
      </c>
      <c r="BD53" s="38">
        <f t="shared" si="14"/>
        <v>1361791593.3192623</v>
      </c>
      <c r="BE53" s="38">
        <f t="shared" si="15"/>
        <v>1363860399.0876448</v>
      </c>
      <c r="BF53" s="38" t="b">
        <f t="shared" si="16"/>
        <v>0</v>
      </c>
      <c r="BG53" s="37">
        <f t="array" ref="BG53:BQ53">IF(BF53,"",IVSolution($M53,$N53,$O53,BB53,BC53,BD53,BE53,$E53,$F53,$G53,$H53,$I53))</f>
        <v>1</v>
      </c>
      <c r="BH53" s="37">
        <v>42</v>
      </c>
      <c r="BI53" s="37">
        <v>42</v>
      </c>
      <c r="BJ53" s="39">
        <v>0.93333333333333335</v>
      </c>
      <c r="BK53" s="39">
        <v>0.93333333333333335</v>
      </c>
      <c r="BL53" s="37">
        <v>15</v>
      </c>
      <c r="BM53" s="37">
        <v>15</v>
      </c>
      <c r="BN53" s="37">
        <v>14</v>
      </c>
      <c r="BO53" s="37">
        <v>14</v>
      </c>
      <c r="BP53" s="37">
        <v>13</v>
      </c>
      <c r="BQ53" s="37">
        <v>13</v>
      </c>
      <c r="BR53" s="40">
        <f t="shared" si="17"/>
        <v>20.5</v>
      </c>
      <c r="BS53" s="36">
        <f>IFERROR(INDEX('Level Multipliers'!$D:$D,MATCH(BR53,'Level Multipliers'!$A:$A,0)),"")</f>
        <v>1.6533745038028393</v>
      </c>
      <c r="BT53" s="37">
        <f t="shared" si="18"/>
        <v>13</v>
      </c>
      <c r="BU53" s="37">
        <f t="shared" si="19"/>
        <v>13</v>
      </c>
      <c r="BV53" s="38">
        <f t="shared" si="20"/>
        <v>1296153672.7294805</v>
      </c>
      <c r="BW53" s="38">
        <f t="shared" si="21"/>
        <v>1298122762.7194672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20</v>
      </c>
      <c r="CK53" s="41">
        <f t="shared" si="24"/>
        <v>20</v>
      </c>
      <c r="CL53" s="66">
        <f t="shared" si="25"/>
        <v>0.93333333333333335</v>
      </c>
      <c r="CM53" s="39">
        <f t="shared" si="26"/>
        <v>0.93333333333333335</v>
      </c>
      <c r="CN53" s="39">
        <f t="shared" si="27"/>
        <v>0.93333333333333335</v>
      </c>
      <c r="CO53" s="42">
        <f t="shared" si="28"/>
        <v>15</v>
      </c>
      <c r="CP53" s="42">
        <f t="shared" si="29"/>
        <v>15</v>
      </c>
      <c r="CQ53" s="42">
        <f t="shared" si="30"/>
        <v>14</v>
      </c>
      <c r="CR53" s="42">
        <f t="shared" si="31"/>
        <v>14</v>
      </c>
      <c r="CS53" s="42">
        <f t="shared" si="32"/>
        <v>13</v>
      </c>
      <c r="CT53" s="42">
        <f t="shared" si="33"/>
        <v>13</v>
      </c>
      <c r="CU53" s="43">
        <f t="shared" si="34"/>
        <v>15</v>
      </c>
      <c r="CV53" s="43">
        <f t="shared" si="35"/>
        <v>14</v>
      </c>
      <c r="CW53" s="43">
        <f t="shared" si="36"/>
        <v>13</v>
      </c>
      <c r="CX53" s="13" t="s">
        <v>427</v>
      </c>
    </row>
    <row r="54" spans="1:102" x14ac:dyDescent="0.25">
      <c r="A54" s="31" t="s">
        <v>57</v>
      </c>
      <c r="B54" s="13">
        <v>410</v>
      </c>
      <c r="C54" s="13">
        <v>71</v>
      </c>
      <c r="D54" s="13">
        <v>25</v>
      </c>
      <c r="E54" s="32" t="s">
        <v>0</v>
      </c>
      <c r="F54" s="32"/>
      <c r="G54" s="32">
        <v>1</v>
      </c>
      <c r="H54" s="32"/>
      <c r="I54" s="32" t="s">
        <v>0</v>
      </c>
      <c r="J54" s="13"/>
      <c r="K54" s="33"/>
      <c r="L54" s="34">
        <f>IFERROR(INDEX('Pokemon Data'!A:A,MATCH($A54,'Pokemon Data'!$B:$B,0)),"")</f>
        <v>29</v>
      </c>
      <c r="M54" s="34">
        <f>IFERROR(INDEX('Pokemon Data'!I:I,MATCH($A54,'Pokemon Data'!$B:$B,0)),"")</f>
        <v>110</v>
      </c>
      <c r="N54" s="34">
        <f>IFERROR(INDEX('Pokemon Data'!J:J,MATCH($A54,'Pokemon Data'!$B:$B,0)),"")</f>
        <v>86</v>
      </c>
      <c r="O54" s="34">
        <f>IFERROR(INDEX('Pokemon Data'!K:K,MATCH($A54,'Pokemon Data'!$B:$B,0)),"")</f>
        <v>94</v>
      </c>
      <c r="P54" s="35">
        <f>IFERROR(INDEX('Level Multipliers'!$A:$A,MATCH($D54,'Level Multipliers'!$B:$B,0)),"")</f>
        <v>19</v>
      </c>
      <c r="Q54" s="36">
        <f>IFERROR(INDEX('Level Multipliers'!$D:$D,MATCH(P54,'Level Multipliers'!$A:$A,0)),"")</f>
        <v>1.7173900470456649</v>
      </c>
      <c r="R54" s="37">
        <f t="shared" si="0"/>
        <v>12</v>
      </c>
      <c r="S54" s="37">
        <f t="shared" si="1"/>
        <v>13</v>
      </c>
      <c r="T54" s="38">
        <f t="shared" si="2"/>
        <v>146232356.9990865</v>
      </c>
      <c r="U54" s="38">
        <f t="shared" si="3"/>
        <v>146946555.48270488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19.5</v>
      </c>
      <c r="AI54" s="36">
        <f>IFERROR(INDEX('Level Multipliers'!$D:$D,MATCH(AH54,'Level Multipliers'!$A:$A,0)),"")</f>
        <v>1.6952373266621776</v>
      </c>
      <c r="AJ54" s="37">
        <f t="shared" si="6"/>
        <v>11</v>
      </c>
      <c r="AK54" s="37">
        <f t="shared" si="7"/>
        <v>12</v>
      </c>
      <c r="AL54" s="38">
        <f t="shared" si="8"/>
        <v>138832050.73109466</v>
      </c>
      <c r="AM54" s="38">
        <f t="shared" si="9"/>
        <v>139510106.13650948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20</v>
      </c>
      <c r="BA54" s="36">
        <f>IFERROR(INDEX('Level Multipliers'!$D:$D,MATCH(AZ54,'Level Multipliers'!$A:$A,0)),"")</f>
        <v>1.6739202944034379</v>
      </c>
      <c r="BB54" s="37">
        <f t="shared" si="12"/>
        <v>9</v>
      </c>
      <c r="BC54" s="37">
        <f t="shared" si="13"/>
        <v>10</v>
      </c>
      <c r="BD54" s="38">
        <f t="shared" si="14"/>
        <v>131979601.39093876</v>
      </c>
      <c r="BE54" s="38">
        <f t="shared" si="15"/>
        <v>132624189.45008188</v>
      </c>
      <c r="BF54" s="38" t="b">
        <f t="shared" si="16"/>
        <v>0</v>
      </c>
      <c r="BG54" s="37">
        <f t="array" ref="BG54:BQ54">IF(BF54,"",IVSolution($M54,$N54,$O54,BB54,BC54,BD54,BE54,$E54,$F54,$G54,$H54,$I54))</f>
        <v>1</v>
      </c>
      <c r="BH54" s="37">
        <v>39</v>
      </c>
      <c r="BI54" s="37">
        <v>39</v>
      </c>
      <c r="BJ54" s="39">
        <v>0.8666666666666667</v>
      </c>
      <c r="BK54" s="39">
        <v>0.8666666666666667</v>
      </c>
      <c r="BL54" s="37">
        <v>10</v>
      </c>
      <c r="BM54" s="37">
        <v>10</v>
      </c>
      <c r="BN54" s="37">
        <v>15</v>
      </c>
      <c r="BO54" s="37">
        <v>15</v>
      </c>
      <c r="BP54" s="37">
        <v>14</v>
      </c>
      <c r="BQ54" s="37">
        <v>14</v>
      </c>
      <c r="BR54" s="40">
        <f t="shared" si="17"/>
        <v>20.5</v>
      </c>
      <c r="BS54" s="36">
        <f>IFERROR(INDEX('Level Multipliers'!$D:$D,MATCH(BR54,'Level Multipliers'!$A:$A,0)),"")</f>
        <v>1.6533745038028393</v>
      </c>
      <c r="BT54" s="37">
        <f t="shared" si="18"/>
        <v>8</v>
      </c>
      <c r="BU54" s="37">
        <f t="shared" si="19"/>
        <v>9</v>
      </c>
      <c r="BV54" s="38">
        <f t="shared" si="20"/>
        <v>125618226.68568417</v>
      </c>
      <c r="BW54" s="38">
        <f t="shared" si="21"/>
        <v>126231745.80590397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20</v>
      </c>
      <c r="CK54" s="41">
        <f t="shared" si="24"/>
        <v>20</v>
      </c>
      <c r="CL54" s="66">
        <f t="shared" si="25"/>
        <v>0.8666666666666667</v>
      </c>
      <c r="CM54" s="39">
        <f t="shared" si="26"/>
        <v>0.8666666666666667</v>
      </c>
      <c r="CN54" s="39">
        <f t="shared" si="27"/>
        <v>0.8666666666666667</v>
      </c>
      <c r="CO54" s="42">
        <f t="shared" si="28"/>
        <v>10</v>
      </c>
      <c r="CP54" s="42">
        <f t="shared" si="29"/>
        <v>10</v>
      </c>
      <c r="CQ54" s="42">
        <f t="shared" si="30"/>
        <v>15</v>
      </c>
      <c r="CR54" s="42">
        <f t="shared" si="31"/>
        <v>15</v>
      </c>
      <c r="CS54" s="42">
        <f t="shared" si="32"/>
        <v>14</v>
      </c>
      <c r="CT54" s="42">
        <f t="shared" si="33"/>
        <v>14</v>
      </c>
      <c r="CU54" s="43">
        <f t="shared" si="34"/>
        <v>10</v>
      </c>
      <c r="CV54" s="43">
        <f t="shared" si="35"/>
        <v>15</v>
      </c>
      <c r="CW54" s="43">
        <f t="shared" si="36"/>
        <v>14</v>
      </c>
      <c r="CX54" s="13" t="s">
        <v>394</v>
      </c>
    </row>
    <row r="55" spans="1:102" x14ac:dyDescent="0.25">
      <c r="A55" s="31" t="s">
        <v>57</v>
      </c>
      <c r="B55" s="13">
        <v>408</v>
      </c>
      <c r="C55" s="13">
        <v>74</v>
      </c>
      <c r="D55" s="13">
        <v>25</v>
      </c>
      <c r="E55" s="32" t="s">
        <v>0</v>
      </c>
      <c r="F55" s="32">
        <v>1</v>
      </c>
      <c r="G55" s="32"/>
      <c r="H55" s="32">
        <v>1</v>
      </c>
      <c r="I55" s="32" t="s">
        <v>0</v>
      </c>
      <c r="J55" s="13"/>
      <c r="K55" s="33"/>
      <c r="L55" s="34">
        <f>IFERROR(INDEX('Pokemon Data'!A:A,MATCH($A55,'Pokemon Data'!$B:$B,0)),"")</f>
        <v>29</v>
      </c>
      <c r="M55" s="34">
        <f>IFERROR(INDEX('Pokemon Data'!I:I,MATCH($A55,'Pokemon Data'!$B:$B,0)),"")</f>
        <v>110</v>
      </c>
      <c r="N55" s="34">
        <f>IFERROR(INDEX('Pokemon Data'!J:J,MATCH($A55,'Pokemon Data'!$B:$B,0)),"")</f>
        <v>86</v>
      </c>
      <c r="O55" s="34">
        <f>IFERROR(INDEX('Pokemon Data'!K:K,MATCH($A55,'Pokemon Data'!$B:$B,0)),"")</f>
        <v>94</v>
      </c>
      <c r="P55" s="35">
        <f>IFERROR(INDEX('Level Multipliers'!$A:$A,MATCH($D55,'Level Multipliers'!$B:$B,0)),"")</f>
        <v>19</v>
      </c>
      <c r="Q55" s="36">
        <f>IFERROR(INDEX('Level Multipliers'!$D:$D,MATCH(P55,'Level Multipliers'!$A:$A,0)),"")</f>
        <v>1.7173900470456649</v>
      </c>
      <c r="R55" s="37">
        <f t="shared" si="0"/>
        <v>18</v>
      </c>
      <c r="S55" s="37">
        <f t="shared" si="1"/>
        <v>15</v>
      </c>
      <c r="T55" s="38">
        <f t="shared" si="2"/>
        <v>144809179.50919652</v>
      </c>
      <c r="U55" s="38">
        <f t="shared" si="3"/>
        <v>145519898.34125039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19.5</v>
      </c>
      <c r="AI55" s="36">
        <f>IFERROR(INDEX('Level Multipliers'!$D:$D,MATCH(AH55,'Level Multipliers'!$A:$A,0)),"")</f>
        <v>1.6952373266621776</v>
      </c>
      <c r="AJ55" s="37">
        <f t="shared" si="6"/>
        <v>16</v>
      </c>
      <c r="AK55" s="37">
        <f t="shared" si="7"/>
        <v>15</v>
      </c>
      <c r="AL55" s="38">
        <f t="shared" si="8"/>
        <v>137480895.25818527</v>
      </c>
      <c r="AM55" s="38">
        <f t="shared" si="9"/>
        <v>138155647.10498661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20</v>
      </c>
      <c r="BA55" s="36">
        <f>IFERROR(INDEX('Level Multipliers'!$D:$D,MATCH(AZ55,'Level Multipliers'!$A:$A,0)),"")</f>
        <v>1.6739202944034379</v>
      </c>
      <c r="BB55" s="37">
        <f t="shared" si="12"/>
        <v>14</v>
      </c>
      <c r="BC55" s="37">
        <f t="shared" si="13"/>
        <v>15</v>
      </c>
      <c r="BD55" s="38">
        <f t="shared" si="14"/>
        <v>130695136.02582528</v>
      </c>
      <c r="BE55" s="38">
        <f t="shared" si="15"/>
        <v>131336583.58285321</v>
      </c>
      <c r="BF55" s="38" t="b">
        <f t="shared" si="16"/>
        <v>0</v>
      </c>
      <c r="BG55" s="37">
        <f t="array" ref="BG55:BQ55">IF(BF55,"",IVSolution($M55,$N55,$O55,BB55,BC55,BD55,BE55,$E55,$F55,$G55,$H55,$I55))</f>
        <v>1</v>
      </c>
      <c r="BH55" s="37">
        <v>42</v>
      </c>
      <c r="BI55" s="37">
        <v>42</v>
      </c>
      <c r="BJ55" s="39">
        <v>0.93333333333333335</v>
      </c>
      <c r="BK55" s="39">
        <v>0.93333333333333335</v>
      </c>
      <c r="BL55" s="37">
        <v>15</v>
      </c>
      <c r="BM55" s="37">
        <v>15</v>
      </c>
      <c r="BN55" s="37">
        <v>12</v>
      </c>
      <c r="BO55" s="37">
        <v>12</v>
      </c>
      <c r="BP55" s="37">
        <v>15</v>
      </c>
      <c r="BQ55" s="37">
        <v>15</v>
      </c>
      <c r="BR55" s="40">
        <f t="shared" si="17"/>
        <v>20.5</v>
      </c>
      <c r="BS55" s="36">
        <f>IFERROR(INDEX('Level Multipliers'!$D:$D,MATCH(BR55,'Level Multipliers'!$A:$A,0)),"")</f>
        <v>1.6533745038028393</v>
      </c>
      <c r="BT55" s="37">
        <f t="shared" si="18"/>
        <v>13</v>
      </c>
      <c r="BU55" s="37">
        <f t="shared" si="19"/>
        <v>14</v>
      </c>
      <c r="BV55" s="38">
        <f t="shared" si="20"/>
        <v>124395672.14161648</v>
      </c>
      <c r="BW55" s="38">
        <f t="shared" si="21"/>
        <v>125006202.13092168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20</v>
      </c>
      <c r="CK55" s="41">
        <f t="shared" si="24"/>
        <v>20</v>
      </c>
      <c r="CL55" s="66">
        <f t="shared" si="25"/>
        <v>0.93333333333333335</v>
      </c>
      <c r="CM55" s="39">
        <f t="shared" si="26"/>
        <v>0.93333333333333335</v>
      </c>
      <c r="CN55" s="39">
        <f t="shared" si="27"/>
        <v>0.93333333333333335</v>
      </c>
      <c r="CO55" s="42">
        <f t="shared" si="28"/>
        <v>15</v>
      </c>
      <c r="CP55" s="42">
        <f t="shared" si="29"/>
        <v>15</v>
      </c>
      <c r="CQ55" s="42">
        <f t="shared" si="30"/>
        <v>12</v>
      </c>
      <c r="CR55" s="42">
        <f t="shared" si="31"/>
        <v>12</v>
      </c>
      <c r="CS55" s="42">
        <f t="shared" si="32"/>
        <v>15</v>
      </c>
      <c r="CT55" s="42">
        <f t="shared" si="33"/>
        <v>15</v>
      </c>
      <c r="CU55" s="43">
        <f t="shared" si="34"/>
        <v>15</v>
      </c>
      <c r="CV55" s="43">
        <f t="shared" si="35"/>
        <v>12</v>
      </c>
      <c r="CW55" s="43">
        <f t="shared" si="36"/>
        <v>15</v>
      </c>
      <c r="CX55" s="13" t="s">
        <v>396</v>
      </c>
    </row>
    <row r="56" spans="1:102" x14ac:dyDescent="0.25">
      <c r="A56" s="31" t="s">
        <v>58</v>
      </c>
      <c r="B56" s="13">
        <v>672</v>
      </c>
      <c r="C56" s="13">
        <v>90</v>
      </c>
      <c r="D56" s="13">
        <v>25</v>
      </c>
      <c r="E56" s="32" t="s">
        <v>2</v>
      </c>
      <c r="F56" s="32"/>
      <c r="G56" s="32">
        <v>1</v>
      </c>
      <c r="H56" s="32"/>
      <c r="I56" s="32" t="s">
        <v>2</v>
      </c>
      <c r="J56" s="13"/>
      <c r="K56" s="33"/>
      <c r="L56" s="34">
        <f>IFERROR(INDEX('Pokemon Data'!A:A,MATCH($A56,'Pokemon Data'!$B:$B,0)),"")</f>
        <v>30</v>
      </c>
      <c r="M56" s="34">
        <f>IFERROR(INDEX('Pokemon Data'!I:I,MATCH($A56,'Pokemon Data'!$B:$B,0)),"")</f>
        <v>140</v>
      </c>
      <c r="N56" s="34">
        <f>IFERROR(INDEX('Pokemon Data'!J:J,MATCH($A56,'Pokemon Data'!$B:$B,0)),"")</f>
        <v>117</v>
      </c>
      <c r="O56" s="34">
        <f>IFERROR(INDEX('Pokemon Data'!K:K,MATCH($A56,'Pokemon Data'!$B:$B,0)),"")</f>
        <v>126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0"/>
        <v>15</v>
      </c>
      <c r="S56" s="37">
        <f t="shared" si="1"/>
        <v>15</v>
      </c>
      <c r="T56" s="38">
        <f t="shared" si="2"/>
        <v>392838743.02840853</v>
      </c>
      <c r="U56" s="38">
        <f t="shared" si="3"/>
        <v>394008775.86697948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19.5</v>
      </c>
      <c r="AI56" s="36">
        <f>IFERROR(INDEX('Level Multipliers'!$D:$D,MATCH(AH56,'Level Multipliers'!$A:$A,0)),"")</f>
        <v>1.6952373266621776</v>
      </c>
      <c r="AJ56" s="37">
        <f t="shared" si="6"/>
        <v>13</v>
      </c>
      <c r="AK56" s="37">
        <f t="shared" si="7"/>
        <v>14</v>
      </c>
      <c r="AL56" s="38">
        <f t="shared" si="8"/>
        <v>372958553.22635722</v>
      </c>
      <c r="AM56" s="38">
        <f t="shared" si="9"/>
        <v>374069374.81013668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20</v>
      </c>
      <c r="BA56" s="36">
        <f>IFERROR(INDEX('Level Multipliers'!$D:$D,MATCH(AZ56,'Level Multipliers'!$A:$A,0)),"")</f>
        <v>1.6739202944034379</v>
      </c>
      <c r="BB56" s="37">
        <f t="shared" si="12"/>
        <v>11</v>
      </c>
      <c r="BC56" s="37">
        <f t="shared" si="13"/>
        <v>12</v>
      </c>
      <c r="BD56" s="38">
        <f t="shared" si="14"/>
        <v>354550126.7967025</v>
      </c>
      <c r="BE56" s="38">
        <f t="shared" si="15"/>
        <v>355606120.63293576</v>
      </c>
      <c r="BF56" s="38" t="b">
        <f t="shared" si="16"/>
        <v>0</v>
      </c>
      <c r="BG56" s="37">
        <f t="array" ref="BG56:BQ56">IF(BF56,"",IVSolution($M56,$N56,$O56,BB56,BC56,BD56,BE56,$E56,$F56,$G56,$H56,$I56))</f>
        <v>2</v>
      </c>
      <c r="BH56" s="37">
        <v>36</v>
      </c>
      <c r="BI56" s="37">
        <v>36</v>
      </c>
      <c r="BJ56" s="39">
        <v>0.8</v>
      </c>
      <c r="BK56" s="39">
        <v>0.8</v>
      </c>
      <c r="BL56" s="37">
        <v>11</v>
      </c>
      <c r="BM56" s="37">
        <v>12</v>
      </c>
      <c r="BN56" s="37">
        <v>14</v>
      </c>
      <c r="BO56" s="37">
        <v>14</v>
      </c>
      <c r="BP56" s="37">
        <v>10</v>
      </c>
      <c r="BQ56" s="37">
        <v>11</v>
      </c>
      <c r="BR56" s="40">
        <f t="shared" si="17"/>
        <v>20.5</v>
      </c>
      <c r="BS56" s="36">
        <f>IFERROR(INDEX('Level Multipliers'!$D:$D,MATCH(BR56,'Level Multipliers'!$A:$A,0)),"")</f>
        <v>1.6533745038028393</v>
      </c>
      <c r="BT56" s="37">
        <f t="shared" si="18"/>
        <v>9</v>
      </c>
      <c r="BU56" s="37">
        <f t="shared" si="19"/>
        <v>10</v>
      </c>
      <c r="BV56" s="38">
        <f t="shared" si="20"/>
        <v>337460923.73365855</v>
      </c>
      <c r="BW56" s="38">
        <f t="shared" si="21"/>
        <v>338466019.00368977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20</v>
      </c>
      <c r="CK56" s="41">
        <f t="shared" si="24"/>
        <v>20</v>
      </c>
      <c r="CL56" s="66">
        <f t="shared" si="25"/>
        <v>0.8</v>
      </c>
      <c r="CM56" s="39">
        <f t="shared" si="26"/>
        <v>0.8</v>
      </c>
      <c r="CN56" s="39">
        <f t="shared" si="27"/>
        <v>0.8</v>
      </c>
      <c r="CO56" s="42">
        <f t="shared" si="28"/>
        <v>11</v>
      </c>
      <c r="CP56" s="42">
        <f t="shared" si="29"/>
        <v>12</v>
      </c>
      <c r="CQ56" s="42">
        <f t="shared" si="30"/>
        <v>14</v>
      </c>
      <c r="CR56" s="42">
        <f t="shared" si="31"/>
        <v>14</v>
      </c>
      <c r="CS56" s="42">
        <f t="shared" si="32"/>
        <v>10</v>
      </c>
      <c r="CT56" s="42">
        <f t="shared" si="33"/>
        <v>11</v>
      </c>
      <c r="CU56" s="43" t="str">
        <f t="shared" si="34"/>
        <v>11-12</v>
      </c>
      <c r="CV56" s="43">
        <f t="shared" si="35"/>
        <v>14</v>
      </c>
      <c r="CW56" s="43" t="str">
        <f t="shared" si="36"/>
        <v>10-11</v>
      </c>
      <c r="CX56" s="13" t="s">
        <v>395</v>
      </c>
    </row>
    <row r="57" spans="1:102" x14ac:dyDescent="0.25">
      <c r="A57" s="31" t="s">
        <v>59</v>
      </c>
      <c r="B57" s="13">
        <v>1322</v>
      </c>
      <c r="C57" s="13">
        <v>114</v>
      </c>
      <c r="D57" s="13">
        <v>25</v>
      </c>
      <c r="E57" s="32" t="s">
        <v>0</v>
      </c>
      <c r="F57" s="32"/>
      <c r="G57" s="32">
        <v>1</v>
      </c>
      <c r="H57" s="32">
        <v>1</v>
      </c>
      <c r="I57" s="32" t="s">
        <v>0</v>
      </c>
      <c r="J57" s="13"/>
      <c r="K57" s="33"/>
      <c r="L57" s="34">
        <f>IFERROR(INDEX('Pokemon Data'!A:A,MATCH($A57,'Pokemon Data'!$B:$B,0)),"")</f>
        <v>31</v>
      </c>
      <c r="M57" s="34">
        <f>IFERROR(INDEX('Pokemon Data'!I:I,MATCH($A57,'Pokemon Data'!$B:$B,0)),"")</f>
        <v>180</v>
      </c>
      <c r="N57" s="34">
        <f>IFERROR(INDEX('Pokemon Data'!J:J,MATCH($A57,'Pokemon Data'!$B:$B,0)),"")</f>
        <v>180</v>
      </c>
      <c r="O57" s="34">
        <f>IFERROR(INDEX('Pokemon Data'!K:K,MATCH($A57,'Pokemon Data'!$B:$B,0)),"")</f>
        <v>174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16</v>
      </c>
      <c r="S57" s="37">
        <f t="shared" si="1"/>
        <v>15</v>
      </c>
      <c r="T57" s="38">
        <f t="shared" si="2"/>
        <v>1520332841.2230308</v>
      </c>
      <c r="U57" s="38">
        <f t="shared" si="3"/>
        <v>1522633760.8200717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14</v>
      </c>
      <c r="AK57" s="37">
        <f t="shared" si="7"/>
        <v>14</v>
      </c>
      <c r="AL57" s="38">
        <f t="shared" si="8"/>
        <v>1443394132.9561121</v>
      </c>
      <c r="AM57" s="38">
        <f t="shared" si="9"/>
        <v>1445578611.0892694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11</v>
      </c>
      <c r="BC57" s="37">
        <f t="shared" si="13"/>
        <v>12</v>
      </c>
      <c r="BD57" s="38">
        <f t="shared" si="14"/>
        <v>1372151324.6717515</v>
      </c>
      <c r="BE57" s="38">
        <f t="shared" si="15"/>
        <v>1374227981.6954219</v>
      </c>
      <c r="BF57" s="38" t="b">
        <f t="shared" si="16"/>
        <v>0</v>
      </c>
      <c r="BG57" s="37">
        <f t="array" ref="BG57:BQ57">IF(BF57,"",IVSolution($M57,$N57,$O57,BB57,BC57,BD57,BE57,$E57,$F57,$G57,$H57,$I57))</f>
        <v>1</v>
      </c>
      <c r="BH57" s="37">
        <v>41</v>
      </c>
      <c r="BI57" s="37">
        <v>41</v>
      </c>
      <c r="BJ57" s="39">
        <v>0.91111111111111109</v>
      </c>
      <c r="BK57" s="39">
        <v>0.91111111111111109</v>
      </c>
      <c r="BL57" s="37">
        <v>11</v>
      </c>
      <c r="BM57" s="37">
        <v>11</v>
      </c>
      <c r="BN57" s="37">
        <v>15</v>
      </c>
      <c r="BO57" s="37">
        <v>15</v>
      </c>
      <c r="BP57" s="37">
        <v>15</v>
      </c>
      <c r="BQ57" s="37">
        <v>15</v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9</v>
      </c>
      <c r="BU57" s="37">
        <f t="shared" si="19"/>
        <v>10</v>
      </c>
      <c r="BV57" s="38">
        <f t="shared" si="20"/>
        <v>1306014068.3339872</v>
      </c>
      <c r="BW57" s="38">
        <f t="shared" si="21"/>
        <v>1307990631.1512606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66">
        <f t="shared" si="25"/>
        <v>0.91111111111111109</v>
      </c>
      <c r="CM57" s="39">
        <f t="shared" si="26"/>
        <v>0.91111111111111109</v>
      </c>
      <c r="CN57" s="39">
        <f t="shared" si="27"/>
        <v>0.91111111111111109</v>
      </c>
      <c r="CO57" s="42">
        <f t="shared" si="28"/>
        <v>11</v>
      </c>
      <c r="CP57" s="42">
        <f t="shared" si="29"/>
        <v>11</v>
      </c>
      <c r="CQ57" s="42">
        <f t="shared" si="30"/>
        <v>15</v>
      </c>
      <c r="CR57" s="42">
        <f t="shared" si="31"/>
        <v>15</v>
      </c>
      <c r="CS57" s="42">
        <f t="shared" si="32"/>
        <v>15</v>
      </c>
      <c r="CT57" s="42">
        <f t="shared" si="33"/>
        <v>15</v>
      </c>
      <c r="CU57" s="43">
        <f t="shared" si="34"/>
        <v>11</v>
      </c>
      <c r="CV57" s="43">
        <f t="shared" si="35"/>
        <v>15</v>
      </c>
      <c r="CW57" s="43">
        <f t="shared" si="36"/>
        <v>15</v>
      </c>
      <c r="CX57" s="13" t="s">
        <v>426</v>
      </c>
    </row>
    <row r="58" spans="1:102" x14ac:dyDescent="0.25">
      <c r="A58" s="31" t="s">
        <v>60</v>
      </c>
      <c r="B58" s="13">
        <v>412</v>
      </c>
      <c r="C58" s="13">
        <v>61</v>
      </c>
      <c r="D58" s="13">
        <v>25</v>
      </c>
      <c r="E58" s="32" t="s">
        <v>0</v>
      </c>
      <c r="F58" s="32"/>
      <c r="G58" s="32">
        <v>1</v>
      </c>
      <c r="H58" s="32"/>
      <c r="I58" s="32" t="s">
        <v>0</v>
      </c>
      <c r="J58" s="13"/>
      <c r="K58" s="33"/>
      <c r="L58" s="34">
        <f>IFERROR(INDEX('Pokemon Data'!A:A,MATCH($A58,'Pokemon Data'!$B:$B,0)),"")</f>
        <v>32</v>
      </c>
      <c r="M58" s="34">
        <f>IFERROR(INDEX('Pokemon Data'!I:I,MATCH($A58,'Pokemon Data'!$B:$B,0)),"")</f>
        <v>92</v>
      </c>
      <c r="N58" s="34">
        <f>IFERROR(INDEX('Pokemon Data'!J:J,MATCH($A58,'Pokemon Data'!$B:$B,0)),"")</f>
        <v>105</v>
      </c>
      <c r="O58" s="34">
        <f>IFERROR(INDEX('Pokemon Data'!K:K,MATCH($A58,'Pokemon Data'!$B:$B,0)),"")</f>
        <v>76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13</v>
      </c>
      <c r="S58" s="37">
        <f t="shared" si="1"/>
        <v>14</v>
      </c>
      <c r="T58" s="38">
        <f t="shared" si="2"/>
        <v>147662493.79210553</v>
      </c>
      <c r="U58" s="38">
        <f t="shared" si="3"/>
        <v>148380171.92728841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12</v>
      </c>
      <c r="AK58" s="37">
        <f t="shared" si="7"/>
        <v>13</v>
      </c>
      <c r="AL58" s="38">
        <f t="shared" si="8"/>
        <v>140189813.32123101</v>
      </c>
      <c r="AM58" s="38">
        <f t="shared" si="9"/>
        <v>140871172.28525928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11</v>
      </c>
      <c r="BC58" s="37">
        <f t="shared" si="13"/>
        <v>11</v>
      </c>
      <c r="BD58" s="38">
        <f t="shared" si="14"/>
        <v>133270347.76028262</v>
      </c>
      <c r="BE58" s="38">
        <f t="shared" si="15"/>
        <v>133918076.32154094</v>
      </c>
      <c r="BF58" s="38" t="b">
        <f t="shared" si="16"/>
        <v>0</v>
      </c>
      <c r="BG58" s="37">
        <f t="array" ref="BG58:BQ58">IF(BF58,"",IVSolution($M58,$N58,$O58,BB58,BC58,BD58,BE58,$E58,$F58,$G58,$H58,$I58))</f>
        <v>1</v>
      </c>
      <c r="BH58" s="37">
        <v>40</v>
      </c>
      <c r="BI58" s="37">
        <v>40</v>
      </c>
      <c r="BJ58" s="39">
        <v>0.88888888888888884</v>
      </c>
      <c r="BK58" s="39">
        <v>0.88888888888888884</v>
      </c>
      <c r="BL58" s="37">
        <v>11</v>
      </c>
      <c r="BM58" s="37">
        <v>11</v>
      </c>
      <c r="BN58" s="37">
        <v>15</v>
      </c>
      <c r="BO58" s="37">
        <v>15</v>
      </c>
      <c r="BP58" s="37">
        <v>14</v>
      </c>
      <c r="BQ58" s="37">
        <v>14</v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9</v>
      </c>
      <c r="BU58" s="37">
        <f t="shared" si="19"/>
        <v>10</v>
      </c>
      <c r="BV58" s="38">
        <f t="shared" si="20"/>
        <v>126846759.49158105</v>
      </c>
      <c r="BW58" s="38">
        <f t="shared" si="21"/>
        <v>127463267.74271543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66">
        <f t="shared" si="25"/>
        <v>0.88888888888888884</v>
      </c>
      <c r="CM58" s="39">
        <f t="shared" si="26"/>
        <v>0.88888888888888884</v>
      </c>
      <c r="CN58" s="39">
        <f t="shared" si="27"/>
        <v>0.88888888888888884</v>
      </c>
      <c r="CO58" s="42">
        <f t="shared" si="28"/>
        <v>11</v>
      </c>
      <c r="CP58" s="42">
        <f t="shared" si="29"/>
        <v>11</v>
      </c>
      <c r="CQ58" s="42">
        <f t="shared" si="30"/>
        <v>15</v>
      </c>
      <c r="CR58" s="42">
        <f t="shared" si="31"/>
        <v>15</v>
      </c>
      <c r="CS58" s="42">
        <f t="shared" si="32"/>
        <v>14</v>
      </c>
      <c r="CT58" s="42">
        <f t="shared" si="33"/>
        <v>14</v>
      </c>
      <c r="CU58" s="43">
        <f t="shared" si="34"/>
        <v>11</v>
      </c>
      <c r="CV58" s="43">
        <f t="shared" si="35"/>
        <v>15</v>
      </c>
      <c r="CW58" s="43">
        <f t="shared" si="36"/>
        <v>14</v>
      </c>
      <c r="CX58" s="13" t="s">
        <v>396</v>
      </c>
    </row>
    <row r="59" spans="1:102" x14ac:dyDescent="0.25">
      <c r="A59" s="31" t="s">
        <v>60</v>
      </c>
      <c r="B59" s="13">
        <v>182</v>
      </c>
      <c r="C59" s="13">
        <v>42</v>
      </c>
      <c r="D59" s="13">
        <v>10</v>
      </c>
      <c r="E59" s="32" t="s">
        <v>0</v>
      </c>
      <c r="F59" s="32">
        <v>1</v>
      </c>
      <c r="G59" s="32"/>
      <c r="H59" s="32">
        <v>1</v>
      </c>
      <c r="I59" s="32" t="s">
        <v>0</v>
      </c>
      <c r="J59" s="13"/>
      <c r="K59" s="33">
        <v>9</v>
      </c>
      <c r="L59" s="34">
        <f>IFERROR(INDEX('Pokemon Data'!A:A,MATCH($A59,'Pokemon Data'!$B:$B,0)),"")</f>
        <v>32</v>
      </c>
      <c r="M59" s="34">
        <f>IFERROR(INDEX('Pokemon Data'!I:I,MATCH($A59,'Pokemon Data'!$B:$B,0)),"")</f>
        <v>92</v>
      </c>
      <c r="N59" s="34">
        <f>IFERROR(INDEX('Pokemon Data'!J:J,MATCH($A59,'Pokemon Data'!$B:$B,0)),"")</f>
        <v>105</v>
      </c>
      <c r="O59" s="34">
        <f>IFERROR(INDEX('Pokemon Data'!K:K,MATCH($A59,'Pokemon Data'!$B:$B,0)),"")</f>
        <v>76</v>
      </c>
      <c r="P59" s="35">
        <f>IFERROR(INDEX('Level Multipliers'!$A:$A,MATCH($D59,'Level Multipliers'!$B:$B,0)),"")</f>
        <v>9</v>
      </c>
      <c r="Q59" s="36">
        <f>IFERROR(INDEX('Level Multipliers'!$D:$D,MATCH(P59,'Level Multipliers'!$A:$A,0)),"")</f>
        <v>2.5027074524512973</v>
      </c>
      <c r="R59" s="37">
        <f t="shared" si="0"/>
        <v>14</v>
      </c>
      <c r="S59" s="37">
        <f t="shared" si="1"/>
        <v>15</v>
      </c>
      <c r="T59" s="38">
        <f t="shared" si="2"/>
        <v>129952046.53436363</v>
      </c>
      <c r="U59" s="38">
        <f t="shared" si="3"/>
        <v>131384014.20086052</v>
      </c>
      <c r="V59" s="38" t="b">
        <f t="shared" si="4"/>
        <v>0</v>
      </c>
      <c r="W59" s="37">
        <f t="array" ref="W59:AG59">IF(V59,"",IVSolution($M59,$N59,$O59,R59,S59,T59,U59,$E59,$F59,$G59,$H59,$I59))</f>
        <v>1</v>
      </c>
      <c r="X59" s="37">
        <v>41</v>
      </c>
      <c r="Y59" s="37">
        <v>41</v>
      </c>
      <c r="Z59" s="39">
        <v>0.91111111111111109</v>
      </c>
      <c r="AA59" s="39">
        <v>0.91111111111111109</v>
      </c>
      <c r="AB59" s="37">
        <v>15</v>
      </c>
      <c r="AC59" s="37">
        <v>15</v>
      </c>
      <c r="AD59" s="37">
        <v>11</v>
      </c>
      <c r="AE59" s="37">
        <v>11</v>
      </c>
      <c r="AF59" s="37">
        <v>15</v>
      </c>
      <c r="AG59" s="37">
        <v>15</v>
      </c>
      <c r="AH59" s="40">
        <f t="shared" si="5"/>
        <v>9.5</v>
      </c>
      <c r="AI59" s="36">
        <f>IFERROR(INDEX('Level Multipliers'!$D:$D,MATCH(AH59,'Level Multipliers'!$A:$A,0)),"")</f>
        <v>2.4319447427583007</v>
      </c>
      <c r="AJ59" s="37">
        <f t="shared" si="6"/>
        <v>11</v>
      </c>
      <c r="AK59" s="37">
        <f t="shared" si="7"/>
        <v>12</v>
      </c>
      <c r="AL59" s="38">
        <f t="shared" si="8"/>
        <v>115866419.78011945</v>
      </c>
      <c r="AM59" s="38">
        <f t="shared" si="9"/>
        <v>117143175.10012138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10</v>
      </c>
      <c r="BA59" s="36">
        <f>IFERROR(INDEX('Level Multipliers'!$D:$D,MATCH(AZ59,'Level Multipliers'!$A:$A,0)),"")</f>
        <v>2.366863825187552</v>
      </c>
      <c r="BB59" s="37">
        <f t="shared" si="12"/>
        <v>8</v>
      </c>
      <c r="BC59" s="37">
        <f t="shared" si="13"/>
        <v>9</v>
      </c>
      <c r="BD59" s="38">
        <f t="shared" si="14"/>
        <v>103952721.56928578</v>
      </c>
      <c r="BE59" s="38">
        <f t="shared" si="15"/>
        <v>105098197.45905723</v>
      </c>
      <c r="BF59" s="38" t="b">
        <f t="shared" si="16"/>
        <v>1</v>
      </c>
      <c r="BG59" s="37" t="str">
        <f t="array" ref="BG59:BQ59">IF(BF59,"",IVSolution($M59,$N59,$O59,BB59,BC59,BD59,BE59,$E59,$F59,$G59,$H59,$I59))</f>
        <v/>
      </c>
      <c r="BH59" s="37" t="str">
        <v/>
      </c>
      <c r="BI59" s="37" t="str">
        <v/>
      </c>
      <c r="BJ59" s="39" t="str">
        <v/>
      </c>
      <c r="BK59" s="39" t="str">
        <v/>
      </c>
      <c r="BL59" s="37" t="str">
        <v/>
      </c>
      <c r="BM59" s="37" t="str">
        <v/>
      </c>
      <c r="BN59" s="37" t="str">
        <v/>
      </c>
      <c r="BO59" s="37" t="str">
        <v/>
      </c>
      <c r="BP59" s="37" t="str">
        <v/>
      </c>
      <c r="BQ59" s="37" t="str">
        <v/>
      </c>
      <c r="BR59" s="40">
        <f t="shared" si="17"/>
        <v>10.5</v>
      </c>
      <c r="BS59" s="36">
        <f>IFERROR(INDEX('Level Multipliers'!$D:$D,MATCH(BR59,'Level Multipliers'!$A:$A,0)),"")</f>
        <v>2.3098613358274029</v>
      </c>
      <c r="BT59" s="37">
        <f t="shared" si="18"/>
        <v>6</v>
      </c>
      <c r="BU59" s="37">
        <f t="shared" si="19"/>
        <v>7</v>
      </c>
      <c r="BV59" s="38">
        <f t="shared" si="20"/>
        <v>94294511.177830547</v>
      </c>
      <c r="BW59" s="38">
        <f t="shared" si="21"/>
        <v>95333561.310058177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9</v>
      </c>
      <c r="CK59" s="41">
        <f t="shared" si="24"/>
        <v>9</v>
      </c>
      <c r="CL59" s="66">
        <f t="shared" si="25"/>
        <v>0.91111111111111109</v>
      </c>
      <c r="CM59" s="39">
        <f t="shared" si="26"/>
        <v>0.91111111111111109</v>
      </c>
      <c r="CN59" s="39">
        <f t="shared" si="27"/>
        <v>0.91111111111111109</v>
      </c>
      <c r="CO59" s="42">
        <f t="shared" si="28"/>
        <v>15</v>
      </c>
      <c r="CP59" s="42">
        <f t="shared" si="29"/>
        <v>15</v>
      </c>
      <c r="CQ59" s="42">
        <f t="shared" si="30"/>
        <v>11</v>
      </c>
      <c r="CR59" s="42">
        <f t="shared" si="31"/>
        <v>11</v>
      </c>
      <c r="CS59" s="42">
        <f t="shared" si="32"/>
        <v>15</v>
      </c>
      <c r="CT59" s="42">
        <f t="shared" si="33"/>
        <v>15</v>
      </c>
      <c r="CU59" s="43">
        <f t="shared" si="34"/>
        <v>15</v>
      </c>
      <c r="CV59" s="43">
        <f t="shared" si="35"/>
        <v>11</v>
      </c>
      <c r="CW59" s="43">
        <f t="shared" si="36"/>
        <v>15</v>
      </c>
      <c r="CX59" s="13" t="s">
        <v>394</v>
      </c>
    </row>
    <row r="60" spans="1:102" x14ac:dyDescent="0.25">
      <c r="A60" s="31" t="s">
        <v>61</v>
      </c>
      <c r="B60" s="13">
        <v>518</v>
      </c>
      <c r="C60" s="13">
        <v>68</v>
      </c>
      <c r="D60" s="13">
        <v>19</v>
      </c>
      <c r="E60" s="32" t="s">
        <v>0</v>
      </c>
      <c r="F60" s="32"/>
      <c r="G60" s="32"/>
      <c r="H60" s="32">
        <v>1</v>
      </c>
      <c r="I60" s="32" t="s">
        <v>0</v>
      </c>
      <c r="J60" s="13"/>
      <c r="K60" s="33">
        <v>15</v>
      </c>
      <c r="L60" s="34">
        <f>IFERROR(INDEX('Pokemon Data'!A:A,MATCH($A60,'Pokemon Data'!$B:$B,0)),"")</f>
        <v>33</v>
      </c>
      <c r="M60" s="34">
        <f>IFERROR(INDEX('Pokemon Data'!I:I,MATCH($A60,'Pokemon Data'!$B:$B,0)),"")</f>
        <v>122</v>
      </c>
      <c r="N60" s="34">
        <f>IFERROR(INDEX('Pokemon Data'!J:J,MATCH($A60,'Pokemon Data'!$B:$B,0)),"")</f>
        <v>137</v>
      </c>
      <c r="O60" s="34">
        <f>IFERROR(INDEX('Pokemon Data'!K:K,MATCH($A60,'Pokemon Data'!$B:$B,0)),"")</f>
        <v>112</v>
      </c>
      <c r="P60" s="35">
        <f>IFERROR(INDEX('Level Multipliers'!$A:$A,MATCH($D60,'Level Multipliers'!$B:$B,0)),"")</f>
        <v>15</v>
      </c>
      <c r="Q60" s="36">
        <f>IFERROR(INDEX('Level Multipliers'!$D:$D,MATCH(P60,'Level Multipliers'!$A:$A,0)),"")</f>
        <v>1.9327632386874845</v>
      </c>
      <c r="R60" s="37">
        <f t="shared" si="0"/>
        <v>10</v>
      </c>
      <c r="S60" s="37">
        <f t="shared" si="1"/>
        <v>11</v>
      </c>
      <c r="T60" s="38">
        <f t="shared" si="2"/>
        <v>374433024.79966617</v>
      </c>
      <c r="U60" s="38">
        <f t="shared" si="3"/>
        <v>375880107.6052193</v>
      </c>
      <c r="V60" s="38" t="b">
        <f t="shared" si="4"/>
        <v>0</v>
      </c>
      <c r="W60" s="37">
        <f t="array" ref="W60:AG60">IF(V60,"",IVSolution($M60,$N60,$O60,R60,S60,T60,U60,$E60,$F60,$G60,$H60,$I60))</f>
        <v>1</v>
      </c>
      <c r="X60" s="37">
        <v>38</v>
      </c>
      <c r="Y60" s="37">
        <v>38</v>
      </c>
      <c r="Z60" s="39">
        <v>0.84444444444444444</v>
      </c>
      <c r="AA60" s="39">
        <v>0.84444444444444444</v>
      </c>
      <c r="AB60" s="37">
        <v>11</v>
      </c>
      <c r="AC60" s="37">
        <v>11</v>
      </c>
      <c r="AD60" s="37">
        <v>12</v>
      </c>
      <c r="AE60" s="37">
        <v>12</v>
      </c>
      <c r="AF60" s="37">
        <v>15</v>
      </c>
      <c r="AG60" s="37">
        <v>15</v>
      </c>
      <c r="AH60" s="40">
        <f t="shared" si="5"/>
        <v>15.5</v>
      </c>
      <c r="AI60" s="36">
        <f>IFERROR(INDEX('Level Multipliers'!$D:$D,MATCH(AH60,'Level Multipliers'!$A:$A,0)),"")</f>
        <v>1.9013484732050823</v>
      </c>
      <c r="AJ60" s="37">
        <f t="shared" si="6"/>
        <v>8</v>
      </c>
      <c r="AK60" s="37">
        <f t="shared" si="7"/>
        <v>9</v>
      </c>
      <c r="AL60" s="38">
        <f t="shared" si="8"/>
        <v>350676287.9083299</v>
      </c>
      <c r="AM60" s="38">
        <f t="shared" si="9"/>
        <v>352031557.32351804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16</v>
      </c>
      <c r="BA60" s="36">
        <f>IFERROR(INDEX('Level Multipliers'!$D:$D,MATCH(AZ60,'Level Multipliers'!$A:$A,0)),"")</f>
        <v>1.8714174200985207</v>
      </c>
      <c r="BB60" s="37">
        <f t="shared" si="12"/>
        <v>6</v>
      </c>
      <c r="BC60" s="37">
        <f t="shared" si="13"/>
        <v>7</v>
      </c>
      <c r="BD60" s="38">
        <f t="shared" si="14"/>
        <v>329110842.78149825</v>
      </c>
      <c r="BE60" s="38">
        <f t="shared" si="15"/>
        <v>330382767.55887341</v>
      </c>
      <c r="BF60" s="38" t="b">
        <f t="shared" si="16"/>
        <v>1</v>
      </c>
      <c r="BG60" s="37" t="str">
        <f t="array" ref="BG60:BQ60">IF(BF60,"",IVSolution($M60,$N60,$O60,BB60,BC60,BD60,BE60,$E60,$F60,$G60,$H60,$I60))</f>
        <v/>
      </c>
      <c r="BH60" s="37" t="str">
        <v/>
      </c>
      <c r="BI60" s="37" t="str">
        <v/>
      </c>
      <c r="BJ60" s="39" t="str">
        <v/>
      </c>
      <c r="BK60" s="39" t="str">
        <v/>
      </c>
      <c r="BL60" s="37" t="str">
        <v/>
      </c>
      <c r="BM60" s="37" t="str">
        <v/>
      </c>
      <c r="BN60" s="37" t="str">
        <v/>
      </c>
      <c r="BO60" s="37" t="str">
        <v/>
      </c>
      <c r="BP60" s="37" t="str">
        <v/>
      </c>
      <c r="BQ60" s="37" t="str">
        <v/>
      </c>
      <c r="BR60" s="40">
        <f t="shared" si="17"/>
        <v>16.5</v>
      </c>
      <c r="BS60" s="36">
        <f>IFERROR(INDEX('Level Multipliers'!$D:$D,MATCH(BR60,'Level Multipliers'!$A:$A,0)),"")</f>
        <v>1.8428568206029767</v>
      </c>
      <c r="BT60" s="37">
        <f t="shared" si="18"/>
        <v>4</v>
      </c>
      <c r="BU60" s="37">
        <f t="shared" si="19"/>
        <v>5</v>
      </c>
      <c r="BV60" s="38">
        <f t="shared" si="20"/>
        <v>309475231.76829535</v>
      </c>
      <c r="BW60" s="38">
        <f t="shared" si="21"/>
        <v>310671270.19699991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15</v>
      </c>
      <c r="CK60" s="41">
        <f t="shared" si="24"/>
        <v>15</v>
      </c>
      <c r="CL60" s="66">
        <f t="shared" si="25"/>
        <v>0.84444444444444444</v>
      </c>
      <c r="CM60" s="39">
        <f t="shared" si="26"/>
        <v>0.84444444444444444</v>
      </c>
      <c r="CN60" s="39">
        <f t="shared" si="27"/>
        <v>0.84444444444444444</v>
      </c>
      <c r="CO60" s="42">
        <f t="shared" si="28"/>
        <v>11</v>
      </c>
      <c r="CP60" s="42">
        <f t="shared" si="29"/>
        <v>11</v>
      </c>
      <c r="CQ60" s="42">
        <f t="shared" si="30"/>
        <v>12</v>
      </c>
      <c r="CR60" s="42">
        <f t="shared" si="31"/>
        <v>12</v>
      </c>
      <c r="CS60" s="42">
        <f t="shared" si="32"/>
        <v>15</v>
      </c>
      <c r="CT60" s="42">
        <f t="shared" si="33"/>
        <v>15</v>
      </c>
      <c r="CU60" s="43">
        <f t="shared" si="34"/>
        <v>11</v>
      </c>
      <c r="CV60" s="43">
        <f t="shared" si="35"/>
        <v>12</v>
      </c>
      <c r="CW60" s="43">
        <f t="shared" si="36"/>
        <v>15</v>
      </c>
      <c r="CX60" s="13" t="s">
        <v>395</v>
      </c>
    </row>
    <row r="61" spans="1:102" x14ac:dyDescent="0.25">
      <c r="A61" s="31" t="s">
        <v>62</v>
      </c>
      <c r="B61" s="13">
        <v>1349</v>
      </c>
      <c r="C61" s="13">
        <v>105</v>
      </c>
      <c r="D61" s="13">
        <v>25</v>
      </c>
      <c r="E61" s="32" t="s">
        <v>0</v>
      </c>
      <c r="F61" s="32">
        <v>1</v>
      </c>
      <c r="G61" s="32"/>
      <c r="H61" s="32"/>
      <c r="I61" s="32" t="s">
        <v>0</v>
      </c>
      <c r="J61" s="13"/>
      <c r="K61" s="33"/>
      <c r="L61" s="34">
        <f>IFERROR(INDEX('Pokemon Data'!A:A,MATCH($A61,'Pokemon Data'!$B:$B,0)),"")</f>
        <v>34</v>
      </c>
      <c r="M61" s="34">
        <f>IFERROR(INDEX('Pokemon Data'!I:I,MATCH($A61,'Pokemon Data'!$B:$B,0)),"")</f>
        <v>162</v>
      </c>
      <c r="N61" s="34">
        <f>IFERROR(INDEX('Pokemon Data'!J:J,MATCH($A61,'Pokemon Data'!$B:$B,0)),"")</f>
        <v>204</v>
      </c>
      <c r="O61" s="34">
        <f>IFERROR(INDEX('Pokemon Data'!K:K,MATCH($A61,'Pokemon Data'!$B:$B,0)),"")</f>
        <v>157</v>
      </c>
      <c r="P61" s="35">
        <f>IFERROR(INDEX('Level Multipliers'!$A:$A,MATCH($D61,'Level Multipliers'!$B:$B,0)),"")</f>
        <v>19</v>
      </c>
      <c r="Q61" s="36">
        <f>IFERROR(INDEX('Level Multipliers'!$D:$D,MATCH(P61,'Level Multipliers'!$A:$A,0)),"")</f>
        <v>1.7173900470456649</v>
      </c>
      <c r="R61" s="37">
        <f t="shared" si="0"/>
        <v>19</v>
      </c>
      <c r="S61" s="37">
        <f t="shared" si="1"/>
        <v>15</v>
      </c>
      <c r="T61" s="38">
        <f t="shared" si="2"/>
        <v>1583068349.1927104</v>
      </c>
      <c r="U61" s="38">
        <f t="shared" si="3"/>
        <v>1585416244.0858724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19.5</v>
      </c>
      <c r="AI61" s="36">
        <f>IFERROR(INDEX('Level Multipliers'!$D:$D,MATCH(AH61,'Level Multipliers'!$A:$A,0)),"")</f>
        <v>1.6952373266621776</v>
      </c>
      <c r="AJ61" s="37">
        <f t="shared" si="6"/>
        <v>16</v>
      </c>
      <c r="AK61" s="37">
        <f t="shared" si="7"/>
        <v>15</v>
      </c>
      <c r="AL61" s="38">
        <f t="shared" si="8"/>
        <v>1502954817.0880239</v>
      </c>
      <c r="AM61" s="38">
        <f t="shared" si="9"/>
        <v>1505183893.2624631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20</v>
      </c>
      <c r="BA61" s="36">
        <f>IFERROR(INDEX('Level Multipliers'!$D:$D,MATCH(AZ61,'Level Multipliers'!$A:$A,0)),"")</f>
        <v>1.6739202944034379</v>
      </c>
      <c r="BB61" s="37">
        <f t="shared" si="12"/>
        <v>14</v>
      </c>
      <c r="BC61" s="37">
        <f t="shared" si="13"/>
        <v>15</v>
      </c>
      <c r="BD61" s="38">
        <f t="shared" si="14"/>
        <v>1428772222.4320745</v>
      </c>
      <c r="BE61" s="38">
        <f t="shared" si="15"/>
        <v>1430891276.2343004</v>
      </c>
      <c r="BF61" s="38" t="b">
        <f t="shared" si="16"/>
        <v>0</v>
      </c>
      <c r="BG61" s="37">
        <f t="array" ref="BG61:BQ61">IF(BF61,"",IVSolution($M61,$N61,$O61,BB61,BC61,BD61,BE61,$E61,$F61,$G61,$H61,$I61))</f>
        <v>1</v>
      </c>
      <c r="BH61" s="37">
        <v>42</v>
      </c>
      <c r="BI61" s="37">
        <v>42</v>
      </c>
      <c r="BJ61" s="39">
        <v>0.93333333333333335</v>
      </c>
      <c r="BK61" s="39">
        <v>0.93333333333333335</v>
      </c>
      <c r="BL61" s="37">
        <v>15</v>
      </c>
      <c r="BM61" s="37">
        <v>15</v>
      </c>
      <c r="BN61" s="37">
        <v>14</v>
      </c>
      <c r="BO61" s="37">
        <v>14</v>
      </c>
      <c r="BP61" s="37">
        <v>13</v>
      </c>
      <c r="BQ61" s="37">
        <v>13</v>
      </c>
      <c r="BR61" s="40">
        <f t="shared" si="17"/>
        <v>20.5</v>
      </c>
      <c r="BS61" s="36">
        <f>IFERROR(INDEX('Level Multipliers'!$D:$D,MATCH(BR61,'Level Multipliers'!$A:$A,0)),"")</f>
        <v>1.6533745038028393</v>
      </c>
      <c r="BT61" s="37">
        <f t="shared" si="18"/>
        <v>12</v>
      </c>
      <c r="BU61" s="37">
        <f t="shared" si="19"/>
        <v>13</v>
      </c>
      <c r="BV61" s="38">
        <f t="shared" si="20"/>
        <v>1359905856.8758759</v>
      </c>
      <c r="BW61" s="38">
        <f t="shared" si="21"/>
        <v>1361922772.9604962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20</v>
      </c>
      <c r="CK61" s="41">
        <f t="shared" si="24"/>
        <v>20</v>
      </c>
      <c r="CL61" s="66">
        <f t="shared" si="25"/>
        <v>0.93333333333333335</v>
      </c>
      <c r="CM61" s="39">
        <f t="shared" si="26"/>
        <v>0.93333333333333335</v>
      </c>
      <c r="CN61" s="39">
        <f t="shared" si="27"/>
        <v>0.93333333333333335</v>
      </c>
      <c r="CO61" s="42">
        <f t="shared" si="28"/>
        <v>15</v>
      </c>
      <c r="CP61" s="42">
        <f t="shared" si="29"/>
        <v>15</v>
      </c>
      <c r="CQ61" s="42">
        <f t="shared" si="30"/>
        <v>14</v>
      </c>
      <c r="CR61" s="42">
        <f t="shared" si="31"/>
        <v>14</v>
      </c>
      <c r="CS61" s="42">
        <f t="shared" si="32"/>
        <v>13</v>
      </c>
      <c r="CT61" s="42">
        <f t="shared" si="33"/>
        <v>13</v>
      </c>
      <c r="CU61" s="43">
        <f t="shared" si="34"/>
        <v>15</v>
      </c>
      <c r="CV61" s="43">
        <f t="shared" si="35"/>
        <v>14</v>
      </c>
      <c r="CW61" s="43">
        <f t="shared" si="36"/>
        <v>13</v>
      </c>
      <c r="CX61" s="13" t="s">
        <v>426</v>
      </c>
    </row>
    <row r="62" spans="1:102" x14ac:dyDescent="0.25">
      <c r="A62" s="31" t="s">
        <v>63</v>
      </c>
      <c r="B62" s="13">
        <v>585</v>
      </c>
      <c r="C62" s="13">
        <v>90</v>
      </c>
      <c r="D62" s="13">
        <v>25</v>
      </c>
      <c r="E62" s="32"/>
      <c r="F62" s="32"/>
      <c r="G62" s="32"/>
      <c r="H62" s="32"/>
      <c r="I62" s="32"/>
      <c r="J62" s="13"/>
      <c r="K62" s="33">
        <v>20</v>
      </c>
      <c r="L62" s="34">
        <f>IFERROR(INDEX('Pokemon Data'!A:A,MATCH($A62,'Pokemon Data'!$B:$B,0)),"")</f>
        <v>35</v>
      </c>
      <c r="M62" s="34">
        <f>IFERROR(INDEX('Pokemon Data'!I:I,MATCH($A62,'Pokemon Data'!$B:$B,0)),"")</f>
        <v>140</v>
      </c>
      <c r="N62" s="34">
        <f>IFERROR(INDEX('Pokemon Data'!J:J,MATCH($A62,'Pokemon Data'!$B:$B,0)),"")</f>
        <v>107</v>
      </c>
      <c r="O62" s="34">
        <f>IFERROR(INDEX('Pokemon Data'!K:K,MATCH($A62,'Pokemon Data'!$B:$B,0)),"")</f>
        <v>116</v>
      </c>
      <c r="P62" s="35">
        <f>IFERROR(INDEX('Level Multipliers'!$A:$A,MATCH($D62,'Level Multipliers'!$B:$B,0)),"")</f>
        <v>19</v>
      </c>
      <c r="Q62" s="36">
        <f>IFERROR(INDEX('Level Multipliers'!$D:$D,MATCH(P62,'Level Multipliers'!$A:$A,0)),"")</f>
        <v>1.7173900470456649</v>
      </c>
      <c r="R62" s="37">
        <f t="shared" si="0"/>
        <v>15</v>
      </c>
      <c r="S62" s="37">
        <f t="shared" si="1"/>
        <v>15</v>
      </c>
      <c r="T62" s="38">
        <f t="shared" si="2"/>
        <v>297705939.16723603</v>
      </c>
      <c r="U62" s="38">
        <f t="shared" si="3"/>
        <v>298724607.16275018</v>
      </c>
      <c r="V62" s="38" t="b">
        <f t="shared" si="4"/>
        <v>1</v>
      </c>
      <c r="W62" s="37" t="str">
        <f t="array" ref="W62:AG62">IF(V62,"",IVSolution($M62,$N62,$O62,R62,S62,T62,U62,$E62,$F62,$G62,$H62,$I62))</f>
        <v/>
      </c>
      <c r="X62" s="37" t="str">
        <v/>
      </c>
      <c r="Y62" s="37" t="str">
        <v/>
      </c>
      <c r="Z62" s="39" t="str">
        <v/>
      </c>
      <c r="AA62" s="39" t="str">
        <v/>
      </c>
      <c r="AB62" s="37" t="str">
        <v/>
      </c>
      <c r="AC62" s="37" t="str">
        <v/>
      </c>
      <c r="AD62" s="37" t="str">
        <v/>
      </c>
      <c r="AE62" s="37" t="str">
        <v/>
      </c>
      <c r="AF62" s="37" t="str">
        <v/>
      </c>
      <c r="AG62" s="37" t="str">
        <v/>
      </c>
      <c r="AH62" s="40">
        <f t="shared" si="5"/>
        <v>19.5</v>
      </c>
      <c r="AI62" s="36">
        <f>IFERROR(INDEX('Level Multipliers'!$D:$D,MATCH(AH62,'Level Multipliers'!$A:$A,0)),"")</f>
        <v>1.6952373266621776</v>
      </c>
      <c r="AJ62" s="37">
        <f t="shared" si="6"/>
        <v>13</v>
      </c>
      <c r="AK62" s="37">
        <f t="shared" si="7"/>
        <v>14</v>
      </c>
      <c r="AL62" s="38">
        <f t="shared" si="8"/>
        <v>282640086.62372917</v>
      </c>
      <c r="AM62" s="38">
        <f t="shared" si="9"/>
        <v>283607203.40782261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20</v>
      </c>
      <c r="BA62" s="36">
        <f>IFERROR(INDEX('Level Multipliers'!$D:$D,MATCH(AZ62,'Level Multipliers'!$A:$A,0)),"")</f>
        <v>1.6739202944034379</v>
      </c>
      <c r="BB62" s="37">
        <f t="shared" si="12"/>
        <v>11</v>
      </c>
      <c r="BC62" s="37">
        <f t="shared" si="13"/>
        <v>12</v>
      </c>
      <c r="BD62" s="38">
        <f t="shared" si="14"/>
        <v>268689584.09288526</v>
      </c>
      <c r="BE62" s="38">
        <f t="shared" si="15"/>
        <v>269608966.08710772</v>
      </c>
      <c r="BF62" s="38" t="b">
        <f t="shared" si="16"/>
        <v>0</v>
      </c>
      <c r="BG62" s="37">
        <f t="array" ref="BG62:BQ62">IF(BF62,"",IVSolution($M62,$N62,$O62,BB62,BC62,BD62,BE62,$E62,$F62,$G62,$H62,$I62))</f>
        <v>8</v>
      </c>
      <c r="BH62" s="37">
        <v>30</v>
      </c>
      <c r="BI62" s="37">
        <v>35</v>
      </c>
      <c r="BJ62" s="39">
        <v>0.66666666666666663</v>
      </c>
      <c r="BK62" s="39">
        <v>0.77777777777777779</v>
      </c>
      <c r="BL62" s="37">
        <v>11</v>
      </c>
      <c r="BM62" s="37">
        <v>12</v>
      </c>
      <c r="BN62" s="37">
        <v>10</v>
      </c>
      <c r="BO62" s="37">
        <v>15</v>
      </c>
      <c r="BP62" s="37">
        <v>3</v>
      </c>
      <c r="BQ62" s="37">
        <v>14</v>
      </c>
      <c r="BR62" s="40">
        <f t="shared" si="17"/>
        <v>20.5</v>
      </c>
      <c r="BS62" s="36">
        <f>IFERROR(INDEX('Level Multipliers'!$D:$D,MATCH(BR62,'Level Multipliers'!$A:$A,0)),"")</f>
        <v>1.6533745038028393</v>
      </c>
      <c r="BT62" s="37">
        <f t="shared" si="18"/>
        <v>9</v>
      </c>
      <c r="BU62" s="37">
        <f t="shared" si="19"/>
        <v>10</v>
      </c>
      <c r="BV62" s="38">
        <f t="shared" si="20"/>
        <v>255738831.81147096</v>
      </c>
      <c r="BW62" s="38">
        <f t="shared" si="21"/>
        <v>256613899.88671744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20</v>
      </c>
      <c r="CK62" s="41">
        <f t="shared" si="24"/>
        <v>20</v>
      </c>
      <c r="CL62" s="66">
        <f t="shared" si="25"/>
        <v>0.72222222222222221</v>
      </c>
      <c r="CM62" s="39">
        <f t="shared" si="26"/>
        <v>0.66666666666666663</v>
      </c>
      <c r="CN62" s="39">
        <f t="shared" si="27"/>
        <v>0.77777777777777779</v>
      </c>
      <c r="CO62" s="42">
        <f t="shared" si="28"/>
        <v>11</v>
      </c>
      <c r="CP62" s="42">
        <f t="shared" si="29"/>
        <v>12</v>
      </c>
      <c r="CQ62" s="42">
        <f t="shared" si="30"/>
        <v>10</v>
      </c>
      <c r="CR62" s="42">
        <f t="shared" si="31"/>
        <v>15</v>
      </c>
      <c r="CS62" s="42">
        <f t="shared" si="32"/>
        <v>3</v>
      </c>
      <c r="CT62" s="42">
        <f t="shared" si="33"/>
        <v>14</v>
      </c>
      <c r="CU62" s="43" t="str">
        <f t="shared" si="34"/>
        <v>11-12</v>
      </c>
      <c r="CV62" s="43" t="str">
        <f t="shared" si="35"/>
        <v>10-15</v>
      </c>
      <c r="CW62" s="43" t="str">
        <f t="shared" si="36"/>
        <v>3-14</v>
      </c>
      <c r="CX62" s="13"/>
    </row>
    <row r="63" spans="1:102" x14ac:dyDescent="0.25">
      <c r="A63" s="31" t="s">
        <v>67</v>
      </c>
      <c r="B63" s="13">
        <v>426</v>
      </c>
      <c r="C63" s="13">
        <v>53</v>
      </c>
      <c r="D63" s="13">
        <v>25</v>
      </c>
      <c r="E63" s="32" t="s">
        <v>0</v>
      </c>
      <c r="F63" s="32">
        <v>1</v>
      </c>
      <c r="G63" s="32">
        <v>1</v>
      </c>
      <c r="H63" s="32">
        <v>1</v>
      </c>
      <c r="I63" s="32" t="s">
        <v>2</v>
      </c>
      <c r="J63" s="13"/>
      <c r="K63" s="33"/>
      <c r="L63" s="34">
        <f>IFERROR(INDEX('Pokemon Data'!A:A,MATCH($A63,'Pokemon Data'!$B:$B,0)),"")</f>
        <v>37</v>
      </c>
      <c r="M63" s="34">
        <f>IFERROR(INDEX('Pokemon Data'!I:I,MATCH($A63,'Pokemon Data'!$B:$B,0)),"")</f>
        <v>76</v>
      </c>
      <c r="N63" s="34">
        <f>IFERROR(INDEX('Pokemon Data'!J:J,MATCH($A63,'Pokemon Data'!$B:$B,0)),"")</f>
        <v>96</v>
      </c>
      <c r="O63" s="34">
        <f>IFERROR(INDEX('Pokemon Data'!K:K,MATCH($A63,'Pokemon Data'!$B:$B,0)),"")</f>
        <v>122</v>
      </c>
      <c r="P63" s="35">
        <f>IFERROR(INDEX('Level Multipliers'!$A:$A,MATCH($D63,'Level Multipliers'!$B:$B,0)),"")</f>
        <v>19</v>
      </c>
      <c r="Q63" s="36">
        <f>IFERROR(INDEX('Level Multipliers'!$D:$D,MATCH(P63,'Level Multipliers'!$A:$A,0)),"")</f>
        <v>1.7173900470456649</v>
      </c>
      <c r="R63" s="37">
        <f t="shared" si="0"/>
        <v>16</v>
      </c>
      <c r="S63" s="37">
        <f t="shared" si="1"/>
        <v>15</v>
      </c>
      <c r="T63" s="38">
        <f t="shared" si="2"/>
        <v>157868311.830852</v>
      </c>
      <c r="U63" s="38">
        <f t="shared" si="3"/>
        <v>158610347.52698657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19.5</v>
      </c>
      <c r="AI63" s="36">
        <f>IFERROR(INDEX('Level Multipliers'!$D:$D,MATCH(AH63,'Level Multipliers'!$A:$A,0)),"")</f>
        <v>1.6952373266621776</v>
      </c>
      <c r="AJ63" s="37">
        <f t="shared" si="6"/>
        <v>14</v>
      </c>
      <c r="AK63" s="37">
        <f t="shared" si="7"/>
        <v>15</v>
      </c>
      <c r="AL63" s="38">
        <f t="shared" si="8"/>
        <v>149879150.73453978</v>
      </c>
      <c r="AM63" s="38">
        <f t="shared" si="9"/>
        <v>150583634.60886234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20</v>
      </c>
      <c r="BA63" s="36">
        <f>IFERROR(INDEX('Level Multipliers'!$D:$D,MATCH(AZ63,'Level Multipliers'!$A:$A,0)),"")</f>
        <v>1.6739202944034379</v>
      </c>
      <c r="BB63" s="37">
        <f t="shared" si="12"/>
        <v>13</v>
      </c>
      <c r="BC63" s="37">
        <f t="shared" si="13"/>
        <v>14</v>
      </c>
      <c r="BD63" s="38">
        <f t="shared" si="14"/>
        <v>142481440.46414042</v>
      </c>
      <c r="BE63" s="38">
        <f t="shared" si="15"/>
        <v>143151152.54020506</v>
      </c>
      <c r="BF63" s="38" t="b">
        <f t="shared" si="16"/>
        <v>0</v>
      </c>
      <c r="BG63" s="37">
        <f t="array" ref="BG63:BQ63">IF(BF63,"",IVSolution($M63,$N63,$O63,BB63,BC63,BD63,BE63,$E63,$F63,$G63,$H63,$I63))</f>
        <v>1</v>
      </c>
      <c r="BH63" s="37">
        <v>39</v>
      </c>
      <c r="BI63" s="37">
        <v>39</v>
      </c>
      <c r="BJ63" s="39">
        <v>0.8666666666666667</v>
      </c>
      <c r="BK63" s="39">
        <v>0.8666666666666667</v>
      </c>
      <c r="BL63" s="37">
        <v>13</v>
      </c>
      <c r="BM63" s="37">
        <v>13</v>
      </c>
      <c r="BN63" s="37">
        <v>13</v>
      </c>
      <c r="BO63" s="37">
        <v>13</v>
      </c>
      <c r="BP63" s="37">
        <v>13</v>
      </c>
      <c r="BQ63" s="37">
        <v>13</v>
      </c>
      <c r="BR63" s="40">
        <f t="shared" si="17"/>
        <v>20.5</v>
      </c>
      <c r="BS63" s="36">
        <f>IFERROR(INDEX('Level Multipliers'!$D:$D,MATCH(BR63,'Level Multipliers'!$A:$A,0)),"")</f>
        <v>1.6533745038028393</v>
      </c>
      <c r="BT63" s="37">
        <f t="shared" si="18"/>
        <v>12</v>
      </c>
      <c r="BU63" s="37">
        <f t="shared" si="19"/>
        <v>13</v>
      </c>
      <c r="BV63" s="38">
        <f t="shared" si="20"/>
        <v>135613880.46407628</v>
      </c>
      <c r="BW63" s="38">
        <f t="shared" si="21"/>
        <v>136251312.63161278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20</v>
      </c>
      <c r="CK63" s="41">
        <f t="shared" si="24"/>
        <v>20</v>
      </c>
      <c r="CL63" s="66">
        <f t="shared" si="25"/>
        <v>0.8666666666666667</v>
      </c>
      <c r="CM63" s="39">
        <f t="shared" si="26"/>
        <v>0.8666666666666667</v>
      </c>
      <c r="CN63" s="39">
        <f t="shared" si="27"/>
        <v>0.8666666666666667</v>
      </c>
      <c r="CO63" s="42">
        <f t="shared" si="28"/>
        <v>13</v>
      </c>
      <c r="CP63" s="42">
        <f t="shared" si="29"/>
        <v>13</v>
      </c>
      <c r="CQ63" s="42">
        <f t="shared" si="30"/>
        <v>13</v>
      </c>
      <c r="CR63" s="42">
        <f t="shared" si="31"/>
        <v>13</v>
      </c>
      <c r="CS63" s="42">
        <f t="shared" si="32"/>
        <v>13</v>
      </c>
      <c r="CT63" s="42">
        <f t="shared" si="33"/>
        <v>13</v>
      </c>
      <c r="CU63" s="43">
        <f t="shared" si="34"/>
        <v>13</v>
      </c>
      <c r="CV63" s="43">
        <f t="shared" si="35"/>
        <v>13</v>
      </c>
      <c r="CW63" s="43">
        <f t="shared" si="36"/>
        <v>13</v>
      </c>
      <c r="CX63" s="13"/>
    </row>
    <row r="64" spans="1:102" x14ac:dyDescent="0.25">
      <c r="A64" s="31" t="s">
        <v>67</v>
      </c>
      <c r="B64" s="13">
        <v>237</v>
      </c>
      <c r="C64" s="13">
        <v>38</v>
      </c>
      <c r="D64" s="13">
        <v>13</v>
      </c>
      <c r="E64" s="32" t="s">
        <v>0</v>
      </c>
      <c r="F64" s="32"/>
      <c r="G64" s="32">
        <v>1</v>
      </c>
      <c r="H64" s="32"/>
      <c r="I64" s="32" t="s">
        <v>0</v>
      </c>
      <c r="J64" s="13"/>
      <c r="K64" s="33">
        <v>11</v>
      </c>
      <c r="L64" s="34">
        <f>IFERROR(INDEX('Pokemon Data'!A:A,MATCH($A64,'Pokemon Data'!$B:$B,0)),"")</f>
        <v>37</v>
      </c>
      <c r="M64" s="34">
        <f>IFERROR(INDEX('Pokemon Data'!I:I,MATCH($A64,'Pokemon Data'!$B:$B,0)),"")</f>
        <v>76</v>
      </c>
      <c r="N64" s="34">
        <f>IFERROR(INDEX('Pokemon Data'!J:J,MATCH($A64,'Pokemon Data'!$B:$B,0)),"")</f>
        <v>96</v>
      </c>
      <c r="O64" s="34">
        <f>IFERROR(INDEX('Pokemon Data'!K:K,MATCH($A64,'Pokemon Data'!$B:$B,0)),"")</f>
        <v>122</v>
      </c>
      <c r="P64" s="35">
        <f>IFERROR(INDEX('Level Multipliers'!$A:$A,MATCH($D64,'Level Multipliers'!$B:$B,0)),"")</f>
        <v>11</v>
      </c>
      <c r="Q64" s="36">
        <f>IFERROR(INDEX('Level Multipliers'!$D:$D,MATCH(P64,'Level Multipliers'!$A:$A,0)),"")</f>
        <v>2.2567884714123854</v>
      </c>
      <c r="R64" s="37">
        <f t="shared" si="0"/>
        <v>10</v>
      </c>
      <c r="S64" s="37">
        <f t="shared" si="1"/>
        <v>12</v>
      </c>
      <c r="T64" s="38">
        <f t="shared" si="2"/>
        <v>145700187.42147166</v>
      </c>
      <c r="U64" s="38">
        <f t="shared" si="3"/>
        <v>146932318.82892415</v>
      </c>
      <c r="V64" s="38" t="b">
        <f t="shared" si="4"/>
        <v>0</v>
      </c>
      <c r="W64" s="37">
        <f t="array" ref="W64:AG64">IF(V64,"",IVSolution($M64,$N64,$O64,R64,S64,T64,U64,$E64,$F64,$G64,$H64,$I64))</f>
        <v>2</v>
      </c>
      <c r="X64" s="37">
        <v>40</v>
      </c>
      <c r="Y64" s="37">
        <v>40</v>
      </c>
      <c r="Z64" s="39">
        <v>0.88888888888888884</v>
      </c>
      <c r="AA64" s="39">
        <v>0.88888888888888884</v>
      </c>
      <c r="AB64" s="37">
        <v>11</v>
      </c>
      <c r="AC64" s="37">
        <v>12</v>
      </c>
      <c r="AD64" s="37">
        <v>15</v>
      </c>
      <c r="AE64" s="37">
        <v>15</v>
      </c>
      <c r="AF64" s="37">
        <v>13</v>
      </c>
      <c r="AG64" s="37">
        <v>14</v>
      </c>
      <c r="AH64" s="40">
        <f t="shared" si="5"/>
        <v>11.5</v>
      </c>
      <c r="AI64" s="36">
        <f>IFERROR(INDEX('Level Multipliers'!$D:$D,MATCH(AH64,'Level Multipliers'!$A:$A,0)),"")</f>
        <v>2.2072134251772386</v>
      </c>
      <c r="AJ64" s="37">
        <f t="shared" si="6"/>
        <v>8</v>
      </c>
      <c r="AK64" s="37">
        <f t="shared" si="7"/>
        <v>10</v>
      </c>
      <c r="AL64" s="38">
        <f t="shared" si="8"/>
        <v>133313462.44782533</v>
      </c>
      <c r="AM64" s="38">
        <f t="shared" si="9"/>
        <v>134440844.00460428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12</v>
      </c>
      <c r="BA64" s="36">
        <f>IFERROR(INDEX('Level Multipliers'!$D:$D,MATCH(AZ64,'Level Multipliers'!$A:$A,0)),"")</f>
        <v>2.1607681195435338</v>
      </c>
      <c r="BB64" s="37">
        <f t="shared" si="12"/>
        <v>7</v>
      </c>
      <c r="BC64" s="37">
        <f t="shared" si="13"/>
        <v>8</v>
      </c>
      <c r="BD64" s="38">
        <f t="shared" si="14"/>
        <v>122441698.71275656</v>
      </c>
      <c r="BE64" s="38">
        <f t="shared" si="15"/>
        <v>123477141.87337112</v>
      </c>
      <c r="BF64" s="38" t="b">
        <f t="shared" si="16"/>
        <v>1</v>
      </c>
      <c r="BG64" s="37" t="str">
        <f t="array" ref="BG64:BQ64">IF(BF64,"",IVSolution($M64,$N64,$O64,BB64,BC64,BD64,BE64,$E64,$F64,$G64,$H64,$I64))</f>
        <v/>
      </c>
      <c r="BH64" s="37" t="str">
        <v/>
      </c>
      <c r="BI64" s="37" t="str">
        <v/>
      </c>
      <c r="BJ64" s="39" t="str">
        <v/>
      </c>
      <c r="BK64" s="39" t="str">
        <v/>
      </c>
      <c r="BL64" s="37" t="str">
        <v/>
      </c>
      <c r="BM64" s="37" t="str">
        <v/>
      </c>
      <c r="BN64" s="37" t="str">
        <v/>
      </c>
      <c r="BO64" s="37" t="str">
        <v/>
      </c>
      <c r="BP64" s="37" t="str">
        <v/>
      </c>
      <c r="BQ64" s="37" t="str">
        <v/>
      </c>
      <c r="BR64" s="40">
        <f t="shared" si="17"/>
        <v>12.5</v>
      </c>
      <c r="BS64" s="36">
        <f>IFERROR(INDEX('Level Multipliers'!$D:$D,MATCH(BR64,'Level Multipliers'!$A:$A,0)),"")</f>
        <v>2.1171365709672214</v>
      </c>
      <c r="BT64" s="37">
        <f t="shared" si="18"/>
        <v>5</v>
      </c>
      <c r="BU64" s="37">
        <f t="shared" si="19"/>
        <v>6</v>
      </c>
      <c r="BV64" s="38">
        <f t="shared" si="20"/>
        <v>112847563.99521942</v>
      </c>
      <c r="BW64" s="38">
        <f t="shared" si="21"/>
        <v>113801873.18530166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11</v>
      </c>
      <c r="CK64" s="41">
        <f t="shared" si="24"/>
        <v>11</v>
      </c>
      <c r="CL64" s="66">
        <f t="shared" si="25"/>
        <v>0.88888888888888884</v>
      </c>
      <c r="CM64" s="39">
        <f t="shared" si="26"/>
        <v>0.88888888888888884</v>
      </c>
      <c r="CN64" s="39">
        <f t="shared" si="27"/>
        <v>0.88888888888888884</v>
      </c>
      <c r="CO64" s="42">
        <f t="shared" si="28"/>
        <v>11</v>
      </c>
      <c r="CP64" s="42">
        <f t="shared" si="29"/>
        <v>12</v>
      </c>
      <c r="CQ64" s="42">
        <f t="shared" si="30"/>
        <v>15</v>
      </c>
      <c r="CR64" s="42">
        <f t="shared" si="31"/>
        <v>15</v>
      </c>
      <c r="CS64" s="42">
        <f t="shared" si="32"/>
        <v>13</v>
      </c>
      <c r="CT64" s="42">
        <f t="shared" si="33"/>
        <v>14</v>
      </c>
      <c r="CU64" s="43" t="str">
        <f t="shared" si="34"/>
        <v>11-12</v>
      </c>
      <c r="CV64" s="43">
        <f t="shared" si="35"/>
        <v>15</v>
      </c>
      <c r="CW64" s="43" t="str">
        <f t="shared" si="36"/>
        <v>13-14</v>
      </c>
      <c r="CX64" s="13"/>
    </row>
    <row r="65" spans="1:102" x14ac:dyDescent="0.25">
      <c r="A65" s="31" t="s">
        <v>68</v>
      </c>
      <c r="B65" s="13">
        <v>1199</v>
      </c>
      <c r="C65" s="13">
        <v>93</v>
      </c>
      <c r="D65" s="13">
        <v>25</v>
      </c>
      <c r="E65" s="32" t="s">
        <v>2</v>
      </c>
      <c r="F65" s="32"/>
      <c r="G65" s="32">
        <v>1</v>
      </c>
      <c r="H65" s="32"/>
      <c r="I65" s="32" t="s">
        <v>2</v>
      </c>
      <c r="J65" s="13"/>
      <c r="K65" s="33"/>
      <c r="L65" s="34">
        <f>IFERROR(INDEX('Pokemon Data'!A:A,MATCH($A65,'Pokemon Data'!$B:$B,0)),"")</f>
        <v>38</v>
      </c>
      <c r="M65" s="34">
        <f>IFERROR(INDEX('Pokemon Data'!I:I,MATCH($A65,'Pokemon Data'!$B:$B,0)),"")</f>
        <v>146</v>
      </c>
      <c r="N65" s="34">
        <f>IFERROR(INDEX('Pokemon Data'!J:J,MATCH($A65,'Pokemon Data'!$B:$B,0)),"")</f>
        <v>169</v>
      </c>
      <c r="O65" s="34">
        <f>IFERROR(INDEX('Pokemon Data'!K:K,MATCH($A65,'Pokemon Data'!$B:$B,0)),"")</f>
        <v>204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0"/>
        <v>14</v>
      </c>
      <c r="S65" s="37">
        <f t="shared" si="1"/>
        <v>15</v>
      </c>
      <c r="T65" s="38">
        <f t="shared" si="2"/>
        <v>1250587642.2025208</v>
      </c>
      <c r="U65" s="38">
        <f t="shared" si="3"/>
        <v>1252674563.2283435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19.5</v>
      </c>
      <c r="AI65" s="36">
        <f>IFERROR(INDEX('Level Multipliers'!$D:$D,MATCH(AH65,'Level Multipliers'!$A:$A,0)),"")</f>
        <v>1.6952373266621776</v>
      </c>
      <c r="AJ65" s="37">
        <f t="shared" si="6"/>
        <v>12</v>
      </c>
      <c r="AK65" s="37">
        <f t="shared" si="7"/>
        <v>13</v>
      </c>
      <c r="AL65" s="38">
        <f t="shared" si="8"/>
        <v>1187299791.5709245</v>
      </c>
      <c r="AM65" s="38">
        <f t="shared" si="9"/>
        <v>1189281100.8493536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20</v>
      </c>
      <c r="BA65" s="36">
        <f>IFERROR(INDEX('Level Multipliers'!$D:$D,MATCH(AZ65,'Level Multipliers'!$A:$A,0)),"")</f>
        <v>1.6739202944034379</v>
      </c>
      <c r="BB65" s="37">
        <f t="shared" si="12"/>
        <v>10</v>
      </c>
      <c r="BC65" s="37">
        <f t="shared" si="13"/>
        <v>11</v>
      </c>
      <c r="BD65" s="38">
        <f t="shared" si="14"/>
        <v>1128697245.3254905</v>
      </c>
      <c r="BE65" s="38">
        <f t="shared" si="15"/>
        <v>1130580761.4690769</v>
      </c>
      <c r="BF65" s="38" t="b">
        <f t="shared" si="16"/>
        <v>0</v>
      </c>
      <c r="BG65" s="37">
        <f t="array" ref="BG65:BQ65">IF(BF65,"",IVSolution($M65,$N65,$O65,BB65,BC65,BD65,BE65,$E65,$F65,$G65,$H65,$I65))</f>
        <v>1</v>
      </c>
      <c r="BH65" s="37">
        <v>36</v>
      </c>
      <c r="BI65" s="37">
        <v>36</v>
      </c>
      <c r="BJ65" s="39">
        <v>0.8</v>
      </c>
      <c r="BK65" s="39">
        <v>0.8</v>
      </c>
      <c r="BL65" s="37">
        <v>11</v>
      </c>
      <c r="BM65" s="37">
        <v>11</v>
      </c>
      <c r="BN65" s="37">
        <v>14</v>
      </c>
      <c r="BO65" s="37">
        <v>14</v>
      </c>
      <c r="BP65" s="37">
        <v>11</v>
      </c>
      <c r="BQ65" s="37">
        <v>11</v>
      </c>
      <c r="BR65" s="40">
        <f t="shared" si="17"/>
        <v>20.5</v>
      </c>
      <c r="BS65" s="36">
        <f>IFERROR(INDEX('Level Multipliers'!$D:$D,MATCH(BR65,'Level Multipliers'!$A:$A,0)),"")</f>
        <v>1.6533745038028393</v>
      </c>
      <c r="BT65" s="37">
        <f t="shared" si="18"/>
        <v>8</v>
      </c>
      <c r="BU65" s="37">
        <f t="shared" si="19"/>
        <v>9</v>
      </c>
      <c r="BV65" s="38">
        <f t="shared" si="20"/>
        <v>1074294397.9867117</v>
      </c>
      <c r="BW65" s="38">
        <f t="shared" si="21"/>
        <v>1076087129.2527378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20</v>
      </c>
      <c r="CK65" s="41">
        <f t="shared" si="24"/>
        <v>20</v>
      </c>
      <c r="CL65" s="66">
        <f t="shared" si="25"/>
        <v>0.8</v>
      </c>
      <c r="CM65" s="39">
        <f t="shared" si="26"/>
        <v>0.8</v>
      </c>
      <c r="CN65" s="39">
        <f t="shared" si="27"/>
        <v>0.8</v>
      </c>
      <c r="CO65" s="42">
        <f t="shared" si="28"/>
        <v>11</v>
      </c>
      <c r="CP65" s="42">
        <f t="shared" si="29"/>
        <v>11</v>
      </c>
      <c r="CQ65" s="42">
        <f t="shared" si="30"/>
        <v>14</v>
      </c>
      <c r="CR65" s="42">
        <f t="shared" si="31"/>
        <v>14</v>
      </c>
      <c r="CS65" s="42">
        <f t="shared" si="32"/>
        <v>11</v>
      </c>
      <c r="CT65" s="42">
        <f t="shared" si="33"/>
        <v>11</v>
      </c>
      <c r="CU65" s="43">
        <f t="shared" si="34"/>
        <v>11</v>
      </c>
      <c r="CV65" s="43">
        <f t="shared" si="35"/>
        <v>14</v>
      </c>
      <c r="CW65" s="43">
        <f t="shared" si="36"/>
        <v>11</v>
      </c>
      <c r="CX65" s="13" t="s">
        <v>429</v>
      </c>
    </row>
    <row r="66" spans="1:102" x14ac:dyDescent="0.25">
      <c r="A66" s="31" t="s">
        <v>69</v>
      </c>
      <c r="B66" s="13">
        <v>363</v>
      </c>
      <c r="C66" s="13">
        <v>143</v>
      </c>
      <c r="D66" s="13">
        <v>25</v>
      </c>
      <c r="E66" s="32" t="s">
        <v>3</v>
      </c>
      <c r="F66" s="32"/>
      <c r="G66" s="32">
        <v>1</v>
      </c>
      <c r="H66" s="32"/>
      <c r="I66" s="32" t="s">
        <v>0</v>
      </c>
      <c r="J66" s="13"/>
      <c r="K66" s="33"/>
      <c r="L66" s="34">
        <f>IFERROR(INDEX('Pokemon Data'!A:A,MATCH($A66,'Pokemon Data'!$B:$B,0)),"")</f>
        <v>39</v>
      </c>
      <c r="M66" s="34">
        <f>IFERROR(INDEX('Pokemon Data'!I:I,MATCH($A66,'Pokemon Data'!$B:$B,0)),"")</f>
        <v>230</v>
      </c>
      <c r="N66" s="34">
        <f>IFERROR(INDEX('Pokemon Data'!J:J,MATCH($A66,'Pokemon Data'!$B:$B,0)),"")</f>
        <v>80</v>
      </c>
      <c r="O66" s="34">
        <f>IFERROR(INDEX('Pokemon Data'!K:K,MATCH($A66,'Pokemon Data'!$B:$B,0)),"")</f>
        <v>44</v>
      </c>
      <c r="P66" s="35">
        <f>IFERROR(INDEX('Level Multipliers'!$A:$A,MATCH($D66,'Level Multipliers'!$B:$B,0)),"")</f>
        <v>19</v>
      </c>
      <c r="Q66" s="36">
        <f>IFERROR(INDEX('Level Multipliers'!$D:$D,MATCH(P66,'Level Multipliers'!$A:$A,0)),"")</f>
        <v>1.7173900470456649</v>
      </c>
      <c r="R66" s="37">
        <f t="shared" si="0"/>
        <v>16</v>
      </c>
      <c r="S66" s="37">
        <f t="shared" si="1"/>
        <v>15</v>
      </c>
      <c r="T66" s="38">
        <f t="shared" si="2"/>
        <v>114627551.75141361</v>
      </c>
      <c r="U66" s="38">
        <f t="shared" si="3"/>
        <v>115259978.4232657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19.5</v>
      </c>
      <c r="AI66" s="36">
        <f>IFERROR(INDEX('Level Multipliers'!$D:$D,MATCH(AH66,'Level Multipliers'!$A:$A,0)),"")</f>
        <v>1.6952373266621776</v>
      </c>
      <c r="AJ66" s="37">
        <f t="shared" si="6"/>
        <v>13</v>
      </c>
      <c r="AK66" s="37">
        <f t="shared" si="7"/>
        <v>14</v>
      </c>
      <c r="AL66" s="38">
        <f t="shared" si="8"/>
        <v>108826653.73459615</v>
      </c>
      <c r="AM66" s="38">
        <f t="shared" si="9"/>
        <v>109427075.5125944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20</v>
      </c>
      <c r="BA66" s="36">
        <f>IFERROR(INDEX('Level Multipliers'!$D:$D,MATCH(AZ66,'Level Multipliers'!$A:$A,0)),"")</f>
        <v>1.6739202944034379</v>
      </c>
      <c r="BB66" s="37">
        <f t="shared" si="12"/>
        <v>10</v>
      </c>
      <c r="BC66" s="37">
        <f t="shared" si="13"/>
        <v>11</v>
      </c>
      <c r="BD66" s="38">
        <f t="shared" si="14"/>
        <v>103455205.80417971</v>
      </c>
      <c r="BE66" s="38">
        <f t="shared" si="15"/>
        <v>104025992.06361583</v>
      </c>
      <c r="BF66" s="38" t="b">
        <f t="shared" si="16"/>
        <v>0</v>
      </c>
      <c r="BG66" s="37">
        <f t="array" ref="BG66:BQ66">IF(BF66,"",IVSolution($M66,$N66,$O66,BB66,BC66,BD66,BE66,$E66,$F66,$G66,$H66,$I66))</f>
        <v>1</v>
      </c>
      <c r="BH66" s="37">
        <v>29</v>
      </c>
      <c r="BI66" s="37">
        <v>29</v>
      </c>
      <c r="BJ66" s="39">
        <v>0.64444444444444449</v>
      </c>
      <c r="BK66" s="39">
        <v>0.64444444444444449</v>
      </c>
      <c r="BL66" s="37">
        <v>10</v>
      </c>
      <c r="BM66" s="37">
        <v>10</v>
      </c>
      <c r="BN66" s="37">
        <v>15</v>
      </c>
      <c r="BO66" s="37">
        <v>15</v>
      </c>
      <c r="BP66" s="37">
        <v>4</v>
      </c>
      <c r="BQ66" s="37">
        <v>4</v>
      </c>
      <c r="BR66" s="40">
        <f t="shared" si="17"/>
        <v>20.5</v>
      </c>
      <c r="BS66" s="36">
        <f>IFERROR(INDEX('Level Multipliers'!$D:$D,MATCH(BR66,'Level Multipliers'!$A:$A,0)),"")</f>
        <v>1.6533745038028393</v>
      </c>
      <c r="BT66" s="37">
        <f t="shared" si="18"/>
        <v>7</v>
      </c>
      <c r="BU66" s="37">
        <f t="shared" si="19"/>
        <v>8</v>
      </c>
      <c r="BV66" s="38">
        <f t="shared" si="20"/>
        <v>98468697.871183336</v>
      </c>
      <c r="BW66" s="38">
        <f t="shared" si="21"/>
        <v>99011972.414910227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20</v>
      </c>
      <c r="CK66" s="41">
        <f t="shared" si="24"/>
        <v>20</v>
      </c>
      <c r="CL66" s="66">
        <f t="shared" si="25"/>
        <v>0.64444444444444449</v>
      </c>
      <c r="CM66" s="39">
        <f t="shared" si="26"/>
        <v>0.64444444444444449</v>
      </c>
      <c r="CN66" s="39">
        <f t="shared" si="27"/>
        <v>0.64444444444444449</v>
      </c>
      <c r="CO66" s="42">
        <f t="shared" si="28"/>
        <v>10</v>
      </c>
      <c r="CP66" s="42">
        <f t="shared" si="29"/>
        <v>10</v>
      </c>
      <c r="CQ66" s="42">
        <f t="shared" si="30"/>
        <v>15</v>
      </c>
      <c r="CR66" s="42">
        <f t="shared" si="31"/>
        <v>15</v>
      </c>
      <c r="CS66" s="42">
        <f t="shared" si="32"/>
        <v>4</v>
      </c>
      <c r="CT66" s="42">
        <f t="shared" si="33"/>
        <v>4</v>
      </c>
      <c r="CU66" s="43">
        <f t="shared" si="34"/>
        <v>10</v>
      </c>
      <c r="CV66" s="43">
        <f t="shared" si="35"/>
        <v>15</v>
      </c>
      <c r="CW66" s="43">
        <f t="shared" si="36"/>
        <v>4</v>
      </c>
      <c r="CX66" s="13"/>
    </row>
    <row r="67" spans="1:102" x14ac:dyDescent="0.25">
      <c r="A67" s="31" t="s">
        <v>71</v>
      </c>
      <c r="B67" s="13">
        <v>1077</v>
      </c>
      <c r="C67" s="13">
        <v>176</v>
      </c>
      <c r="D67" s="13">
        <v>25</v>
      </c>
      <c r="E67" s="32" t="s">
        <v>0</v>
      </c>
      <c r="F67" s="32">
        <v>1</v>
      </c>
      <c r="G67" s="32"/>
      <c r="H67" s="32"/>
      <c r="I67" s="32" t="s">
        <v>0</v>
      </c>
      <c r="J67" s="13"/>
      <c r="K67" s="33"/>
      <c r="L67" s="34">
        <f>IFERROR(INDEX('Pokemon Data'!A:A,MATCH($A67,'Pokemon Data'!$B:$B,0)),"")</f>
        <v>40</v>
      </c>
      <c r="M67" s="34">
        <f>IFERROR(INDEX('Pokemon Data'!I:I,MATCH($A67,'Pokemon Data'!$B:$B,0)),"")</f>
        <v>280</v>
      </c>
      <c r="N67" s="34">
        <f>IFERROR(INDEX('Pokemon Data'!J:J,MATCH($A67,'Pokemon Data'!$B:$B,0)),"")</f>
        <v>156</v>
      </c>
      <c r="O67" s="34">
        <f>IFERROR(INDEX('Pokemon Data'!K:K,MATCH($A67,'Pokemon Data'!$B:$B,0)),"")</f>
        <v>93</v>
      </c>
      <c r="P67" s="35">
        <f>IFERROR(INDEX('Level Multipliers'!$A:$A,MATCH($D67,'Level Multipliers'!$B:$B,0)),"")</f>
        <v>19</v>
      </c>
      <c r="Q67" s="36">
        <f>IFERROR(INDEX('Level Multipliers'!$D:$D,MATCH(P67,'Level Multipliers'!$A:$A,0)),"")</f>
        <v>1.7173900470456649</v>
      </c>
      <c r="R67" s="37">
        <f t="shared" ref="R67:R130" si="37">IF(P67="","",IF($C67&gt;10,MAX(0,ROUNDUP(Q67*$C67-$M67+1000,0)-1000),0))</f>
        <v>23</v>
      </c>
      <c r="S67" s="37">
        <f t="shared" ref="S67:S130" si="38">IF(P67="","",MIN(15,ROUNDDOWN(Q67*($C67+1)-$M67+1000,0)-1000))</f>
        <v>15</v>
      </c>
      <c r="T67" s="38">
        <f t="shared" ref="T67:T130" si="39">IFERROR(IF($B67&gt;10,100*Q67^4*$B67^2,$N67^2*$O67*($M67+R67)),"")</f>
        <v>1009037189.8964509</v>
      </c>
      <c r="U67" s="38">
        <f t="shared" ref="U67:U130" si="40">IFERROR(100*Q67^4*($B67+1)^2,"")</f>
        <v>1010911852.1768378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2">IFERROR(P67+0.5,"")</f>
        <v>19.5</v>
      </c>
      <c r="AI67" s="36">
        <f>IFERROR(INDEX('Level Multipliers'!$D:$D,MATCH(AH67,'Level Multipliers'!$A:$A,0)),"")</f>
        <v>1.6952373266621776</v>
      </c>
      <c r="AJ67" s="37">
        <f t="shared" ref="AJ67:AJ130" si="43">IF(AH67="","",IF($C67&gt;10,MAX(0,ROUNDUP(AI67*$C67-$M67+1000,0)-1000),0))</f>
        <v>19</v>
      </c>
      <c r="AK67" s="37">
        <f t="shared" ref="AK67:AK130" si="44">IF(AH67="","",MIN(15,ROUNDDOWN(AI67*($C67+1)-$M67+1000,0)-1000))</f>
        <v>15</v>
      </c>
      <c r="AL67" s="38">
        <f t="shared" ref="AL67:AL130" si="45">IFERROR(IF($B67&gt;10,100*AI67^4*$B67^2,$N67^2*$O67*($M67+AJ67)),"")</f>
        <v>957973359.74103451</v>
      </c>
      <c r="AM67" s="38">
        <f t="shared" ref="AM67:AM130" si="46">IFERROR(100*AI67^4*($B67+1)^2,"")</f>
        <v>959753151.94404173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20</v>
      </c>
      <c r="BA67" s="36">
        <f>IFERROR(INDEX('Level Multipliers'!$D:$D,MATCH(AZ67,'Level Multipliers'!$A:$A,0)),"")</f>
        <v>1.6739202944034379</v>
      </c>
      <c r="BB67" s="37">
        <f t="shared" ref="BB67:BB130" si="49">IF(AZ67="","",IF($C67&gt;10,MAX(0,ROUNDUP(BA67*$C67-$M67+1000,0)-1000),0))</f>
        <v>15</v>
      </c>
      <c r="BC67" s="37">
        <f t="shared" ref="BC67:BC130" si="50">IF(AZ67="","",MIN(15,ROUNDDOWN(BA67*($C67+1)-$M67+1000,0)-1000))</f>
        <v>15</v>
      </c>
      <c r="BD67" s="38">
        <f t="shared" ref="BD67:BD130" si="51">IFERROR(IF($B67&gt;10,100*BA67^4*$B67^2,$N67^2*$O67*($M67+BB67)),"")</f>
        <v>910689869.49310052</v>
      </c>
      <c r="BE67" s="38">
        <f t="shared" ref="BE67:BE130" si="52">IFERROR(100*BA67^4*($B67+1)^2,"")</f>
        <v>912381815.00766015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1</v>
      </c>
      <c r="BH67" s="37">
        <v>43</v>
      </c>
      <c r="BI67" s="37">
        <v>43</v>
      </c>
      <c r="BJ67" s="39">
        <v>0.9555555555555556</v>
      </c>
      <c r="BK67" s="39">
        <v>0.9555555555555556</v>
      </c>
      <c r="BL67" s="37">
        <v>15</v>
      </c>
      <c r="BM67" s="37">
        <v>15</v>
      </c>
      <c r="BN67" s="37">
        <v>14</v>
      </c>
      <c r="BO67" s="37">
        <v>14</v>
      </c>
      <c r="BP67" s="37">
        <v>14</v>
      </c>
      <c r="BQ67" s="37">
        <v>14</v>
      </c>
      <c r="BR67" s="40">
        <f t="shared" ref="BR67:BR130" si="54">IFERROR(AZ67+0.5,"")</f>
        <v>20.5</v>
      </c>
      <c r="BS67" s="36">
        <f>IFERROR(INDEX('Level Multipliers'!$D:$D,MATCH(BR67,'Level Multipliers'!$A:$A,0)),"")</f>
        <v>1.6533745038028393</v>
      </c>
      <c r="BT67" s="37">
        <f t="shared" ref="BT67:BT130" si="55">IF(BR67="","",IF($C67&gt;10,MAX(0,ROUNDUP(BS67*$C67-$M67+1000,0)-1000),0))</f>
        <v>11</v>
      </c>
      <c r="BU67" s="37">
        <f t="shared" ref="BU67:BU130" si="56">IF(BR67="","",MIN(15,ROUNDDOWN(BS67*($C67+1)-$M67+1000,0)-1000))</f>
        <v>12</v>
      </c>
      <c r="BV67" s="38">
        <f t="shared" ref="BV67:BV130" si="57">IFERROR(IF($B67&gt;10,100*BS67^4*$B67^2,$N67^2*$O67*($M67+BT67)),"")</f>
        <v>866794908.15763807</v>
      </c>
      <c r="BW67" s="38">
        <f t="shared" ref="BW67:BW130" si="58">IFERROR(100*BS67^4*($B67+1)^2,"")</f>
        <v>868405302.43787396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60">IF(IFERROR(W67*1,0)&gt;0,P67,IF(IFERROR(AO67*1,0)&gt;0,AH67,IF(IFERROR(BG67*1,0)&gt;0,AZ67,IF(IFERROR(BY67*1,0)&gt;0,BR67,""))))</f>
        <v>20</v>
      </c>
      <c r="CK67" s="41">
        <f t="shared" ref="CK67:CK130" si="61">IF(IFERROR(BY67*1,0)&gt;0,BR67,IF(IFERROR(BG67*1,0)&gt;0,AZ67,IF(IFERROR(AO67*1,0)&gt;0,AH67,IF(IFERROR(W67*1,0)&gt;0,P67,""))))</f>
        <v>20</v>
      </c>
      <c r="CL67" s="66">
        <f t="shared" ref="CL67:CL130" si="62">IF(OR(CJ67="",CK67=""),"",(CM67+CN67)/2)</f>
        <v>0.9555555555555556</v>
      </c>
      <c r="CM67" s="39">
        <f t="shared" ref="CM67:CM130" si="63">IF(OR(CJ67="",CK67=""),"",MIN(Z67,AR67,BJ67,CB67))</f>
        <v>0.9555555555555556</v>
      </c>
      <c r="CN67" s="39">
        <f t="shared" ref="CN67:CN130" si="64">IF(OR(CJ67="",CK67=""),"",MAX(AA67,AS67,BK67,CC67))</f>
        <v>0.9555555555555556</v>
      </c>
      <c r="CO67" s="42">
        <f t="shared" ref="CO67:CO130" si="65">IF(OR(CJ67="",CK67=""),"",MIN(AB67,AT67,BL67,CD67))</f>
        <v>15</v>
      </c>
      <c r="CP67" s="42">
        <f t="shared" ref="CP67:CP130" si="66">IF(OR(CJ67="",CK67=""),"",MAX(AC67,AU67,BM67,CE67))</f>
        <v>15</v>
      </c>
      <c r="CQ67" s="42">
        <f t="shared" ref="CQ67:CQ130" si="67">IF(OR(CJ67="",CK67=""),"",MIN(AD67,AV67,BN67,CF67))</f>
        <v>14</v>
      </c>
      <c r="CR67" s="42">
        <f t="shared" ref="CR67:CR130" si="68">IF(OR(CJ67="",CK67=""),"",MAX(AE67,AW67,BO67,CG67))</f>
        <v>14</v>
      </c>
      <c r="CS67" s="42">
        <f t="shared" ref="CS67:CS130" si="69">IF(OR(CJ67="",CK67=""),"",MIN(AF67,AX67,BP67,CH67))</f>
        <v>14</v>
      </c>
      <c r="CT67" s="42">
        <f t="shared" ref="CT67:CT130" si="70">IF(OR(CJ67="",CK67=""),"",MAX(AG67,AY67,BQ67,CI67))</f>
        <v>14</v>
      </c>
      <c r="CU67" s="43">
        <f t="shared" ref="CU67:CU130" si="71">IF(CO67=CP67,CP67,CO67&amp;"-"&amp;CP67)</f>
        <v>15</v>
      </c>
      <c r="CV67" s="43">
        <f t="shared" ref="CV67:CV130" si="72">IF(CQ67=CR67,CR67,CQ67&amp;"-"&amp;CR67)</f>
        <v>14</v>
      </c>
      <c r="CW67" s="43">
        <f t="shared" ref="CW67:CW130" si="73">IF(CS67=CT67,CT67,CS67&amp;"-"&amp;CT67)</f>
        <v>14</v>
      </c>
      <c r="CX67" s="13" t="s">
        <v>425</v>
      </c>
    </row>
    <row r="68" spans="1:102" x14ac:dyDescent="0.25">
      <c r="A68" s="31" t="s">
        <v>71</v>
      </c>
      <c r="B68" s="13">
        <v>1066</v>
      </c>
      <c r="C68" s="13">
        <v>174</v>
      </c>
      <c r="D68" s="13">
        <v>25</v>
      </c>
      <c r="E68" s="32" t="s">
        <v>0</v>
      </c>
      <c r="F68" s="32"/>
      <c r="G68" s="32"/>
      <c r="H68" s="32">
        <v>1</v>
      </c>
      <c r="I68" s="32" t="s">
        <v>2</v>
      </c>
      <c r="J68" s="13"/>
      <c r="K68" s="33"/>
      <c r="L68" s="34">
        <f>IFERROR(INDEX('Pokemon Data'!A:A,MATCH($A68,'Pokemon Data'!$B:$B,0)),"")</f>
        <v>40</v>
      </c>
      <c r="M68" s="34">
        <f>IFERROR(INDEX('Pokemon Data'!I:I,MATCH($A68,'Pokemon Data'!$B:$B,0)),"")</f>
        <v>280</v>
      </c>
      <c r="N68" s="34">
        <f>IFERROR(INDEX('Pokemon Data'!J:J,MATCH($A68,'Pokemon Data'!$B:$B,0)),"")</f>
        <v>156</v>
      </c>
      <c r="O68" s="34">
        <f>IFERROR(INDEX('Pokemon Data'!K:K,MATCH($A68,'Pokemon Data'!$B:$B,0)),"")</f>
        <v>93</v>
      </c>
      <c r="P68" s="35">
        <f>IFERROR(INDEX('Level Multipliers'!$A:$A,MATCH($D68,'Level Multipliers'!$B:$B,0)),"")</f>
        <v>19</v>
      </c>
      <c r="Q68" s="36">
        <f>IFERROR(INDEX('Level Multipliers'!$D:$D,MATCH(P68,'Level Multipliers'!$A:$A,0)),"")</f>
        <v>1.7173900470456649</v>
      </c>
      <c r="R68" s="37">
        <f t="shared" si="37"/>
        <v>19</v>
      </c>
      <c r="S68" s="37">
        <f t="shared" si="38"/>
        <v>15</v>
      </c>
      <c r="T68" s="38">
        <f t="shared" si="39"/>
        <v>988530733.31382477</v>
      </c>
      <c r="U68" s="38">
        <f t="shared" si="40"/>
        <v>990386257.51060665</v>
      </c>
      <c r="V68" s="38" t="b">
        <f t="shared" si="41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2"/>
        <v>19.5</v>
      </c>
      <c r="AI68" s="36">
        <f>IFERROR(INDEX('Level Multipliers'!$D:$D,MATCH(AH68,'Level Multipliers'!$A:$A,0)),"")</f>
        <v>1.6952373266621776</v>
      </c>
      <c r="AJ68" s="37">
        <f t="shared" si="43"/>
        <v>15</v>
      </c>
      <c r="AK68" s="37">
        <f t="shared" si="44"/>
        <v>15</v>
      </c>
      <c r="AL68" s="38">
        <f t="shared" si="45"/>
        <v>938504662.94219995</v>
      </c>
      <c r="AM68" s="38">
        <f t="shared" si="46"/>
        <v>940266285.57283306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20</v>
      </c>
      <c r="BA68" s="36">
        <f>IFERROR(INDEX('Level Multipliers'!$D:$D,MATCH(AZ68,'Level Multipliers'!$A:$A,0)),"")</f>
        <v>1.6739202944034379</v>
      </c>
      <c r="BB68" s="37">
        <f t="shared" si="49"/>
        <v>12</v>
      </c>
      <c r="BC68" s="37">
        <f t="shared" si="50"/>
        <v>12</v>
      </c>
      <c r="BD68" s="38">
        <f t="shared" si="51"/>
        <v>892182105.40274596</v>
      </c>
      <c r="BE68" s="38">
        <f t="shared" si="52"/>
        <v>893856778.15567207</v>
      </c>
      <c r="BF68" s="38" t="b">
        <f t="shared" si="53"/>
        <v>0</v>
      </c>
      <c r="BG68" s="37">
        <f t="array" ref="BG68:BQ68">IF(BF68,"",IVSolution($M68,$N68,$O68,BB68,BC68,BD68,BE68,$E68,$F68,$G68,$H68,$I68))</f>
        <v>1</v>
      </c>
      <c r="BH68" s="37">
        <v>39</v>
      </c>
      <c r="BI68" s="37">
        <v>39</v>
      </c>
      <c r="BJ68" s="39">
        <v>0.8666666666666667</v>
      </c>
      <c r="BK68" s="39">
        <v>0.8666666666666667</v>
      </c>
      <c r="BL68" s="37">
        <v>12</v>
      </c>
      <c r="BM68" s="37">
        <v>12</v>
      </c>
      <c r="BN68" s="37">
        <v>13</v>
      </c>
      <c r="BO68" s="37">
        <v>13</v>
      </c>
      <c r="BP68" s="37">
        <v>14</v>
      </c>
      <c r="BQ68" s="37">
        <v>14</v>
      </c>
      <c r="BR68" s="40">
        <f t="shared" si="54"/>
        <v>20.5</v>
      </c>
      <c r="BS68" s="36">
        <f>IFERROR(INDEX('Level Multipliers'!$D:$D,MATCH(BR68,'Level Multipliers'!$A:$A,0)),"")</f>
        <v>1.6533745038028393</v>
      </c>
      <c r="BT68" s="37">
        <f t="shared" si="55"/>
        <v>8</v>
      </c>
      <c r="BU68" s="37">
        <f t="shared" si="56"/>
        <v>9</v>
      </c>
      <c r="BV68" s="38">
        <f t="shared" si="57"/>
        <v>849179212.39522505</v>
      </c>
      <c r="BW68" s="38">
        <f t="shared" si="58"/>
        <v>850773166.45543063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60"/>
        <v>20</v>
      </c>
      <c r="CK68" s="41">
        <f t="shared" si="61"/>
        <v>20</v>
      </c>
      <c r="CL68" s="66">
        <f t="shared" si="62"/>
        <v>0.8666666666666667</v>
      </c>
      <c r="CM68" s="39">
        <f t="shared" si="63"/>
        <v>0.8666666666666667</v>
      </c>
      <c r="CN68" s="39">
        <f t="shared" si="64"/>
        <v>0.8666666666666667</v>
      </c>
      <c r="CO68" s="42">
        <f t="shared" si="65"/>
        <v>12</v>
      </c>
      <c r="CP68" s="42">
        <f t="shared" si="66"/>
        <v>12</v>
      </c>
      <c r="CQ68" s="42">
        <f t="shared" si="67"/>
        <v>13</v>
      </c>
      <c r="CR68" s="42">
        <f t="shared" si="68"/>
        <v>13</v>
      </c>
      <c r="CS68" s="42">
        <f t="shared" si="69"/>
        <v>14</v>
      </c>
      <c r="CT68" s="42">
        <f t="shared" si="70"/>
        <v>14</v>
      </c>
      <c r="CU68" s="43">
        <f t="shared" si="71"/>
        <v>12</v>
      </c>
      <c r="CV68" s="43">
        <f t="shared" si="72"/>
        <v>13</v>
      </c>
      <c r="CW68" s="43">
        <f t="shared" si="73"/>
        <v>14</v>
      </c>
      <c r="CX68" s="13" t="s">
        <v>422</v>
      </c>
    </row>
    <row r="69" spans="1:102" x14ac:dyDescent="0.25">
      <c r="A69" s="31" t="s">
        <v>72</v>
      </c>
      <c r="B69" s="13">
        <v>289</v>
      </c>
      <c r="C69" s="13">
        <v>55</v>
      </c>
      <c r="D69" s="13">
        <v>25</v>
      </c>
      <c r="E69" s="32" t="s">
        <v>0</v>
      </c>
      <c r="F69" s="32">
        <v>1</v>
      </c>
      <c r="G69" s="32"/>
      <c r="H69" s="32"/>
      <c r="I69" s="32" t="s">
        <v>0</v>
      </c>
      <c r="J69" s="13"/>
      <c r="K69" s="33">
        <v>19</v>
      </c>
      <c r="L69" s="34">
        <f>IFERROR(INDEX('Pokemon Data'!A:A,MATCH($A69,'Pokemon Data'!$B:$B,0)),"")</f>
        <v>41</v>
      </c>
      <c r="M69" s="34">
        <f>IFERROR(INDEX('Pokemon Data'!I:I,MATCH($A69,'Pokemon Data'!$B:$B,0)),"")</f>
        <v>80</v>
      </c>
      <c r="N69" s="34">
        <f>IFERROR(INDEX('Pokemon Data'!J:J,MATCH($A69,'Pokemon Data'!$B:$B,0)),"")</f>
        <v>83</v>
      </c>
      <c r="O69" s="34">
        <f>IFERROR(INDEX('Pokemon Data'!K:K,MATCH($A69,'Pokemon Data'!$B:$B,0)),"")</f>
        <v>76</v>
      </c>
      <c r="P69" s="35">
        <f>IFERROR(INDEX('Level Multipliers'!$A:$A,MATCH($D69,'Level Multipliers'!$B:$B,0)),"")</f>
        <v>19</v>
      </c>
      <c r="Q69" s="36">
        <f>IFERROR(INDEX('Level Multipliers'!$D:$D,MATCH(P69,'Level Multipliers'!$A:$A,0)),"")</f>
        <v>1.7173900470456649</v>
      </c>
      <c r="R69" s="37">
        <f t="shared" si="37"/>
        <v>15</v>
      </c>
      <c r="S69" s="37">
        <f t="shared" si="38"/>
        <v>15</v>
      </c>
      <c r="T69" s="38">
        <f t="shared" si="39"/>
        <v>72655994.580135062</v>
      </c>
      <c r="U69" s="38">
        <f t="shared" si="40"/>
        <v>73159674.144099787</v>
      </c>
      <c r="V69" s="38" t="b">
        <f t="shared" si="41"/>
        <v>0</v>
      </c>
      <c r="W69" s="37">
        <f t="array" ref="W69:AG69">IF(V69,"",IVSolution($M69,$N69,$O69,R69,S69,T69,U69,$E69,$F69,$G69,$H69,$I69))</f>
        <v>2</v>
      </c>
      <c r="X69" s="37">
        <v>37</v>
      </c>
      <c r="Y69" s="37">
        <v>38</v>
      </c>
      <c r="Z69" s="39">
        <v>0.82222222222222219</v>
      </c>
      <c r="AA69" s="39">
        <v>0.84444444444444444</v>
      </c>
      <c r="AB69" s="37">
        <v>15</v>
      </c>
      <c r="AC69" s="37">
        <v>15</v>
      </c>
      <c r="AD69" s="37">
        <v>10</v>
      </c>
      <c r="AE69" s="37">
        <v>11</v>
      </c>
      <c r="AF69" s="37">
        <v>11</v>
      </c>
      <c r="AG69" s="37">
        <v>13</v>
      </c>
      <c r="AH69" s="40">
        <f t="shared" si="42"/>
        <v>19.5</v>
      </c>
      <c r="AI69" s="36">
        <f>IFERROR(INDEX('Level Multipliers'!$D:$D,MATCH(AH69,'Level Multipliers'!$A:$A,0)),"")</f>
        <v>1.6952373266621776</v>
      </c>
      <c r="AJ69" s="37">
        <f t="shared" si="43"/>
        <v>14</v>
      </c>
      <c r="AK69" s="37">
        <f t="shared" si="44"/>
        <v>14</v>
      </c>
      <c r="AL69" s="38">
        <f t="shared" si="45"/>
        <v>68979129.738915876</v>
      </c>
      <c r="AM69" s="38">
        <f t="shared" si="46"/>
        <v>69457319.848215714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20</v>
      </c>
      <c r="BA69" s="36">
        <f>IFERROR(INDEX('Level Multipliers'!$D:$D,MATCH(AZ69,'Level Multipliers'!$A:$A,0)),"")</f>
        <v>1.6739202944034379</v>
      </c>
      <c r="BB69" s="37">
        <f t="shared" si="49"/>
        <v>13</v>
      </c>
      <c r="BC69" s="37">
        <f t="shared" si="50"/>
        <v>13</v>
      </c>
      <c r="BD69" s="38">
        <f t="shared" si="51"/>
        <v>65574469.290735252</v>
      </c>
      <c r="BE69" s="38">
        <f t="shared" si="52"/>
        <v>66029056.971909277</v>
      </c>
      <c r="BF69" s="38" t="b">
        <f t="shared" si="53"/>
        <v>1</v>
      </c>
      <c r="BG69" s="37" t="str">
        <f t="array" ref="BG69:BQ69">IF(BF69,"",IVSolution($M69,$N69,$O69,BB69,BC69,BD69,BE69,$E69,$F69,$G69,$H69,$I69))</f>
        <v/>
      </c>
      <c r="BH69" s="37" t="str">
        <v/>
      </c>
      <c r="BI69" s="37" t="str">
        <v/>
      </c>
      <c r="BJ69" s="39" t="str">
        <v/>
      </c>
      <c r="BK69" s="39" t="str">
        <v/>
      </c>
      <c r="BL69" s="37" t="str">
        <v/>
      </c>
      <c r="BM69" s="37" t="str">
        <v/>
      </c>
      <c r="BN69" s="37" t="str">
        <v/>
      </c>
      <c r="BO69" s="37" t="str">
        <v/>
      </c>
      <c r="BP69" s="37" t="str">
        <v/>
      </c>
      <c r="BQ69" s="37" t="str">
        <v/>
      </c>
      <c r="BR69" s="40">
        <f t="shared" si="54"/>
        <v>20.5</v>
      </c>
      <c r="BS69" s="36">
        <f>IFERROR(INDEX('Level Multipliers'!$D:$D,MATCH(BR69,'Level Multipliers'!$A:$A,0)),"")</f>
        <v>1.6533745038028393</v>
      </c>
      <c r="BT69" s="37">
        <f t="shared" si="55"/>
        <v>11</v>
      </c>
      <c r="BU69" s="37">
        <f t="shared" si="56"/>
        <v>12</v>
      </c>
      <c r="BV69" s="38">
        <f t="shared" si="57"/>
        <v>62413800.779387437</v>
      </c>
      <c r="BW69" s="38">
        <f t="shared" si="58"/>
        <v>62846477.479274474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60"/>
        <v>19</v>
      </c>
      <c r="CK69" s="41">
        <f t="shared" si="61"/>
        <v>19</v>
      </c>
      <c r="CL69" s="66">
        <f t="shared" si="62"/>
        <v>0.83333333333333326</v>
      </c>
      <c r="CM69" s="39">
        <f t="shared" si="63"/>
        <v>0.82222222222222219</v>
      </c>
      <c r="CN69" s="39">
        <f t="shared" si="64"/>
        <v>0.84444444444444444</v>
      </c>
      <c r="CO69" s="42">
        <f t="shared" si="65"/>
        <v>15</v>
      </c>
      <c r="CP69" s="42">
        <f t="shared" si="66"/>
        <v>15</v>
      </c>
      <c r="CQ69" s="42">
        <f t="shared" si="67"/>
        <v>10</v>
      </c>
      <c r="CR69" s="42">
        <f t="shared" si="68"/>
        <v>11</v>
      </c>
      <c r="CS69" s="42">
        <f t="shared" si="69"/>
        <v>11</v>
      </c>
      <c r="CT69" s="42">
        <f t="shared" si="70"/>
        <v>13</v>
      </c>
      <c r="CU69" s="43">
        <f t="shared" si="71"/>
        <v>15</v>
      </c>
      <c r="CV69" s="43" t="str">
        <f t="shared" si="72"/>
        <v>10-11</v>
      </c>
      <c r="CW69" s="43" t="str">
        <f t="shared" si="73"/>
        <v>11-13</v>
      </c>
      <c r="CX69" s="13"/>
    </row>
    <row r="70" spans="1:102" x14ac:dyDescent="0.25">
      <c r="A70" s="31" t="s">
        <v>72</v>
      </c>
      <c r="B70" s="13">
        <v>123</v>
      </c>
      <c r="C70" s="13">
        <v>33</v>
      </c>
      <c r="D70" s="13">
        <v>8</v>
      </c>
      <c r="E70" s="32" t="s">
        <v>0</v>
      </c>
      <c r="F70" s="32"/>
      <c r="G70" s="32">
        <v>1</v>
      </c>
      <c r="H70" s="32"/>
      <c r="I70" s="32" t="s">
        <v>0</v>
      </c>
      <c r="J70" s="13"/>
      <c r="K70" s="33"/>
      <c r="L70" s="34">
        <f>IFERROR(INDEX('Pokemon Data'!A:A,MATCH($A70,'Pokemon Data'!$B:$B,0)),"")</f>
        <v>41</v>
      </c>
      <c r="M70" s="34">
        <f>IFERROR(INDEX('Pokemon Data'!I:I,MATCH($A70,'Pokemon Data'!$B:$B,0)),"")</f>
        <v>80</v>
      </c>
      <c r="N70" s="34">
        <f>IFERROR(INDEX('Pokemon Data'!J:J,MATCH($A70,'Pokemon Data'!$B:$B,0)),"")</f>
        <v>83</v>
      </c>
      <c r="O70" s="34">
        <f>IFERROR(INDEX('Pokemon Data'!K:K,MATCH($A70,'Pokemon Data'!$B:$B,0)),"")</f>
        <v>76</v>
      </c>
      <c r="P70" s="35">
        <f>IFERROR(INDEX('Level Multipliers'!$A:$A,MATCH($D70,'Level Multipliers'!$B:$B,0)),"")</f>
        <v>7</v>
      </c>
      <c r="Q70" s="36">
        <f>IFERROR(INDEX('Level Multipliers'!$D:$D,MATCH(P70,'Level Multipliers'!$A:$A,0)),"")</f>
        <v>2.8635844799030687</v>
      </c>
      <c r="R70" s="37">
        <f t="shared" si="37"/>
        <v>15</v>
      </c>
      <c r="S70" s="37">
        <f t="shared" si="38"/>
        <v>15</v>
      </c>
      <c r="T70" s="38">
        <f t="shared" si="39"/>
        <v>101730275.98602842</v>
      </c>
      <c r="U70" s="38">
        <f t="shared" si="40"/>
        <v>103391151.00543149</v>
      </c>
      <c r="V70" s="38" t="b">
        <f t="shared" si="41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2"/>
        <v>7.5</v>
      </c>
      <c r="AI70" s="36">
        <f>IFERROR(INDEX('Level Multipliers'!$D:$D,MATCH(AH70,'Level Multipliers'!$A:$A,0)),"")</f>
        <v>2.7589423510530713</v>
      </c>
      <c r="AJ70" s="37">
        <f t="shared" si="43"/>
        <v>12</v>
      </c>
      <c r="AK70" s="37">
        <f t="shared" si="44"/>
        <v>13</v>
      </c>
      <c r="AL70" s="38">
        <f t="shared" si="45"/>
        <v>87655813.840950415</v>
      </c>
      <c r="AM70" s="38">
        <f t="shared" si="46"/>
        <v>89086905.520421281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8</v>
      </c>
      <c r="BA70" s="36">
        <f>IFERROR(INDEX('Level Multipliers'!$D:$D,MATCH(AZ70,'Level Multipliers'!$A:$A,0)),"")</f>
        <v>2.6649924305944541</v>
      </c>
      <c r="BB70" s="37">
        <f t="shared" si="49"/>
        <v>8</v>
      </c>
      <c r="BC70" s="37">
        <f t="shared" si="50"/>
        <v>10</v>
      </c>
      <c r="BD70" s="38">
        <f t="shared" si="51"/>
        <v>76312229.559949204</v>
      </c>
      <c r="BE70" s="38">
        <f t="shared" si="52"/>
        <v>77558122.923774138</v>
      </c>
      <c r="BF70" s="38" t="b">
        <f t="shared" si="53"/>
        <v>0</v>
      </c>
      <c r="BG70" s="37">
        <f t="array" ref="BG70:BQ70">IF(BF70,"",IVSolution($M70,$N70,$O70,BB70,BC70,BD70,BE70,$E70,$F70,$G70,$H70,$I70))</f>
        <v>2</v>
      </c>
      <c r="BH70" s="37">
        <v>38</v>
      </c>
      <c r="BI70" s="37">
        <v>38</v>
      </c>
      <c r="BJ70" s="39">
        <v>0.84444444444444444</v>
      </c>
      <c r="BK70" s="39">
        <v>0.84444444444444444</v>
      </c>
      <c r="BL70" s="37">
        <v>9</v>
      </c>
      <c r="BM70" s="37">
        <v>10</v>
      </c>
      <c r="BN70" s="37">
        <v>15</v>
      </c>
      <c r="BO70" s="37">
        <v>15</v>
      </c>
      <c r="BP70" s="37">
        <v>13</v>
      </c>
      <c r="BQ70" s="37">
        <v>14</v>
      </c>
      <c r="BR70" s="40">
        <f t="shared" si="54"/>
        <v>8.5</v>
      </c>
      <c r="BS70" s="36">
        <f>IFERROR(INDEX('Level Multipliers'!$D:$D,MATCH(BR70,'Level Multipliers'!$A:$A,0)),"")</f>
        <v>2.5800298976397995</v>
      </c>
      <c r="BT70" s="37">
        <f t="shared" si="55"/>
        <v>6</v>
      </c>
      <c r="BU70" s="37">
        <f t="shared" si="56"/>
        <v>7</v>
      </c>
      <c r="BV70" s="38">
        <f t="shared" si="57"/>
        <v>67036167.499139443</v>
      </c>
      <c r="BW70" s="38">
        <f t="shared" si="58"/>
        <v>68130617.45434384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60"/>
        <v>8</v>
      </c>
      <c r="CK70" s="41">
        <f t="shared" si="61"/>
        <v>8</v>
      </c>
      <c r="CL70" s="66">
        <f t="shared" si="62"/>
        <v>0.84444444444444444</v>
      </c>
      <c r="CM70" s="39">
        <f t="shared" si="63"/>
        <v>0.84444444444444444</v>
      </c>
      <c r="CN70" s="39">
        <f t="shared" si="64"/>
        <v>0.84444444444444444</v>
      </c>
      <c r="CO70" s="42">
        <f t="shared" si="65"/>
        <v>9</v>
      </c>
      <c r="CP70" s="42">
        <f t="shared" si="66"/>
        <v>10</v>
      </c>
      <c r="CQ70" s="42">
        <f t="shared" si="67"/>
        <v>15</v>
      </c>
      <c r="CR70" s="42">
        <f t="shared" si="68"/>
        <v>15</v>
      </c>
      <c r="CS70" s="42">
        <f t="shared" si="69"/>
        <v>13</v>
      </c>
      <c r="CT70" s="42">
        <f t="shared" si="70"/>
        <v>14</v>
      </c>
      <c r="CU70" s="43" t="str">
        <f t="shared" si="71"/>
        <v>9-10</v>
      </c>
      <c r="CV70" s="43">
        <f t="shared" si="72"/>
        <v>15</v>
      </c>
      <c r="CW70" s="43" t="str">
        <f t="shared" si="73"/>
        <v>13-14</v>
      </c>
      <c r="CX70" s="13" t="s">
        <v>397</v>
      </c>
    </row>
    <row r="71" spans="1:102" x14ac:dyDescent="0.25">
      <c r="A71" s="31" t="s">
        <v>75</v>
      </c>
      <c r="B71" s="13">
        <v>602</v>
      </c>
      <c r="C71" s="13">
        <v>62</v>
      </c>
      <c r="D71" s="13">
        <v>25</v>
      </c>
      <c r="E71" s="32" t="s">
        <v>0</v>
      </c>
      <c r="F71" s="32">
        <v>1</v>
      </c>
      <c r="G71" s="32"/>
      <c r="H71" s="32">
        <v>1</v>
      </c>
      <c r="I71" s="32" t="s">
        <v>0</v>
      </c>
      <c r="J71" s="13"/>
      <c r="K71" s="33"/>
      <c r="L71" s="34">
        <f>IFERROR(INDEX('Pokemon Data'!A:A,MATCH($A71,'Pokemon Data'!$B:$B,0)),"")</f>
        <v>43</v>
      </c>
      <c r="M71" s="34">
        <f>IFERROR(INDEX('Pokemon Data'!I:I,MATCH($A71,'Pokemon Data'!$B:$B,0)),"")</f>
        <v>90</v>
      </c>
      <c r="N71" s="34">
        <f>IFERROR(INDEX('Pokemon Data'!J:J,MATCH($A71,'Pokemon Data'!$B:$B,0)),"")</f>
        <v>131</v>
      </c>
      <c r="O71" s="34">
        <f>IFERROR(INDEX('Pokemon Data'!K:K,MATCH($A71,'Pokemon Data'!$B:$B,0)),"")</f>
        <v>116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37"/>
        <v>17</v>
      </c>
      <c r="S71" s="37">
        <f t="shared" si="38"/>
        <v>15</v>
      </c>
      <c r="T71" s="38">
        <f t="shared" si="39"/>
        <v>315259911.39736432</v>
      </c>
      <c r="U71" s="38">
        <f t="shared" si="40"/>
        <v>316308156.4311769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19.5</v>
      </c>
      <c r="AI71" s="36">
        <f>IFERROR(INDEX('Level Multipliers'!$D:$D,MATCH(AH71,'Level Multipliers'!$A:$A,0)),"")</f>
        <v>1.6952373266621776</v>
      </c>
      <c r="AJ71" s="37">
        <f t="shared" si="43"/>
        <v>16</v>
      </c>
      <c r="AK71" s="37">
        <f t="shared" si="44"/>
        <v>15</v>
      </c>
      <c r="AL71" s="38">
        <f t="shared" si="45"/>
        <v>299305713.9390341</v>
      </c>
      <c r="AM71" s="38">
        <f t="shared" si="46"/>
        <v>300300910.97134209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20</v>
      </c>
      <c r="BA71" s="36">
        <f>IFERROR(INDEX('Level Multipliers'!$D:$D,MATCH(AZ71,'Level Multipliers'!$A:$A,0)),"")</f>
        <v>1.6739202944034379</v>
      </c>
      <c r="BB71" s="37">
        <f t="shared" si="49"/>
        <v>14</v>
      </c>
      <c r="BC71" s="37">
        <f t="shared" si="50"/>
        <v>15</v>
      </c>
      <c r="BD71" s="38">
        <f t="shared" si="51"/>
        <v>284532632.1384995</v>
      </c>
      <c r="BE71" s="38">
        <f t="shared" si="52"/>
        <v>285478708.40070105</v>
      </c>
      <c r="BF71" s="38" t="b">
        <f t="shared" si="53"/>
        <v>0</v>
      </c>
      <c r="BG71" s="37">
        <f t="array" ref="BG71:BQ71">IF(BF71,"",IVSolution($M71,$N71,$O71,BB71,BC71,BD71,BE71,$E71,$F71,$G71,$H71,$I71))</f>
        <v>1</v>
      </c>
      <c r="BH71" s="37">
        <v>43</v>
      </c>
      <c r="BI71" s="37">
        <v>43</v>
      </c>
      <c r="BJ71" s="39">
        <v>0.9555555555555556</v>
      </c>
      <c r="BK71" s="39">
        <v>0.9555555555555556</v>
      </c>
      <c r="BL71" s="37">
        <v>15</v>
      </c>
      <c r="BM71" s="37">
        <v>15</v>
      </c>
      <c r="BN71" s="37">
        <v>13</v>
      </c>
      <c r="BO71" s="37">
        <v>13</v>
      </c>
      <c r="BP71" s="37">
        <v>15</v>
      </c>
      <c r="BQ71" s="37">
        <v>15</v>
      </c>
      <c r="BR71" s="40">
        <f t="shared" si="54"/>
        <v>20.5</v>
      </c>
      <c r="BS71" s="36">
        <f>IFERROR(INDEX('Level Multipliers'!$D:$D,MATCH(BR71,'Level Multipliers'!$A:$A,0)),"")</f>
        <v>1.6533745038028393</v>
      </c>
      <c r="BT71" s="37">
        <f t="shared" si="55"/>
        <v>13</v>
      </c>
      <c r="BU71" s="37">
        <f t="shared" si="56"/>
        <v>14</v>
      </c>
      <c r="BV71" s="38">
        <f t="shared" si="57"/>
        <v>270818249.99285358</v>
      </c>
      <c r="BW71" s="38">
        <f t="shared" si="58"/>
        <v>271718725.68087411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60"/>
        <v>20</v>
      </c>
      <c r="CK71" s="41">
        <f t="shared" si="61"/>
        <v>20</v>
      </c>
      <c r="CL71" s="66">
        <f t="shared" si="62"/>
        <v>0.9555555555555556</v>
      </c>
      <c r="CM71" s="39">
        <f t="shared" si="63"/>
        <v>0.9555555555555556</v>
      </c>
      <c r="CN71" s="39">
        <f t="shared" si="64"/>
        <v>0.9555555555555556</v>
      </c>
      <c r="CO71" s="42">
        <f t="shared" si="65"/>
        <v>15</v>
      </c>
      <c r="CP71" s="42">
        <f t="shared" si="66"/>
        <v>15</v>
      </c>
      <c r="CQ71" s="42">
        <f t="shared" si="67"/>
        <v>13</v>
      </c>
      <c r="CR71" s="42">
        <f t="shared" si="68"/>
        <v>13</v>
      </c>
      <c r="CS71" s="42">
        <f t="shared" si="69"/>
        <v>15</v>
      </c>
      <c r="CT71" s="42">
        <f t="shared" si="70"/>
        <v>15</v>
      </c>
      <c r="CU71" s="43">
        <f t="shared" si="71"/>
        <v>15</v>
      </c>
      <c r="CV71" s="43">
        <f t="shared" si="72"/>
        <v>13</v>
      </c>
      <c r="CW71" s="43">
        <f t="shared" si="73"/>
        <v>15</v>
      </c>
      <c r="CX71" s="13" t="s">
        <v>396</v>
      </c>
    </row>
    <row r="72" spans="1:102" x14ac:dyDescent="0.25">
      <c r="A72" s="31" t="s">
        <v>75</v>
      </c>
      <c r="B72" s="13">
        <v>598</v>
      </c>
      <c r="C72" s="13">
        <v>60</v>
      </c>
      <c r="D72" s="13">
        <v>25</v>
      </c>
      <c r="E72" s="32" t="s">
        <v>0</v>
      </c>
      <c r="F72" s="32"/>
      <c r="G72" s="32"/>
      <c r="H72" s="32">
        <v>1</v>
      </c>
      <c r="I72" s="32" t="s">
        <v>0</v>
      </c>
      <c r="J72" s="13"/>
      <c r="K72" s="33"/>
      <c r="L72" s="34">
        <f>IFERROR(INDEX('Pokemon Data'!A:A,MATCH($A72,'Pokemon Data'!$B:$B,0)),"")</f>
        <v>43</v>
      </c>
      <c r="M72" s="34">
        <f>IFERROR(INDEX('Pokemon Data'!I:I,MATCH($A72,'Pokemon Data'!$B:$B,0)),"")</f>
        <v>90</v>
      </c>
      <c r="N72" s="34">
        <f>IFERROR(INDEX('Pokemon Data'!J:J,MATCH($A72,'Pokemon Data'!$B:$B,0)),"")</f>
        <v>131</v>
      </c>
      <c r="O72" s="34">
        <f>IFERROR(INDEX('Pokemon Data'!K:K,MATCH($A72,'Pokemon Data'!$B:$B,0)),"")</f>
        <v>116</v>
      </c>
      <c r="P72" s="35">
        <f>IFERROR(INDEX('Level Multipliers'!$A:$A,MATCH($D72,'Level Multipliers'!$B:$B,0)),"")</f>
        <v>19</v>
      </c>
      <c r="Q72" s="36">
        <f>IFERROR(INDEX('Level Multipliers'!$D:$D,MATCH(P72,'Level Multipliers'!$A:$A,0)),"")</f>
        <v>1.7173900470456649</v>
      </c>
      <c r="R72" s="37">
        <f t="shared" si="37"/>
        <v>14</v>
      </c>
      <c r="S72" s="37">
        <f t="shared" si="38"/>
        <v>14</v>
      </c>
      <c r="T72" s="38">
        <f t="shared" si="39"/>
        <v>311084329.5199365</v>
      </c>
      <c r="U72" s="38">
        <f t="shared" si="40"/>
        <v>312125615.25062007</v>
      </c>
      <c r="V72" s="38" t="b">
        <f t="shared" si="41"/>
        <v>1</v>
      </c>
      <c r="W72" s="37" t="str">
        <f t="array" ref="W72:AG72">IF(V72,"",IVSolution($M72,$N72,$O72,R72,S72,T72,U72,$E72,$F72,$G72,$H72,$I72))</f>
        <v/>
      </c>
      <c r="X72" s="37" t="str">
        <v/>
      </c>
      <c r="Y72" s="37" t="str">
        <v/>
      </c>
      <c r="Z72" s="39" t="str">
        <v/>
      </c>
      <c r="AA72" s="39" t="str">
        <v/>
      </c>
      <c r="AB72" s="37" t="str">
        <v/>
      </c>
      <c r="AC72" s="37" t="str">
        <v/>
      </c>
      <c r="AD72" s="37" t="str">
        <v/>
      </c>
      <c r="AE72" s="37" t="str">
        <v/>
      </c>
      <c r="AF72" s="37" t="str">
        <v/>
      </c>
      <c r="AG72" s="37" t="str">
        <v/>
      </c>
      <c r="AH72" s="40">
        <f t="shared" si="42"/>
        <v>19.5</v>
      </c>
      <c r="AI72" s="36">
        <f>IFERROR(INDEX('Level Multipliers'!$D:$D,MATCH(AH72,'Level Multipliers'!$A:$A,0)),"")</f>
        <v>1.6952373266621776</v>
      </c>
      <c r="AJ72" s="37">
        <f t="shared" si="43"/>
        <v>12</v>
      </c>
      <c r="AK72" s="37">
        <f t="shared" si="44"/>
        <v>13</v>
      </c>
      <c r="AL72" s="38">
        <f t="shared" si="45"/>
        <v>295341443.60286957</v>
      </c>
      <c r="AM72" s="38">
        <f t="shared" si="46"/>
        <v>296330033.51795059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20</v>
      </c>
      <c r="BA72" s="36">
        <f>IFERROR(INDEX('Level Multipliers'!$D:$D,MATCH(AZ72,'Level Multipliers'!$A:$A,0)),"")</f>
        <v>1.6739202944034379</v>
      </c>
      <c r="BB72" s="37">
        <f t="shared" si="49"/>
        <v>11</v>
      </c>
      <c r="BC72" s="37">
        <f t="shared" si="50"/>
        <v>12</v>
      </c>
      <c r="BD72" s="38">
        <f t="shared" si="51"/>
        <v>280764029.60026926</v>
      </c>
      <c r="BE72" s="38">
        <f t="shared" si="52"/>
        <v>281703824.85824043</v>
      </c>
      <c r="BF72" s="38" t="b">
        <f t="shared" si="53"/>
        <v>0</v>
      </c>
      <c r="BG72" s="37">
        <f t="array" ref="BG72:BQ72">IF(BF72,"",IVSolution($M72,$N72,$O72,BB72,BC72,BD72,BE72,$E72,$F72,$G72,$H72,$I72))</f>
        <v>1</v>
      </c>
      <c r="BH72" s="37">
        <v>41</v>
      </c>
      <c r="BI72" s="37">
        <v>41</v>
      </c>
      <c r="BJ72" s="39">
        <v>0.91111111111111109</v>
      </c>
      <c r="BK72" s="39">
        <v>0.91111111111111109</v>
      </c>
      <c r="BL72" s="37">
        <v>12</v>
      </c>
      <c r="BM72" s="37">
        <v>12</v>
      </c>
      <c r="BN72" s="37">
        <v>14</v>
      </c>
      <c r="BO72" s="37">
        <v>14</v>
      </c>
      <c r="BP72" s="37">
        <v>15</v>
      </c>
      <c r="BQ72" s="37">
        <v>15</v>
      </c>
      <c r="BR72" s="40">
        <f t="shared" si="54"/>
        <v>20.5</v>
      </c>
      <c r="BS72" s="36">
        <f>IFERROR(INDEX('Level Multipliers'!$D:$D,MATCH(BR72,'Level Multipliers'!$A:$A,0)),"")</f>
        <v>1.6533745038028393</v>
      </c>
      <c r="BT72" s="37">
        <f t="shared" si="55"/>
        <v>10</v>
      </c>
      <c r="BU72" s="37">
        <f t="shared" si="56"/>
        <v>10</v>
      </c>
      <c r="BV72" s="38">
        <f t="shared" si="57"/>
        <v>267231292.89534447</v>
      </c>
      <c r="BW72" s="38">
        <f t="shared" si="58"/>
        <v>268125790.3215358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60"/>
        <v>20</v>
      </c>
      <c r="CK72" s="41">
        <f t="shared" si="61"/>
        <v>20</v>
      </c>
      <c r="CL72" s="66">
        <f t="shared" si="62"/>
        <v>0.91111111111111109</v>
      </c>
      <c r="CM72" s="39">
        <f t="shared" si="63"/>
        <v>0.91111111111111109</v>
      </c>
      <c r="CN72" s="39">
        <f t="shared" si="64"/>
        <v>0.91111111111111109</v>
      </c>
      <c r="CO72" s="42">
        <f t="shared" si="65"/>
        <v>12</v>
      </c>
      <c r="CP72" s="42">
        <f t="shared" si="66"/>
        <v>12</v>
      </c>
      <c r="CQ72" s="42">
        <f t="shared" si="67"/>
        <v>14</v>
      </c>
      <c r="CR72" s="42">
        <f t="shared" si="68"/>
        <v>14</v>
      </c>
      <c r="CS72" s="42">
        <f t="shared" si="69"/>
        <v>15</v>
      </c>
      <c r="CT72" s="42">
        <f t="shared" si="70"/>
        <v>15</v>
      </c>
      <c r="CU72" s="43">
        <f t="shared" si="71"/>
        <v>12</v>
      </c>
      <c r="CV72" s="43">
        <f t="shared" si="72"/>
        <v>14</v>
      </c>
      <c r="CW72" s="43">
        <f t="shared" si="73"/>
        <v>15</v>
      </c>
      <c r="CX72" s="13" t="s">
        <v>394</v>
      </c>
    </row>
    <row r="73" spans="1:102" x14ac:dyDescent="0.25">
      <c r="A73" s="31" t="s">
        <v>75</v>
      </c>
      <c r="B73" s="13">
        <v>587</v>
      </c>
      <c r="C73" s="13">
        <v>60</v>
      </c>
      <c r="D73" s="13">
        <v>25</v>
      </c>
      <c r="E73" s="32" t="s">
        <v>0</v>
      </c>
      <c r="F73" s="32"/>
      <c r="G73" s="32"/>
      <c r="H73" s="32">
        <v>1</v>
      </c>
      <c r="I73" s="32" t="s">
        <v>2</v>
      </c>
      <c r="J73" s="13"/>
      <c r="K73" s="33"/>
      <c r="L73" s="34">
        <f>IFERROR(INDEX('Pokemon Data'!A:A,MATCH($A73,'Pokemon Data'!$B:$B,0)),"")</f>
        <v>43</v>
      </c>
      <c r="M73" s="34">
        <f>IFERROR(INDEX('Pokemon Data'!I:I,MATCH($A73,'Pokemon Data'!$B:$B,0)),"")</f>
        <v>90</v>
      </c>
      <c r="N73" s="34">
        <f>IFERROR(INDEX('Pokemon Data'!J:J,MATCH($A73,'Pokemon Data'!$B:$B,0)),"")</f>
        <v>131</v>
      </c>
      <c r="O73" s="34">
        <f>IFERROR(INDEX('Pokemon Data'!K:K,MATCH($A73,'Pokemon Data'!$B:$B,0)),"")</f>
        <v>116</v>
      </c>
      <c r="P73" s="35">
        <f>IFERROR(INDEX('Level Multipliers'!$A:$A,MATCH($D73,'Level Multipliers'!$B:$B,0)),"")</f>
        <v>19</v>
      </c>
      <c r="Q73" s="36">
        <f>IFERROR(INDEX('Level Multipliers'!$D:$D,MATCH(P73,'Level Multipliers'!$A:$A,0)),"")</f>
        <v>1.7173900470456649</v>
      </c>
      <c r="R73" s="37">
        <f t="shared" si="37"/>
        <v>14</v>
      </c>
      <c r="S73" s="37">
        <f t="shared" si="38"/>
        <v>14</v>
      </c>
      <c r="T73" s="38">
        <f t="shared" si="39"/>
        <v>299745014.98404664</v>
      </c>
      <c r="U73" s="38">
        <f t="shared" si="40"/>
        <v>300767162.63112527</v>
      </c>
      <c r="V73" s="38" t="b">
        <f t="shared" si="41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2"/>
        <v>19.5</v>
      </c>
      <c r="AI73" s="36">
        <f>IFERROR(INDEX('Level Multipliers'!$D:$D,MATCH(AH73,'Level Multipliers'!$A:$A,0)),"")</f>
        <v>1.6952373266621776</v>
      </c>
      <c r="AJ73" s="37">
        <f t="shared" si="43"/>
        <v>12</v>
      </c>
      <c r="AK73" s="37">
        <f t="shared" si="44"/>
        <v>13</v>
      </c>
      <c r="AL73" s="38">
        <f t="shared" si="45"/>
        <v>284575971.97122282</v>
      </c>
      <c r="AM73" s="38">
        <f t="shared" si="46"/>
        <v>285546392.31392974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20</v>
      </c>
      <c r="BA73" s="36">
        <f>IFERROR(INDEX('Level Multipliers'!$D:$D,MATCH(AZ73,'Level Multipliers'!$A:$A,0)),"")</f>
        <v>1.6739202944034379</v>
      </c>
      <c r="BB73" s="37">
        <f t="shared" si="49"/>
        <v>11</v>
      </c>
      <c r="BC73" s="37">
        <f t="shared" si="50"/>
        <v>12</v>
      </c>
      <c r="BD73" s="38">
        <f t="shared" si="51"/>
        <v>270529918.33238775</v>
      </c>
      <c r="BE73" s="38">
        <f t="shared" si="52"/>
        <v>271452440.82872534</v>
      </c>
      <c r="BF73" s="38" t="b">
        <f t="shared" si="53"/>
        <v>0</v>
      </c>
      <c r="BG73" s="37">
        <f t="array" ref="BG73:BQ73">IF(BF73,"",IVSolution($M73,$N73,$O73,BB73,BC73,BD73,BE73,$E73,$F73,$G73,$H73,$I73))</f>
        <v>1</v>
      </c>
      <c r="BH73" s="37">
        <v>38</v>
      </c>
      <c r="BI73" s="37">
        <v>38</v>
      </c>
      <c r="BJ73" s="39">
        <v>0.84444444444444444</v>
      </c>
      <c r="BK73" s="39">
        <v>0.84444444444444444</v>
      </c>
      <c r="BL73" s="37">
        <v>12</v>
      </c>
      <c r="BM73" s="37">
        <v>12</v>
      </c>
      <c r="BN73" s="37">
        <v>12</v>
      </c>
      <c r="BO73" s="37">
        <v>12</v>
      </c>
      <c r="BP73" s="37">
        <v>14</v>
      </c>
      <c r="BQ73" s="37">
        <v>14</v>
      </c>
      <c r="BR73" s="40">
        <f t="shared" si="54"/>
        <v>20.5</v>
      </c>
      <c r="BS73" s="36">
        <f>IFERROR(INDEX('Level Multipliers'!$D:$D,MATCH(BR73,'Level Multipliers'!$A:$A,0)),"")</f>
        <v>1.6533745038028393</v>
      </c>
      <c r="BT73" s="37">
        <f t="shared" si="55"/>
        <v>10</v>
      </c>
      <c r="BU73" s="37">
        <f t="shared" si="56"/>
        <v>10</v>
      </c>
      <c r="BV73" s="38">
        <f t="shared" si="57"/>
        <v>257490462.52742124</v>
      </c>
      <c r="BW73" s="38">
        <f t="shared" si="58"/>
        <v>258368519.73358232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60"/>
        <v>20</v>
      </c>
      <c r="CK73" s="41">
        <f t="shared" si="61"/>
        <v>20</v>
      </c>
      <c r="CL73" s="66">
        <f t="shared" si="62"/>
        <v>0.84444444444444444</v>
      </c>
      <c r="CM73" s="39">
        <f t="shared" si="63"/>
        <v>0.84444444444444444</v>
      </c>
      <c r="CN73" s="39">
        <f t="shared" si="64"/>
        <v>0.84444444444444444</v>
      </c>
      <c r="CO73" s="42">
        <f t="shared" si="65"/>
        <v>12</v>
      </c>
      <c r="CP73" s="42">
        <f t="shared" si="66"/>
        <v>12</v>
      </c>
      <c r="CQ73" s="42">
        <f t="shared" si="67"/>
        <v>12</v>
      </c>
      <c r="CR73" s="42">
        <f t="shared" si="68"/>
        <v>12</v>
      </c>
      <c r="CS73" s="42">
        <f t="shared" si="69"/>
        <v>14</v>
      </c>
      <c r="CT73" s="42">
        <f t="shared" si="70"/>
        <v>14</v>
      </c>
      <c r="CU73" s="43">
        <f t="shared" si="71"/>
        <v>12</v>
      </c>
      <c r="CV73" s="43">
        <f t="shared" si="72"/>
        <v>12</v>
      </c>
      <c r="CW73" s="43">
        <f t="shared" si="73"/>
        <v>14</v>
      </c>
      <c r="CX73" s="13" t="s">
        <v>395</v>
      </c>
    </row>
    <row r="74" spans="1:102" x14ac:dyDescent="0.25">
      <c r="A74" s="31" t="s">
        <v>76</v>
      </c>
      <c r="B74" s="13">
        <v>828</v>
      </c>
      <c r="C74" s="13">
        <v>78</v>
      </c>
      <c r="D74" s="13">
        <v>25</v>
      </c>
      <c r="E74" s="32" t="s">
        <v>2</v>
      </c>
      <c r="F74" s="32">
        <v>1</v>
      </c>
      <c r="G74" s="32">
        <v>1</v>
      </c>
      <c r="H74" s="32"/>
      <c r="I74" s="32" t="s">
        <v>3</v>
      </c>
      <c r="J74" s="13"/>
      <c r="K74" s="33"/>
      <c r="L74" s="34">
        <f>IFERROR(INDEX('Pokemon Data'!A:A,MATCH($A74,'Pokemon Data'!$B:$B,0)),"")</f>
        <v>44</v>
      </c>
      <c r="M74" s="34">
        <f>IFERROR(INDEX('Pokemon Data'!I:I,MATCH($A74,'Pokemon Data'!$B:$B,0)),"")</f>
        <v>120</v>
      </c>
      <c r="N74" s="34">
        <f>IFERROR(INDEX('Pokemon Data'!J:J,MATCH($A74,'Pokemon Data'!$B:$B,0)),"")</f>
        <v>153</v>
      </c>
      <c r="O74" s="34">
        <f>IFERROR(INDEX('Pokemon Data'!K:K,MATCH($A74,'Pokemon Data'!$B:$B,0)),"")</f>
        <v>139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7"/>
        <v>14</v>
      </c>
      <c r="S74" s="37">
        <f t="shared" si="38"/>
        <v>15</v>
      </c>
      <c r="T74" s="38">
        <f t="shared" si="39"/>
        <v>596398359.5530144</v>
      </c>
      <c r="U74" s="38">
        <f t="shared" si="40"/>
        <v>597839805.21361816</v>
      </c>
      <c r="V74" s="38" t="b">
        <f t="shared" si="41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2"/>
        <v>19.5</v>
      </c>
      <c r="AI74" s="36">
        <f>IFERROR(INDEX('Level Multipliers'!$D:$D,MATCH(AH74,'Level Multipliers'!$A:$A,0)),"")</f>
        <v>1.6952373266621776</v>
      </c>
      <c r="AJ74" s="37">
        <f t="shared" si="43"/>
        <v>13</v>
      </c>
      <c r="AK74" s="37">
        <f t="shared" si="44"/>
        <v>13</v>
      </c>
      <c r="AL74" s="38">
        <f t="shared" si="45"/>
        <v>566216732.11437714</v>
      </c>
      <c r="AM74" s="38">
        <f t="shared" si="46"/>
        <v>567585231.27000725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20</v>
      </c>
      <c r="BA74" s="36">
        <f>IFERROR(INDEX('Level Multipliers'!$D:$D,MATCH(AZ74,'Level Multipliers'!$A:$A,0)),"")</f>
        <v>1.6739202944034379</v>
      </c>
      <c r="BB74" s="37">
        <f t="shared" si="49"/>
        <v>11</v>
      </c>
      <c r="BC74" s="37">
        <f t="shared" si="50"/>
        <v>12</v>
      </c>
      <c r="BD74" s="38">
        <f t="shared" si="51"/>
        <v>538269500.53542745</v>
      </c>
      <c r="BE74" s="38">
        <f t="shared" si="52"/>
        <v>539570453.53664565</v>
      </c>
      <c r="BF74" s="38" t="b">
        <f t="shared" si="53"/>
        <v>0</v>
      </c>
      <c r="BG74" s="37">
        <f t="array" ref="BG74:BQ74">IF(BF74,"",IVSolution($M74,$N74,$O74,BB74,BC74,BD74,BE74,$E74,$F74,$G74,$H74,$I74))</f>
        <v>1</v>
      </c>
      <c r="BH74" s="37">
        <v>35</v>
      </c>
      <c r="BI74" s="37">
        <v>35</v>
      </c>
      <c r="BJ74" s="39">
        <v>0.77777777777777779</v>
      </c>
      <c r="BK74" s="39">
        <v>0.77777777777777779</v>
      </c>
      <c r="BL74" s="37">
        <v>12</v>
      </c>
      <c r="BM74" s="37">
        <v>12</v>
      </c>
      <c r="BN74" s="37">
        <v>12</v>
      </c>
      <c r="BO74" s="37">
        <v>12</v>
      </c>
      <c r="BP74" s="37">
        <v>11</v>
      </c>
      <c r="BQ74" s="37">
        <v>11</v>
      </c>
      <c r="BR74" s="40">
        <f t="shared" si="54"/>
        <v>20.5</v>
      </c>
      <c r="BS74" s="36">
        <f>IFERROR(INDEX('Level Multipliers'!$D:$D,MATCH(BR74,'Level Multipliers'!$A:$A,0)),"")</f>
        <v>1.6533745038028393</v>
      </c>
      <c r="BT74" s="37">
        <f t="shared" si="55"/>
        <v>9</v>
      </c>
      <c r="BU74" s="37">
        <f t="shared" si="56"/>
        <v>10</v>
      </c>
      <c r="BV74" s="38">
        <f t="shared" si="57"/>
        <v>512325082.23722845</v>
      </c>
      <c r="BW74" s="38">
        <f t="shared" si="58"/>
        <v>513563329.71859771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60"/>
        <v>20</v>
      </c>
      <c r="CK74" s="41">
        <f t="shared" si="61"/>
        <v>20</v>
      </c>
      <c r="CL74" s="66">
        <f t="shared" si="62"/>
        <v>0.77777777777777779</v>
      </c>
      <c r="CM74" s="39">
        <f t="shared" si="63"/>
        <v>0.77777777777777779</v>
      </c>
      <c r="CN74" s="39">
        <f t="shared" si="64"/>
        <v>0.77777777777777779</v>
      </c>
      <c r="CO74" s="42">
        <f t="shared" si="65"/>
        <v>12</v>
      </c>
      <c r="CP74" s="42">
        <f t="shared" si="66"/>
        <v>12</v>
      </c>
      <c r="CQ74" s="42">
        <f t="shared" si="67"/>
        <v>12</v>
      </c>
      <c r="CR74" s="42">
        <f t="shared" si="68"/>
        <v>12</v>
      </c>
      <c r="CS74" s="42">
        <f t="shared" si="69"/>
        <v>11</v>
      </c>
      <c r="CT74" s="42">
        <f t="shared" si="70"/>
        <v>11</v>
      </c>
      <c r="CU74" s="43">
        <f t="shared" si="71"/>
        <v>12</v>
      </c>
      <c r="CV74" s="43">
        <f t="shared" si="72"/>
        <v>12</v>
      </c>
      <c r="CW74" s="43">
        <f t="shared" si="73"/>
        <v>11</v>
      </c>
      <c r="CX74" s="13" t="s">
        <v>399</v>
      </c>
    </row>
    <row r="75" spans="1:102" x14ac:dyDescent="0.25">
      <c r="A75" s="31" t="s">
        <v>78</v>
      </c>
      <c r="B75" s="13">
        <v>452</v>
      </c>
      <c r="C75" s="13">
        <v>49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46</v>
      </c>
      <c r="M75" s="34">
        <f>IFERROR(INDEX('Pokemon Data'!I:I,MATCH($A75,'Pokemon Data'!$B:$B,0)),"")</f>
        <v>70</v>
      </c>
      <c r="N75" s="34">
        <f>IFERROR(INDEX('Pokemon Data'!J:J,MATCH($A75,'Pokemon Data'!$B:$B,0)),"")</f>
        <v>121</v>
      </c>
      <c r="O75" s="34">
        <f>IFERROR(INDEX('Pokemon Data'!K:K,MATCH($A75,'Pokemon Data'!$B:$B,0)),"")</f>
        <v>99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7"/>
        <v>15</v>
      </c>
      <c r="S75" s="37">
        <f t="shared" si="38"/>
        <v>15</v>
      </c>
      <c r="T75" s="38">
        <f t="shared" si="39"/>
        <v>177726683.30958578</v>
      </c>
      <c r="U75" s="38">
        <f t="shared" si="40"/>
        <v>178513954.47605914</v>
      </c>
      <c r="V75" s="38" t="b">
        <f t="shared" si="41"/>
        <v>0</v>
      </c>
      <c r="W75" s="37">
        <f t="array" ref="W75:AG75">IF(V75,"",IVSolution($M75,$N75,$O75,R75,S75,T75,U75,$E75,$F75,$G75,$H75,$I75))</f>
        <v>0</v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19.5</v>
      </c>
      <c r="AI75" s="36">
        <f>IFERROR(INDEX('Level Multipliers'!$D:$D,MATCH(AH75,'Level Multipliers'!$A:$A,0)),"")</f>
        <v>1.6952373266621776</v>
      </c>
      <c r="AJ75" s="37">
        <f t="shared" si="43"/>
        <v>14</v>
      </c>
      <c r="AK75" s="37">
        <f t="shared" si="44"/>
        <v>14</v>
      </c>
      <c r="AL75" s="38">
        <f t="shared" si="45"/>
        <v>168732559.7416155</v>
      </c>
      <c r="AM75" s="38">
        <f t="shared" si="46"/>
        <v>169479989.87791318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20</v>
      </c>
      <c r="BA75" s="36">
        <f>IFERROR(INDEX('Level Multipliers'!$D:$D,MATCH(AZ75,'Level Multipliers'!$A:$A,0)),"")</f>
        <v>1.6739202944034379</v>
      </c>
      <c r="BB75" s="37">
        <f t="shared" si="49"/>
        <v>13</v>
      </c>
      <c r="BC75" s="37">
        <f t="shared" si="50"/>
        <v>13</v>
      </c>
      <c r="BD75" s="38">
        <f t="shared" si="51"/>
        <v>160404286.03554046</v>
      </c>
      <c r="BE75" s="38">
        <f t="shared" si="52"/>
        <v>161114824.63910264</v>
      </c>
      <c r="BF75" s="38" t="b">
        <f t="shared" si="53"/>
        <v>0</v>
      </c>
      <c r="BG75" s="37">
        <f t="array" ref="BG75:BQ75">IF(BF75,"",IVSolution($M75,$N75,$O75,BB75,BC75,BD75,BE75,$E75,$F75,$G75,$H75,$I75))</f>
        <v>3</v>
      </c>
      <c r="BH75" s="37">
        <v>35</v>
      </c>
      <c r="BI75" s="37">
        <v>37</v>
      </c>
      <c r="BJ75" s="39">
        <v>0.77777777777777779</v>
      </c>
      <c r="BK75" s="39">
        <v>0.82222222222222219</v>
      </c>
      <c r="BL75" s="37">
        <v>13</v>
      </c>
      <c r="BM75" s="37">
        <v>13</v>
      </c>
      <c r="BN75" s="37">
        <v>10</v>
      </c>
      <c r="BO75" s="37">
        <v>13</v>
      </c>
      <c r="BP75" s="37">
        <v>9</v>
      </c>
      <c r="BQ75" s="37">
        <v>14</v>
      </c>
      <c r="BR75" s="40">
        <f t="shared" si="54"/>
        <v>20.5</v>
      </c>
      <c r="BS75" s="36">
        <f>IFERROR(INDEX('Level Multipliers'!$D:$D,MATCH(BR75,'Level Multipliers'!$A:$A,0)),"")</f>
        <v>1.6533745038028393</v>
      </c>
      <c r="BT75" s="37">
        <f t="shared" si="55"/>
        <v>12</v>
      </c>
      <c r="BU75" s="37">
        <f t="shared" si="56"/>
        <v>12</v>
      </c>
      <c r="BV75" s="38">
        <f t="shared" si="57"/>
        <v>152672850.59364676</v>
      </c>
      <c r="BW75" s="38">
        <f t="shared" si="58"/>
        <v>153349141.46307296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60"/>
        <v>20</v>
      </c>
      <c r="CK75" s="41">
        <f t="shared" si="61"/>
        <v>20</v>
      </c>
      <c r="CL75" s="66">
        <f t="shared" si="62"/>
        <v>0.8</v>
      </c>
      <c r="CM75" s="39">
        <f t="shared" si="63"/>
        <v>0.77777777777777779</v>
      </c>
      <c r="CN75" s="39">
        <f t="shared" si="64"/>
        <v>0.82222222222222219</v>
      </c>
      <c r="CO75" s="42">
        <f t="shared" si="65"/>
        <v>13</v>
      </c>
      <c r="CP75" s="42">
        <f t="shared" si="66"/>
        <v>13</v>
      </c>
      <c r="CQ75" s="42">
        <f t="shared" si="67"/>
        <v>10</v>
      </c>
      <c r="CR75" s="42">
        <f t="shared" si="68"/>
        <v>13</v>
      </c>
      <c r="CS75" s="42">
        <f t="shared" si="69"/>
        <v>9</v>
      </c>
      <c r="CT75" s="42">
        <f t="shared" si="70"/>
        <v>14</v>
      </c>
      <c r="CU75" s="43">
        <f t="shared" si="71"/>
        <v>13</v>
      </c>
      <c r="CV75" s="43" t="str">
        <f t="shared" si="72"/>
        <v>10-13</v>
      </c>
      <c r="CW75" s="43" t="str">
        <f t="shared" si="73"/>
        <v>9-14</v>
      </c>
      <c r="CX75" s="13" t="s">
        <v>397</v>
      </c>
    </row>
    <row r="76" spans="1:102" x14ac:dyDescent="0.25">
      <c r="A76" s="31" t="s">
        <v>81</v>
      </c>
      <c r="B76" s="13">
        <v>1093</v>
      </c>
      <c r="C76" s="13">
        <v>91</v>
      </c>
      <c r="D76" s="13">
        <v>25</v>
      </c>
      <c r="E76" s="32" t="s">
        <v>0</v>
      </c>
      <c r="F76" s="32"/>
      <c r="G76" s="32">
        <v>1</v>
      </c>
      <c r="H76" s="32"/>
      <c r="I76" s="32" t="s">
        <v>0</v>
      </c>
      <c r="J76" s="13"/>
      <c r="K76" s="33"/>
      <c r="L76" s="34">
        <f>IFERROR(INDEX('Pokemon Data'!A:A,MATCH($A76,'Pokemon Data'!$B:$B,0)),"")</f>
        <v>49</v>
      </c>
      <c r="M76" s="34">
        <f>IFERROR(INDEX('Pokemon Data'!I:I,MATCH($A76,'Pokemon Data'!$B:$B,0)),"")</f>
        <v>140</v>
      </c>
      <c r="N76" s="34">
        <f>IFERROR(INDEX('Pokemon Data'!J:J,MATCH($A76,'Pokemon Data'!$B:$B,0)),"")</f>
        <v>179</v>
      </c>
      <c r="O76" s="34">
        <f>IFERROR(INDEX('Pokemon Data'!K:K,MATCH($A76,'Pokemon Data'!$B:$B,0)),"")</f>
        <v>150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37"/>
        <v>17</v>
      </c>
      <c r="S76" s="37">
        <f t="shared" si="38"/>
        <v>15</v>
      </c>
      <c r="T76" s="38">
        <f t="shared" si="39"/>
        <v>1039240565.4765121</v>
      </c>
      <c r="U76" s="38">
        <f t="shared" si="40"/>
        <v>1041143064.9694152</v>
      </c>
      <c r="V76" s="38" t="b">
        <f t="shared" si="41"/>
        <v>1</v>
      </c>
      <c r="W76" s="37" t="str">
        <f t="array" ref="W76:AG76">IF(V76,"",IVSolution($M76,$N76,$O76,R76,S76,T76,U76,$E76,$F76,$G76,$H76,$I76))</f>
        <v/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2"/>
        <v>19.5</v>
      </c>
      <c r="AI76" s="36">
        <f>IFERROR(INDEX('Level Multipliers'!$D:$D,MATCH(AH76,'Level Multipliers'!$A:$A,0)),"")</f>
        <v>1.6952373266621776</v>
      </c>
      <c r="AJ76" s="37">
        <f t="shared" si="43"/>
        <v>15</v>
      </c>
      <c r="AK76" s="37">
        <f t="shared" si="44"/>
        <v>15</v>
      </c>
      <c r="AL76" s="38">
        <f t="shared" si="45"/>
        <v>986648248.50595784</v>
      </c>
      <c r="AM76" s="38">
        <f t="shared" si="46"/>
        <v>988454469.17787278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20</v>
      </c>
      <c r="BA76" s="36">
        <f>IFERROR(INDEX('Level Multipliers'!$D:$D,MATCH(AZ76,'Level Multipliers'!$A:$A,0)),"")</f>
        <v>1.6739202944034379</v>
      </c>
      <c r="BB76" s="37">
        <f t="shared" si="49"/>
        <v>13</v>
      </c>
      <c r="BC76" s="37">
        <f t="shared" si="50"/>
        <v>14</v>
      </c>
      <c r="BD76" s="38">
        <f t="shared" si="51"/>
        <v>937949427.85296607</v>
      </c>
      <c r="BE76" s="38">
        <f t="shared" si="52"/>
        <v>939666497.38444722</v>
      </c>
      <c r="BF76" s="38" t="b">
        <f t="shared" si="53"/>
        <v>0</v>
      </c>
      <c r="BG76" s="37">
        <f t="array" ref="BG76:BQ76">IF(BF76,"",IVSolution($M76,$N76,$O76,BB76,BC76,BD76,BE76,$E76,$F76,$G76,$H76,$I76))</f>
        <v>2</v>
      </c>
      <c r="BH76" s="37">
        <v>41</v>
      </c>
      <c r="BI76" s="37">
        <v>41</v>
      </c>
      <c r="BJ76" s="39">
        <v>0.91111111111111109</v>
      </c>
      <c r="BK76" s="39">
        <v>0.91111111111111109</v>
      </c>
      <c r="BL76" s="37">
        <v>13</v>
      </c>
      <c r="BM76" s="37">
        <v>14</v>
      </c>
      <c r="BN76" s="37">
        <v>15</v>
      </c>
      <c r="BO76" s="37">
        <v>15</v>
      </c>
      <c r="BP76" s="37">
        <v>12</v>
      </c>
      <c r="BQ76" s="37">
        <v>13</v>
      </c>
      <c r="BR76" s="40">
        <f t="shared" si="54"/>
        <v>20.5</v>
      </c>
      <c r="BS76" s="36">
        <f>IFERROR(INDEX('Level Multipliers'!$D:$D,MATCH(BR76,'Level Multipliers'!$A:$A,0)),"")</f>
        <v>1.6533745038028393</v>
      </c>
      <c r="BT76" s="37">
        <f t="shared" si="55"/>
        <v>11</v>
      </c>
      <c r="BU76" s="37">
        <f t="shared" si="56"/>
        <v>12</v>
      </c>
      <c r="BV76" s="38">
        <f t="shared" si="57"/>
        <v>892740564.49628747</v>
      </c>
      <c r="BW76" s="38">
        <f t="shared" si="58"/>
        <v>894374871.82384002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60"/>
        <v>20</v>
      </c>
      <c r="CK76" s="41">
        <f t="shared" si="61"/>
        <v>20</v>
      </c>
      <c r="CL76" s="66">
        <f t="shared" si="62"/>
        <v>0.91111111111111109</v>
      </c>
      <c r="CM76" s="39">
        <f t="shared" si="63"/>
        <v>0.91111111111111109</v>
      </c>
      <c r="CN76" s="39">
        <f t="shared" si="64"/>
        <v>0.91111111111111109</v>
      </c>
      <c r="CO76" s="42">
        <f t="shared" si="65"/>
        <v>13</v>
      </c>
      <c r="CP76" s="42">
        <f t="shared" si="66"/>
        <v>14</v>
      </c>
      <c r="CQ76" s="42">
        <f t="shared" si="67"/>
        <v>15</v>
      </c>
      <c r="CR76" s="42">
        <f t="shared" si="68"/>
        <v>15</v>
      </c>
      <c r="CS76" s="42">
        <f t="shared" si="69"/>
        <v>12</v>
      </c>
      <c r="CT76" s="42">
        <f t="shared" si="70"/>
        <v>13</v>
      </c>
      <c r="CU76" s="43" t="str">
        <f t="shared" si="71"/>
        <v>13-14</v>
      </c>
      <c r="CV76" s="43">
        <f t="shared" si="72"/>
        <v>15</v>
      </c>
      <c r="CW76" s="43" t="str">
        <f t="shared" si="73"/>
        <v>12-13</v>
      </c>
      <c r="CX76" s="13" t="s">
        <v>424</v>
      </c>
    </row>
    <row r="77" spans="1:102" x14ac:dyDescent="0.25">
      <c r="A77" s="31" t="s">
        <v>81</v>
      </c>
      <c r="B77" s="13">
        <v>859</v>
      </c>
      <c r="C77" s="13">
        <v>81</v>
      </c>
      <c r="D77" s="13">
        <v>19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49</v>
      </c>
      <c r="M77" s="34">
        <f>IFERROR(INDEX('Pokemon Data'!I:I,MATCH($A77,'Pokemon Data'!$B:$B,0)),"")</f>
        <v>140</v>
      </c>
      <c r="N77" s="34">
        <f>IFERROR(INDEX('Pokemon Data'!J:J,MATCH($A77,'Pokemon Data'!$B:$B,0)),"")</f>
        <v>179</v>
      </c>
      <c r="O77" s="34">
        <f>IFERROR(INDEX('Pokemon Data'!K:K,MATCH($A77,'Pokemon Data'!$B:$B,0)),"")</f>
        <v>150</v>
      </c>
      <c r="P77" s="35">
        <f>IFERROR(INDEX('Level Multipliers'!$A:$A,MATCH($D77,'Level Multipliers'!$B:$B,0)),"")</f>
        <v>15</v>
      </c>
      <c r="Q77" s="36">
        <f>IFERROR(INDEX('Level Multipliers'!$D:$D,MATCH(P77,'Level Multipliers'!$A:$A,0)),"")</f>
        <v>1.9327632386874845</v>
      </c>
      <c r="R77" s="37">
        <f t="shared" si="37"/>
        <v>17</v>
      </c>
      <c r="S77" s="37">
        <f t="shared" si="38"/>
        <v>15</v>
      </c>
      <c r="T77" s="38">
        <f t="shared" si="39"/>
        <v>1029676863.6879387</v>
      </c>
      <c r="U77" s="38">
        <f t="shared" si="40"/>
        <v>1032075644.1534603</v>
      </c>
      <c r="V77" s="38" t="b">
        <f t="shared" si="41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2"/>
        <v>15.5</v>
      </c>
      <c r="AI77" s="36">
        <f>IFERROR(INDEX('Level Multipliers'!$D:$D,MATCH(AH77,'Level Multipliers'!$A:$A,0)),"")</f>
        <v>1.9013484732050823</v>
      </c>
      <c r="AJ77" s="37">
        <f t="shared" si="43"/>
        <v>15</v>
      </c>
      <c r="AK77" s="37">
        <f t="shared" si="44"/>
        <v>15</v>
      </c>
      <c r="AL77" s="38">
        <f t="shared" si="45"/>
        <v>964346722.61179173</v>
      </c>
      <c r="AM77" s="38">
        <f t="shared" si="46"/>
        <v>966593307.11006403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16</v>
      </c>
      <c r="BA77" s="36">
        <f>IFERROR(INDEX('Level Multipliers'!$D:$D,MATCH(AZ77,'Level Multipliers'!$A:$A,0)),"")</f>
        <v>1.8714174200985207</v>
      </c>
      <c r="BB77" s="37">
        <f t="shared" si="49"/>
        <v>12</v>
      </c>
      <c r="BC77" s="37">
        <f t="shared" si="50"/>
        <v>13</v>
      </c>
      <c r="BD77" s="38">
        <f t="shared" si="51"/>
        <v>905042552.22214448</v>
      </c>
      <c r="BE77" s="38">
        <f t="shared" si="52"/>
        <v>907150979.11925912</v>
      </c>
      <c r="BF77" s="38" t="b">
        <f t="shared" si="53"/>
        <v>0</v>
      </c>
      <c r="BG77" s="37">
        <f t="array" ref="BG77:BQ77">IF(BF77,"",IVSolution($M77,$N77,$O77,BB77,BC77,BD77,BE77,$E77,$F77,$G77,$H77,$I77))</f>
        <v>4</v>
      </c>
      <c r="BH77" s="37">
        <v>36</v>
      </c>
      <c r="BI77" s="37">
        <v>38</v>
      </c>
      <c r="BJ77" s="39">
        <v>0.8</v>
      </c>
      <c r="BK77" s="39">
        <v>0.84444444444444444</v>
      </c>
      <c r="BL77" s="37">
        <v>12</v>
      </c>
      <c r="BM77" s="37">
        <v>13</v>
      </c>
      <c r="BN77" s="37">
        <v>11</v>
      </c>
      <c r="BO77" s="37">
        <v>14</v>
      </c>
      <c r="BP77" s="37">
        <v>9</v>
      </c>
      <c r="BQ77" s="37">
        <v>15</v>
      </c>
      <c r="BR77" s="40">
        <f t="shared" si="54"/>
        <v>16.5</v>
      </c>
      <c r="BS77" s="36">
        <f>IFERROR(INDEX('Level Multipliers'!$D:$D,MATCH(BR77,'Level Multipliers'!$A:$A,0)),"")</f>
        <v>1.8428568206029767</v>
      </c>
      <c r="BT77" s="37">
        <f t="shared" si="55"/>
        <v>10</v>
      </c>
      <c r="BU77" s="37">
        <f t="shared" si="56"/>
        <v>11</v>
      </c>
      <c r="BV77" s="38">
        <f t="shared" si="57"/>
        <v>851045353.72319114</v>
      </c>
      <c r="BW77" s="38">
        <f t="shared" si="58"/>
        <v>853027986.37405241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60"/>
        <v>16</v>
      </c>
      <c r="CK77" s="41">
        <f t="shared" si="61"/>
        <v>16</v>
      </c>
      <c r="CL77" s="66">
        <f t="shared" si="62"/>
        <v>0.82222222222222219</v>
      </c>
      <c r="CM77" s="39">
        <f t="shared" si="63"/>
        <v>0.8</v>
      </c>
      <c r="CN77" s="39">
        <f t="shared" si="64"/>
        <v>0.84444444444444444</v>
      </c>
      <c r="CO77" s="42">
        <f t="shared" si="65"/>
        <v>12</v>
      </c>
      <c r="CP77" s="42">
        <f t="shared" si="66"/>
        <v>13</v>
      </c>
      <c r="CQ77" s="42">
        <f t="shared" si="67"/>
        <v>11</v>
      </c>
      <c r="CR77" s="42">
        <f t="shared" si="68"/>
        <v>14</v>
      </c>
      <c r="CS77" s="42">
        <f t="shared" si="69"/>
        <v>9</v>
      </c>
      <c r="CT77" s="42">
        <f t="shared" si="70"/>
        <v>15</v>
      </c>
      <c r="CU77" s="43" t="str">
        <f t="shared" si="71"/>
        <v>12-13</v>
      </c>
      <c r="CV77" s="43" t="str">
        <f t="shared" si="72"/>
        <v>11-14</v>
      </c>
      <c r="CW77" s="43" t="str">
        <f t="shared" si="73"/>
        <v>9-15</v>
      </c>
      <c r="CX77" s="13" t="s">
        <v>427</v>
      </c>
    </row>
    <row r="78" spans="1:102" x14ac:dyDescent="0.25">
      <c r="A78" s="31" t="s">
        <v>82</v>
      </c>
      <c r="B78" s="13">
        <v>248</v>
      </c>
      <c r="C78" s="13">
        <v>18</v>
      </c>
      <c r="D78" s="13">
        <v>25</v>
      </c>
      <c r="E78" s="32" t="s">
        <v>0</v>
      </c>
      <c r="F78" s="32"/>
      <c r="G78" s="32"/>
      <c r="H78" s="32">
        <v>1</v>
      </c>
      <c r="I78" s="32" t="s">
        <v>0</v>
      </c>
      <c r="J78" s="13"/>
      <c r="K78" s="33"/>
      <c r="L78" s="34">
        <f>IFERROR(INDEX('Pokemon Data'!A:A,MATCH($A78,'Pokemon Data'!$B:$B,0)),"")</f>
        <v>50</v>
      </c>
      <c r="M78" s="34">
        <f>IFERROR(INDEX('Pokemon Data'!I:I,MATCH($A78,'Pokemon Data'!$B:$B,0)),"")</f>
        <v>20</v>
      </c>
      <c r="N78" s="34">
        <f>IFERROR(INDEX('Pokemon Data'!J:J,MATCH($A78,'Pokemon Data'!$B:$B,0)),"")</f>
        <v>109</v>
      </c>
      <c r="O78" s="34">
        <f>IFERROR(INDEX('Pokemon Data'!K:K,MATCH($A78,'Pokemon Data'!$B:$B,0)),"")</f>
        <v>88</v>
      </c>
      <c r="P78" s="35">
        <f>IFERROR(INDEX('Level Multipliers'!$A:$A,MATCH($D78,'Level Multipliers'!$B:$B,0)),"")</f>
        <v>19</v>
      </c>
      <c r="Q78" s="36">
        <f>IFERROR(INDEX('Level Multipliers'!$D:$D,MATCH(P78,'Level Multipliers'!$A:$A,0)),"")</f>
        <v>1.7173900470456649</v>
      </c>
      <c r="R78" s="37">
        <f t="shared" si="37"/>
        <v>11</v>
      </c>
      <c r="S78" s="37">
        <f t="shared" si="38"/>
        <v>12</v>
      </c>
      <c r="T78" s="38">
        <f t="shared" si="39"/>
        <v>53503122.456108361</v>
      </c>
      <c r="U78" s="38">
        <f t="shared" si="40"/>
        <v>53935469.163000368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19.5</v>
      </c>
      <c r="AI78" s="36">
        <f>IFERROR(INDEX('Level Multipliers'!$D:$D,MATCH(AH78,'Level Multipliers'!$A:$A,0)),"")</f>
        <v>1.6952373266621776</v>
      </c>
      <c r="AJ78" s="37">
        <f t="shared" si="43"/>
        <v>11</v>
      </c>
      <c r="AK78" s="37">
        <f t="shared" si="44"/>
        <v>12</v>
      </c>
      <c r="AL78" s="38">
        <f t="shared" si="45"/>
        <v>50795517.240721278</v>
      </c>
      <c r="AM78" s="38">
        <f t="shared" si="46"/>
        <v>51205984.398444973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20</v>
      </c>
      <c r="BA78" s="36">
        <f>IFERROR(INDEX('Level Multipliers'!$D:$D,MATCH(AZ78,'Level Multipliers'!$A:$A,0)),"")</f>
        <v>1.6739202944034379</v>
      </c>
      <c r="BB78" s="37">
        <f t="shared" si="49"/>
        <v>11</v>
      </c>
      <c r="BC78" s="37">
        <f t="shared" si="50"/>
        <v>11</v>
      </c>
      <c r="BD78" s="38">
        <f t="shared" si="51"/>
        <v>48288360.523190349</v>
      </c>
      <c r="BE78" s="38">
        <f t="shared" si="52"/>
        <v>48678567.911002934</v>
      </c>
      <c r="BF78" s="38" t="b">
        <f t="shared" si="53"/>
        <v>0</v>
      </c>
      <c r="BG78" s="37">
        <f t="array" ref="BG78:BQ78">IF(BF78,"",IVSolution($M78,$N78,$O78,BB78,BC78,BD78,BE78,$E78,$F78,$G78,$H78,$I78))</f>
        <v>1</v>
      </c>
      <c r="BH78" s="37">
        <v>40</v>
      </c>
      <c r="BI78" s="37">
        <v>40</v>
      </c>
      <c r="BJ78" s="39">
        <v>0.88888888888888884</v>
      </c>
      <c r="BK78" s="39">
        <v>0.88888888888888884</v>
      </c>
      <c r="BL78" s="37">
        <v>11</v>
      </c>
      <c r="BM78" s="37">
        <v>11</v>
      </c>
      <c r="BN78" s="37">
        <v>14</v>
      </c>
      <c r="BO78" s="37">
        <v>14</v>
      </c>
      <c r="BP78" s="37">
        <v>15</v>
      </c>
      <c r="BQ78" s="37">
        <v>15</v>
      </c>
      <c r="BR78" s="40">
        <f t="shared" si="54"/>
        <v>20.5</v>
      </c>
      <c r="BS78" s="36">
        <f>IFERROR(INDEX('Level Multipliers'!$D:$D,MATCH(BR78,'Level Multipliers'!$A:$A,0)),"")</f>
        <v>1.6533745038028393</v>
      </c>
      <c r="BT78" s="37">
        <f t="shared" si="55"/>
        <v>10</v>
      </c>
      <c r="BU78" s="37">
        <f t="shared" si="56"/>
        <v>11</v>
      </c>
      <c r="BV78" s="38">
        <f t="shared" si="57"/>
        <v>45960876.942750268</v>
      </c>
      <c r="BW78" s="38">
        <f t="shared" si="58"/>
        <v>46332276.458888188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60"/>
        <v>20</v>
      </c>
      <c r="CK78" s="41">
        <f t="shared" si="61"/>
        <v>20</v>
      </c>
      <c r="CL78" s="66">
        <f t="shared" si="62"/>
        <v>0.88888888888888884</v>
      </c>
      <c r="CM78" s="39">
        <f t="shared" si="63"/>
        <v>0.88888888888888884</v>
      </c>
      <c r="CN78" s="39">
        <f t="shared" si="64"/>
        <v>0.88888888888888884</v>
      </c>
      <c r="CO78" s="42">
        <f t="shared" si="65"/>
        <v>11</v>
      </c>
      <c r="CP78" s="42">
        <f t="shared" si="66"/>
        <v>11</v>
      </c>
      <c r="CQ78" s="42">
        <f t="shared" si="67"/>
        <v>14</v>
      </c>
      <c r="CR78" s="42">
        <f t="shared" si="68"/>
        <v>14</v>
      </c>
      <c r="CS78" s="42">
        <f t="shared" si="69"/>
        <v>15</v>
      </c>
      <c r="CT78" s="42">
        <f t="shared" si="70"/>
        <v>15</v>
      </c>
      <c r="CU78" s="43">
        <f t="shared" si="71"/>
        <v>11</v>
      </c>
      <c r="CV78" s="43">
        <f t="shared" si="72"/>
        <v>14</v>
      </c>
      <c r="CW78" s="43">
        <f t="shared" si="73"/>
        <v>15</v>
      </c>
      <c r="CX78" s="13"/>
    </row>
    <row r="79" spans="1:102" x14ac:dyDescent="0.25">
      <c r="A79" s="31" t="s">
        <v>83</v>
      </c>
      <c r="B79" s="13">
        <v>755</v>
      </c>
      <c r="C79" s="13">
        <v>50</v>
      </c>
      <c r="D79" s="13">
        <v>25</v>
      </c>
      <c r="E79" s="32" t="s">
        <v>0</v>
      </c>
      <c r="F79" s="32"/>
      <c r="G79" s="32">
        <v>1</v>
      </c>
      <c r="H79" s="32"/>
      <c r="I79" s="32" t="s">
        <v>0</v>
      </c>
      <c r="J79" s="13"/>
      <c r="K79" s="33"/>
      <c r="L79" s="34">
        <f>IFERROR(INDEX('Pokemon Data'!A:A,MATCH($A79,'Pokemon Data'!$B:$B,0)),"")</f>
        <v>51</v>
      </c>
      <c r="M79" s="34">
        <f>IFERROR(INDEX('Pokemon Data'!I:I,MATCH($A79,'Pokemon Data'!$B:$B,0)),"")</f>
        <v>70</v>
      </c>
      <c r="N79" s="34">
        <f>IFERROR(INDEX('Pokemon Data'!J:J,MATCH($A79,'Pokemon Data'!$B:$B,0)),"")</f>
        <v>167</v>
      </c>
      <c r="O79" s="34">
        <f>IFERROR(INDEX('Pokemon Data'!K:K,MATCH($A79,'Pokemon Data'!$B:$B,0)),"")</f>
        <v>147</v>
      </c>
      <c r="P79" s="35">
        <f>IFERROR(INDEX('Level Multipliers'!$A:$A,MATCH($D79,'Level Multipliers'!$B:$B,0)),"")</f>
        <v>19</v>
      </c>
      <c r="Q79" s="36">
        <f>IFERROR(INDEX('Level Multipliers'!$D:$D,MATCH(P79,'Level Multipliers'!$A:$A,0)),"")</f>
        <v>1.7173900470456649</v>
      </c>
      <c r="R79" s="37">
        <f t="shared" si="37"/>
        <v>16</v>
      </c>
      <c r="S79" s="37">
        <f t="shared" si="38"/>
        <v>15</v>
      </c>
      <c r="T79" s="38">
        <f t="shared" si="39"/>
        <v>495872095.76683092</v>
      </c>
      <c r="U79" s="38">
        <f t="shared" si="40"/>
        <v>497186534.14532959</v>
      </c>
      <c r="V79" s="38" t="b">
        <f t="shared" si="41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2"/>
        <v>19.5</v>
      </c>
      <c r="AI79" s="36">
        <f>IFERROR(INDEX('Level Multipliers'!$D:$D,MATCH(AH79,'Level Multipliers'!$A:$A,0)),"")</f>
        <v>1.6952373266621776</v>
      </c>
      <c r="AJ79" s="37">
        <f t="shared" si="43"/>
        <v>15</v>
      </c>
      <c r="AK79" s="37">
        <f t="shared" si="44"/>
        <v>15</v>
      </c>
      <c r="AL79" s="38">
        <f t="shared" si="45"/>
        <v>470777749.66086996</v>
      </c>
      <c r="AM79" s="38">
        <f t="shared" si="46"/>
        <v>472025668.92710841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20</v>
      </c>
      <c r="BA79" s="36">
        <f>IFERROR(INDEX('Level Multipliers'!$D:$D,MATCH(AZ79,'Level Multipliers'!$A:$A,0)),"")</f>
        <v>1.6739202944034379</v>
      </c>
      <c r="BB79" s="37">
        <f t="shared" si="49"/>
        <v>14</v>
      </c>
      <c r="BC79" s="37">
        <f t="shared" si="50"/>
        <v>15</v>
      </c>
      <c r="BD79" s="38">
        <f t="shared" si="51"/>
        <v>447541179.55306286</v>
      </c>
      <c r="BE79" s="38">
        <f t="shared" si="52"/>
        <v>448727504.22707659</v>
      </c>
      <c r="BF79" s="38" t="b">
        <f t="shared" si="53"/>
        <v>0</v>
      </c>
      <c r="BG79" s="37">
        <f t="array" ref="BG79:BQ79">IF(BF79,"",IVSolution($M79,$N79,$O79,BB79,BC79,BD79,BE79,$E79,$F79,$G79,$H79,$I79))</f>
        <v>1</v>
      </c>
      <c r="BH79" s="37">
        <v>43</v>
      </c>
      <c r="BI79" s="37">
        <v>43</v>
      </c>
      <c r="BJ79" s="39">
        <v>0.9555555555555556</v>
      </c>
      <c r="BK79" s="39">
        <v>0.9555555555555556</v>
      </c>
      <c r="BL79" s="37">
        <v>14</v>
      </c>
      <c r="BM79" s="37">
        <v>14</v>
      </c>
      <c r="BN79" s="37">
        <v>15</v>
      </c>
      <c r="BO79" s="37">
        <v>15</v>
      </c>
      <c r="BP79" s="37">
        <v>14</v>
      </c>
      <c r="BQ79" s="37">
        <v>14</v>
      </c>
      <c r="BR79" s="40">
        <f t="shared" si="54"/>
        <v>20.5</v>
      </c>
      <c r="BS79" s="36">
        <f>IFERROR(INDEX('Level Multipliers'!$D:$D,MATCH(BR79,'Level Multipliers'!$A:$A,0)),"")</f>
        <v>1.6533745038028393</v>
      </c>
      <c r="BT79" s="37">
        <f t="shared" si="55"/>
        <v>13</v>
      </c>
      <c r="BU79" s="37">
        <f t="shared" si="56"/>
        <v>14</v>
      </c>
      <c r="BV79" s="38">
        <f t="shared" si="57"/>
        <v>425969837.39742488</v>
      </c>
      <c r="BW79" s="38">
        <f t="shared" si="58"/>
        <v>427098981.60041159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60"/>
        <v>20</v>
      </c>
      <c r="CK79" s="41">
        <f t="shared" si="61"/>
        <v>20</v>
      </c>
      <c r="CL79" s="66">
        <f t="shared" si="62"/>
        <v>0.9555555555555556</v>
      </c>
      <c r="CM79" s="39">
        <f t="shared" si="63"/>
        <v>0.9555555555555556</v>
      </c>
      <c r="CN79" s="39">
        <f t="shared" si="64"/>
        <v>0.9555555555555556</v>
      </c>
      <c r="CO79" s="42">
        <f t="shared" si="65"/>
        <v>14</v>
      </c>
      <c r="CP79" s="42">
        <f t="shared" si="66"/>
        <v>14</v>
      </c>
      <c r="CQ79" s="42">
        <f t="shared" si="67"/>
        <v>15</v>
      </c>
      <c r="CR79" s="42">
        <f t="shared" si="68"/>
        <v>15</v>
      </c>
      <c r="CS79" s="42">
        <f t="shared" si="69"/>
        <v>14</v>
      </c>
      <c r="CT79" s="42">
        <f t="shared" si="70"/>
        <v>14</v>
      </c>
      <c r="CU79" s="43">
        <f t="shared" si="71"/>
        <v>14</v>
      </c>
      <c r="CV79" s="43">
        <f t="shared" si="72"/>
        <v>15</v>
      </c>
      <c r="CW79" s="43">
        <f t="shared" si="73"/>
        <v>14</v>
      </c>
      <c r="CX79" s="13" t="s">
        <v>426</v>
      </c>
    </row>
    <row r="80" spans="1:102" x14ac:dyDescent="0.25">
      <c r="A80" s="31" t="s">
        <v>84</v>
      </c>
      <c r="B80" s="13">
        <v>361</v>
      </c>
      <c r="C80" s="13">
        <v>56</v>
      </c>
      <c r="D80" s="13">
        <v>25</v>
      </c>
      <c r="E80" s="32" t="s">
        <v>0</v>
      </c>
      <c r="F80" s="32">
        <v>1</v>
      </c>
      <c r="G80" s="32"/>
      <c r="H80" s="32">
        <v>1</v>
      </c>
      <c r="I80" s="32" t="s">
        <v>0</v>
      </c>
      <c r="J80" s="13"/>
      <c r="K80" s="33"/>
      <c r="L80" s="34">
        <f>IFERROR(INDEX('Pokemon Data'!A:A,MATCH($A80,'Pokemon Data'!$B:$B,0)),"")</f>
        <v>52</v>
      </c>
      <c r="M80" s="34">
        <f>IFERROR(INDEX('Pokemon Data'!I:I,MATCH($A80,'Pokemon Data'!$B:$B,0)),"")</f>
        <v>80</v>
      </c>
      <c r="N80" s="34">
        <f>IFERROR(INDEX('Pokemon Data'!J:J,MATCH($A80,'Pokemon Data'!$B:$B,0)),"")</f>
        <v>92</v>
      </c>
      <c r="O80" s="34">
        <f>IFERROR(INDEX('Pokemon Data'!K:K,MATCH($A80,'Pokemon Data'!$B:$B,0)),"")</f>
        <v>81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7"/>
        <v>17</v>
      </c>
      <c r="S80" s="37">
        <f t="shared" si="38"/>
        <v>15</v>
      </c>
      <c r="T80" s="38">
        <f t="shared" si="39"/>
        <v>113367917.88505623</v>
      </c>
      <c r="U80" s="38">
        <f t="shared" si="40"/>
        <v>113996864.90534379</v>
      </c>
      <c r="V80" s="38" t="b">
        <f t="shared" si="41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2"/>
        <v>19.5</v>
      </c>
      <c r="AI80" s="36">
        <f>IFERROR(INDEX('Level Multipliers'!$D:$D,MATCH(AH80,'Level Multipliers'!$A:$A,0)),"")</f>
        <v>1.6952373266621776</v>
      </c>
      <c r="AJ80" s="37">
        <f t="shared" si="43"/>
        <v>15</v>
      </c>
      <c r="AK80" s="37">
        <f t="shared" si="44"/>
        <v>15</v>
      </c>
      <c r="AL80" s="38">
        <f t="shared" si="45"/>
        <v>107630765.51651986</v>
      </c>
      <c r="AM80" s="38">
        <f t="shared" si="46"/>
        <v>108227883.73590463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20</v>
      </c>
      <c r="BA80" s="36">
        <f>IFERROR(INDEX('Level Multipliers'!$D:$D,MATCH(AZ80,'Level Multipliers'!$A:$A,0)),"")</f>
        <v>1.6739202944034379</v>
      </c>
      <c r="BB80" s="37">
        <f t="shared" si="49"/>
        <v>14</v>
      </c>
      <c r="BC80" s="37">
        <f t="shared" si="50"/>
        <v>15</v>
      </c>
      <c r="BD80" s="38">
        <f t="shared" si="51"/>
        <v>102318344.03848025</v>
      </c>
      <c r="BE80" s="38">
        <f t="shared" si="52"/>
        <v>102885989.79580118</v>
      </c>
      <c r="BF80" s="38" t="b">
        <f t="shared" si="53"/>
        <v>0</v>
      </c>
      <c r="BG80" s="37">
        <f t="array" ref="BG80:BQ80">IF(BF80,"",IVSolution($M80,$N80,$O80,BB80,BC80,BD80,BE80,$E80,$F80,$G80,$H80,$I80))</f>
        <v>1</v>
      </c>
      <c r="BH80" s="37">
        <v>44</v>
      </c>
      <c r="BI80" s="37">
        <v>44</v>
      </c>
      <c r="BJ80" s="39">
        <v>0.97777777777777775</v>
      </c>
      <c r="BK80" s="39">
        <v>0.97777777777777775</v>
      </c>
      <c r="BL80" s="37">
        <v>15</v>
      </c>
      <c r="BM80" s="37">
        <v>15</v>
      </c>
      <c r="BN80" s="37">
        <v>14</v>
      </c>
      <c r="BO80" s="37">
        <v>14</v>
      </c>
      <c r="BP80" s="37">
        <v>15</v>
      </c>
      <c r="BQ80" s="37">
        <v>15</v>
      </c>
      <c r="BR80" s="40">
        <f t="shared" si="54"/>
        <v>20.5</v>
      </c>
      <c r="BS80" s="36">
        <f>IFERROR(INDEX('Level Multipliers'!$D:$D,MATCH(BR80,'Level Multipliers'!$A:$A,0)),"")</f>
        <v>1.6533745038028393</v>
      </c>
      <c r="BT80" s="37">
        <f t="shared" si="55"/>
        <v>13</v>
      </c>
      <c r="BU80" s="37">
        <f t="shared" si="56"/>
        <v>14</v>
      </c>
      <c r="BV80" s="38">
        <f t="shared" si="57"/>
        <v>97386632.480101407</v>
      </c>
      <c r="BW80" s="38">
        <f t="shared" si="58"/>
        <v>97926917.892913729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60"/>
        <v>20</v>
      </c>
      <c r="CK80" s="41">
        <f t="shared" si="61"/>
        <v>20</v>
      </c>
      <c r="CL80" s="66">
        <f t="shared" si="62"/>
        <v>0.97777777777777775</v>
      </c>
      <c r="CM80" s="39">
        <f t="shared" si="63"/>
        <v>0.97777777777777775</v>
      </c>
      <c r="CN80" s="39">
        <f t="shared" si="64"/>
        <v>0.97777777777777775</v>
      </c>
      <c r="CO80" s="42">
        <f t="shared" si="65"/>
        <v>15</v>
      </c>
      <c r="CP80" s="42">
        <f t="shared" si="66"/>
        <v>15</v>
      </c>
      <c r="CQ80" s="42">
        <f t="shared" si="67"/>
        <v>14</v>
      </c>
      <c r="CR80" s="42">
        <f t="shared" si="68"/>
        <v>14</v>
      </c>
      <c r="CS80" s="42">
        <f t="shared" si="69"/>
        <v>15</v>
      </c>
      <c r="CT80" s="42">
        <f t="shared" si="70"/>
        <v>15</v>
      </c>
      <c r="CU80" s="43">
        <f t="shared" si="71"/>
        <v>15</v>
      </c>
      <c r="CV80" s="43">
        <f t="shared" si="72"/>
        <v>14</v>
      </c>
      <c r="CW80" s="43">
        <f t="shared" si="73"/>
        <v>15</v>
      </c>
      <c r="CX80" s="13"/>
    </row>
    <row r="81" spans="1:102" x14ac:dyDescent="0.25">
      <c r="A81" s="31" t="s">
        <v>85</v>
      </c>
      <c r="B81" s="13">
        <v>1125</v>
      </c>
      <c r="C81" s="13">
        <v>97</v>
      </c>
      <c r="D81" s="13">
        <v>40</v>
      </c>
      <c r="E81" s="32" t="s">
        <v>0</v>
      </c>
      <c r="F81" s="32"/>
      <c r="G81" s="32">
        <v>1</v>
      </c>
      <c r="H81" s="32">
        <v>1</v>
      </c>
      <c r="I81" s="32" t="s">
        <v>2</v>
      </c>
      <c r="J81" s="13"/>
      <c r="K81" s="33"/>
      <c r="L81" s="34">
        <f>IFERROR(INDEX('Pokemon Data'!A:A,MATCH($A81,'Pokemon Data'!$B:$B,0)),"")</f>
        <v>53</v>
      </c>
      <c r="M81" s="34">
        <f>IFERROR(INDEX('Pokemon Data'!I:I,MATCH($A81,'Pokemon Data'!$B:$B,0)),"")</f>
        <v>130</v>
      </c>
      <c r="N81" s="34">
        <f>IFERROR(INDEX('Pokemon Data'!J:J,MATCH($A81,'Pokemon Data'!$B:$B,0)),"")</f>
        <v>150</v>
      </c>
      <c r="O81" s="34">
        <f>IFERROR(INDEX('Pokemon Data'!K:K,MATCH($A81,'Pokemon Data'!$B:$B,0)),"")</f>
        <v>139</v>
      </c>
      <c r="P81" s="35">
        <f>IFERROR(INDEX('Level Multipliers'!$A:$A,MATCH($D81,'Level Multipliers'!$B:$B,0)),"")</f>
        <v>25</v>
      </c>
      <c r="Q81" s="36">
        <f>IFERROR(INDEX('Level Multipliers'!$D:$D,MATCH(P81,'Level Multipliers'!$A:$A,0)),"")</f>
        <v>1.4971539093132804</v>
      </c>
      <c r="R81" s="37">
        <f t="shared" si="37"/>
        <v>16</v>
      </c>
      <c r="S81" s="37">
        <f t="shared" si="38"/>
        <v>15</v>
      </c>
      <c r="T81" s="38">
        <f t="shared" si="39"/>
        <v>635873665.99851966</v>
      </c>
      <c r="U81" s="38">
        <f t="shared" si="40"/>
        <v>637004610.49010491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25.5</v>
      </c>
      <c r="AI81" s="36">
        <f>IFERROR(INDEX('Level Multipliers'!$D:$D,MATCH(AH81,'Level Multipliers'!$A:$A,0)),"")</f>
        <v>1.4823997223704843</v>
      </c>
      <c r="AJ81" s="37">
        <f t="shared" si="43"/>
        <v>14</v>
      </c>
      <c r="AK81" s="37">
        <f t="shared" si="44"/>
        <v>15</v>
      </c>
      <c r="AL81" s="38">
        <f t="shared" si="45"/>
        <v>611176074.59768844</v>
      </c>
      <c r="AM81" s="38">
        <f t="shared" si="46"/>
        <v>612263092.74597037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26</v>
      </c>
      <c r="BA81" s="36">
        <f>IFERROR(INDEX('Level Multipliers'!$D:$D,MATCH(AZ81,'Level Multipliers'!$A:$A,0)),"")</f>
        <v>1.4680732523857296</v>
      </c>
      <c r="BB81" s="37">
        <f t="shared" si="49"/>
        <v>13</v>
      </c>
      <c r="BC81" s="37">
        <f t="shared" si="50"/>
        <v>13</v>
      </c>
      <c r="BD81" s="38">
        <f t="shared" si="51"/>
        <v>587889832.62990034</v>
      </c>
      <c r="BE81" s="38">
        <f t="shared" si="52"/>
        <v>588935434.61567807</v>
      </c>
      <c r="BF81" s="38" t="b">
        <f t="shared" si="53"/>
        <v>0</v>
      </c>
      <c r="BG81" s="37">
        <f t="array" ref="BG81:BQ81">IF(BF81,"",IVSolution($M81,$N81,$O81,BB81,BC81,BD81,BE81,$E81,$F81,$G81,$H81,$I81))</f>
        <v>1</v>
      </c>
      <c r="BH81" s="37">
        <v>41</v>
      </c>
      <c r="BI81" s="37">
        <v>41</v>
      </c>
      <c r="BJ81" s="39">
        <v>0.91111111111111109</v>
      </c>
      <c r="BK81" s="39">
        <v>0.91111111111111109</v>
      </c>
      <c r="BL81" s="37">
        <v>13</v>
      </c>
      <c r="BM81" s="37">
        <v>13</v>
      </c>
      <c r="BN81" s="37">
        <v>14</v>
      </c>
      <c r="BO81" s="37">
        <v>14</v>
      </c>
      <c r="BP81" s="37">
        <v>14</v>
      </c>
      <c r="BQ81" s="37">
        <v>14</v>
      </c>
      <c r="BR81" s="40">
        <f t="shared" si="54"/>
        <v>26.5</v>
      </c>
      <c r="BS81" s="36">
        <f>IFERROR(INDEX('Level Multipliers'!$D:$D,MATCH(BR81,'Level Multipliers'!$A:$A,0)),"")</f>
        <v>1.4541543636838528</v>
      </c>
      <c r="BT81" s="37">
        <f t="shared" si="55"/>
        <v>12</v>
      </c>
      <c r="BU81" s="37">
        <f t="shared" si="56"/>
        <v>12</v>
      </c>
      <c r="BV81" s="38">
        <f t="shared" si="57"/>
        <v>565909635.34170675</v>
      </c>
      <c r="BW81" s="38">
        <f t="shared" si="58"/>
        <v>566916144.05412495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60"/>
        <v>26</v>
      </c>
      <c r="CK81" s="41">
        <f t="shared" si="61"/>
        <v>26</v>
      </c>
      <c r="CL81" s="66">
        <f t="shared" si="62"/>
        <v>0.91111111111111109</v>
      </c>
      <c r="CM81" s="39">
        <f t="shared" si="63"/>
        <v>0.91111111111111109</v>
      </c>
      <c r="CN81" s="39">
        <f t="shared" si="64"/>
        <v>0.91111111111111109</v>
      </c>
      <c r="CO81" s="42">
        <f t="shared" si="65"/>
        <v>13</v>
      </c>
      <c r="CP81" s="42">
        <f t="shared" si="66"/>
        <v>13</v>
      </c>
      <c r="CQ81" s="42">
        <f t="shared" si="67"/>
        <v>14</v>
      </c>
      <c r="CR81" s="42">
        <f t="shared" si="68"/>
        <v>14</v>
      </c>
      <c r="CS81" s="42">
        <f t="shared" si="69"/>
        <v>14</v>
      </c>
      <c r="CT81" s="42">
        <f t="shared" si="70"/>
        <v>14</v>
      </c>
      <c r="CU81" s="43">
        <f t="shared" si="71"/>
        <v>13</v>
      </c>
      <c r="CV81" s="43">
        <f t="shared" si="72"/>
        <v>14</v>
      </c>
      <c r="CW81" s="43">
        <f t="shared" si="73"/>
        <v>14</v>
      </c>
      <c r="CX81" s="13" t="s">
        <v>422</v>
      </c>
    </row>
    <row r="82" spans="1:102" x14ac:dyDescent="0.25">
      <c r="A82" s="31" t="s">
        <v>86</v>
      </c>
      <c r="B82" s="13">
        <v>530</v>
      </c>
      <c r="C82" s="13">
        <v>68</v>
      </c>
      <c r="D82" s="13">
        <v>25</v>
      </c>
      <c r="E82" s="32" t="s">
        <v>0</v>
      </c>
      <c r="F82" s="32">
        <v>1</v>
      </c>
      <c r="G82" s="32"/>
      <c r="H82" s="32"/>
      <c r="I82" s="32" t="s">
        <v>0</v>
      </c>
      <c r="J82" s="13"/>
      <c r="K82" s="33"/>
      <c r="L82" s="34">
        <f>IFERROR(INDEX('Pokemon Data'!A:A,MATCH($A82,'Pokemon Data'!$B:$B,0)),"")</f>
        <v>54</v>
      </c>
      <c r="M82" s="34">
        <f>IFERROR(INDEX('Pokemon Data'!I:I,MATCH($A82,'Pokemon Data'!$B:$B,0)),"")</f>
        <v>100</v>
      </c>
      <c r="N82" s="34">
        <f>IFERROR(INDEX('Pokemon Data'!J:J,MATCH($A82,'Pokemon Data'!$B:$B,0)),"")</f>
        <v>122</v>
      </c>
      <c r="O82" s="34">
        <f>IFERROR(INDEX('Pokemon Data'!K:K,MATCH($A82,'Pokemon Data'!$B:$B,0)),"")</f>
        <v>96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7"/>
        <v>17</v>
      </c>
      <c r="S82" s="37">
        <f t="shared" si="38"/>
        <v>15</v>
      </c>
      <c r="T82" s="38">
        <f t="shared" si="39"/>
        <v>244358531.11864007</v>
      </c>
      <c r="U82" s="38">
        <f t="shared" si="40"/>
        <v>245281508.69612986</v>
      </c>
      <c r="V82" s="38" t="b">
        <f t="shared" si="41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2"/>
        <v>19.5</v>
      </c>
      <c r="AI82" s="36">
        <f>IFERROR(INDEX('Level Multipliers'!$D:$D,MATCH(AH82,'Level Multipliers'!$A:$A,0)),"")</f>
        <v>1.6952373266621776</v>
      </c>
      <c r="AJ82" s="37">
        <f t="shared" si="43"/>
        <v>16</v>
      </c>
      <c r="AK82" s="37">
        <f t="shared" si="44"/>
        <v>15</v>
      </c>
      <c r="AL82" s="38">
        <f t="shared" si="45"/>
        <v>231992403.63096067</v>
      </c>
      <c r="AM82" s="38">
        <f t="shared" si="46"/>
        <v>232868672.5531837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20</v>
      </c>
      <c r="BA82" s="36">
        <f>IFERROR(INDEX('Level Multipliers'!$D:$D,MATCH(AZ82,'Level Multipliers'!$A:$A,0)),"")</f>
        <v>1.6739202944034379</v>
      </c>
      <c r="BB82" s="37">
        <f t="shared" si="49"/>
        <v>14</v>
      </c>
      <c r="BC82" s="37">
        <f t="shared" si="50"/>
        <v>15</v>
      </c>
      <c r="BD82" s="38">
        <f t="shared" si="51"/>
        <v>220541761.03934976</v>
      </c>
      <c r="BE82" s="38">
        <f t="shared" si="52"/>
        <v>221374779.22540441</v>
      </c>
      <c r="BF82" s="38" t="b">
        <f t="shared" si="53"/>
        <v>0</v>
      </c>
      <c r="BG82" s="37">
        <f t="array" ref="BG82:BQ82">IF(BF82,"",IVSolution($M82,$N82,$O82,BB82,BC82,BD82,BE82,$E82,$F82,$G82,$H82,$I82))</f>
        <v>2</v>
      </c>
      <c r="BH82" s="37">
        <v>37</v>
      </c>
      <c r="BI82" s="37">
        <v>38</v>
      </c>
      <c r="BJ82" s="39">
        <v>0.82222222222222219</v>
      </c>
      <c r="BK82" s="39">
        <v>0.84444444444444444</v>
      </c>
      <c r="BL82" s="37">
        <v>15</v>
      </c>
      <c r="BM82" s="37">
        <v>15</v>
      </c>
      <c r="BN82" s="37">
        <v>12</v>
      </c>
      <c r="BO82" s="37">
        <v>14</v>
      </c>
      <c r="BP82" s="37">
        <v>8</v>
      </c>
      <c r="BQ82" s="37">
        <v>11</v>
      </c>
      <c r="BR82" s="40">
        <f t="shared" si="54"/>
        <v>20.5</v>
      </c>
      <c r="BS82" s="36">
        <f>IFERROR(INDEX('Level Multipliers'!$D:$D,MATCH(BR82,'Level Multipliers'!$A:$A,0)),"")</f>
        <v>1.6533745038028393</v>
      </c>
      <c r="BT82" s="37">
        <f t="shared" si="55"/>
        <v>13</v>
      </c>
      <c r="BU82" s="37">
        <f t="shared" si="56"/>
        <v>14</v>
      </c>
      <c r="BV82" s="38">
        <f t="shared" si="57"/>
        <v>209911718.47714862</v>
      </c>
      <c r="BW82" s="38">
        <f t="shared" si="58"/>
        <v>210704585.45224386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60"/>
        <v>20</v>
      </c>
      <c r="CK82" s="41">
        <f t="shared" si="61"/>
        <v>20</v>
      </c>
      <c r="CL82" s="66">
        <f t="shared" si="62"/>
        <v>0.83333333333333326</v>
      </c>
      <c r="CM82" s="39">
        <f t="shared" si="63"/>
        <v>0.82222222222222219</v>
      </c>
      <c r="CN82" s="39">
        <f t="shared" si="64"/>
        <v>0.84444444444444444</v>
      </c>
      <c r="CO82" s="42">
        <f t="shared" si="65"/>
        <v>15</v>
      </c>
      <c r="CP82" s="42">
        <f t="shared" si="66"/>
        <v>15</v>
      </c>
      <c r="CQ82" s="42">
        <f t="shared" si="67"/>
        <v>12</v>
      </c>
      <c r="CR82" s="42">
        <f t="shared" si="68"/>
        <v>14</v>
      </c>
      <c r="CS82" s="42">
        <f t="shared" si="69"/>
        <v>8</v>
      </c>
      <c r="CT82" s="42">
        <f t="shared" si="70"/>
        <v>11</v>
      </c>
      <c r="CU82" s="43">
        <f t="shared" si="71"/>
        <v>15</v>
      </c>
      <c r="CV82" s="43" t="str">
        <f t="shared" si="72"/>
        <v>12-14</v>
      </c>
      <c r="CW82" s="43" t="str">
        <f t="shared" si="73"/>
        <v>8-11</v>
      </c>
      <c r="CX82" s="13"/>
    </row>
    <row r="83" spans="1:102" x14ac:dyDescent="0.25">
      <c r="A83" s="31" t="s">
        <v>87</v>
      </c>
      <c r="B83" s="13">
        <v>1290</v>
      </c>
      <c r="C83" s="13">
        <v>104</v>
      </c>
      <c r="D83" s="13">
        <v>25</v>
      </c>
      <c r="E83" s="32" t="s">
        <v>0</v>
      </c>
      <c r="F83" s="32">
        <v>1</v>
      </c>
      <c r="G83" s="32">
        <v>1</v>
      </c>
      <c r="H83" s="32"/>
      <c r="I83" s="32" t="s">
        <v>0</v>
      </c>
      <c r="J83" s="13"/>
      <c r="K83" s="33"/>
      <c r="L83" s="34">
        <f>IFERROR(INDEX('Pokemon Data'!A:A,MATCH($A83,'Pokemon Data'!$B:$B,0)),"")</f>
        <v>55</v>
      </c>
      <c r="M83" s="34">
        <f>IFERROR(INDEX('Pokemon Data'!I:I,MATCH($A83,'Pokemon Data'!$B:$B,0)),"")</f>
        <v>160</v>
      </c>
      <c r="N83" s="34">
        <f>IFERROR(INDEX('Pokemon Data'!J:J,MATCH($A83,'Pokemon Data'!$B:$B,0)),"")</f>
        <v>191</v>
      </c>
      <c r="O83" s="34">
        <f>IFERROR(INDEX('Pokemon Data'!K:K,MATCH($A83,'Pokemon Data'!$B:$B,0)),"")</f>
        <v>163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37"/>
        <v>19</v>
      </c>
      <c r="S83" s="37">
        <f t="shared" si="38"/>
        <v>15</v>
      </c>
      <c r="T83" s="38">
        <f t="shared" si="39"/>
        <v>1447622042.1307545</v>
      </c>
      <c r="U83" s="38">
        <f t="shared" si="40"/>
        <v>1449867287.3027632</v>
      </c>
      <c r="V83" s="38" t="b">
        <f t="shared" si="41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19.5</v>
      </c>
      <c r="AI83" s="36">
        <f>IFERROR(INDEX('Level Multipliers'!$D:$D,MATCH(AH83,'Level Multipliers'!$A:$A,0)),"")</f>
        <v>1.6952373266621776</v>
      </c>
      <c r="AJ83" s="37">
        <f t="shared" si="43"/>
        <v>17</v>
      </c>
      <c r="AK83" s="37">
        <f t="shared" si="44"/>
        <v>15</v>
      </c>
      <c r="AL83" s="38">
        <f t="shared" si="45"/>
        <v>1374362972.169034</v>
      </c>
      <c r="AM83" s="38">
        <f t="shared" si="46"/>
        <v>1376494593.3643758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20</v>
      </c>
      <c r="BA83" s="36">
        <f>IFERROR(INDEX('Level Multipliers'!$D:$D,MATCH(AZ83,'Level Multipliers'!$A:$A,0)),"")</f>
        <v>1.6739202944034379</v>
      </c>
      <c r="BB83" s="37">
        <f t="shared" si="49"/>
        <v>15</v>
      </c>
      <c r="BC83" s="37">
        <f t="shared" si="50"/>
        <v>15</v>
      </c>
      <c r="BD83" s="38">
        <f t="shared" si="51"/>
        <v>1306527392.4727018</v>
      </c>
      <c r="BE83" s="38">
        <f t="shared" si="52"/>
        <v>1308553801.4625294</v>
      </c>
      <c r="BF83" s="38" t="b">
        <f t="shared" si="53"/>
        <v>0</v>
      </c>
      <c r="BG83" s="37">
        <f t="array" ref="BG83:BQ83">IF(BF83,"",IVSolution($M83,$N83,$O83,BB83,BC83,BD83,BE83,$E83,$F83,$G83,$H83,$I83))</f>
        <v>1</v>
      </c>
      <c r="BH83" s="37">
        <v>43</v>
      </c>
      <c r="BI83" s="37">
        <v>43</v>
      </c>
      <c r="BJ83" s="39">
        <v>0.9555555555555556</v>
      </c>
      <c r="BK83" s="39">
        <v>0.9555555555555556</v>
      </c>
      <c r="BL83" s="37">
        <v>15</v>
      </c>
      <c r="BM83" s="37">
        <v>15</v>
      </c>
      <c r="BN83" s="37">
        <v>15</v>
      </c>
      <c r="BO83" s="37">
        <v>15</v>
      </c>
      <c r="BP83" s="37">
        <v>13</v>
      </c>
      <c r="BQ83" s="37">
        <v>13</v>
      </c>
      <c r="BR83" s="40">
        <f t="shared" si="54"/>
        <v>20.5</v>
      </c>
      <c r="BS83" s="36">
        <f>IFERROR(INDEX('Level Multipliers'!$D:$D,MATCH(BR83,'Level Multipliers'!$A:$A,0)),"")</f>
        <v>1.6533745038028393</v>
      </c>
      <c r="BT83" s="37">
        <f t="shared" si="55"/>
        <v>12</v>
      </c>
      <c r="BU83" s="37">
        <f t="shared" si="56"/>
        <v>13</v>
      </c>
      <c r="BV83" s="38">
        <f t="shared" si="57"/>
        <v>1243553188.7426951</v>
      </c>
      <c r="BW83" s="38">
        <f t="shared" si="58"/>
        <v>1245481925.4653349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60"/>
        <v>20</v>
      </c>
      <c r="CK83" s="41">
        <f t="shared" si="61"/>
        <v>20</v>
      </c>
      <c r="CL83" s="66">
        <f t="shared" si="62"/>
        <v>0.9555555555555556</v>
      </c>
      <c r="CM83" s="39">
        <f t="shared" si="63"/>
        <v>0.9555555555555556</v>
      </c>
      <c r="CN83" s="39">
        <f t="shared" si="64"/>
        <v>0.9555555555555556</v>
      </c>
      <c r="CO83" s="42">
        <f t="shared" si="65"/>
        <v>15</v>
      </c>
      <c r="CP83" s="42">
        <f t="shared" si="66"/>
        <v>15</v>
      </c>
      <c r="CQ83" s="42">
        <f t="shared" si="67"/>
        <v>15</v>
      </c>
      <c r="CR83" s="42">
        <f t="shared" si="68"/>
        <v>15</v>
      </c>
      <c r="CS83" s="42">
        <f t="shared" si="69"/>
        <v>13</v>
      </c>
      <c r="CT83" s="42">
        <f t="shared" si="70"/>
        <v>13</v>
      </c>
      <c r="CU83" s="43">
        <f t="shared" si="71"/>
        <v>15</v>
      </c>
      <c r="CV83" s="43">
        <f t="shared" si="72"/>
        <v>15</v>
      </c>
      <c r="CW83" s="43">
        <f t="shared" si="73"/>
        <v>13</v>
      </c>
      <c r="CX83" s="13" t="s">
        <v>422</v>
      </c>
    </row>
    <row r="84" spans="1:102" x14ac:dyDescent="0.25">
      <c r="A84" s="31" t="s">
        <v>89</v>
      </c>
      <c r="B84" s="13">
        <v>806</v>
      </c>
      <c r="C84" s="13">
        <v>71</v>
      </c>
      <c r="D84" s="13">
        <v>16</v>
      </c>
      <c r="E84" s="32" t="s">
        <v>2</v>
      </c>
      <c r="F84" s="32">
        <v>1</v>
      </c>
      <c r="G84" s="32"/>
      <c r="H84" s="32"/>
      <c r="I84" s="32" t="s">
        <v>2</v>
      </c>
      <c r="J84" s="13"/>
      <c r="K84" s="33"/>
      <c r="L84" s="34">
        <f>IFERROR(INDEX('Pokemon Data'!A:A,MATCH($A84,'Pokemon Data'!$B:$B,0)),"")</f>
        <v>57</v>
      </c>
      <c r="M84" s="34">
        <f>IFERROR(INDEX('Pokemon Data'!I:I,MATCH($A84,'Pokemon Data'!$B:$B,0)),"")</f>
        <v>130</v>
      </c>
      <c r="N84" s="34">
        <f>IFERROR(INDEX('Pokemon Data'!J:J,MATCH($A84,'Pokemon Data'!$B:$B,0)),"")</f>
        <v>207</v>
      </c>
      <c r="O84" s="34">
        <f>IFERROR(INDEX('Pokemon Data'!K:K,MATCH($A84,'Pokemon Data'!$B:$B,0)),"")</f>
        <v>144</v>
      </c>
      <c r="P84" s="35">
        <f>IFERROR(INDEX('Level Multipliers'!$A:$A,MATCH($D84,'Level Multipliers'!$B:$B,0)),"")</f>
        <v>13</v>
      </c>
      <c r="Q84" s="36">
        <f>IFERROR(INDEX('Level Multipliers'!$D:$D,MATCH(P84,'Level Multipliers'!$A:$A,0)),"")</f>
        <v>2.0760457511183974</v>
      </c>
      <c r="R84" s="37">
        <f t="shared" si="37"/>
        <v>18</v>
      </c>
      <c r="S84" s="37">
        <f t="shared" si="38"/>
        <v>15</v>
      </c>
      <c r="T84" s="38">
        <f t="shared" si="39"/>
        <v>1206751268.5165043</v>
      </c>
      <c r="U84" s="38">
        <f t="shared" si="40"/>
        <v>1209747546.1182954</v>
      </c>
      <c r="V84" s="38" t="b">
        <f t="shared" si="41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2"/>
        <v>13.5</v>
      </c>
      <c r="AI84" s="36">
        <f>IFERROR(INDEX('Level Multipliers'!$D:$D,MATCH(AH84,'Level Multipliers'!$A:$A,0)),"")</f>
        <v>2.0372581629338091</v>
      </c>
      <c r="AJ84" s="37">
        <f t="shared" si="43"/>
        <v>15</v>
      </c>
      <c r="AK84" s="37">
        <f t="shared" si="44"/>
        <v>15</v>
      </c>
      <c r="AL84" s="38">
        <f t="shared" si="45"/>
        <v>1119062519.0722442</v>
      </c>
      <c r="AM84" s="38">
        <f t="shared" si="46"/>
        <v>1121841071.7436843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14</v>
      </c>
      <c r="BA84" s="36">
        <f>IFERROR(INDEX('Level Multipliers'!$D:$D,MATCH(AZ84,'Level Multipliers'!$A:$A,0)),"")</f>
        <v>2.0005664044869746</v>
      </c>
      <c r="BB84" s="37">
        <f t="shared" si="49"/>
        <v>13</v>
      </c>
      <c r="BC84" s="37">
        <f t="shared" si="50"/>
        <v>14</v>
      </c>
      <c r="BD84" s="38">
        <f t="shared" si="51"/>
        <v>1040595561.869048</v>
      </c>
      <c r="BE84" s="38">
        <f t="shared" si="52"/>
        <v>1043179286.6646178</v>
      </c>
      <c r="BF84" s="38" t="b">
        <f t="shared" si="53"/>
        <v>0</v>
      </c>
      <c r="BG84" s="37">
        <f t="array" ref="BG84:BQ84">IF(BF84,"",IVSolution($M84,$N84,$O84,BB84,BC84,BD84,BE84,$E84,$F84,$G84,$H84,$I84))</f>
        <v>4</v>
      </c>
      <c r="BH84" s="37">
        <v>33</v>
      </c>
      <c r="BI84" s="37">
        <v>34</v>
      </c>
      <c r="BJ84" s="39">
        <v>0.73333333333333328</v>
      </c>
      <c r="BK84" s="39">
        <v>0.75555555555555554</v>
      </c>
      <c r="BL84" s="37">
        <v>13</v>
      </c>
      <c r="BM84" s="37">
        <v>14</v>
      </c>
      <c r="BN84" s="37">
        <v>9</v>
      </c>
      <c r="BO84" s="37">
        <v>12</v>
      </c>
      <c r="BP84" s="37">
        <v>7</v>
      </c>
      <c r="BQ84" s="37">
        <v>12</v>
      </c>
      <c r="BR84" s="40">
        <f t="shared" si="54"/>
        <v>14.5</v>
      </c>
      <c r="BS84" s="36">
        <f>IFERROR(INDEX('Level Multipliers'!$D:$D,MATCH(BR84,'Level Multipliers'!$A:$A,0)),"")</f>
        <v>1.9657884055662767</v>
      </c>
      <c r="BT84" s="37">
        <f t="shared" si="55"/>
        <v>10</v>
      </c>
      <c r="BU84" s="37">
        <f t="shared" si="56"/>
        <v>11</v>
      </c>
      <c r="BV84" s="38">
        <f t="shared" si="57"/>
        <v>970101465.14907885</v>
      </c>
      <c r="BW84" s="38">
        <f t="shared" si="58"/>
        <v>972510158.11450183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60"/>
        <v>14</v>
      </c>
      <c r="CK84" s="41">
        <f t="shared" si="61"/>
        <v>14</v>
      </c>
      <c r="CL84" s="66">
        <f t="shared" si="62"/>
        <v>0.74444444444444446</v>
      </c>
      <c r="CM84" s="39">
        <f t="shared" si="63"/>
        <v>0.73333333333333328</v>
      </c>
      <c r="CN84" s="39">
        <f t="shared" si="64"/>
        <v>0.75555555555555554</v>
      </c>
      <c r="CO84" s="42">
        <f t="shared" si="65"/>
        <v>13</v>
      </c>
      <c r="CP84" s="42">
        <f t="shared" si="66"/>
        <v>14</v>
      </c>
      <c r="CQ84" s="42">
        <f t="shared" si="67"/>
        <v>9</v>
      </c>
      <c r="CR84" s="42">
        <f t="shared" si="68"/>
        <v>12</v>
      </c>
      <c r="CS84" s="42">
        <f t="shared" si="69"/>
        <v>7</v>
      </c>
      <c r="CT84" s="42">
        <f t="shared" si="70"/>
        <v>12</v>
      </c>
      <c r="CU84" s="43" t="str">
        <f t="shared" si="71"/>
        <v>13-14</v>
      </c>
      <c r="CV84" s="43" t="str">
        <f t="shared" si="72"/>
        <v>9-12</v>
      </c>
      <c r="CW84" s="43" t="str">
        <f t="shared" si="73"/>
        <v>7-12</v>
      </c>
      <c r="CX84" s="13" t="s">
        <v>429</v>
      </c>
    </row>
    <row r="85" spans="1:102" x14ac:dyDescent="0.25">
      <c r="A85" s="31" t="s">
        <v>91</v>
      </c>
      <c r="B85" s="13">
        <v>618</v>
      </c>
      <c r="C85" s="13">
        <v>72</v>
      </c>
      <c r="D85" s="13">
        <v>25</v>
      </c>
      <c r="E85" s="32" t="s">
        <v>0</v>
      </c>
      <c r="F85" s="32"/>
      <c r="G85" s="32">
        <v>1</v>
      </c>
      <c r="H85" s="32"/>
      <c r="I85" s="32" t="s">
        <v>0</v>
      </c>
      <c r="J85" s="13"/>
      <c r="K85" s="33"/>
      <c r="L85" s="34">
        <f>IFERROR(INDEX('Pokemon Data'!A:A,MATCH($A85,'Pokemon Data'!$B:$B,0)),"")</f>
        <v>58</v>
      </c>
      <c r="M85" s="34">
        <f>IFERROR(INDEX('Pokemon Data'!I:I,MATCH($A85,'Pokemon Data'!$B:$B,0)),"")</f>
        <v>110</v>
      </c>
      <c r="N85" s="34">
        <f>IFERROR(INDEX('Pokemon Data'!J:J,MATCH($A85,'Pokemon Data'!$B:$B,0)),"")</f>
        <v>136</v>
      </c>
      <c r="O85" s="34">
        <f>IFERROR(INDEX('Pokemon Data'!K:K,MATCH($A85,'Pokemon Data'!$B:$B,0)),"")</f>
        <v>96</v>
      </c>
      <c r="P85" s="35">
        <f>IFERROR(INDEX('Level Multipliers'!$A:$A,MATCH($D85,'Level Multipliers'!$B:$B,0)),"")</f>
        <v>19</v>
      </c>
      <c r="Q85" s="36">
        <f>IFERROR(INDEX('Level Multipliers'!$D:$D,MATCH(P85,'Level Multipliers'!$A:$A,0)),"")</f>
        <v>1.7173900470456649</v>
      </c>
      <c r="R85" s="37">
        <f t="shared" si="37"/>
        <v>14</v>
      </c>
      <c r="S85" s="37">
        <f t="shared" si="38"/>
        <v>15</v>
      </c>
      <c r="T85" s="38">
        <f t="shared" si="39"/>
        <v>332240611.03223741</v>
      </c>
      <c r="U85" s="38">
        <f t="shared" si="40"/>
        <v>333316693.27856624</v>
      </c>
      <c r="V85" s="38" t="b">
        <f t="shared" si="41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19.5</v>
      </c>
      <c r="AI85" s="36">
        <f>IFERROR(INDEX('Level Multipliers'!$D:$D,MATCH(AH85,'Level Multipliers'!$A:$A,0)),"")</f>
        <v>1.6952373266621776</v>
      </c>
      <c r="AJ85" s="37">
        <f t="shared" si="43"/>
        <v>13</v>
      </c>
      <c r="AK85" s="37">
        <f t="shared" si="44"/>
        <v>13</v>
      </c>
      <c r="AL85" s="38">
        <f t="shared" si="45"/>
        <v>315427079.9727698</v>
      </c>
      <c r="AM85" s="38">
        <f t="shared" si="46"/>
        <v>316448705.47398549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20</v>
      </c>
      <c r="BA85" s="36">
        <f>IFERROR(INDEX('Level Multipliers'!$D:$D,MATCH(AZ85,'Level Multipliers'!$A:$A,0)),"")</f>
        <v>1.6739202944034379</v>
      </c>
      <c r="BB85" s="37">
        <f t="shared" si="49"/>
        <v>11</v>
      </c>
      <c r="BC85" s="37">
        <f t="shared" si="50"/>
        <v>12</v>
      </c>
      <c r="BD85" s="38">
        <f t="shared" si="51"/>
        <v>299858282.4606359</v>
      </c>
      <c r="BE85" s="38">
        <f t="shared" si="52"/>
        <v>300829482.73975897</v>
      </c>
      <c r="BF85" s="38" t="b">
        <f t="shared" si="53"/>
        <v>0</v>
      </c>
      <c r="BG85" s="37">
        <f t="array" ref="BG85:BQ85">IF(BF85,"",IVSolution($M85,$N85,$O85,BB85,BC85,BD85,BE85,$E85,$F85,$G85,$H85,$I85))</f>
        <v>2</v>
      </c>
      <c r="BH85" s="37">
        <v>39</v>
      </c>
      <c r="BI85" s="37">
        <v>39</v>
      </c>
      <c r="BJ85" s="39">
        <v>0.8666666666666667</v>
      </c>
      <c r="BK85" s="39">
        <v>0.8666666666666667</v>
      </c>
      <c r="BL85" s="37">
        <v>11</v>
      </c>
      <c r="BM85" s="37">
        <v>12</v>
      </c>
      <c r="BN85" s="37">
        <v>15</v>
      </c>
      <c r="BO85" s="37">
        <v>15</v>
      </c>
      <c r="BP85" s="37">
        <v>12</v>
      </c>
      <c r="BQ85" s="37">
        <v>13</v>
      </c>
      <c r="BR85" s="40">
        <f t="shared" si="54"/>
        <v>20.5</v>
      </c>
      <c r="BS85" s="36">
        <f>IFERROR(INDEX('Level Multipliers'!$D:$D,MATCH(BR85,'Level Multipliers'!$A:$A,0)),"")</f>
        <v>1.6533745038028393</v>
      </c>
      <c r="BT85" s="37">
        <f t="shared" si="55"/>
        <v>10</v>
      </c>
      <c r="BU85" s="37">
        <f t="shared" si="56"/>
        <v>10</v>
      </c>
      <c r="BV85" s="38">
        <f t="shared" si="57"/>
        <v>285405208.85605735</v>
      </c>
      <c r="BW85" s="38">
        <f t="shared" si="58"/>
        <v>286329597.5913946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60"/>
        <v>20</v>
      </c>
      <c r="CK85" s="41">
        <f t="shared" si="61"/>
        <v>20</v>
      </c>
      <c r="CL85" s="66">
        <f t="shared" si="62"/>
        <v>0.8666666666666667</v>
      </c>
      <c r="CM85" s="39">
        <f t="shared" si="63"/>
        <v>0.8666666666666667</v>
      </c>
      <c r="CN85" s="39">
        <f t="shared" si="64"/>
        <v>0.8666666666666667</v>
      </c>
      <c r="CO85" s="42">
        <f t="shared" si="65"/>
        <v>11</v>
      </c>
      <c r="CP85" s="42">
        <f t="shared" si="66"/>
        <v>12</v>
      </c>
      <c r="CQ85" s="42">
        <f t="shared" si="67"/>
        <v>15</v>
      </c>
      <c r="CR85" s="42">
        <f t="shared" si="68"/>
        <v>15</v>
      </c>
      <c r="CS85" s="42">
        <f t="shared" si="69"/>
        <v>12</v>
      </c>
      <c r="CT85" s="42">
        <f t="shared" si="70"/>
        <v>13</v>
      </c>
      <c r="CU85" s="43" t="str">
        <f t="shared" si="71"/>
        <v>11-12</v>
      </c>
      <c r="CV85" s="43">
        <f t="shared" si="72"/>
        <v>15</v>
      </c>
      <c r="CW85" s="43" t="str">
        <f t="shared" si="73"/>
        <v>12-13</v>
      </c>
      <c r="CX85" s="13"/>
    </row>
    <row r="86" spans="1:102" x14ac:dyDescent="0.25">
      <c r="A86" s="31" t="s">
        <v>92</v>
      </c>
      <c r="B86" s="13">
        <v>1590</v>
      </c>
      <c r="C86" s="13">
        <v>113</v>
      </c>
      <c r="D86" s="13">
        <v>25</v>
      </c>
      <c r="E86" s="32" t="s">
        <v>0</v>
      </c>
      <c r="F86" s="32"/>
      <c r="G86" s="32">
        <v>1</v>
      </c>
      <c r="H86" s="32">
        <v>1</v>
      </c>
      <c r="I86" s="32" t="s">
        <v>2</v>
      </c>
      <c r="J86" s="13"/>
      <c r="K86" s="33"/>
      <c r="L86" s="34">
        <f>IFERROR(INDEX('Pokemon Data'!A:A,MATCH($A86,'Pokemon Data'!$B:$B,0)),"")</f>
        <v>59</v>
      </c>
      <c r="M86" s="34">
        <f>IFERROR(INDEX('Pokemon Data'!I:I,MATCH($A86,'Pokemon Data'!$B:$B,0)),"")</f>
        <v>180</v>
      </c>
      <c r="N86" s="34">
        <f>IFERROR(INDEX('Pokemon Data'!J:J,MATCH($A86,'Pokemon Data'!$B:$B,0)),"")</f>
        <v>227</v>
      </c>
      <c r="O86" s="34">
        <f>IFERROR(INDEX('Pokemon Data'!K:K,MATCH($A86,'Pokemon Data'!$B:$B,0)),"")</f>
        <v>166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37"/>
        <v>15</v>
      </c>
      <c r="S86" s="37">
        <f t="shared" si="38"/>
        <v>15</v>
      </c>
      <c r="T86" s="38">
        <f t="shared" si="39"/>
        <v>2199226780.0677605</v>
      </c>
      <c r="U86" s="38">
        <f t="shared" si="40"/>
        <v>2201993972.9744477</v>
      </c>
      <c r="V86" s="38" t="b">
        <f t="shared" si="41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2"/>
        <v>19.5</v>
      </c>
      <c r="AI86" s="36">
        <f>IFERROR(INDEX('Level Multipliers'!$D:$D,MATCH(AH86,'Level Multipliers'!$A:$A,0)),"")</f>
        <v>1.6952373266621776</v>
      </c>
      <c r="AJ86" s="37">
        <f t="shared" si="43"/>
        <v>12</v>
      </c>
      <c r="AK86" s="37">
        <f t="shared" si="44"/>
        <v>13</v>
      </c>
      <c r="AL86" s="38">
        <f t="shared" si="45"/>
        <v>2087931632.6786461</v>
      </c>
      <c r="AM86" s="38">
        <f t="shared" si="46"/>
        <v>2090558787.6660085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20</v>
      </c>
      <c r="BA86" s="36">
        <f>IFERROR(INDEX('Level Multipliers'!$D:$D,MATCH(AZ86,'Level Multipliers'!$A:$A,0)),"")</f>
        <v>1.6739202944034379</v>
      </c>
      <c r="BB86" s="37">
        <f t="shared" si="49"/>
        <v>10</v>
      </c>
      <c r="BC86" s="37">
        <f t="shared" si="50"/>
        <v>10</v>
      </c>
      <c r="BD86" s="38">
        <f t="shared" si="51"/>
        <v>1984875849.3541479</v>
      </c>
      <c r="BE86" s="38">
        <f t="shared" si="52"/>
        <v>1987373333.6612542</v>
      </c>
      <c r="BF86" s="38" t="b">
        <f t="shared" si="53"/>
        <v>0</v>
      </c>
      <c r="BG86" s="37">
        <f t="array" ref="BG86:BQ86">IF(BF86,"",IVSolution($M86,$N86,$O86,BB86,BC86,BD86,BE86,$E86,$F86,$G86,$H86,$I86))</f>
        <v>1</v>
      </c>
      <c r="BH86" s="37">
        <v>38</v>
      </c>
      <c r="BI86" s="37">
        <v>38</v>
      </c>
      <c r="BJ86" s="39">
        <v>0.84444444444444444</v>
      </c>
      <c r="BK86" s="39">
        <v>0.84444444444444444</v>
      </c>
      <c r="BL86" s="37">
        <v>10</v>
      </c>
      <c r="BM86" s="37">
        <v>10</v>
      </c>
      <c r="BN86" s="37">
        <v>14</v>
      </c>
      <c r="BO86" s="37">
        <v>14</v>
      </c>
      <c r="BP86" s="37">
        <v>14</v>
      </c>
      <c r="BQ86" s="37">
        <v>14</v>
      </c>
      <c r="BR86" s="40">
        <f t="shared" si="54"/>
        <v>20.5</v>
      </c>
      <c r="BS86" s="36">
        <f>IFERROR(INDEX('Level Multipliers'!$D:$D,MATCH(BR86,'Level Multipliers'!$A:$A,0)),"")</f>
        <v>1.6533745038028393</v>
      </c>
      <c r="BT86" s="37">
        <f t="shared" si="55"/>
        <v>7</v>
      </c>
      <c r="BU86" s="37">
        <f t="shared" si="56"/>
        <v>8</v>
      </c>
      <c r="BV86" s="38">
        <f t="shared" si="57"/>
        <v>1889205466.2943377</v>
      </c>
      <c r="BW86" s="38">
        <f t="shared" si="58"/>
        <v>1891582572.6541662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60"/>
        <v>20</v>
      </c>
      <c r="CK86" s="41">
        <f t="shared" si="61"/>
        <v>20</v>
      </c>
      <c r="CL86" s="66">
        <f t="shared" si="62"/>
        <v>0.84444444444444444</v>
      </c>
      <c r="CM86" s="39">
        <f t="shared" si="63"/>
        <v>0.84444444444444444</v>
      </c>
      <c r="CN86" s="39">
        <f t="shared" si="64"/>
        <v>0.84444444444444444</v>
      </c>
      <c r="CO86" s="42">
        <f t="shared" si="65"/>
        <v>10</v>
      </c>
      <c r="CP86" s="42">
        <f t="shared" si="66"/>
        <v>10</v>
      </c>
      <c r="CQ86" s="42">
        <f t="shared" si="67"/>
        <v>14</v>
      </c>
      <c r="CR86" s="42">
        <f t="shared" si="68"/>
        <v>14</v>
      </c>
      <c r="CS86" s="42">
        <f t="shared" si="69"/>
        <v>14</v>
      </c>
      <c r="CT86" s="42">
        <f t="shared" si="70"/>
        <v>14</v>
      </c>
      <c r="CU86" s="43">
        <f t="shared" si="71"/>
        <v>10</v>
      </c>
      <c r="CV86" s="43">
        <f t="shared" si="72"/>
        <v>14</v>
      </c>
      <c r="CW86" s="43">
        <f t="shared" si="73"/>
        <v>14</v>
      </c>
      <c r="CX86" s="13" t="s">
        <v>430</v>
      </c>
    </row>
    <row r="87" spans="1:102" x14ac:dyDescent="0.25">
      <c r="A87" s="31" t="s">
        <v>93</v>
      </c>
      <c r="B87" s="13">
        <v>549</v>
      </c>
      <c r="C87" s="13">
        <v>66</v>
      </c>
      <c r="D87" s="13">
        <v>50</v>
      </c>
      <c r="E87" s="32" t="s">
        <v>0</v>
      </c>
      <c r="F87" s="32"/>
      <c r="G87" s="32"/>
      <c r="H87" s="32">
        <v>1</v>
      </c>
      <c r="I87" s="32" t="s">
        <v>2</v>
      </c>
      <c r="J87" s="13"/>
      <c r="K87" s="33">
        <v>29</v>
      </c>
      <c r="L87" s="34">
        <f>IFERROR(INDEX('Pokemon Data'!A:A,MATCH($A87,'Pokemon Data'!$B:$B,0)),"")</f>
        <v>60</v>
      </c>
      <c r="M87" s="34">
        <f>IFERROR(INDEX('Pokemon Data'!I:I,MATCH($A87,'Pokemon Data'!$B:$B,0)),"")</f>
        <v>80</v>
      </c>
      <c r="N87" s="34">
        <f>IFERROR(INDEX('Pokemon Data'!J:J,MATCH($A87,'Pokemon Data'!$B:$B,0)),"")</f>
        <v>101</v>
      </c>
      <c r="O87" s="34">
        <f>IFERROR(INDEX('Pokemon Data'!K:K,MATCH($A87,'Pokemon Data'!$B:$B,0)),"")</f>
        <v>82</v>
      </c>
      <c r="P87" s="35">
        <f>IFERROR(INDEX('Level Multipliers'!$A:$A,MATCH($D87,'Level Multipliers'!$B:$B,0)),"")</f>
        <v>29</v>
      </c>
      <c r="Q87" s="36">
        <f>IFERROR(INDEX('Level Multipliers'!$D:$D,MATCH(P87,'Level Multipliers'!$A:$A,0)),"")</f>
        <v>1.3900490110869419</v>
      </c>
      <c r="R87" s="37">
        <f t="shared" si="37"/>
        <v>12</v>
      </c>
      <c r="S87" s="37">
        <f t="shared" si="38"/>
        <v>13</v>
      </c>
      <c r="T87" s="38">
        <f t="shared" si="39"/>
        <v>112529176.67322069</v>
      </c>
      <c r="U87" s="38">
        <f t="shared" si="40"/>
        <v>112939492.38273682</v>
      </c>
      <c r="V87" s="38" t="b">
        <f t="shared" si="41"/>
        <v>0</v>
      </c>
      <c r="W87" s="37">
        <f t="array" ref="W87:AG87">IF(V87,"",IVSolution($M87,$N87,$O87,R87,S87,T87,U87,$E87,$F87,$G87,$H87,$I87))</f>
        <v>1</v>
      </c>
      <c r="X87" s="37">
        <v>38</v>
      </c>
      <c r="Y87" s="37">
        <v>38</v>
      </c>
      <c r="Z87" s="39">
        <v>0.84444444444444444</v>
      </c>
      <c r="AA87" s="39">
        <v>0.84444444444444444</v>
      </c>
      <c r="AB87" s="37">
        <v>12</v>
      </c>
      <c r="AC87" s="37">
        <v>12</v>
      </c>
      <c r="AD87" s="37">
        <v>12</v>
      </c>
      <c r="AE87" s="37">
        <v>12</v>
      </c>
      <c r="AF87" s="37">
        <v>14</v>
      </c>
      <c r="AG87" s="37">
        <v>14</v>
      </c>
      <c r="AH87" s="40">
        <f t="shared" si="42"/>
        <v>29.5</v>
      </c>
      <c r="AI87" s="36">
        <f>IFERROR(INDEX('Level Multipliers'!$D:$D,MATCH(AH87,'Level Multipliers'!$A:$A,0)),"")</f>
        <v>1.3782161611191808</v>
      </c>
      <c r="AJ87" s="37">
        <f t="shared" si="43"/>
        <v>11</v>
      </c>
      <c r="AK87" s="37">
        <f t="shared" si="44"/>
        <v>12</v>
      </c>
      <c r="AL87" s="38">
        <f t="shared" si="45"/>
        <v>108746187.89723936</v>
      </c>
      <c r="AM87" s="38">
        <f t="shared" si="46"/>
        <v>109142709.67553163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30</v>
      </c>
      <c r="BA87" s="36">
        <f>IFERROR(INDEX('Level Multipliers'!$D:$D,MATCH(AZ87,'Level Multipliers'!$A:$A,0)),"")</f>
        <v>1.3666803275917536</v>
      </c>
      <c r="BB87" s="37">
        <f t="shared" si="49"/>
        <v>11</v>
      </c>
      <c r="BC87" s="37">
        <f t="shared" si="50"/>
        <v>11</v>
      </c>
      <c r="BD87" s="38">
        <f t="shared" si="51"/>
        <v>105150770.96875928</v>
      </c>
      <c r="BE87" s="38">
        <f t="shared" si="52"/>
        <v>105534182.76000969</v>
      </c>
      <c r="BF87" s="38" t="b">
        <f t="shared" si="53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4"/>
        <v>30.5</v>
      </c>
      <c r="BS87" s="36">
        <f>IFERROR(INDEX('Level Multipliers'!$D:$D,MATCH(BR87,'Level Multipliers'!$A:$A,0)),"")</f>
        <v>1.3610237451455012</v>
      </c>
      <c r="BT87" s="37">
        <f t="shared" si="55"/>
        <v>10</v>
      </c>
      <c r="BU87" s="37">
        <f t="shared" si="56"/>
        <v>11</v>
      </c>
      <c r="BV87" s="38">
        <f t="shared" si="57"/>
        <v>103420705.89482823</v>
      </c>
      <c r="BW87" s="38">
        <f t="shared" si="58"/>
        <v>103797809.34099601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60"/>
        <v>29</v>
      </c>
      <c r="CK87" s="41">
        <f t="shared" si="61"/>
        <v>29</v>
      </c>
      <c r="CL87" s="66">
        <f t="shared" si="62"/>
        <v>0.84444444444444444</v>
      </c>
      <c r="CM87" s="39">
        <f t="shared" si="63"/>
        <v>0.84444444444444444</v>
      </c>
      <c r="CN87" s="39">
        <f t="shared" si="64"/>
        <v>0.84444444444444444</v>
      </c>
      <c r="CO87" s="42">
        <f t="shared" si="65"/>
        <v>12</v>
      </c>
      <c r="CP87" s="42">
        <f t="shared" si="66"/>
        <v>12</v>
      </c>
      <c r="CQ87" s="42">
        <f t="shared" si="67"/>
        <v>12</v>
      </c>
      <c r="CR87" s="42">
        <f t="shared" si="68"/>
        <v>12</v>
      </c>
      <c r="CS87" s="42">
        <f t="shared" si="69"/>
        <v>14</v>
      </c>
      <c r="CT87" s="42">
        <f t="shared" si="70"/>
        <v>14</v>
      </c>
      <c r="CU87" s="43">
        <f t="shared" si="71"/>
        <v>12</v>
      </c>
      <c r="CV87" s="43">
        <f t="shared" si="72"/>
        <v>12</v>
      </c>
      <c r="CW87" s="43">
        <f t="shared" si="73"/>
        <v>14</v>
      </c>
      <c r="CX87" s="33"/>
    </row>
    <row r="88" spans="1:102" x14ac:dyDescent="0.25">
      <c r="A88" s="31" t="s">
        <v>93</v>
      </c>
      <c r="B88" s="13">
        <v>449</v>
      </c>
      <c r="C88" s="13">
        <v>60</v>
      </c>
      <c r="D88" s="13">
        <v>35</v>
      </c>
      <c r="E88" s="32" t="s">
        <v>2</v>
      </c>
      <c r="F88" s="32"/>
      <c r="G88" s="32">
        <v>1</v>
      </c>
      <c r="H88" s="32"/>
      <c r="I88" s="32" t="s">
        <v>0</v>
      </c>
      <c r="J88" s="13"/>
      <c r="K88" s="33">
        <v>24</v>
      </c>
      <c r="L88" s="34">
        <f>IFERROR(INDEX('Pokemon Data'!A:A,MATCH($A88,'Pokemon Data'!$B:$B,0)),"")</f>
        <v>60</v>
      </c>
      <c r="M88" s="34">
        <f>IFERROR(INDEX('Pokemon Data'!I:I,MATCH($A88,'Pokemon Data'!$B:$B,0)),"")</f>
        <v>80</v>
      </c>
      <c r="N88" s="34">
        <f>IFERROR(INDEX('Pokemon Data'!J:J,MATCH($A88,'Pokemon Data'!$B:$B,0)),"")</f>
        <v>101</v>
      </c>
      <c r="O88" s="34">
        <f>IFERROR(INDEX('Pokemon Data'!K:K,MATCH($A88,'Pokemon Data'!$B:$B,0)),"")</f>
        <v>82</v>
      </c>
      <c r="P88" s="35">
        <f>IFERROR(INDEX('Level Multipliers'!$A:$A,MATCH($D88,'Level Multipliers'!$B:$B,0)),"")</f>
        <v>23</v>
      </c>
      <c r="Q88" s="36">
        <f>IFERROR(INDEX('Level Multipliers'!$D:$D,MATCH(P88,'Level Multipliers'!$A:$A,0)),"")</f>
        <v>1.5609074973486676</v>
      </c>
      <c r="R88" s="37">
        <f t="shared" si="37"/>
        <v>14</v>
      </c>
      <c r="S88" s="37">
        <f t="shared" si="38"/>
        <v>15</v>
      </c>
      <c r="T88" s="38">
        <f t="shared" si="39"/>
        <v>119674424.72355217</v>
      </c>
      <c r="U88" s="38">
        <f t="shared" si="40"/>
        <v>120208089.27792677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23.5</v>
      </c>
      <c r="AI88" s="36">
        <f>IFERROR(INDEX('Level Multipliers'!$D:$D,MATCH(AH88,'Level Multipliers'!$A:$A,0)),"")</f>
        <v>1.5442084375315592</v>
      </c>
      <c r="AJ88" s="37">
        <f t="shared" si="43"/>
        <v>13</v>
      </c>
      <c r="AK88" s="37">
        <f t="shared" si="44"/>
        <v>14</v>
      </c>
      <c r="AL88" s="38">
        <f t="shared" si="45"/>
        <v>114634770.6503583</v>
      </c>
      <c r="AM88" s="38">
        <f t="shared" si="46"/>
        <v>115145961.85880801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24</v>
      </c>
      <c r="BA88" s="36">
        <f>IFERROR(INDEX('Level Multipliers'!$D:$D,MATCH(AZ88,'Level Multipliers'!$A:$A,0)),"")</f>
        <v>1.5280341520389438</v>
      </c>
      <c r="BB88" s="37">
        <f t="shared" si="49"/>
        <v>12</v>
      </c>
      <c r="BC88" s="37">
        <f t="shared" si="50"/>
        <v>13</v>
      </c>
      <c r="BD88" s="38">
        <f t="shared" si="51"/>
        <v>109906891.75057712</v>
      </c>
      <c r="BE88" s="38">
        <f t="shared" si="52"/>
        <v>110396999.91315453</v>
      </c>
      <c r="BF88" s="38" t="b">
        <f t="shared" si="53"/>
        <v>0</v>
      </c>
      <c r="BG88" s="37">
        <f t="array" ref="BG88:BQ88">IF(BF88,"",IVSolution($M88,$N88,$O88,BB88,BC88,BD88,BE88,$E88,$F88,$G88,$H88,$I88))</f>
        <v>2</v>
      </c>
      <c r="BH88" s="37">
        <v>34</v>
      </c>
      <c r="BI88" s="37">
        <v>34</v>
      </c>
      <c r="BJ88" s="39">
        <v>0.75555555555555554</v>
      </c>
      <c r="BK88" s="39">
        <v>0.75555555555555554</v>
      </c>
      <c r="BL88" s="37">
        <v>12</v>
      </c>
      <c r="BM88" s="37">
        <v>13</v>
      </c>
      <c r="BN88" s="37">
        <v>15</v>
      </c>
      <c r="BO88" s="37">
        <v>15</v>
      </c>
      <c r="BP88" s="37">
        <v>6</v>
      </c>
      <c r="BQ88" s="37">
        <v>7</v>
      </c>
      <c r="BR88" s="40">
        <f t="shared" si="54"/>
        <v>24.5</v>
      </c>
      <c r="BS88" s="36">
        <f>IFERROR(INDEX('Level Multipliers'!$D:$D,MATCH(BR88,'Level Multipliers'!$A:$A,0)),"")</f>
        <v>1.5123576273617088</v>
      </c>
      <c r="BT88" s="37">
        <f t="shared" si="55"/>
        <v>11</v>
      </c>
      <c r="BU88" s="37">
        <f t="shared" si="56"/>
        <v>12</v>
      </c>
      <c r="BV88" s="38">
        <f t="shared" si="57"/>
        <v>105465565.55530852</v>
      </c>
      <c r="BW88" s="38">
        <f t="shared" si="58"/>
        <v>105935868.49742797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60"/>
        <v>24</v>
      </c>
      <c r="CK88" s="41">
        <f t="shared" si="61"/>
        <v>24</v>
      </c>
      <c r="CL88" s="66">
        <f t="shared" si="62"/>
        <v>0.75555555555555554</v>
      </c>
      <c r="CM88" s="39">
        <f t="shared" si="63"/>
        <v>0.75555555555555554</v>
      </c>
      <c r="CN88" s="39">
        <f t="shared" si="64"/>
        <v>0.75555555555555554</v>
      </c>
      <c r="CO88" s="42">
        <f t="shared" si="65"/>
        <v>12</v>
      </c>
      <c r="CP88" s="42">
        <f t="shared" si="66"/>
        <v>13</v>
      </c>
      <c r="CQ88" s="42">
        <f t="shared" si="67"/>
        <v>15</v>
      </c>
      <c r="CR88" s="42">
        <f t="shared" si="68"/>
        <v>15</v>
      </c>
      <c r="CS88" s="42">
        <f t="shared" si="69"/>
        <v>6</v>
      </c>
      <c r="CT88" s="42">
        <f t="shared" si="70"/>
        <v>7</v>
      </c>
      <c r="CU88" s="43" t="str">
        <f t="shared" si="71"/>
        <v>12-13</v>
      </c>
      <c r="CV88" s="43">
        <f t="shared" si="72"/>
        <v>15</v>
      </c>
      <c r="CW88" s="43" t="str">
        <f t="shared" si="73"/>
        <v>6-7</v>
      </c>
      <c r="CX88" s="13" t="s">
        <v>395</v>
      </c>
    </row>
    <row r="89" spans="1:102" x14ac:dyDescent="0.25">
      <c r="A89" s="31" t="s">
        <v>93</v>
      </c>
      <c r="B89" s="13">
        <v>375</v>
      </c>
      <c r="C89" s="13">
        <v>56</v>
      </c>
      <c r="D89" s="13">
        <v>25</v>
      </c>
      <c r="E89" s="32" t="s">
        <v>2</v>
      </c>
      <c r="F89" s="32">
        <v>1</v>
      </c>
      <c r="G89" s="32"/>
      <c r="H89" s="32"/>
      <c r="I89" s="32" t="s">
        <v>2</v>
      </c>
      <c r="J89" s="13"/>
      <c r="K89" s="33"/>
      <c r="L89" s="34">
        <f>IFERROR(INDEX('Pokemon Data'!A:A,MATCH($A89,'Pokemon Data'!$B:$B,0)),"")</f>
        <v>60</v>
      </c>
      <c r="M89" s="34">
        <f>IFERROR(INDEX('Pokemon Data'!I:I,MATCH($A89,'Pokemon Data'!$B:$B,0)),"")</f>
        <v>80</v>
      </c>
      <c r="N89" s="34">
        <f>IFERROR(INDEX('Pokemon Data'!J:J,MATCH($A89,'Pokemon Data'!$B:$B,0)),"")</f>
        <v>101</v>
      </c>
      <c r="O89" s="34">
        <f>IFERROR(INDEX('Pokemon Data'!K:K,MATCH($A89,'Pokemon Data'!$B:$B,0)),"")</f>
        <v>82</v>
      </c>
      <c r="P89" s="35">
        <f>IFERROR(INDEX('Level Multipliers'!$A:$A,MATCH($D89,'Level Multipliers'!$B:$B,0)),"")</f>
        <v>19</v>
      </c>
      <c r="Q89" s="36">
        <f>IFERROR(INDEX('Level Multipliers'!$D:$D,MATCH(P89,'Level Multipliers'!$A:$A,0)),"")</f>
        <v>1.7173900470456649</v>
      </c>
      <c r="R89" s="37">
        <f t="shared" si="37"/>
        <v>17</v>
      </c>
      <c r="S89" s="37">
        <f t="shared" si="38"/>
        <v>15</v>
      </c>
      <c r="T89" s="38">
        <f t="shared" si="39"/>
        <v>122331500.31526792</v>
      </c>
      <c r="U89" s="38">
        <f t="shared" si="40"/>
        <v>122984804.89650716</v>
      </c>
      <c r="V89" s="38" t="b">
        <f t="shared" si="41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2"/>
        <v>19.5</v>
      </c>
      <c r="AI89" s="36">
        <f>IFERROR(INDEX('Level Multipliers'!$D:$D,MATCH(AH89,'Level Multipliers'!$A:$A,0)),"")</f>
        <v>1.6952373266621776</v>
      </c>
      <c r="AJ89" s="37">
        <f t="shared" si="43"/>
        <v>15</v>
      </c>
      <c r="AK89" s="37">
        <f t="shared" si="44"/>
        <v>15</v>
      </c>
      <c r="AL89" s="38">
        <f t="shared" si="45"/>
        <v>116140732.50481968</v>
      </c>
      <c r="AM89" s="38">
        <f t="shared" si="46"/>
        <v>116760975.63449875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20</v>
      </c>
      <c r="BA89" s="36">
        <f>IFERROR(INDEX('Level Multipliers'!$D:$D,MATCH(AZ89,'Level Multipliers'!$A:$A,0)),"")</f>
        <v>1.6739202944034379</v>
      </c>
      <c r="BB89" s="37">
        <f t="shared" si="49"/>
        <v>14</v>
      </c>
      <c r="BC89" s="37">
        <f t="shared" si="50"/>
        <v>15</v>
      </c>
      <c r="BD89" s="38">
        <f t="shared" si="51"/>
        <v>110408277.48721454</v>
      </c>
      <c r="BE89" s="38">
        <f t="shared" si="52"/>
        <v>110997906.75934181</v>
      </c>
      <c r="BF89" s="38" t="b">
        <f t="shared" si="53"/>
        <v>0</v>
      </c>
      <c r="BG89" s="37">
        <f t="array" ref="BG89:BQ89">IF(BF89,"",IVSolution($M89,$N89,$O89,BB89,BC89,BD89,BE89,$E89,$F89,$G89,$H89,$I89))</f>
        <v>1</v>
      </c>
      <c r="BH89" s="37">
        <v>36</v>
      </c>
      <c r="BI89" s="37">
        <v>36</v>
      </c>
      <c r="BJ89" s="39">
        <v>0.8</v>
      </c>
      <c r="BK89" s="39">
        <v>0.8</v>
      </c>
      <c r="BL89" s="37">
        <v>14</v>
      </c>
      <c r="BM89" s="37">
        <v>14</v>
      </c>
      <c r="BN89" s="37">
        <v>12</v>
      </c>
      <c r="BO89" s="37">
        <v>12</v>
      </c>
      <c r="BP89" s="37">
        <v>10</v>
      </c>
      <c r="BQ89" s="37">
        <v>10</v>
      </c>
      <c r="BR89" s="40">
        <f t="shared" si="54"/>
        <v>20.5</v>
      </c>
      <c r="BS89" s="36">
        <f>IFERROR(INDEX('Level Multipliers'!$D:$D,MATCH(BR89,'Level Multipliers'!$A:$A,0)),"")</f>
        <v>1.6533745038028393</v>
      </c>
      <c r="BT89" s="37">
        <f t="shared" si="55"/>
        <v>13</v>
      </c>
      <c r="BU89" s="37">
        <f t="shared" si="56"/>
        <v>14</v>
      </c>
      <c r="BV89" s="38">
        <f t="shared" si="57"/>
        <v>105086633.71608767</v>
      </c>
      <c r="BW89" s="38">
        <f t="shared" si="58"/>
        <v>105647843.04530212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60"/>
        <v>20</v>
      </c>
      <c r="CK89" s="41">
        <f t="shared" si="61"/>
        <v>20</v>
      </c>
      <c r="CL89" s="66">
        <f t="shared" si="62"/>
        <v>0.8</v>
      </c>
      <c r="CM89" s="39">
        <f t="shared" si="63"/>
        <v>0.8</v>
      </c>
      <c r="CN89" s="39">
        <f t="shared" si="64"/>
        <v>0.8</v>
      </c>
      <c r="CO89" s="42">
        <f t="shared" si="65"/>
        <v>14</v>
      </c>
      <c r="CP89" s="42">
        <f t="shared" si="66"/>
        <v>14</v>
      </c>
      <c r="CQ89" s="42">
        <f t="shared" si="67"/>
        <v>12</v>
      </c>
      <c r="CR89" s="42">
        <f t="shared" si="68"/>
        <v>12</v>
      </c>
      <c r="CS89" s="42">
        <f t="shared" si="69"/>
        <v>10</v>
      </c>
      <c r="CT89" s="42">
        <f t="shared" si="70"/>
        <v>10</v>
      </c>
      <c r="CU89" s="43">
        <f t="shared" si="71"/>
        <v>14</v>
      </c>
      <c r="CV89" s="43">
        <f t="shared" si="72"/>
        <v>12</v>
      </c>
      <c r="CW89" s="43">
        <f t="shared" si="73"/>
        <v>10</v>
      </c>
      <c r="CX89" s="13" t="s">
        <v>394</v>
      </c>
    </row>
    <row r="90" spans="1:102" x14ac:dyDescent="0.25">
      <c r="A90" s="31" t="s">
        <v>93</v>
      </c>
      <c r="B90" s="13">
        <v>374</v>
      </c>
      <c r="C90" s="13">
        <v>54</v>
      </c>
      <c r="D90" s="13">
        <v>25</v>
      </c>
      <c r="E90" s="32" t="s">
        <v>0</v>
      </c>
      <c r="F90" s="32"/>
      <c r="G90" s="32"/>
      <c r="H90" s="32">
        <v>1</v>
      </c>
      <c r="I90" s="32" t="s">
        <v>0</v>
      </c>
      <c r="J90" s="13"/>
      <c r="K90" s="33"/>
      <c r="L90" s="34">
        <f>IFERROR(INDEX('Pokemon Data'!A:A,MATCH($A90,'Pokemon Data'!$B:$B,0)),"")</f>
        <v>60</v>
      </c>
      <c r="M90" s="34">
        <f>IFERROR(INDEX('Pokemon Data'!I:I,MATCH($A90,'Pokemon Data'!$B:$B,0)),"")</f>
        <v>80</v>
      </c>
      <c r="N90" s="34">
        <f>IFERROR(INDEX('Pokemon Data'!J:J,MATCH($A90,'Pokemon Data'!$B:$B,0)),"")</f>
        <v>101</v>
      </c>
      <c r="O90" s="34">
        <f>IFERROR(INDEX('Pokemon Data'!K:K,MATCH($A90,'Pokemon Data'!$B:$B,0)),"")</f>
        <v>82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7"/>
        <v>13</v>
      </c>
      <c r="S90" s="37">
        <f t="shared" si="38"/>
        <v>14</v>
      </c>
      <c r="T90" s="38">
        <f t="shared" si="39"/>
        <v>121679935.55981097</v>
      </c>
      <c r="U90" s="38">
        <f t="shared" si="40"/>
        <v>122331500.31526792</v>
      </c>
      <c r="V90" s="38" t="b">
        <f t="shared" si="41"/>
        <v>0</v>
      </c>
      <c r="W90" s="37">
        <f t="array" ref="W90:AG90">IF(V90,"",IVSolution($M90,$N90,$O90,R90,S90,T90,U90,$E90,$F90,$G90,$H90,$I90))</f>
        <v>0</v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19.5</v>
      </c>
      <c r="AI90" s="36">
        <f>IFERROR(INDEX('Level Multipliers'!$D:$D,MATCH(AH90,'Level Multipliers'!$A:$A,0)),"")</f>
        <v>1.6952373266621776</v>
      </c>
      <c r="AJ90" s="37">
        <f t="shared" si="43"/>
        <v>12</v>
      </c>
      <c r="AK90" s="37">
        <f t="shared" si="44"/>
        <v>13</v>
      </c>
      <c r="AL90" s="38">
        <f t="shared" si="45"/>
        <v>115522141.15444733</v>
      </c>
      <c r="AM90" s="38">
        <f t="shared" si="46"/>
        <v>116140732.50481968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20</v>
      </c>
      <c r="BA90" s="36">
        <f>IFERROR(INDEX('Level Multipliers'!$D:$D,MATCH(AZ90,'Level Multipliers'!$A:$A,0)),"")</f>
        <v>1.6739202944034379</v>
      </c>
      <c r="BB90" s="37">
        <f t="shared" si="49"/>
        <v>11</v>
      </c>
      <c r="BC90" s="37">
        <f t="shared" si="50"/>
        <v>12</v>
      </c>
      <c r="BD90" s="38">
        <f t="shared" si="51"/>
        <v>109820218.46614484</v>
      </c>
      <c r="BE90" s="38">
        <f t="shared" si="52"/>
        <v>110408277.48721454</v>
      </c>
      <c r="BF90" s="38" t="b">
        <f t="shared" si="53"/>
        <v>0</v>
      </c>
      <c r="BG90" s="37">
        <f t="array" ref="BG90:BQ90">IF(BF90,"",IVSolution($M90,$N90,$O90,BB90,BC90,BD90,BE90,$E90,$F90,$G90,$H90,$I90))</f>
        <v>1</v>
      </c>
      <c r="BH90" s="37">
        <v>37</v>
      </c>
      <c r="BI90" s="37">
        <v>37</v>
      </c>
      <c r="BJ90" s="39">
        <v>0.82222222222222219</v>
      </c>
      <c r="BK90" s="39">
        <v>0.82222222222222219</v>
      </c>
      <c r="BL90" s="37">
        <v>12</v>
      </c>
      <c r="BM90" s="37">
        <v>12</v>
      </c>
      <c r="BN90" s="37">
        <v>10</v>
      </c>
      <c r="BO90" s="37">
        <v>10</v>
      </c>
      <c r="BP90" s="37">
        <v>15</v>
      </c>
      <c r="BQ90" s="37">
        <v>15</v>
      </c>
      <c r="BR90" s="40">
        <f t="shared" si="54"/>
        <v>20.5</v>
      </c>
      <c r="BS90" s="36">
        <f>IFERROR(INDEX('Level Multipliers'!$D:$D,MATCH(BR90,'Level Multipliers'!$A:$A,0)),"")</f>
        <v>1.6533745038028393</v>
      </c>
      <c r="BT90" s="37">
        <f t="shared" si="55"/>
        <v>10</v>
      </c>
      <c r="BU90" s="37">
        <f t="shared" si="56"/>
        <v>10</v>
      </c>
      <c r="BV90" s="38">
        <f t="shared" si="57"/>
        <v>104526918.95233051</v>
      </c>
      <c r="BW90" s="38">
        <f t="shared" si="58"/>
        <v>105086633.71608767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60"/>
        <v>20</v>
      </c>
      <c r="CK90" s="41">
        <f t="shared" si="61"/>
        <v>20</v>
      </c>
      <c r="CL90" s="66">
        <f t="shared" si="62"/>
        <v>0.82222222222222219</v>
      </c>
      <c r="CM90" s="39">
        <f t="shared" si="63"/>
        <v>0.82222222222222219</v>
      </c>
      <c r="CN90" s="39">
        <f t="shared" si="64"/>
        <v>0.82222222222222219</v>
      </c>
      <c r="CO90" s="42">
        <f t="shared" si="65"/>
        <v>12</v>
      </c>
      <c r="CP90" s="42">
        <f t="shared" si="66"/>
        <v>12</v>
      </c>
      <c r="CQ90" s="42">
        <f t="shared" si="67"/>
        <v>10</v>
      </c>
      <c r="CR90" s="42">
        <f t="shared" si="68"/>
        <v>10</v>
      </c>
      <c r="CS90" s="42">
        <f t="shared" si="69"/>
        <v>15</v>
      </c>
      <c r="CT90" s="42">
        <f t="shared" si="70"/>
        <v>15</v>
      </c>
      <c r="CU90" s="43">
        <f t="shared" si="71"/>
        <v>12</v>
      </c>
      <c r="CV90" s="43">
        <f t="shared" si="72"/>
        <v>10</v>
      </c>
      <c r="CW90" s="43">
        <f t="shared" si="73"/>
        <v>15</v>
      </c>
      <c r="CX90" s="13" t="s">
        <v>396</v>
      </c>
    </row>
    <row r="91" spans="1:102" x14ac:dyDescent="0.25">
      <c r="A91" s="31" t="s">
        <v>95</v>
      </c>
      <c r="B91" s="13">
        <v>1374</v>
      </c>
      <c r="C91" s="13">
        <v>116</v>
      </c>
      <c r="D91" s="13">
        <v>25</v>
      </c>
      <c r="E91" s="32" t="s">
        <v>0</v>
      </c>
      <c r="F91" s="32">
        <v>1</v>
      </c>
      <c r="G91" s="32"/>
      <c r="H91" s="32"/>
      <c r="I91" s="32" t="s">
        <v>0</v>
      </c>
      <c r="J91" s="13"/>
      <c r="K91" s="33"/>
      <c r="L91" s="34">
        <f>IFERROR(INDEX('Pokemon Data'!A:A,MATCH($A91,'Pokemon Data'!$B:$B,0)),"")</f>
        <v>62</v>
      </c>
      <c r="M91" s="34">
        <f>IFERROR(INDEX('Pokemon Data'!I:I,MATCH($A91,'Pokemon Data'!$B:$B,0)),"")</f>
        <v>180</v>
      </c>
      <c r="N91" s="34">
        <f>IFERROR(INDEX('Pokemon Data'!J:J,MATCH($A91,'Pokemon Data'!$B:$B,0)),"")</f>
        <v>182</v>
      </c>
      <c r="O91" s="34">
        <f>IFERROR(INDEX('Pokemon Data'!K:K,MATCH($A91,'Pokemon Data'!$B:$B,0)),"")</f>
        <v>187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37"/>
        <v>20</v>
      </c>
      <c r="S91" s="37">
        <f t="shared" si="38"/>
        <v>15</v>
      </c>
      <c r="T91" s="38">
        <f t="shared" si="39"/>
        <v>1642287669.2564392</v>
      </c>
      <c r="U91" s="38">
        <f t="shared" si="40"/>
        <v>1644679059.7941577</v>
      </c>
      <c r="V91" s="38" t="b">
        <f t="shared" si="41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2"/>
        <v>19.5</v>
      </c>
      <c r="AI91" s="36">
        <f>IFERROR(INDEX('Level Multipliers'!$D:$D,MATCH(AH91,'Level Multipliers'!$A:$A,0)),"")</f>
        <v>1.6952373266621776</v>
      </c>
      <c r="AJ91" s="37">
        <f t="shared" si="43"/>
        <v>17</v>
      </c>
      <c r="AK91" s="37">
        <f t="shared" si="44"/>
        <v>15</v>
      </c>
      <c r="AL91" s="38">
        <f t="shared" si="45"/>
        <v>1559177255.2410235</v>
      </c>
      <c r="AM91" s="38">
        <f t="shared" si="46"/>
        <v>1561447625.8981311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20</v>
      </c>
      <c r="BA91" s="36">
        <f>IFERROR(INDEX('Level Multipliers'!$D:$D,MATCH(AZ91,'Level Multipliers'!$A:$A,0)),"")</f>
        <v>1.6739202944034379</v>
      </c>
      <c r="BB91" s="37">
        <f t="shared" si="49"/>
        <v>15</v>
      </c>
      <c r="BC91" s="37">
        <f t="shared" si="50"/>
        <v>15</v>
      </c>
      <c r="BD91" s="38">
        <f t="shared" si="51"/>
        <v>1482219642.8049965</v>
      </c>
      <c r="BE91" s="38">
        <f t="shared" si="52"/>
        <v>1484377952.883662</v>
      </c>
      <c r="BF91" s="38" t="b">
        <f t="shared" si="53"/>
        <v>0</v>
      </c>
      <c r="BG91" s="37">
        <f t="array" ref="BG91:BQ91">IF(BF91,"",IVSolution($M91,$N91,$O91,BB91,BC91,BD91,BE91,$E91,$F91,$G91,$H91,$I91))</f>
        <v>2</v>
      </c>
      <c r="BH91" s="37">
        <v>40</v>
      </c>
      <c r="BI91" s="37">
        <v>41</v>
      </c>
      <c r="BJ91" s="39">
        <v>0.88888888888888884</v>
      </c>
      <c r="BK91" s="39">
        <v>0.91111111111111109</v>
      </c>
      <c r="BL91" s="37">
        <v>15</v>
      </c>
      <c r="BM91" s="37">
        <v>15</v>
      </c>
      <c r="BN91" s="37">
        <v>13</v>
      </c>
      <c r="BO91" s="37">
        <v>14</v>
      </c>
      <c r="BP91" s="37">
        <v>11</v>
      </c>
      <c r="BQ91" s="37">
        <v>13</v>
      </c>
      <c r="BR91" s="40">
        <f t="shared" si="54"/>
        <v>20.5</v>
      </c>
      <c r="BS91" s="36">
        <f>IFERROR(INDEX('Level Multipliers'!$D:$D,MATCH(BR91,'Level Multipliers'!$A:$A,0)),"")</f>
        <v>1.6533745038028393</v>
      </c>
      <c r="BT91" s="37">
        <f t="shared" si="55"/>
        <v>12</v>
      </c>
      <c r="BU91" s="37">
        <f t="shared" si="56"/>
        <v>13</v>
      </c>
      <c r="BV91" s="38">
        <f t="shared" si="57"/>
        <v>1410777128.6285706</v>
      </c>
      <c r="BW91" s="38">
        <f t="shared" si="58"/>
        <v>1412831408.8496232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60"/>
        <v>20</v>
      </c>
      <c r="CK91" s="41">
        <f t="shared" si="61"/>
        <v>20</v>
      </c>
      <c r="CL91" s="66">
        <f t="shared" si="62"/>
        <v>0.89999999999999991</v>
      </c>
      <c r="CM91" s="39">
        <f t="shared" si="63"/>
        <v>0.88888888888888884</v>
      </c>
      <c r="CN91" s="39">
        <f t="shared" si="64"/>
        <v>0.91111111111111109</v>
      </c>
      <c r="CO91" s="42">
        <f t="shared" si="65"/>
        <v>15</v>
      </c>
      <c r="CP91" s="42">
        <f t="shared" si="66"/>
        <v>15</v>
      </c>
      <c r="CQ91" s="42">
        <f t="shared" si="67"/>
        <v>13</v>
      </c>
      <c r="CR91" s="42">
        <f t="shared" si="68"/>
        <v>14</v>
      </c>
      <c r="CS91" s="42">
        <f t="shared" si="69"/>
        <v>11</v>
      </c>
      <c r="CT91" s="42">
        <f t="shared" si="70"/>
        <v>13</v>
      </c>
      <c r="CU91" s="43">
        <f t="shared" si="71"/>
        <v>15</v>
      </c>
      <c r="CV91" s="43" t="str">
        <f t="shared" si="72"/>
        <v>13-14</v>
      </c>
      <c r="CW91" s="43" t="str">
        <f t="shared" si="73"/>
        <v>11-13</v>
      </c>
      <c r="CX91" s="13" t="s">
        <v>433</v>
      </c>
    </row>
    <row r="92" spans="1:102" x14ac:dyDescent="0.25">
      <c r="A92" s="31" t="s">
        <v>96</v>
      </c>
      <c r="B92" s="13">
        <v>638</v>
      </c>
      <c r="C92" s="13">
        <v>38</v>
      </c>
      <c r="D92" s="13">
        <v>25</v>
      </c>
      <c r="E92" s="32" t="s">
        <v>0</v>
      </c>
      <c r="F92" s="32">
        <v>1</v>
      </c>
      <c r="G92" s="32"/>
      <c r="H92" s="32"/>
      <c r="I92" s="32" t="s">
        <v>0</v>
      </c>
      <c r="J92" s="13"/>
      <c r="K92" s="33"/>
      <c r="L92" s="34">
        <f>IFERROR(INDEX('Pokemon Data'!A:A,MATCH($A92,'Pokemon Data'!$B:$B,0)),"")</f>
        <v>63</v>
      </c>
      <c r="M92" s="34">
        <f>IFERROR(INDEX('Pokemon Data'!I:I,MATCH($A92,'Pokemon Data'!$B:$B,0)),"")</f>
        <v>50</v>
      </c>
      <c r="N92" s="34">
        <f>IFERROR(INDEX('Pokemon Data'!J:J,MATCH($A92,'Pokemon Data'!$B:$B,0)),"")</f>
        <v>195</v>
      </c>
      <c r="O92" s="34">
        <f>IFERROR(INDEX('Pokemon Data'!K:K,MATCH($A92,'Pokemon Data'!$B:$B,0)),"")</f>
        <v>103</v>
      </c>
      <c r="P92" s="35">
        <f>IFERROR(INDEX('Level Multipliers'!$A:$A,MATCH($D92,'Level Multipliers'!$B:$B,0)),"")</f>
        <v>19</v>
      </c>
      <c r="Q92" s="36">
        <f>IFERROR(INDEX('Level Multipliers'!$D:$D,MATCH(P92,'Level Multipliers'!$A:$A,0)),"")</f>
        <v>1.7173900470456649</v>
      </c>
      <c r="R92" s="37">
        <f t="shared" si="37"/>
        <v>16</v>
      </c>
      <c r="S92" s="37">
        <f t="shared" si="38"/>
        <v>15</v>
      </c>
      <c r="T92" s="38">
        <f t="shared" si="39"/>
        <v>354092822.85744298</v>
      </c>
      <c r="U92" s="38">
        <f t="shared" si="40"/>
        <v>355203701.61941701</v>
      </c>
      <c r="V92" s="38" t="b">
        <f t="shared" si="41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2"/>
        <v>19.5</v>
      </c>
      <c r="AI92" s="36">
        <f>IFERROR(INDEX('Level Multipliers'!$D:$D,MATCH(AH92,'Level Multipliers'!$A:$A,0)),"")</f>
        <v>1.6952373266621776</v>
      </c>
      <c r="AJ92" s="37">
        <f t="shared" si="43"/>
        <v>15</v>
      </c>
      <c r="AK92" s="37">
        <f t="shared" si="44"/>
        <v>15</v>
      </c>
      <c r="AL92" s="38">
        <f t="shared" si="45"/>
        <v>336173428.06536406</v>
      </c>
      <c r="AM92" s="38">
        <f t="shared" si="46"/>
        <v>337228089.15271449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20</v>
      </c>
      <c r="BA92" s="36">
        <f>IFERROR(INDEX('Level Multipliers'!$D:$D,MATCH(AZ92,'Level Multipliers'!$A:$A,0)),"")</f>
        <v>1.6739202944034379</v>
      </c>
      <c r="BB92" s="37">
        <f t="shared" si="49"/>
        <v>14</v>
      </c>
      <c r="BC92" s="37">
        <f t="shared" si="50"/>
        <v>15</v>
      </c>
      <c r="BD92" s="38">
        <f t="shared" si="51"/>
        <v>319580635.74404091</v>
      </c>
      <c r="BE92" s="38">
        <f t="shared" si="52"/>
        <v>320583241.04431593</v>
      </c>
      <c r="BF92" s="38" t="b">
        <f t="shared" si="53"/>
        <v>0</v>
      </c>
      <c r="BG92" s="37">
        <f t="array" ref="BG92:BQ92">IF(BF92,"",IVSolution($M92,$N92,$O92,BB92,BC92,BD92,BE92,$E92,$F92,$G92,$H92,$I92))</f>
        <v>3</v>
      </c>
      <c r="BH92" s="37">
        <v>39</v>
      </c>
      <c r="BI92" s="37">
        <v>39</v>
      </c>
      <c r="BJ92" s="39">
        <v>0.8666666666666667</v>
      </c>
      <c r="BK92" s="39">
        <v>0.8666666666666667</v>
      </c>
      <c r="BL92" s="37">
        <v>15</v>
      </c>
      <c r="BM92" s="37">
        <v>15</v>
      </c>
      <c r="BN92" s="37">
        <v>10</v>
      </c>
      <c r="BO92" s="37">
        <v>12</v>
      </c>
      <c r="BP92" s="37">
        <v>12</v>
      </c>
      <c r="BQ92" s="37">
        <v>14</v>
      </c>
      <c r="BR92" s="40">
        <f t="shared" si="54"/>
        <v>20.5</v>
      </c>
      <c r="BS92" s="36">
        <f>IFERROR(INDEX('Level Multipliers'!$D:$D,MATCH(BR92,'Level Multipliers'!$A:$A,0)),"")</f>
        <v>1.6533745038028393</v>
      </c>
      <c r="BT92" s="37">
        <f t="shared" si="55"/>
        <v>13</v>
      </c>
      <c r="BU92" s="37">
        <f t="shared" si="56"/>
        <v>14</v>
      </c>
      <c r="BV92" s="38">
        <f t="shared" si="57"/>
        <v>304176950.99968845</v>
      </c>
      <c r="BW92" s="38">
        <f t="shared" si="58"/>
        <v>305131231.04417163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60"/>
        <v>20</v>
      </c>
      <c r="CK92" s="41">
        <f t="shared" si="61"/>
        <v>20</v>
      </c>
      <c r="CL92" s="66">
        <f t="shared" si="62"/>
        <v>0.8666666666666667</v>
      </c>
      <c r="CM92" s="39">
        <f t="shared" si="63"/>
        <v>0.8666666666666667</v>
      </c>
      <c r="CN92" s="39">
        <f t="shared" si="64"/>
        <v>0.8666666666666667</v>
      </c>
      <c r="CO92" s="42">
        <f t="shared" si="65"/>
        <v>15</v>
      </c>
      <c r="CP92" s="42">
        <f t="shared" si="66"/>
        <v>15</v>
      </c>
      <c r="CQ92" s="42">
        <f t="shared" si="67"/>
        <v>10</v>
      </c>
      <c r="CR92" s="42">
        <f t="shared" si="68"/>
        <v>12</v>
      </c>
      <c r="CS92" s="42">
        <f t="shared" si="69"/>
        <v>12</v>
      </c>
      <c r="CT92" s="42">
        <f t="shared" si="70"/>
        <v>14</v>
      </c>
      <c r="CU92" s="43">
        <f t="shared" si="71"/>
        <v>15</v>
      </c>
      <c r="CV92" s="43" t="str">
        <f t="shared" si="72"/>
        <v>10-12</v>
      </c>
      <c r="CW92" s="43" t="str">
        <f t="shared" si="73"/>
        <v>12-14</v>
      </c>
      <c r="CX92" s="13" t="s">
        <v>396</v>
      </c>
    </row>
    <row r="93" spans="1:102" x14ac:dyDescent="0.25">
      <c r="A93" s="31" t="s">
        <v>96</v>
      </c>
      <c r="B93" s="13">
        <v>622</v>
      </c>
      <c r="C93" s="13">
        <v>35</v>
      </c>
      <c r="D93" s="13">
        <v>25</v>
      </c>
      <c r="E93" s="32" t="s">
        <v>0</v>
      </c>
      <c r="F93" s="32"/>
      <c r="G93" s="32">
        <v>1</v>
      </c>
      <c r="H93" s="32"/>
      <c r="I93" s="32" t="s">
        <v>2</v>
      </c>
      <c r="J93" s="13"/>
      <c r="K93" s="33"/>
      <c r="L93" s="34">
        <f>IFERROR(INDEX('Pokemon Data'!A:A,MATCH($A93,'Pokemon Data'!$B:$B,0)),"")</f>
        <v>63</v>
      </c>
      <c r="M93" s="34">
        <f>IFERROR(INDEX('Pokemon Data'!I:I,MATCH($A93,'Pokemon Data'!$B:$B,0)),"")</f>
        <v>50</v>
      </c>
      <c r="N93" s="34">
        <f>IFERROR(INDEX('Pokemon Data'!J:J,MATCH($A93,'Pokemon Data'!$B:$B,0)),"")</f>
        <v>195</v>
      </c>
      <c r="O93" s="34">
        <f>IFERROR(INDEX('Pokemon Data'!K:K,MATCH($A93,'Pokemon Data'!$B:$B,0)),"")</f>
        <v>103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7"/>
        <v>11</v>
      </c>
      <c r="S93" s="37">
        <f t="shared" si="38"/>
        <v>11</v>
      </c>
      <c r="T93" s="38">
        <f t="shared" si="39"/>
        <v>336555378.97224617</v>
      </c>
      <c r="U93" s="38">
        <f t="shared" si="40"/>
        <v>337638420.52170402</v>
      </c>
      <c r="V93" s="38" t="b">
        <f t="shared" si="41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2"/>
        <v>19.5</v>
      </c>
      <c r="AI93" s="36">
        <f>IFERROR(INDEX('Level Multipliers'!$D:$D,MATCH(AH93,'Level Multipliers'!$A:$A,0)),"")</f>
        <v>1.6952373266621776</v>
      </c>
      <c r="AJ93" s="37">
        <f t="shared" si="43"/>
        <v>10</v>
      </c>
      <c r="AK93" s="37">
        <f t="shared" si="44"/>
        <v>11</v>
      </c>
      <c r="AL93" s="38">
        <f t="shared" si="45"/>
        <v>319523492.65347308</v>
      </c>
      <c r="AM93" s="38">
        <f t="shared" si="46"/>
        <v>320551725.27191579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20</v>
      </c>
      <c r="BA93" s="36">
        <f>IFERROR(INDEX('Level Multipliers'!$D:$D,MATCH(AZ93,'Level Multipliers'!$A:$A,0)),"")</f>
        <v>1.6739202944034379</v>
      </c>
      <c r="BB93" s="37">
        <f t="shared" si="49"/>
        <v>9</v>
      </c>
      <c r="BC93" s="37">
        <f t="shared" si="50"/>
        <v>10</v>
      </c>
      <c r="BD93" s="38">
        <f t="shared" si="51"/>
        <v>303752505.0834738</v>
      </c>
      <c r="BE93" s="38">
        <f t="shared" si="52"/>
        <v>304729986.36682731</v>
      </c>
      <c r="BF93" s="38" t="b">
        <f t="shared" si="53"/>
        <v>0</v>
      </c>
      <c r="BG93" s="37">
        <f t="array" ref="BG93:BQ93">IF(BF93,"",IVSolution($M93,$N93,$O93,BB93,BC93,BD93,BE93,$E93,$F93,$G93,$H93,$I93))</f>
        <v>1</v>
      </c>
      <c r="BH93" s="37">
        <v>37</v>
      </c>
      <c r="BI93" s="37">
        <v>37</v>
      </c>
      <c r="BJ93" s="39">
        <v>0.82222222222222219</v>
      </c>
      <c r="BK93" s="39">
        <v>0.82222222222222219</v>
      </c>
      <c r="BL93" s="37">
        <v>10</v>
      </c>
      <c r="BM93" s="37">
        <v>10</v>
      </c>
      <c r="BN93" s="37">
        <v>14</v>
      </c>
      <c r="BO93" s="37">
        <v>14</v>
      </c>
      <c r="BP93" s="37">
        <v>13</v>
      </c>
      <c r="BQ93" s="37">
        <v>13</v>
      </c>
      <c r="BR93" s="40">
        <f t="shared" si="54"/>
        <v>20.5</v>
      </c>
      <c r="BS93" s="36">
        <f>IFERROR(INDEX('Level Multipliers'!$D:$D,MATCH(BR93,'Level Multipliers'!$A:$A,0)),"")</f>
        <v>1.6533745038028393</v>
      </c>
      <c r="BT93" s="37">
        <f t="shared" si="55"/>
        <v>8</v>
      </c>
      <c r="BU93" s="37">
        <f t="shared" si="56"/>
        <v>9</v>
      </c>
      <c r="BV93" s="38">
        <f t="shared" si="57"/>
        <v>289111731.19015014</v>
      </c>
      <c r="BW93" s="38">
        <f t="shared" si="58"/>
        <v>290042098.18731654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60"/>
        <v>20</v>
      </c>
      <c r="CK93" s="41">
        <f t="shared" si="61"/>
        <v>20</v>
      </c>
      <c r="CL93" s="66">
        <f t="shared" si="62"/>
        <v>0.82222222222222219</v>
      </c>
      <c r="CM93" s="39">
        <f t="shared" si="63"/>
        <v>0.82222222222222219</v>
      </c>
      <c r="CN93" s="39">
        <f t="shared" si="64"/>
        <v>0.82222222222222219</v>
      </c>
      <c r="CO93" s="42">
        <f t="shared" si="65"/>
        <v>10</v>
      </c>
      <c r="CP93" s="42">
        <f t="shared" si="66"/>
        <v>10</v>
      </c>
      <c r="CQ93" s="42">
        <f t="shared" si="67"/>
        <v>14</v>
      </c>
      <c r="CR93" s="42">
        <f t="shared" si="68"/>
        <v>14</v>
      </c>
      <c r="CS93" s="42">
        <f t="shared" si="69"/>
        <v>13</v>
      </c>
      <c r="CT93" s="42">
        <f t="shared" si="70"/>
        <v>13</v>
      </c>
      <c r="CU93" s="43">
        <f t="shared" si="71"/>
        <v>10</v>
      </c>
      <c r="CV93" s="43">
        <f t="shared" si="72"/>
        <v>14</v>
      </c>
      <c r="CW93" s="43">
        <f t="shared" si="73"/>
        <v>13</v>
      </c>
      <c r="CX93" s="13" t="s">
        <v>394</v>
      </c>
    </row>
    <row r="94" spans="1:102" x14ac:dyDescent="0.25">
      <c r="A94" s="31" t="s">
        <v>99</v>
      </c>
      <c r="B94" s="13">
        <v>1613</v>
      </c>
      <c r="C94" s="13">
        <v>72</v>
      </c>
      <c r="D94" s="13">
        <v>25</v>
      </c>
      <c r="E94" s="32" t="s">
        <v>0</v>
      </c>
      <c r="F94" s="32"/>
      <c r="G94" s="32">
        <v>1</v>
      </c>
      <c r="H94" s="32">
        <v>1</v>
      </c>
      <c r="I94" s="32" t="s">
        <v>2</v>
      </c>
      <c r="J94" s="13"/>
      <c r="K94" s="33"/>
      <c r="L94" s="34">
        <f>IFERROR(INDEX('Pokemon Data'!A:A,MATCH($A94,'Pokemon Data'!$B:$B,0)),"")</f>
        <v>65</v>
      </c>
      <c r="M94" s="34">
        <f>IFERROR(INDEX('Pokemon Data'!I:I,MATCH($A94,'Pokemon Data'!$B:$B,0)),"")</f>
        <v>110</v>
      </c>
      <c r="N94" s="34">
        <f>IFERROR(INDEX('Pokemon Data'!J:J,MATCH($A94,'Pokemon Data'!$B:$B,0)),"")</f>
        <v>271</v>
      </c>
      <c r="O94" s="34">
        <f>IFERROR(INDEX('Pokemon Data'!K:K,MATCH($A94,'Pokemon Data'!$B:$B,0)),"")</f>
        <v>194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37"/>
        <v>14</v>
      </c>
      <c r="S94" s="37">
        <f t="shared" si="38"/>
        <v>15</v>
      </c>
      <c r="T94" s="38">
        <f t="shared" si="39"/>
        <v>2263312392.8444753</v>
      </c>
      <c r="U94" s="38">
        <f t="shared" si="40"/>
        <v>2266119601.7441545</v>
      </c>
      <c r="V94" s="38" t="b">
        <f t="shared" si="41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2"/>
        <v>19.5</v>
      </c>
      <c r="AI94" s="36">
        <f>IFERROR(INDEX('Level Multipliers'!$D:$D,MATCH(AH94,'Level Multipliers'!$A:$A,0)),"")</f>
        <v>1.6952373266621776</v>
      </c>
      <c r="AJ94" s="37">
        <f t="shared" si="43"/>
        <v>13</v>
      </c>
      <c r="AK94" s="37">
        <f t="shared" si="44"/>
        <v>13</v>
      </c>
      <c r="AL94" s="38">
        <f t="shared" si="45"/>
        <v>2148774097.5525842</v>
      </c>
      <c r="AM94" s="38">
        <f t="shared" si="46"/>
        <v>2151439243.4640017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20</v>
      </c>
      <c r="BA94" s="36">
        <f>IFERROR(INDEX('Level Multipliers'!$D:$D,MATCH(AZ94,'Level Multipliers'!$A:$A,0)),"")</f>
        <v>1.6739202944034379</v>
      </c>
      <c r="BB94" s="37">
        <f t="shared" si="49"/>
        <v>11</v>
      </c>
      <c r="BC94" s="37">
        <f t="shared" si="50"/>
        <v>12</v>
      </c>
      <c r="BD94" s="38">
        <f t="shared" si="51"/>
        <v>2042715261.9351656</v>
      </c>
      <c r="BE94" s="38">
        <f t="shared" si="52"/>
        <v>2045248862.0165966</v>
      </c>
      <c r="BF94" s="38" t="b">
        <f t="shared" si="53"/>
        <v>0</v>
      </c>
      <c r="BG94" s="37">
        <f t="array" ref="BG94:BQ94">IF(BF94,"",IVSolution($M94,$N94,$O94,BB94,BC94,BD94,BE94,$E94,$F94,$G94,$H94,$I94))</f>
        <v>1</v>
      </c>
      <c r="BH94" s="37">
        <v>39</v>
      </c>
      <c r="BI94" s="37">
        <v>39</v>
      </c>
      <c r="BJ94" s="39">
        <v>0.8666666666666667</v>
      </c>
      <c r="BK94" s="39">
        <v>0.8666666666666667</v>
      </c>
      <c r="BL94" s="37">
        <v>11</v>
      </c>
      <c r="BM94" s="37">
        <v>11</v>
      </c>
      <c r="BN94" s="37">
        <v>14</v>
      </c>
      <c r="BO94" s="37">
        <v>14</v>
      </c>
      <c r="BP94" s="37">
        <v>14</v>
      </c>
      <c r="BQ94" s="37">
        <v>14</v>
      </c>
      <c r="BR94" s="40">
        <f t="shared" si="54"/>
        <v>20.5</v>
      </c>
      <c r="BS94" s="36">
        <f>IFERROR(INDEX('Level Multipliers'!$D:$D,MATCH(BR94,'Level Multipliers'!$A:$A,0)),"")</f>
        <v>1.6533745038028393</v>
      </c>
      <c r="BT94" s="37">
        <f t="shared" si="55"/>
        <v>10</v>
      </c>
      <c r="BU94" s="37">
        <f t="shared" si="56"/>
        <v>10</v>
      </c>
      <c r="BV94" s="38">
        <f t="shared" si="57"/>
        <v>1944257037.6310875</v>
      </c>
      <c r="BW94" s="38">
        <f t="shared" si="58"/>
        <v>1946668518.996434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60"/>
        <v>20</v>
      </c>
      <c r="CK94" s="41">
        <f t="shared" si="61"/>
        <v>20</v>
      </c>
      <c r="CL94" s="66">
        <f t="shared" si="62"/>
        <v>0.8666666666666667</v>
      </c>
      <c r="CM94" s="39">
        <f t="shared" si="63"/>
        <v>0.8666666666666667</v>
      </c>
      <c r="CN94" s="39">
        <f t="shared" si="64"/>
        <v>0.8666666666666667</v>
      </c>
      <c r="CO94" s="42">
        <f t="shared" si="65"/>
        <v>11</v>
      </c>
      <c r="CP94" s="42">
        <f t="shared" si="66"/>
        <v>11</v>
      </c>
      <c r="CQ94" s="42">
        <f t="shared" si="67"/>
        <v>14</v>
      </c>
      <c r="CR94" s="42">
        <f t="shared" si="68"/>
        <v>14</v>
      </c>
      <c r="CS94" s="42">
        <f t="shared" si="69"/>
        <v>14</v>
      </c>
      <c r="CT94" s="42">
        <f t="shared" si="70"/>
        <v>14</v>
      </c>
      <c r="CU94" s="43">
        <f t="shared" si="71"/>
        <v>11</v>
      </c>
      <c r="CV94" s="43">
        <f t="shared" si="72"/>
        <v>14</v>
      </c>
      <c r="CW94" s="43">
        <f t="shared" si="73"/>
        <v>14</v>
      </c>
      <c r="CX94" s="13" t="s">
        <v>429</v>
      </c>
    </row>
    <row r="95" spans="1:102" x14ac:dyDescent="0.25">
      <c r="A95" s="31" t="s">
        <v>100</v>
      </c>
      <c r="B95" s="13">
        <v>661</v>
      </c>
      <c r="C95" s="13">
        <v>91</v>
      </c>
      <c r="D95" s="13">
        <v>25</v>
      </c>
      <c r="E95" s="32" t="s">
        <v>0</v>
      </c>
      <c r="F95" s="32">
        <v>1</v>
      </c>
      <c r="G95" s="32"/>
      <c r="H95" s="32">
        <v>1</v>
      </c>
      <c r="I95" s="32" t="s">
        <v>2</v>
      </c>
      <c r="J95" s="13"/>
      <c r="K95" s="33"/>
      <c r="L95" s="34">
        <f>IFERROR(INDEX('Pokemon Data'!A:A,MATCH($A95,'Pokemon Data'!$B:$B,0)),"")</f>
        <v>66</v>
      </c>
      <c r="M95" s="34">
        <f>IFERROR(INDEX('Pokemon Data'!I:I,MATCH($A95,'Pokemon Data'!$B:$B,0)),"")</f>
        <v>140</v>
      </c>
      <c r="N95" s="34">
        <f>IFERROR(INDEX('Pokemon Data'!J:J,MATCH($A95,'Pokemon Data'!$B:$B,0)),"")</f>
        <v>137</v>
      </c>
      <c r="O95" s="34">
        <f>IFERROR(INDEX('Pokemon Data'!K:K,MATCH($A95,'Pokemon Data'!$B:$B,0)),"")</f>
        <v>88</v>
      </c>
      <c r="P95" s="35">
        <f>IFERROR(INDEX('Level Multipliers'!$A:$A,MATCH($D95,'Level Multipliers'!$B:$B,0)),"")</f>
        <v>19</v>
      </c>
      <c r="Q95" s="36">
        <f>IFERROR(INDEX('Level Multipliers'!$D:$D,MATCH(P95,'Level Multipliers'!$A:$A,0)),"")</f>
        <v>1.7173900470456649</v>
      </c>
      <c r="R95" s="37">
        <f t="shared" si="37"/>
        <v>17</v>
      </c>
      <c r="S95" s="37">
        <f t="shared" si="38"/>
        <v>15</v>
      </c>
      <c r="T95" s="38">
        <f t="shared" si="39"/>
        <v>380083210.3057577</v>
      </c>
      <c r="U95" s="38">
        <f t="shared" si="40"/>
        <v>381234105.06072378</v>
      </c>
      <c r="V95" s="38" t="b">
        <f t="shared" si="41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2"/>
        <v>19.5</v>
      </c>
      <c r="AI95" s="36">
        <f>IFERROR(INDEX('Level Multipliers'!$D:$D,MATCH(AH95,'Level Multipliers'!$A:$A,0)),"")</f>
        <v>1.6952373266621776</v>
      </c>
      <c r="AJ95" s="37">
        <f t="shared" si="43"/>
        <v>15</v>
      </c>
      <c r="AK95" s="37">
        <f t="shared" si="44"/>
        <v>15</v>
      </c>
      <c r="AL95" s="38">
        <f t="shared" si="45"/>
        <v>360848533.23902804</v>
      </c>
      <c r="AM95" s="38">
        <f t="shared" si="46"/>
        <v>361941185.25043339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20</v>
      </c>
      <c r="BA95" s="36">
        <f>IFERROR(INDEX('Level Multipliers'!$D:$D,MATCH(AZ95,'Level Multipliers'!$A:$A,0)),"")</f>
        <v>1.6739202944034379</v>
      </c>
      <c r="BB95" s="37">
        <f t="shared" si="49"/>
        <v>13</v>
      </c>
      <c r="BC95" s="37">
        <f t="shared" si="50"/>
        <v>14</v>
      </c>
      <c r="BD95" s="38">
        <f t="shared" si="51"/>
        <v>343037831.16793787</v>
      </c>
      <c r="BE95" s="38">
        <f t="shared" si="52"/>
        <v>344076552.24253756</v>
      </c>
      <c r="BF95" s="38" t="b">
        <f t="shared" si="53"/>
        <v>0</v>
      </c>
      <c r="BG95" s="37">
        <f t="array" ref="BG95:BQ95">IF(BF95,"",IVSolution($M95,$N95,$O95,BB95,BC95,BD95,BE95,$E95,$F95,$G95,$H95,$I95))</f>
        <v>2</v>
      </c>
      <c r="BH95" s="37">
        <v>38</v>
      </c>
      <c r="BI95" s="37">
        <v>39</v>
      </c>
      <c r="BJ95" s="39">
        <v>0.84444444444444444</v>
      </c>
      <c r="BK95" s="39">
        <v>0.8666666666666667</v>
      </c>
      <c r="BL95" s="37">
        <v>13</v>
      </c>
      <c r="BM95" s="37">
        <v>14</v>
      </c>
      <c r="BN95" s="37">
        <v>11</v>
      </c>
      <c r="BO95" s="37">
        <v>12</v>
      </c>
      <c r="BP95" s="37">
        <v>13</v>
      </c>
      <c r="BQ95" s="37">
        <v>14</v>
      </c>
      <c r="BR95" s="40">
        <f t="shared" si="54"/>
        <v>20.5</v>
      </c>
      <c r="BS95" s="36">
        <f>IFERROR(INDEX('Level Multipliers'!$D:$D,MATCH(BR95,'Level Multipliers'!$A:$A,0)),"")</f>
        <v>1.6533745038028393</v>
      </c>
      <c r="BT95" s="37">
        <f t="shared" si="55"/>
        <v>11</v>
      </c>
      <c r="BU95" s="37">
        <f t="shared" si="56"/>
        <v>12</v>
      </c>
      <c r="BV95" s="38">
        <f t="shared" si="57"/>
        <v>326503517.08349681</v>
      </c>
      <c r="BW95" s="38">
        <f t="shared" si="58"/>
        <v>327492172.13349777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60"/>
        <v>20</v>
      </c>
      <c r="CK95" s="41">
        <f t="shared" si="61"/>
        <v>20</v>
      </c>
      <c r="CL95" s="66">
        <f t="shared" si="62"/>
        <v>0.85555555555555562</v>
      </c>
      <c r="CM95" s="39">
        <f t="shared" si="63"/>
        <v>0.84444444444444444</v>
      </c>
      <c r="CN95" s="39">
        <f t="shared" si="64"/>
        <v>0.8666666666666667</v>
      </c>
      <c r="CO95" s="42">
        <f t="shared" si="65"/>
        <v>13</v>
      </c>
      <c r="CP95" s="42">
        <f t="shared" si="66"/>
        <v>14</v>
      </c>
      <c r="CQ95" s="42">
        <f t="shared" si="67"/>
        <v>11</v>
      </c>
      <c r="CR95" s="42">
        <f t="shared" si="68"/>
        <v>12</v>
      </c>
      <c r="CS95" s="42">
        <f t="shared" si="69"/>
        <v>13</v>
      </c>
      <c r="CT95" s="42">
        <f t="shared" si="70"/>
        <v>14</v>
      </c>
      <c r="CU95" s="43" t="str">
        <f t="shared" si="71"/>
        <v>13-14</v>
      </c>
      <c r="CV95" s="43" t="str">
        <f t="shared" si="72"/>
        <v>11-12</v>
      </c>
      <c r="CW95" s="43" t="str">
        <f t="shared" si="73"/>
        <v>13-14</v>
      </c>
      <c r="CX95" s="13" t="s">
        <v>394</v>
      </c>
    </row>
    <row r="96" spans="1:102" x14ac:dyDescent="0.25">
      <c r="A96" s="31" t="s">
        <v>100</v>
      </c>
      <c r="B96" s="13">
        <v>660</v>
      </c>
      <c r="C96" s="13">
        <v>86</v>
      </c>
      <c r="D96" s="13">
        <v>25</v>
      </c>
      <c r="E96" s="32" t="s">
        <v>2</v>
      </c>
      <c r="F96" s="32"/>
      <c r="G96" s="32">
        <v>1</v>
      </c>
      <c r="H96" s="32">
        <v>1</v>
      </c>
      <c r="I96" s="32" t="s">
        <v>0</v>
      </c>
      <c r="J96" s="13"/>
      <c r="K96" s="33"/>
      <c r="L96" s="34">
        <f>IFERROR(INDEX('Pokemon Data'!A:A,MATCH($A96,'Pokemon Data'!$B:$B,0)),"")</f>
        <v>66</v>
      </c>
      <c r="M96" s="34">
        <f>IFERROR(INDEX('Pokemon Data'!I:I,MATCH($A96,'Pokemon Data'!$B:$B,0)),"")</f>
        <v>140</v>
      </c>
      <c r="N96" s="34">
        <f>IFERROR(INDEX('Pokemon Data'!J:J,MATCH($A96,'Pokemon Data'!$B:$B,0)),"")</f>
        <v>137</v>
      </c>
      <c r="O96" s="34">
        <f>IFERROR(INDEX('Pokemon Data'!K:K,MATCH($A96,'Pokemon Data'!$B:$B,0)),"")</f>
        <v>88</v>
      </c>
      <c r="P96" s="35">
        <f>IFERROR(INDEX('Level Multipliers'!$A:$A,MATCH($D96,'Level Multipliers'!$B:$B,0)),"")</f>
        <v>19</v>
      </c>
      <c r="Q96" s="36">
        <f>IFERROR(INDEX('Level Multipliers'!$D:$D,MATCH(P96,'Level Multipliers'!$A:$A,0)),"")</f>
        <v>1.7173900470456649</v>
      </c>
      <c r="R96" s="37">
        <f t="shared" si="37"/>
        <v>8</v>
      </c>
      <c r="S96" s="37">
        <f t="shared" si="38"/>
        <v>9</v>
      </c>
      <c r="T96" s="38">
        <f t="shared" si="39"/>
        <v>378934055.37657392</v>
      </c>
      <c r="U96" s="38">
        <f t="shared" si="40"/>
        <v>380083210.3057577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19.5</v>
      </c>
      <c r="AI96" s="36">
        <f>IFERROR(INDEX('Level Multipliers'!$D:$D,MATCH(AH96,'Level Multipliers'!$A:$A,0)),"")</f>
        <v>1.6952373266621776</v>
      </c>
      <c r="AJ96" s="37">
        <f t="shared" si="43"/>
        <v>6</v>
      </c>
      <c r="AK96" s="37">
        <f t="shared" si="44"/>
        <v>7</v>
      </c>
      <c r="AL96" s="38">
        <f t="shared" si="45"/>
        <v>359757533.0069294</v>
      </c>
      <c r="AM96" s="38">
        <f t="shared" si="46"/>
        <v>360848533.23902804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20</v>
      </c>
      <c r="BA96" s="36">
        <f>IFERROR(INDEX('Level Multipliers'!$D:$D,MATCH(AZ96,'Level Multipliers'!$A:$A,0)),"")</f>
        <v>1.6739202944034379</v>
      </c>
      <c r="BB96" s="37">
        <f t="shared" si="49"/>
        <v>4</v>
      </c>
      <c r="BC96" s="37">
        <f t="shared" si="50"/>
        <v>5</v>
      </c>
      <c r="BD96" s="38">
        <f t="shared" si="51"/>
        <v>342000680.34439576</v>
      </c>
      <c r="BE96" s="38">
        <f t="shared" si="52"/>
        <v>343037831.16793787</v>
      </c>
      <c r="BF96" s="38" t="b">
        <f t="shared" si="53"/>
        <v>0</v>
      </c>
      <c r="BG96" s="37">
        <f t="array" ref="BG96:BQ96">IF(BF96,"",IVSolution($M96,$N96,$O96,BB96,BC96,BD96,BE96,$E96,$F96,$G96,$H96,$I96))</f>
        <v>1</v>
      </c>
      <c r="BH96" s="37">
        <v>34</v>
      </c>
      <c r="BI96" s="37">
        <v>34</v>
      </c>
      <c r="BJ96" s="39">
        <v>0.75555555555555554</v>
      </c>
      <c r="BK96" s="39">
        <v>0.75555555555555554</v>
      </c>
      <c r="BL96" s="37">
        <v>4</v>
      </c>
      <c r="BM96" s="37">
        <v>4</v>
      </c>
      <c r="BN96" s="37">
        <v>15</v>
      </c>
      <c r="BO96" s="37">
        <v>15</v>
      </c>
      <c r="BP96" s="37">
        <v>15</v>
      </c>
      <c r="BQ96" s="37">
        <v>15</v>
      </c>
      <c r="BR96" s="40">
        <f t="shared" si="54"/>
        <v>20.5</v>
      </c>
      <c r="BS96" s="36">
        <f>IFERROR(INDEX('Level Multipliers'!$D:$D,MATCH(BR96,'Level Multipliers'!$A:$A,0)),"")</f>
        <v>1.6533745038028393</v>
      </c>
      <c r="BT96" s="37">
        <f t="shared" si="55"/>
        <v>3</v>
      </c>
      <c r="BU96" s="37">
        <f t="shared" si="56"/>
        <v>3</v>
      </c>
      <c r="BV96" s="38">
        <f t="shared" si="57"/>
        <v>325516356.59895319</v>
      </c>
      <c r="BW96" s="38">
        <f t="shared" si="58"/>
        <v>326503517.08349681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60"/>
        <v>20</v>
      </c>
      <c r="CK96" s="41">
        <f t="shared" si="61"/>
        <v>20</v>
      </c>
      <c r="CL96" s="66">
        <f t="shared" si="62"/>
        <v>0.75555555555555554</v>
      </c>
      <c r="CM96" s="39">
        <f t="shared" si="63"/>
        <v>0.75555555555555554</v>
      </c>
      <c r="CN96" s="39">
        <f t="shared" si="64"/>
        <v>0.75555555555555554</v>
      </c>
      <c r="CO96" s="42">
        <f t="shared" si="65"/>
        <v>4</v>
      </c>
      <c r="CP96" s="42">
        <f t="shared" si="66"/>
        <v>4</v>
      </c>
      <c r="CQ96" s="42">
        <f t="shared" si="67"/>
        <v>15</v>
      </c>
      <c r="CR96" s="42">
        <f t="shared" si="68"/>
        <v>15</v>
      </c>
      <c r="CS96" s="42">
        <f t="shared" si="69"/>
        <v>15</v>
      </c>
      <c r="CT96" s="42">
        <f t="shared" si="70"/>
        <v>15</v>
      </c>
      <c r="CU96" s="43">
        <f t="shared" si="71"/>
        <v>4</v>
      </c>
      <c r="CV96" s="43">
        <f t="shared" si="72"/>
        <v>15</v>
      </c>
      <c r="CW96" s="43">
        <f t="shared" si="73"/>
        <v>15</v>
      </c>
      <c r="CX96" s="13" t="s">
        <v>395</v>
      </c>
    </row>
    <row r="97" spans="1:102" x14ac:dyDescent="0.25">
      <c r="A97" s="31" t="s">
        <v>100</v>
      </c>
      <c r="B97" s="13">
        <v>539</v>
      </c>
      <c r="C97" s="13">
        <v>82</v>
      </c>
      <c r="D97" s="13">
        <v>19</v>
      </c>
      <c r="E97" s="32" t="s">
        <v>0</v>
      </c>
      <c r="F97" s="32">
        <v>1</v>
      </c>
      <c r="G97" s="32"/>
      <c r="H97" s="32"/>
      <c r="I97" s="32" t="s">
        <v>0</v>
      </c>
      <c r="J97" s="13"/>
      <c r="K97" s="33"/>
      <c r="L97" s="34">
        <f>IFERROR(INDEX('Pokemon Data'!A:A,MATCH($A97,'Pokemon Data'!$B:$B,0)),"")</f>
        <v>66</v>
      </c>
      <c r="M97" s="34">
        <f>IFERROR(INDEX('Pokemon Data'!I:I,MATCH($A97,'Pokemon Data'!$B:$B,0)),"")</f>
        <v>140</v>
      </c>
      <c r="N97" s="34">
        <f>IFERROR(INDEX('Pokemon Data'!J:J,MATCH($A97,'Pokemon Data'!$B:$B,0)),"")</f>
        <v>137</v>
      </c>
      <c r="O97" s="34">
        <f>IFERROR(INDEX('Pokemon Data'!K:K,MATCH($A97,'Pokemon Data'!$B:$B,0)),"")</f>
        <v>88</v>
      </c>
      <c r="P97" s="35">
        <f>IFERROR(INDEX('Level Multipliers'!$A:$A,MATCH($D97,'Level Multipliers'!$B:$B,0)),"")</f>
        <v>15</v>
      </c>
      <c r="Q97" s="36">
        <f>IFERROR(INDEX('Level Multipliers'!$D:$D,MATCH(P97,'Level Multipliers'!$A:$A,0)),"")</f>
        <v>1.9327632386874845</v>
      </c>
      <c r="R97" s="37">
        <f t="shared" si="37"/>
        <v>19</v>
      </c>
      <c r="S97" s="37">
        <f t="shared" si="38"/>
        <v>15</v>
      </c>
      <c r="T97" s="38">
        <f t="shared" si="39"/>
        <v>405407853.18429887</v>
      </c>
      <c r="U97" s="38">
        <f t="shared" si="40"/>
        <v>406913544.93665361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15.5</v>
      </c>
      <c r="AI97" s="36">
        <f>IFERROR(INDEX('Level Multipliers'!$D:$D,MATCH(AH97,'Level Multipliers'!$A:$A,0)),"")</f>
        <v>1.9013484732050823</v>
      </c>
      <c r="AJ97" s="37">
        <f t="shared" si="43"/>
        <v>16</v>
      </c>
      <c r="AK97" s="37">
        <f t="shared" si="44"/>
        <v>15</v>
      </c>
      <c r="AL97" s="38">
        <f t="shared" si="45"/>
        <v>379685849.34413588</v>
      </c>
      <c r="AM97" s="38">
        <f t="shared" si="46"/>
        <v>381096009.13100958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16</v>
      </c>
      <c r="BA97" s="36">
        <f>IFERROR(INDEX('Level Multipliers'!$D:$D,MATCH(AZ97,'Level Multipliers'!$A:$A,0)),"")</f>
        <v>1.8714174200985207</v>
      </c>
      <c r="BB97" s="37">
        <f t="shared" si="49"/>
        <v>14</v>
      </c>
      <c r="BC97" s="37">
        <f t="shared" si="50"/>
        <v>15</v>
      </c>
      <c r="BD97" s="38">
        <f t="shared" si="51"/>
        <v>356336411.03935409</v>
      </c>
      <c r="BE97" s="38">
        <f t="shared" si="52"/>
        <v>357659850.61002702</v>
      </c>
      <c r="BF97" s="38" t="b">
        <f t="shared" si="53"/>
        <v>0</v>
      </c>
      <c r="BG97" s="37">
        <f t="array" ref="BG97:BQ97">IF(BF97,"",IVSolution($M97,$N97,$O97,BB97,BC97,BD97,BE97,$E97,$F97,$G97,$H97,$I97))</f>
        <v>1</v>
      </c>
      <c r="BH97" s="37">
        <v>42</v>
      </c>
      <c r="BI97" s="37">
        <v>42</v>
      </c>
      <c r="BJ97" s="39">
        <v>0.93333333333333335</v>
      </c>
      <c r="BK97" s="39">
        <v>0.93333333333333335</v>
      </c>
      <c r="BL97" s="37">
        <v>15</v>
      </c>
      <c r="BM97" s="37">
        <v>15</v>
      </c>
      <c r="BN97" s="37">
        <v>14</v>
      </c>
      <c r="BO97" s="37">
        <v>14</v>
      </c>
      <c r="BP97" s="37">
        <v>13</v>
      </c>
      <c r="BQ97" s="37">
        <v>13</v>
      </c>
      <c r="BR97" s="40">
        <f t="shared" si="54"/>
        <v>16.5</v>
      </c>
      <c r="BS97" s="36">
        <f>IFERROR(INDEX('Level Multipliers'!$D:$D,MATCH(BR97,'Level Multipliers'!$A:$A,0)),"")</f>
        <v>1.8428568206029767</v>
      </c>
      <c r="BT97" s="37">
        <f t="shared" si="55"/>
        <v>12</v>
      </c>
      <c r="BU97" s="37">
        <f t="shared" si="56"/>
        <v>12</v>
      </c>
      <c r="BV97" s="38">
        <f t="shared" si="57"/>
        <v>335076451.63517588</v>
      </c>
      <c r="BW97" s="38">
        <f t="shared" si="58"/>
        <v>336320931.35028893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60"/>
        <v>16</v>
      </c>
      <c r="CK97" s="41">
        <f t="shared" si="61"/>
        <v>16</v>
      </c>
      <c r="CL97" s="66">
        <f t="shared" si="62"/>
        <v>0.93333333333333335</v>
      </c>
      <c r="CM97" s="39">
        <f t="shared" si="63"/>
        <v>0.93333333333333335</v>
      </c>
      <c r="CN97" s="39">
        <f t="shared" si="64"/>
        <v>0.93333333333333335</v>
      </c>
      <c r="CO97" s="42">
        <f t="shared" si="65"/>
        <v>15</v>
      </c>
      <c r="CP97" s="42">
        <f t="shared" si="66"/>
        <v>15</v>
      </c>
      <c r="CQ97" s="42">
        <f t="shared" si="67"/>
        <v>14</v>
      </c>
      <c r="CR97" s="42">
        <f t="shared" si="68"/>
        <v>14</v>
      </c>
      <c r="CS97" s="42">
        <f t="shared" si="69"/>
        <v>13</v>
      </c>
      <c r="CT97" s="42">
        <f t="shared" si="70"/>
        <v>13</v>
      </c>
      <c r="CU97" s="43">
        <f t="shared" si="71"/>
        <v>15</v>
      </c>
      <c r="CV97" s="43">
        <f t="shared" si="72"/>
        <v>14</v>
      </c>
      <c r="CW97" s="43">
        <f t="shared" si="73"/>
        <v>13</v>
      </c>
      <c r="CX97" s="13" t="s">
        <v>396</v>
      </c>
    </row>
    <row r="98" spans="1:102" x14ac:dyDescent="0.25">
      <c r="A98" s="31" t="s">
        <v>102</v>
      </c>
      <c r="B98" s="13">
        <v>1050</v>
      </c>
      <c r="C98" s="13">
        <v>90</v>
      </c>
      <c r="D98" s="13">
        <v>16</v>
      </c>
      <c r="E98" s="32" t="s">
        <v>0</v>
      </c>
      <c r="F98" s="32"/>
      <c r="G98" s="32">
        <v>1</v>
      </c>
      <c r="H98" s="32"/>
      <c r="I98" s="32" t="s">
        <v>0</v>
      </c>
      <c r="J98" s="13"/>
      <c r="K98" s="33">
        <v>13</v>
      </c>
      <c r="L98" s="34">
        <f>IFERROR(INDEX('Pokemon Data'!A:A,MATCH($A98,'Pokemon Data'!$B:$B,0)),"")</f>
        <v>68</v>
      </c>
      <c r="M98" s="34">
        <f>IFERROR(INDEX('Pokemon Data'!I:I,MATCH($A98,'Pokemon Data'!$B:$B,0)),"")</f>
        <v>180</v>
      </c>
      <c r="N98" s="34">
        <f>IFERROR(INDEX('Pokemon Data'!J:J,MATCH($A98,'Pokemon Data'!$B:$B,0)),"")</f>
        <v>234</v>
      </c>
      <c r="O98" s="34">
        <f>IFERROR(INDEX('Pokemon Data'!K:K,MATCH($A98,'Pokemon Data'!$B:$B,0)),"")</f>
        <v>162</v>
      </c>
      <c r="P98" s="35">
        <f>IFERROR(INDEX('Level Multipliers'!$A:$A,MATCH($D98,'Level Multipliers'!$B:$B,0)),"")</f>
        <v>13</v>
      </c>
      <c r="Q98" s="36">
        <f>IFERROR(INDEX('Level Multipliers'!$D:$D,MATCH(P98,'Level Multipliers'!$A:$A,0)),"")</f>
        <v>2.0760457511183974</v>
      </c>
      <c r="R98" s="37">
        <f t="shared" si="37"/>
        <v>7</v>
      </c>
      <c r="S98" s="37">
        <f t="shared" si="38"/>
        <v>8</v>
      </c>
      <c r="T98" s="38">
        <f t="shared" si="39"/>
        <v>2047982675.7437181</v>
      </c>
      <c r="U98" s="38">
        <f t="shared" si="40"/>
        <v>2051885452.7067454</v>
      </c>
      <c r="V98" s="38" t="b">
        <f t="shared" si="41"/>
        <v>0</v>
      </c>
      <c r="W98" s="37">
        <f t="array" ref="W98:AG98">IF(V98,"",IVSolution($M98,$N98,$O98,R98,S98,T98,U98,$E98,$F98,$G98,$H98,$I98))</f>
        <v>1</v>
      </c>
      <c r="X98" s="37">
        <v>37</v>
      </c>
      <c r="Y98" s="37">
        <v>37</v>
      </c>
      <c r="Z98" s="39">
        <v>0.82222222222222219</v>
      </c>
      <c r="AA98" s="39">
        <v>0.82222222222222219</v>
      </c>
      <c r="AB98" s="37">
        <v>8</v>
      </c>
      <c r="AC98" s="37">
        <v>8</v>
      </c>
      <c r="AD98" s="37">
        <v>15</v>
      </c>
      <c r="AE98" s="37">
        <v>15</v>
      </c>
      <c r="AF98" s="37">
        <v>14</v>
      </c>
      <c r="AG98" s="37">
        <v>14</v>
      </c>
      <c r="AH98" s="40">
        <f t="shared" si="42"/>
        <v>13.5</v>
      </c>
      <c r="AI98" s="36">
        <f>IFERROR(INDEX('Level Multipliers'!$D:$D,MATCH(AH98,'Level Multipliers'!$A:$A,0)),"")</f>
        <v>2.0372581629338091</v>
      </c>
      <c r="AJ98" s="37">
        <f t="shared" si="43"/>
        <v>4</v>
      </c>
      <c r="AK98" s="37">
        <f t="shared" si="44"/>
        <v>5</v>
      </c>
      <c r="AL98" s="38">
        <f t="shared" si="45"/>
        <v>1899165728.6190257</v>
      </c>
      <c r="AM98" s="38">
        <f t="shared" si="46"/>
        <v>1902784909.7490289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14</v>
      </c>
      <c r="BA98" s="36">
        <f>IFERROR(INDEX('Level Multipliers'!$D:$D,MATCH(AZ98,'Level Multipliers'!$A:$A,0)),"")</f>
        <v>2.0005664044869746</v>
      </c>
      <c r="BB98" s="37">
        <f t="shared" si="49"/>
        <v>1</v>
      </c>
      <c r="BC98" s="37">
        <f t="shared" si="50"/>
        <v>2</v>
      </c>
      <c r="BD98" s="38">
        <f t="shared" si="51"/>
        <v>1765999124.0642843</v>
      </c>
      <c r="BE98" s="38">
        <f t="shared" si="52"/>
        <v>1769364533.7329092</v>
      </c>
      <c r="BF98" s="38" t="b">
        <f t="shared" si="53"/>
        <v>1</v>
      </c>
      <c r="BG98" s="37" t="str">
        <f t="array" ref="BG98:BQ98">IF(BF98,"",IVSolution($M98,$N98,$O98,BB98,BC98,BD98,BE98,$E98,$F98,$G98,$H98,$I98))</f>
        <v/>
      </c>
      <c r="BH98" s="37" t="str">
        <v/>
      </c>
      <c r="BI98" s="37" t="str">
        <v/>
      </c>
      <c r="BJ98" s="39" t="str">
        <v/>
      </c>
      <c r="BK98" s="39" t="str">
        <v/>
      </c>
      <c r="BL98" s="37" t="str">
        <v/>
      </c>
      <c r="BM98" s="37" t="str">
        <v/>
      </c>
      <c r="BN98" s="37" t="str">
        <v/>
      </c>
      <c r="BO98" s="37" t="str">
        <v/>
      </c>
      <c r="BP98" s="37" t="str">
        <v/>
      </c>
      <c r="BQ98" s="37" t="str">
        <v/>
      </c>
      <c r="BR98" s="40">
        <f t="shared" si="54"/>
        <v>14.5</v>
      </c>
      <c r="BS98" s="36">
        <f>IFERROR(INDEX('Level Multipliers'!$D:$D,MATCH(BR98,'Level Multipliers'!$A:$A,0)),"")</f>
        <v>1.9657884055662767</v>
      </c>
      <c r="BT98" s="37">
        <f t="shared" si="55"/>
        <v>0</v>
      </c>
      <c r="BU98" s="37">
        <f t="shared" si="56"/>
        <v>-2</v>
      </c>
      <c r="BV98" s="38">
        <f t="shared" si="57"/>
        <v>1646363294.717133</v>
      </c>
      <c r="BW98" s="38">
        <f t="shared" si="58"/>
        <v>1649500718.102349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60"/>
        <v>13</v>
      </c>
      <c r="CK98" s="41">
        <f t="shared" si="61"/>
        <v>13</v>
      </c>
      <c r="CL98" s="66">
        <f t="shared" si="62"/>
        <v>0.82222222222222219</v>
      </c>
      <c r="CM98" s="39">
        <f t="shared" si="63"/>
        <v>0.82222222222222219</v>
      </c>
      <c r="CN98" s="39">
        <f t="shared" si="64"/>
        <v>0.82222222222222219</v>
      </c>
      <c r="CO98" s="42">
        <f t="shared" si="65"/>
        <v>8</v>
      </c>
      <c r="CP98" s="42">
        <f t="shared" si="66"/>
        <v>8</v>
      </c>
      <c r="CQ98" s="42">
        <f t="shared" si="67"/>
        <v>15</v>
      </c>
      <c r="CR98" s="42">
        <f t="shared" si="68"/>
        <v>15</v>
      </c>
      <c r="CS98" s="42">
        <f t="shared" si="69"/>
        <v>14</v>
      </c>
      <c r="CT98" s="42">
        <f t="shared" si="70"/>
        <v>14</v>
      </c>
      <c r="CU98" s="43">
        <f t="shared" si="71"/>
        <v>8</v>
      </c>
      <c r="CV98" s="43">
        <f t="shared" si="72"/>
        <v>15</v>
      </c>
      <c r="CW98" s="43">
        <f t="shared" si="73"/>
        <v>14</v>
      </c>
      <c r="CX98" s="13" t="s">
        <v>431</v>
      </c>
    </row>
    <row r="99" spans="1:102" x14ac:dyDescent="0.25">
      <c r="A99" s="31" t="s">
        <v>103</v>
      </c>
      <c r="B99" s="13">
        <v>507</v>
      </c>
      <c r="C99" s="13">
        <v>68</v>
      </c>
      <c r="D99" s="13">
        <v>25</v>
      </c>
      <c r="E99" s="32" t="s">
        <v>0</v>
      </c>
      <c r="F99" s="32">
        <v>1</v>
      </c>
      <c r="G99" s="32"/>
      <c r="H99" s="32"/>
      <c r="I99" s="32" t="s">
        <v>0</v>
      </c>
      <c r="J99" s="13"/>
      <c r="K99" s="33"/>
      <c r="L99" s="34">
        <f>IFERROR(INDEX('Pokemon Data'!A:A,MATCH($A99,'Pokemon Data'!$B:$B,0)),"")</f>
        <v>69</v>
      </c>
      <c r="M99" s="34">
        <f>IFERROR(INDEX('Pokemon Data'!I:I,MATCH($A99,'Pokemon Data'!$B:$B,0)),"")</f>
        <v>100</v>
      </c>
      <c r="N99" s="34">
        <f>IFERROR(INDEX('Pokemon Data'!J:J,MATCH($A99,'Pokemon Data'!$B:$B,0)),"")</f>
        <v>139</v>
      </c>
      <c r="O99" s="34">
        <f>IFERROR(INDEX('Pokemon Data'!K:K,MATCH($A99,'Pokemon Data'!$B:$B,0)),"")</f>
        <v>64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7"/>
        <v>17</v>
      </c>
      <c r="S99" s="37">
        <f t="shared" si="38"/>
        <v>15</v>
      </c>
      <c r="T99" s="38">
        <f t="shared" si="39"/>
        <v>223610238.75227952</v>
      </c>
      <c r="U99" s="38">
        <f t="shared" si="40"/>
        <v>224493200.33677727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19.5</v>
      </c>
      <c r="AI99" s="36">
        <f>IFERROR(INDEX('Level Multipliers'!$D:$D,MATCH(AH99,'Level Multipliers'!$A:$A,0)),"")</f>
        <v>1.6952373266621776</v>
      </c>
      <c r="AJ99" s="37">
        <f t="shared" si="43"/>
        <v>16</v>
      </c>
      <c r="AK99" s="37">
        <f t="shared" si="44"/>
        <v>15</v>
      </c>
      <c r="AL99" s="38">
        <f t="shared" si="45"/>
        <v>212294109.50848991</v>
      </c>
      <c r="AM99" s="38">
        <f t="shared" si="46"/>
        <v>213132387.50665802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20</v>
      </c>
      <c r="BA99" s="36">
        <f>IFERROR(INDEX('Level Multipliers'!$D:$D,MATCH(AZ99,'Level Multipliers'!$A:$A,0)),"")</f>
        <v>1.6739202944034379</v>
      </c>
      <c r="BB99" s="37">
        <f t="shared" si="49"/>
        <v>14</v>
      </c>
      <c r="BC99" s="37">
        <f t="shared" si="50"/>
        <v>15</v>
      </c>
      <c r="BD99" s="38">
        <f t="shared" si="51"/>
        <v>201815732.05198938</v>
      </c>
      <c r="BE99" s="38">
        <f t="shared" si="52"/>
        <v>202612634.46371934</v>
      </c>
      <c r="BF99" s="38" t="b">
        <f t="shared" si="53"/>
        <v>0</v>
      </c>
      <c r="BG99" s="37">
        <f t="array" ref="BG99:BQ99">IF(BF99,"",IVSolution($M99,$N99,$O99,BB99,BC99,BD99,BE99,$E99,$F99,$G99,$H99,$I99))</f>
        <v>4</v>
      </c>
      <c r="BH99" s="37">
        <v>40</v>
      </c>
      <c r="BI99" s="37">
        <v>40</v>
      </c>
      <c r="BJ99" s="39">
        <v>0.88888888888888884</v>
      </c>
      <c r="BK99" s="39">
        <v>0.88888888888888884</v>
      </c>
      <c r="BL99" s="37">
        <v>15</v>
      </c>
      <c r="BM99" s="37">
        <v>15</v>
      </c>
      <c r="BN99" s="37">
        <v>11</v>
      </c>
      <c r="BO99" s="37">
        <v>14</v>
      </c>
      <c r="BP99" s="37">
        <v>11</v>
      </c>
      <c r="BQ99" s="37">
        <v>14</v>
      </c>
      <c r="BR99" s="40">
        <f t="shared" si="54"/>
        <v>20.5</v>
      </c>
      <c r="BS99" s="36">
        <f>IFERROR(INDEX('Level Multipliers'!$D:$D,MATCH(BR99,'Level Multipliers'!$A:$A,0)),"")</f>
        <v>1.6533745038028393</v>
      </c>
      <c r="BT99" s="37">
        <f t="shared" si="55"/>
        <v>13</v>
      </c>
      <c r="BU99" s="37">
        <f t="shared" si="56"/>
        <v>14</v>
      </c>
      <c r="BV99" s="38">
        <f t="shared" si="57"/>
        <v>192088278.11617151</v>
      </c>
      <c r="BW99" s="38">
        <f t="shared" si="58"/>
        <v>192846770.08574897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60"/>
        <v>20</v>
      </c>
      <c r="CK99" s="41">
        <f t="shared" si="61"/>
        <v>20</v>
      </c>
      <c r="CL99" s="66">
        <f t="shared" si="62"/>
        <v>0.88888888888888884</v>
      </c>
      <c r="CM99" s="39">
        <f t="shared" si="63"/>
        <v>0.88888888888888884</v>
      </c>
      <c r="CN99" s="39">
        <f t="shared" si="64"/>
        <v>0.88888888888888884</v>
      </c>
      <c r="CO99" s="42">
        <f t="shared" si="65"/>
        <v>15</v>
      </c>
      <c r="CP99" s="42">
        <f t="shared" si="66"/>
        <v>15</v>
      </c>
      <c r="CQ99" s="42">
        <f t="shared" si="67"/>
        <v>11</v>
      </c>
      <c r="CR99" s="42">
        <f t="shared" si="68"/>
        <v>14</v>
      </c>
      <c r="CS99" s="42">
        <f t="shared" si="69"/>
        <v>11</v>
      </c>
      <c r="CT99" s="42">
        <f t="shared" si="70"/>
        <v>14</v>
      </c>
      <c r="CU99" s="43">
        <f t="shared" si="71"/>
        <v>15</v>
      </c>
      <c r="CV99" s="43" t="str">
        <f t="shared" si="72"/>
        <v>11-14</v>
      </c>
      <c r="CW99" s="43" t="str">
        <f t="shared" si="73"/>
        <v>11-14</v>
      </c>
      <c r="CX99" s="13" t="s">
        <v>396</v>
      </c>
    </row>
    <row r="100" spans="1:102" x14ac:dyDescent="0.25">
      <c r="A100" s="31" t="s">
        <v>103</v>
      </c>
      <c r="B100" s="13">
        <v>498</v>
      </c>
      <c r="C100" s="13">
        <v>66</v>
      </c>
      <c r="D100" s="13">
        <v>25</v>
      </c>
      <c r="E100" s="32" t="s">
        <v>2</v>
      </c>
      <c r="F100" s="32"/>
      <c r="G100" s="32">
        <v>1</v>
      </c>
      <c r="H100" s="32"/>
      <c r="I100" s="32" t="s">
        <v>2</v>
      </c>
      <c r="J100" s="13"/>
      <c r="K100" s="33"/>
      <c r="L100" s="34">
        <f>IFERROR(INDEX('Pokemon Data'!A:A,MATCH($A100,'Pokemon Data'!$B:$B,0)),"")</f>
        <v>69</v>
      </c>
      <c r="M100" s="34">
        <f>IFERROR(INDEX('Pokemon Data'!I:I,MATCH($A100,'Pokemon Data'!$B:$B,0)),"")</f>
        <v>100</v>
      </c>
      <c r="N100" s="34">
        <f>IFERROR(INDEX('Pokemon Data'!J:J,MATCH($A100,'Pokemon Data'!$B:$B,0)),"")</f>
        <v>139</v>
      </c>
      <c r="O100" s="34">
        <f>IFERROR(INDEX('Pokemon Data'!K:K,MATCH($A100,'Pokemon Data'!$B:$B,0)),"")</f>
        <v>64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37"/>
        <v>14</v>
      </c>
      <c r="S100" s="37">
        <f t="shared" si="38"/>
        <v>15</v>
      </c>
      <c r="T100" s="38">
        <f t="shared" si="39"/>
        <v>215741876.65200147</v>
      </c>
      <c r="U100" s="38">
        <f t="shared" si="40"/>
        <v>216609179.80445889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19.5</v>
      </c>
      <c r="AI100" s="36">
        <f>IFERROR(INDEX('Level Multipliers'!$D:$D,MATCH(AH100,'Level Multipliers'!$A:$A,0)),"")</f>
        <v>1.6952373266621776</v>
      </c>
      <c r="AJ100" s="37">
        <f t="shared" si="43"/>
        <v>12</v>
      </c>
      <c r="AK100" s="37">
        <f t="shared" si="44"/>
        <v>13</v>
      </c>
      <c r="AL100" s="38">
        <f t="shared" si="45"/>
        <v>204823937.59377989</v>
      </c>
      <c r="AM100" s="38">
        <f t="shared" si="46"/>
        <v>205647349.57818741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20</v>
      </c>
      <c r="BA100" s="36">
        <f>IFERROR(INDEX('Level Multipliers'!$D:$D,MATCH(AZ100,'Level Multipliers'!$A:$A,0)),"")</f>
        <v>1.6739202944034379</v>
      </c>
      <c r="BB100" s="37">
        <f t="shared" si="49"/>
        <v>11</v>
      </c>
      <c r="BC100" s="37">
        <f t="shared" si="50"/>
        <v>12</v>
      </c>
      <c r="BD100" s="38">
        <f t="shared" si="51"/>
        <v>194714271.64401174</v>
      </c>
      <c r="BE100" s="38">
        <f t="shared" si="52"/>
        <v>195497041.79622331</v>
      </c>
      <c r="BF100" s="38" t="b">
        <f t="shared" si="53"/>
        <v>0</v>
      </c>
      <c r="BG100" s="37">
        <f t="array" ref="BG100:BQ100">IF(BF100,"",IVSolution($M100,$N100,$O100,BB100,BC100,BD100,BE100,$E100,$F100,$G100,$H100,$I100))</f>
        <v>2</v>
      </c>
      <c r="BH100" s="37">
        <v>36</v>
      </c>
      <c r="BI100" s="37">
        <v>36</v>
      </c>
      <c r="BJ100" s="39">
        <v>0.8</v>
      </c>
      <c r="BK100" s="39">
        <v>0.8</v>
      </c>
      <c r="BL100" s="37">
        <v>11</v>
      </c>
      <c r="BM100" s="37">
        <v>11</v>
      </c>
      <c r="BN100" s="37">
        <v>13</v>
      </c>
      <c r="BO100" s="37">
        <v>14</v>
      </c>
      <c r="BP100" s="37">
        <v>11</v>
      </c>
      <c r="BQ100" s="37">
        <v>12</v>
      </c>
      <c r="BR100" s="40">
        <f t="shared" si="54"/>
        <v>20.5</v>
      </c>
      <c r="BS100" s="36">
        <f>IFERROR(INDEX('Level Multipliers'!$D:$D,MATCH(BR100,'Level Multipliers'!$A:$A,0)),"")</f>
        <v>1.6533745038028393</v>
      </c>
      <c r="BT100" s="37">
        <f t="shared" si="55"/>
        <v>10</v>
      </c>
      <c r="BU100" s="37">
        <f t="shared" si="56"/>
        <v>10</v>
      </c>
      <c r="BV100" s="38">
        <f t="shared" si="57"/>
        <v>185329105.83555275</v>
      </c>
      <c r="BW100" s="38">
        <f t="shared" si="58"/>
        <v>186074146.71601453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60"/>
        <v>20</v>
      </c>
      <c r="CK100" s="41">
        <f t="shared" si="61"/>
        <v>20</v>
      </c>
      <c r="CL100" s="66">
        <f t="shared" si="62"/>
        <v>0.8</v>
      </c>
      <c r="CM100" s="39">
        <f t="shared" si="63"/>
        <v>0.8</v>
      </c>
      <c r="CN100" s="39">
        <f t="shared" si="64"/>
        <v>0.8</v>
      </c>
      <c r="CO100" s="42">
        <f t="shared" si="65"/>
        <v>11</v>
      </c>
      <c r="CP100" s="42">
        <f t="shared" si="66"/>
        <v>11</v>
      </c>
      <c r="CQ100" s="42">
        <f t="shared" si="67"/>
        <v>13</v>
      </c>
      <c r="CR100" s="42">
        <f t="shared" si="68"/>
        <v>14</v>
      </c>
      <c r="CS100" s="42">
        <f t="shared" si="69"/>
        <v>11</v>
      </c>
      <c r="CT100" s="42">
        <f t="shared" si="70"/>
        <v>12</v>
      </c>
      <c r="CU100" s="43">
        <f t="shared" si="71"/>
        <v>11</v>
      </c>
      <c r="CV100" s="43" t="str">
        <f t="shared" si="72"/>
        <v>13-14</v>
      </c>
      <c r="CW100" s="43" t="str">
        <f t="shared" si="73"/>
        <v>11-12</v>
      </c>
      <c r="CX100" s="13" t="s">
        <v>394</v>
      </c>
    </row>
    <row r="101" spans="1:102" x14ac:dyDescent="0.25">
      <c r="A101" s="31" t="s">
        <v>103</v>
      </c>
      <c r="B101" s="13">
        <v>497</v>
      </c>
      <c r="C101" s="13">
        <v>66</v>
      </c>
      <c r="D101" s="13">
        <v>25</v>
      </c>
      <c r="E101" s="32" t="s">
        <v>2</v>
      </c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69</v>
      </c>
      <c r="M101" s="34">
        <f>IFERROR(INDEX('Pokemon Data'!I:I,MATCH($A101,'Pokemon Data'!$B:$B,0)),"")</f>
        <v>100</v>
      </c>
      <c r="N101" s="34">
        <f>IFERROR(INDEX('Pokemon Data'!J:J,MATCH($A101,'Pokemon Data'!$B:$B,0)),"")</f>
        <v>139</v>
      </c>
      <c r="O101" s="34">
        <f>IFERROR(INDEX('Pokemon Data'!K:K,MATCH($A101,'Pokemon Data'!$B:$B,0)),"")</f>
        <v>64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37"/>
        <v>14</v>
      </c>
      <c r="S101" s="37">
        <f t="shared" si="38"/>
        <v>15</v>
      </c>
      <c r="T101" s="38">
        <f t="shared" si="39"/>
        <v>214876313.32532632</v>
      </c>
      <c r="U101" s="38">
        <f t="shared" si="40"/>
        <v>215741876.65200147</v>
      </c>
      <c r="V101" s="38" t="b">
        <f t="shared" si="41"/>
        <v>0</v>
      </c>
      <c r="W101" s="37">
        <f t="array" ref="W101:AG101">IF(V101,"",IVSolution($M101,$N101,$O101,R101,S101,T101,U101,$E101,$F101,$G101,$H101,$I101))</f>
        <v>0</v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2"/>
        <v>19.5</v>
      </c>
      <c r="AI101" s="36">
        <f>IFERROR(INDEX('Level Multipliers'!$D:$D,MATCH(AH101,'Level Multipliers'!$A:$A,0)),"")</f>
        <v>1.6952373266621776</v>
      </c>
      <c r="AJ101" s="37">
        <f t="shared" si="43"/>
        <v>12</v>
      </c>
      <c r="AK101" s="37">
        <f t="shared" si="44"/>
        <v>13</v>
      </c>
      <c r="AL101" s="38">
        <f t="shared" si="45"/>
        <v>204002177.38867912</v>
      </c>
      <c r="AM101" s="38">
        <f t="shared" si="46"/>
        <v>204823937.59377989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20</v>
      </c>
      <c r="BA101" s="36">
        <f>IFERROR(INDEX('Level Multipliers'!$D:$D,MATCH(AZ101,'Level Multipliers'!$A:$A,0)),"")</f>
        <v>1.6739202944034379</v>
      </c>
      <c r="BB101" s="37">
        <f t="shared" si="49"/>
        <v>11</v>
      </c>
      <c r="BC101" s="37">
        <f t="shared" si="50"/>
        <v>12</v>
      </c>
      <c r="BD101" s="38">
        <f t="shared" si="51"/>
        <v>193933071.74285778</v>
      </c>
      <c r="BE101" s="38">
        <f t="shared" si="52"/>
        <v>194714271.64401174</v>
      </c>
      <c r="BF101" s="38" t="b">
        <f t="shared" si="53"/>
        <v>0</v>
      </c>
      <c r="BG101" s="37">
        <f t="array" ref="BG101:BQ101">IF(BF101,"",IVSolution($M101,$N101,$O101,BB101,BC101,BD101,BE101,$E101,$F101,$G101,$H101,$I101))</f>
        <v>6</v>
      </c>
      <c r="BH101" s="37">
        <v>36</v>
      </c>
      <c r="BI101" s="37">
        <v>36</v>
      </c>
      <c r="BJ101" s="39">
        <v>0.8</v>
      </c>
      <c r="BK101" s="39">
        <v>0.8</v>
      </c>
      <c r="BL101" s="37">
        <v>11</v>
      </c>
      <c r="BM101" s="37">
        <v>12</v>
      </c>
      <c r="BN101" s="37">
        <v>10</v>
      </c>
      <c r="BO101" s="37">
        <v>14</v>
      </c>
      <c r="BP101" s="37">
        <v>10</v>
      </c>
      <c r="BQ101" s="37">
        <v>15</v>
      </c>
      <c r="BR101" s="40">
        <f t="shared" si="54"/>
        <v>20.5</v>
      </c>
      <c r="BS101" s="36">
        <f>IFERROR(INDEX('Level Multipliers'!$D:$D,MATCH(BR101,'Level Multipliers'!$A:$A,0)),"")</f>
        <v>1.6533745038028393</v>
      </c>
      <c r="BT101" s="37">
        <f t="shared" si="55"/>
        <v>10</v>
      </c>
      <c r="BU101" s="37">
        <f t="shared" si="56"/>
        <v>10</v>
      </c>
      <c r="BV101" s="38">
        <f t="shared" si="57"/>
        <v>184585559.52054825</v>
      </c>
      <c r="BW101" s="38">
        <f t="shared" si="58"/>
        <v>185329105.83555275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60"/>
        <v>20</v>
      </c>
      <c r="CK101" s="41">
        <f t="shared" si="61"/>
        <v>20</v>
      </c>
      <c r="CL101" s="66">
        <f t="shared" si="62"/>
        <v>0.8</v>
      </c>
      <c r="CM101" s="39">
        <f t="shared" si="63"/>
        <v>0.8</v>
      </c>
      <c r="CN101" s="39">
        <f t="shared" si="64"/>
        <v>0.8</v>
      </c>
      <c r="CO101" s="42">
        <f t="shared" si="65"/>
        <v>11</v>
      </c>
      <c r="CP101" s="42">
        <f t="shared" si="66"/>
        <v>12</v>
      </c>
      <c r="CQ101" s="42">
        <f t="shared" si="67"/>
        <v>10</v>
      </c>
      <c r="CR101" s="42">
        <f t="shared" si="68"/>
        <v>14</v>
      </c>
      <c r="CS101" s="42">
        <f t="shared" si="69"/>
        <v>10</v>
      </c>
      <c r="CT101" s="42">
        <f t="shared" si="70"/>
        <v>15</v>
      </c>
      <c r="CU101" s="43" t="str">
        <f t="shared" si="71"/>
        <v>11-12</v>
      </c>
      <c r="CV101" s="43" t="str">
        <f t="shared" si="72"/>
        <v>10-14</v>
      </c>
      <c r="CW101" s="43" t="str">
        <f t="shared" si="73"/>
        <v>10-15</v>
      </c>
      <c r="CX101" s="13" t="s">
        <v>395</v>
      </c>
    </row>
    <row r="102" spans="1:102" x14ac:dyDescent="0.25">
      <c r="A102" s="31" t="s">
        <v>105</v>
      </c>
      <c r="B102" s="13">
        <v>1282</v>
      </c>
      <c r="C102" s="13">
        <v>103</v>
      </c>
      <c r="D102" s="13">
        <v>25</v>
      </c>
      <c r="E102" s="32" t="s">
        <v>0</v>
      </c>
      <c r="F102" s="32">
        <v>1</v>
      </c>
      <c r="G102" s="32">
        <v>1</v>
      </c>
      <c r="H102" s="32">
        <v>1</v>
      </c>
      <c r="I102" s="32" t="s">
        <v>2</v>
      </c>
      <c r="J102" s="13"/>
      <c r="K102" s="33"/>
      <c r="L102" s="34">
        <f>IFERROR(INDEX('Pokemon Data'!A:A,MATCH($A102,'Pokemon Data'!$B:$B,0)),"")</f>
        <v>71</v>
      </c>
      <c r="M102" s="34">
        <f>IFERROR(INDEX('Pokemon Data'!I:I,MATCH($A102,'Pokemon Data'!$B:$B,0)),"")</f>
        <v>160</v>
      </c>
      <c r="N102" s="34">
        <f>IFERROR(INDEX('Pokemon Data'!J:J,MATCH($A102,'Pokemon Data'!$B:$B,0)),"")</f>
        <v>207</v>
      </c>
      <c r="O102" s="34">
        <f>IFERROR(INDEX('Pokemon Data'!K:K,MATCH($A102,'Pokemon Data'!$B:$B,0)),"")</f>
        <v>138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37"/>
        <v>17</v>
      </c>
      <c r="S102" s="37">
        <f t="shared" si="38"/>
        <v>15</v>
      </c>
      <c r="T102" s="38">
        <f t="shared" si="39"/>
        <v>1429722714.4828472</v>
      </c>
      <c r="U102" s="38">
        <f t="shared" si="40"/>
        <v>1431954041.0485978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19.5</v>
      </c>
      <c r="AI102" s="36">
        <f>IFERROR(INDEX('Level Multipliers'!$D:$D,MATCH(AH102,'Level Multipliers'!$A:$A,0)),"")</f>
        <v>1.6952373266621776</v>
      </c>
      <c r="AJ102" s="37">
        <f t="shared" si="43"/>
        <v>15</v>
      </c>
      <c r="AK102" s="37">
        <f t="shared" si="44"/>
        <v>15</v>
      </c>
      <c r="AL102" s="38">
        <f t="shared" si="45"/>
        <v>1357369466.6613421</v>
      </c>
      <c r="AM102" s="38">
        <f t="shared" si="46"/>
        <v>1359487873.6222301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20</v>
      </c>
      <c r="BA102" s="36">
        <f>IFERROR(INDEX('Level Multipliers'!$D:$D,MATCH(AZ102,'Level Multipliers'!$A:$A,0)),"")</f>
        <v>1.6739202944034379</v>
      </c>
      <c r="BB102" s="37">
        <f t="shared" si="49"/>
        <v>13</v>
      </c>
      <c r="BC102" s="37">
        <f t="shared" si="50"/>
        <v>14</v>
      </c>
      <c r="BD102" s="38">
        <f t="shared" si="51"/>
        <v>1290372649.5921547</v>
      </c>
      <c r="BE102" s="38">
        <f t="shared" si="52"/>
        <v>1292386496.5735216</v>
      </c>
      <c r="BF102" s="38" t="b">
        <f t="shared" si="53"/>
        <v>0</v>
      </c>
      <c r="BG102" s="37">
        <f t="array" ref="BG102:BQ102">IF(BF102,"",IVSolution($M102,$N102,$O102,BB102,BC102,BD102,BE102,$E102,$F102,$G102,$H102,$I102))</f>
        <v>1</v>
      </c>
      <c r="BH102" s="37">
        <v>42</v>
      </c>
      <c r="BI102" s="37">
        <v>42</v>
      </c>
      <c r="BJ102" s="39">
        <v>0.93333333333333335</v>
      </c>
      <c r="BK102" s="39">
        <v>0.93333333333333335</v>
      </c>
      <c r="BL102" s="37">
        <v>14</v>
      </c>
      <c r="BM102" s="37">
        <v>14</v>
      </c>
      <c r="BN102" s="37">
        <v>14</v>
      </c>
      <c r="BO102" s="37">
        <v>14</v>
      </c>
      <c r="BP102" s="37">
        <v>14</v>
      </c>
      <c r="BQ102" s="37">
        <v>14</v>
      </c>
      <c r="BR102" s="40">
        <f t="shared" si="54"/>
        <v>20.5</v>
      </c>
      <c r="BS102" s="36">
        <f>IFERROR(INDEX('Level Multipliers'!$D:$D,MATCH(BR102,'Level Multipliers'!$A:$A,0)),"")</f>
        <v>1.6533745038028393</v>
      </c>
      <c r="BT102" s="37">
        <f t="shared" si="55"/>
        <v>11</v>
      </c>
      <c r="BU102" s="37">
        <f t="shared" si="56"/>
        <v>11</v>
      </c>
      <c r="BV102" s="38">
        <f t="shared" si="57"/>
        <v>1228177099.3180392</v>
      </c>
      <c r="BW102" s="38">
        <f t="shared" si="58"/>
        <v>1230093879.5170207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60"/>
        <v>20</v>
      </c>
      <c r="CK102" s="41">
        <f t="shared" si="61"/>
        <v>20</v>
      </c>
      <c r="CL102" s="66">
        <f t="shared" si="62"/>
        <v>0.93333333333333335</v>
      </c>
      <c r="CM102" s="39">
        <f t="shared" si="63"/>
        <v>0.93333333333333335</v>
      </c>
      <c r="CN102" s="39">
        <f t="shared" si="64"/>
        <v>0.93333333333333335</v>
      </c>
      <c r="CO102" s="42">
        <f t="shared" si="65"/>
        <v>14</v>
      </c>
      <c r="CP102" s="42">
        <f t="shared" si="66"/>
        <v>14</v>
      </c>
      <c r="CQ102" s="42">
        <f t="shared" si="67"/>
        <v>14</v>
      </c>
      <c r="CR102" s="42">
        <f t="shared" si="68"/>
        <v>14</v>
      </c>
      <c r="CS102" s="42">
        <f t="shared" si="69"/>
        <v>14</v>
      </c>
      <c r="CT102" s="42">
        <f t="shared" si="70"/>
        <v>14</v>
      </c>
      <c r="CU102" s="43">
        <f t="shared" si="71"/>
        <v>14</v>
      </c>
      <c r="CV102" s="43">
        <f t="shared" si="72"/>
        <v>14</v>
      </c>
      <c r="CW102" s="43">
        <f t="shared" si="73"/>
        <v>14</v>
      </c>
      <c r="CX102" s="13" t="s">
        <v>422</v>
      </c>
    </row>
    <row r="103" spans="1:102" x14ac:dyDescent="0.25">
      <c r="A103" s="31" t="s">
        <v>106</v>
      </c>
      <c r="B103" s="13">
        <v>592</v>
      </c>
      <c r="C103" s="13">
        <v>58</v>
      </c>
      <c r="D103" s="13">
        <v>30</v>
      </c>
      <c r="E103" s="32" t="s">
        <v>0</v>
      </c>
      <c r="F103" s="32"/>
      <c r="G103" s="32">
        <v>1</v>
      </c>
      <c r="H103" s="32"/>
      <c r="I103" s="32" t="s">
        <v>0</v>
      </c>
      <c r="J103" s="13"/>
      <c r="K103" s="33"/>
      <c r="L103" s="34">
        <f>IFERROR(INDEX('Pokemon Data'!A:A,MATCH($A103,'Pokemon Data'!$B:$B,0)),"")</f>
        <v>72</v>
      </c>
      <c r="M103" s="34">
        <f>IFERROR(INDEX('Pokemon Data'!I:I,MATCH($A103,'Pokemon Data'!$B:$B,0)),"")</f>
        <v>80</v>
      </c>
      <c r="N103" s="34">
        <f>IFERROR(INDEX('Pokemon Data'!J:J,MATCH($A103,'Pokemon Data'!$B:$B,0)),"")</f>
        <v>97</v>
      </c>
      <c r="O103" s="34">
        <f>IFERROR(INDEX('Pokemon Data'!K:K,MATCH($A103,'Pokemon Data'!$B:$B,0)),"")</f>
        <v>182</v>
      </c>
      <c r="P103" s="35">
        <f>IFERROR(INDEX('Level Multipliers'!$A:$A,MATCH($D103,'Level Multipliers'!$B:$B,0)),"")</f>
        <v>21</v>
      </c>
      <c r="Q103" s="36">
        <f>IFERROR(INDEX('Level Multipliers'!$D:$D,MATCH(P103,'Level Multipliers'!$A:$A,0)),"")</f>
        <v>1.6335670981213306</v>
      </c>
      <c r="R103" s="37">
        <f t="shared" si="37"/>
        <v>15</v>
      </c>
      <c r="S103" s="37">
        <f t="shared" si="38"/>
        <v>15</v>
      </c>
      <c r="T103" s="38">
        <f t="shared" si="39"/>
        <v>249569393.7586191</v>
      </c>
      <c r="U103" s="38">
        <f t="shared" si="40"/>
        <v>250413245.71375275</v>
      </c>
      <c r="V103" s="38" t="b">
        <f t="shared" si="41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2"/>
        <v>21.5</v>
      </c>
      <c r="AI103" s="36">
        <f>IFERROR(INDEX('Level Multipliers'!$D:$D,MATCH(AH103,'Level Multipliers'!$A:$A,0)),"")</f>
        <v>1.6144549045635799</v>
      </c>
      <c r="AJ103" s="37">
        <f t="shared" si="43"/>
        <v>14</v>
      </c>
      <c r="AK103" s="37">
        <f t="shared" si="44"/>
        <v>15</v>
      </c>
      <c r="AL103" s="38">
        <f t="shared" si="45"/>
        <v>238093252.70587492</v>
      </c>
      <c r="AM103" s="38">
        <f t="shared" si="46"/>
        <v>238898301.16864559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22</v>
      </c>
      <c r="BA103" s="36">
        <f>IFERROR(INDEX('Level Multipliers'!$D:$D,MATCH(AZ103,'Level Multipliers'!$A:$A,0)),"")</f>
        <v>1.5959981933118279</v>
      </c>
      <c r="BB103" s="37">
        <f t="shared" si="49"/>
        <v>13</v>
      </c>
      <c r="BC103" s="37">
        <f t="shared" si="50"/>
        <v>14</v>
      </c>
      <c r="BD103" s="38">
        <f t="shared" si="51"/>
        <v>227390855.18890777</v>
      </c>
      <c r="BE103" s="38">
        <f t="shared" si="52"/>
        <v>228159716.36551607</v>
      </c>
      <c r="BF103" s="38" t="b">
        <f t="shared" si="53"/>
        <v>0</v>
      </c>
      <c r="BG103" s="37">
        <f t="array" ref="BG103:BQ103">IF(BF103,"",IVSolution($M103,$N103,$O103,BB103,BC103,BD103,BE103,$E103,$F103,$G103,$H103,$I103))</f>
        <v>2</v>
      </c>
      <c r="BH103" s="37">
        <v>40</v>
      </c>
      <c r="BI103" s="37">
        <v>41</v>
      </c>
      <c r="BJ103" s="39">
        <v>0.88888888888888884</v>
      </c>
      <c r="BK103" s="39">
        <v>0.91111111111111109</v>
      </c>
      <c r="BL103" s="37">
        <v>13</v>
      </c>
      <c r="BM103" s="37">
        <v>14</v>
      </c>
      <c r="BN103" s="37">
        <v>15</v>
      </c>
      <c r="BO103" s="37">
        <v>15</v>
      </c>
      <c r="BP103" s="37">
        <v>11</v>
      </c>
      <c r="BQ103" s="37">
        <v>13</v>
      </c>
      <c r="BR103" s="40">
        <f t="shared" si="54"/>
        <v>22.5</v>
      </c>
      <c r="BS103" s="36">
        <f>IFERROR(INDEX('Level Multipliers'!$D:$D,MATCH(BR103,'Level Multipliers'!$A:$A,0)),"")</f>
        <v>1.578160334674382</v>
      </c>
      <c r="BT103" s="37">
        <f t="shared" si="55"/>
        <v>12</v>
      </c>
      <c r="BU103" s="37">
        <f t="shared" si="56"/>
        <v>13</v>
      </c>
      <c r="BV103" s="38">
        <f t="shared" si="57"/>
        <v>217394177.49362215</v>
      </c>
      <c r="BW103" s="38">
        <f t="shared" si="58"/>
        <v>218129237.58632767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60"/>
        <v>22</v>
      </c>
      <c r="CK103" s="41">
        <f t="shared" si="61"/>
        <v>22</v>
      </c>
      <c r="CL103" s="66">
        <f t="shared" si="62"/>
        <v>0.89999999999999991</v>
      </c>
      <c r="CM103" s="39">
        <f t="shared" si="63"/>
        <v>0.88888888888888884</v>
      </c>
      <c r="CN103" s="39">
        <f t="shared" si="64"/>
        <v>0.91111111111111109</v>
      </c>
      <c r="CO103" s="42">
        <f t="shared" si="65"/>
        <v>13</v>
      </c>
      <c r="CP103" s="42">
        <f t="shared" si="66"/>
        <v>14</v>
      </c>
      <c r="CQ103" s="42">
        <f t="shared" si="67"/>
        <v>15</v>
      </c>
      <c r="CR103" s="42">
        <f t="shared" si="68"/>
        <v>15</v>
      </c>
      <c r="CS103" s="42">
        <f t="shared" si="69"/>
        <v>11</v>
      </c>
      <c r="CT103" s="42">
        <f t="shared" si="70"/>
        <v>13</v>
      </c>
      <c r="CU103" s="43" t="str">
        <f t="shared" si="71"/>
        <v>13-14</v>
      </c>
      <c r="CV103" s="43">
        <f t="shared" si="72"/>
        <v>15</v>
      </c>
      <c r="CW103" s="43" t="str">
        <f t="shared" si="73"/>
        <v>11-13</v>
      </c>
      <c r="CX103" s="13"/>
    </row>
    <row r="104" spans="1:102" x14ac:dyDescent="0.25">
      <c r="A104" s="31" t="s">
        <v>107</v>
      </c>
      <c r="B104" s="13">
        <v>1330</v>
      </c>
      <c r="C104" s="13">
        <v>103</v>
      </c>
      <c r="D104" s="13">
        <v>25</v>
      </c>
      <c r="E104" s="32" t="s">
        <v>0</v>
      </c>
      <c r="F104" s="32"/>
      <c r="G104" s="32"/>
      <c r="H104" s="32">
        <v>1</v>
      </c>
      <c r="I104" s="32" t="s">
        <v>0</v>
      </c>
      <c r="J104" s="13"/>
      <c r="K104" s="33"/>
      <c r="L104" s="34">
        <f>IFERROR(INDEX('Pokemon Data'!A:A,MATCH($A104,'Pokemon Data'!$B:$B,0)),"")</f>
        <v>73</v>
      </c>
      <c r="M104" s="34">
        <f>IFERROR(INDEX('Pokemon Data'!I:I,MATCH($A104,'Pokemon Data'!$B:$B,0)),"")</f>
        <v>160</v>
      </c>
      <c r="N104" s="34">
        <f>IFERROR(INDEX('Pokemon Data'!J:J,MATCH($A104,'Pokemon Data'!$B:$B,0)),"")</f>
        <v>166</v>
      </c>
      <c r="O104" s="34">
        <f>IFERROR(INDEX('Pokemon Data'!K:K,MATCH($A104,'Pokemon Data'!$B:$B,0)),"")</f>
        <v>237</v>
      </c>
      <c r="P104" s="35">
        <f>IFERROR(INDEX('Level Multipliers'!$A:$A,MATCH($D104,'Level Multipliers'!$B:$B,0)),"")</f>
        <v>19</v>
      </c>
      <c r="Q104" s="36">
        <f>IFERROR(INDEX('Level Multipliers'!$D:$D,MATCH(P104,'Level Multipliers'!$A:$A,0)),"")</f>
        <v>1.7173900470456649</v>
      </c>
      <c r="R104" s="37">
        <f t="shared" si="37"/>
        <v>17</v>
      </c>
      <c r="S104" s="37">
        <f t="shared" si="38"/>
        <v>15</v>
      </c>
      <c r="T104" s="38">
        <f t="shared" si="39"/>
        <v>1538788913.1212618</v>
      </c>
      <c r="U104" s="38">
        <f t="shared" si="40"/>
        <v>1541103751.3245609</v>
      </c>
      <c r="V104" s="38" t="b">
        <f t="shared" si="41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2"/>
        <v>19.5</v>
      </c>
      <c r="AI104" s="36">
        <f>IFERROR(INDEX('Level Multipliers'!$D:$D,MATCH(AH104,'Level Multipliers'!$A:$A,0)),"")</f>
        <v>1.6952373266621776</v>
      </c>
      <c r="AJ104" s="37">
        <f t="shared" si="43"/>
        <v>15</v>
      </c>
      <c r="AK104" s="37">
        <f t="shared" si="44"/>
        <v>15</v>
      </c>
      <c r="AL104" s="38">
        <f t="shared" si="45"/>
        <v>1460916207.8419592</v>
      </c>
      <c r="AM104" s="38">
        <f t="shared" si="46"/>
        <v>1463113900.2095704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20</v>
      </c>
      <c r="BA104" s="36">
        <f>IFERROR(INDEX('Level Multipliers'!$D:$D,MATCH(AZ104,'Level Multipliers'!$A:$A,0)),"")</f>
        <v>1.6739202944034379</v>
      </c>
      <c r="BB104" s="37">
        <f t="shared" si="49"/>
        <v>13</v>
      </c>
      <c r="BC104" s="37">
        <f t="shared" si="50"/>
        <v>14</v>
      </c>
      <c r="BD104" s="38">
        <f t="shared" si="51"/>
        <v>1388808547.8907292</v>
      </c>
      <c r="BE104" s="38">
        <f t="shared" si="52"/>
        <v>1390897766.9228606</v>
      </c>
      <c r="BF104" s="38" t="b">
        <f t="shared" si="53"/>
        <v>0</v>
      </c>
      <c r="BG104" s="37">
        <f t="array" ref="BG104:BQ104">IF(BF104,"",IVSolution($M104,$N104,$O104,BB104,BC104,BD104,BE104,$E104,$F104,$G104,$H104,$I104))</f>
        <v>1</v>
      </c>
      <c r="BH104" s="37">
        <v>41</v>
      </c>
      <c r="BI104" s="37">
        <v>41</v>
      </c>
      <c r="BJ104" s="39">
        <v>0.91111111111111109</v>
      </c>
      <c r="BK104" s="39">
        <v>0.91111111111111109</v>
      </c>
      <c r="BL104" s="37">
        <v>14</v>
      </c>
      <c r="BM104" s="37">
        <v>14</v>
      </c>
      <c r="BN104" s="37">
        <v>12</v>
      </c>
      <c r="BO104" s="37">
        <v>12</v>
      </c>
      <c r="BP104" s="37">
        <v>15</v>
      </c>
      <c r="BQ104" s="37">
        <v>15</v>
      </c>
      <c r="BR104" s="40">
        <f t="shared" si="54"/>
        <v>20.5</v>
      </c>
      <c r="BS104" s="36">
        <f>IFERROR(INDEX('Level Multipliers'!$D:$D,MATCH(BR104,'Level Multipliers'!$A:$A,0)),"")</f>
        <v>1.6533745038028393</v>
      </c>
      <c r="BT104" s="37">
        <f t="shared" si="55"/>
        <v>11</v>
      </c>
      <c r="BU104" s="37">
        <f t="shared" si="56"/>
        <v>11</v>
      </c>
      <c r="BV104" s="38">
        <f t="shared" si="57"/>
        <v>1321868418.7049775</v>
      </c>
      <c r="BW104" s="38">
        <f t="shared" si="58"/>
        <v>1323856938.0459092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60"/>
        <v>20</v>
      </c>
      <c r="CK104" s="41">
        <f t="shared" si="61"/>
        <v>20</v>
      </c>
      <c r="CL104" s="66">
        <f t="shared" si="62"/>
        <v>0.91111111111111109</v>
      </c>
      <c r="CM104" s="39">
        <f t="shared" si="63"/>
        <v>0.91111111111111109</v>
      </c>
      <c r="CN104" s="39">
        <f t="shared" si="64"/>
        <v>0.91111111111111109</v>
      </c>
      <c r="CO104" s="42">
        <f t="shared" si="65"/>
        <v>14</v>
      </c>
      <c r="CP104" s="42">
        <f t="shared" si="66"/>
        <v>14</v>
      </c>
      <c r="CQ104" s="42">
        <f t="shared" si="67"/>
        <v>12</v>
      </c>
      <c r="CR104" s="42">
        <f t="shared" si="68"/>
        <v>12</v>
      </c>
      <c r="CS104" s="42">
        <f t="shared" si="69"/>
        <v>15</v>
      </c>
      <c r="CT104" s="42">
        <f t="shared" si="70"/>
        <v>15</v>
      </c>
      <c r="CU104" s="43">
        <f t="shared" si="71"/>
        <v>14</v>
      </c>
      <c r="CV104" s="43">
        <f t="shared" si="72"/>
        <v>12</v>
      </c>
      <c r="CW104" s="43">
        <f t="shared" si="73"/>
        <v>15</v>
      </c>
      <c r="CX104" s="13" t="s">
        <v>422</v>
      </c>
    </row>
    <row r="105" spans="1:102" x14ac:dyDescent="0.25">
      <c r="A105" s="31" t="s">
        <v>108</v>
      </c>
      <c r="B105" s="13">
        <v>669</v>
      </c>
      <c r="C105" s="13">
        <v>56</v>
      </c>
      <c r="D105" s="13">
        <v>25</v>
      </c>
      <c r="E105" s="32" t="s">
        <v>0</v>
      </c>
      <c r="F105" s="32"/>
      <c r="G105" s="32"/>
      <c r="H105" s="32">
        <v>1</v>
      </c>
      <c r="I105" s="32" t="s">
        <v>0</v>
      </c>
      <c r="J105" s="13"/>
      <c r="K105" s="33"/>
      <c r="L105" s="34">
        <f>IFERROR(INDEX('Pokemon Data'!A:A,MATCH($A105,'Pokemon Data'!$B:$B,0)),"")</f>
        <v>74</v>
      </c>
      <c r="M105" s="34">
        <f>IFERROR(INDEX('Pokemon Data'!I:I,MATCH($A105,'Pokemon Data'!$B:$B,0)),"")</f>
        <v>80</v>
      </c>
      <c r="N105" s="34">
        <f>IFERROR(INDEX('Pokemon Data'!J:J,MATCH($A105,'Pokemon Data'!$B:$B,0)),"")</f>
        <v>132</v>
      </c>
      <c r="O105" s="34">
        <f>IFERROR(INDEX('Pokemon Data'!K:K,MATCH($A105,'Pokemon Data'!$B:$B,0)),"")</f>
        <v>163</v>
      </c>
      <c r="P105" s="35">
        <f>IFERROR(INDEX('Level Multipliers'!$A:$A,MATCH($D105,'Level Multipliers'!$B:$B,0)),"")</f>
        <v>19</v>
      </c>
      <c r="Q105" s="36">
        <f>IFERROR(INDEX('Level Multipliers'!$D:$D,MATCH(P105,'Level Multipliers'!$A:$A,0)),"")</f>
        <v>1.7173900470456649</v>
      </c>
      <c r="R105" s="37">
        <f t="shared" si="37"/>
        <v>17</v>
      </c>
      <c r="S105" s="37">
        <f t="shared" si="38"/>
        <v>15</v>
      </c>
      <c r="T105" s="38">
        <f t="shared" si="39"/>
        <v>389339083.46738935</v>
      </c>
      <c r="U105" s="38">
        <f t="shared" si="40"/>
        <v>390503896.82861352</v>
      </c>
      <c r="V105" s="38" t="b">
        <f t="shared" si="41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2"/>
        <v>19.5</v>
      </c>
      <c r="AI105" s="36">
        <f>IFERROR(INDEX('Level Multipliers'!$D:$D,MATCH(AH105,'Level Multipliers'!$A:$A,0)),"")</f>
        <v>1.6952373266621776</v>
      </c>
      <c r="AJ105" s="37">
        <f t="shared" si="43"/>
        <v>15</v>
      </c>
      <c r="AK105" s="37">
        <f t="shared" si="44"/>
        <v>15</v>
      </c>
      <c r="AL105" s="38">
        <f t="shared" si="45"/>
        <v>369635999.15085936</v>
      </c>
      <c r="AM105" s="38">
        <f t="shared" si="46"/>
        <v>370741865.39671856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20</v>
      </c>
      <c r="BA105" s="36">
        <f>IFERROR(INDEX('Level Multipliers'!$D:$D,MATCH(AZ105,'Level Multipliers'!$A:$A,0)),"")</f>
        <v>1.6739202944034379</v>
      </c>
      <c r="BB105" s="37">
        <f t="shared" si="49"/>
        <v>14</v>
      </c>
      <c r="BC105" s="37">
        <f t="shared" si="50"/>
        <v>15</v>
      </c>
      <c r="BD105" s="38">
        <f t="shared" si="51"/>
        <v>351391566.79434824</v>
      </c>
      <c r="BE105" s="38">
        <f t="shared" si="52"/>
        <v>352442849.87740874</v>
      </c>
      <c r="BF105" s="38" t="b">
        <f t="shared" si="53"/>
        <v>0</v>
      </c>
      <c r="BG105" s="37">
        <f t="array" ref="BG105:BQ105">IF(BF105,"",IVSolution($M105,$N105,$O105,BB105,BC105,BD105,BE105,$E105,$F105,$G105,$H105,$I105))</f>
        <v>1</v>
      </c>
      <c r="BH105" s="37">
        <v>42</v>
      </c>
      <c r="BI105" s="37">
        <v>42</v>
      </c>
      <c r="BJ105" s="39">
        <v>0.93333333333333335</v>
      </c>
      <c r="BK105" s="39">
        <v>0.93333333333333335</v>
      </c>
      <c r="BL105" s="37">
        <v>14</v>
      </c>
      <c r="BM105" s="37">
        <v>14</v>
      </c>
      <c r="BN105" s="37">
        <v>13</v>
      </c>
      <c r="BO105" s="37">
        <v>13</v>
      </c>
      <c r="BP105" s="37">
        <v>15</v>
      </c>
      <c r="BQ105" s="37">
        <v>15</v>
      </c>
      <c r="BR105" s="40">
        <f t="shared" si="54"/>
        <v>20.5</v>
      </c>
      <c r="BS105" s="36">
        <f>IFERROR(INDEX('Level Multipliers'!$D:$D,MATCH(BR105,'Level Multipliers'!$A:$A,0)),"")</f>
        <v>1.6533745038028393</v>
      </c>
      <c r="BT105" s="37">
        <f t="shared" si="55"/>
        <v>13</v>
      </c>
      <c r="BU105" s="37">
        <f t="shared" si="56"/>
        <v>14</v>
      </c>
      <c r="BV105" s="38">
        <f t="shared" si="57"/>
        <v>334454605.31630874</v>
      </c>
      <c r="BW105" s="38">
        <f t="shared" si="58"/>
        <v>335455216.88996804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60"/>
        <v>20</v>
      </c>
      <c r="CK105" s="41">
        <f t="shared" si="61"/>
        <v>20</v>
      </c>
      <c r="CL105" s="66">
        <f t="shared" si="62"/>
        <v>0.93333333333333335</v>
      </c>
      <c r="CM105" s="39">
        <f t="shared" si="63"/>
        <v>0.93333333333333335</v>
      </c>
      <c r="CN105" s="39">
        <f t="shared" si="64"/>
        <v>0.93333333333333335</v>
      </c>
      <c r="CO105" s="42">
        <f t="shared" si="65"/>
        <v>14</v>
      </c>
      <c r="CP105" s="42">
        <f t="shared" si="66"/>
        <v>14</v>
      </c>
      <c r="CQ105" s="42">
        <f t="shared" si="67"/>
        <v>13</v>
      </c>
      <c r="CR105" s="42">
        <f t="shared" si="68"/>
        <v>13</v>
      </c>
      <c r="CS105" s="42">
        <f t="shared" si="69"/>
        <v>15</v>
      </c>
      <c r="CT105" s="42">
        <f t="shared" si="70"/>
        <v>15</v>
      </c>
      <c r="CU105" s="43">
        <f t="shared" si="71"/>
        <v>14</v>
      </c>
      <c r="CV105" s="43">
        <f t="shared" si="72"/>
        <v>13</v>
      </c>
      <c r="CW105" s="43">
        <f t="shared" si="73"/>
        <v>15</v>
      </c>
      <c r="CX105" s="13" t="s">
        <v>396</v>
      </c>
    </row>
    <row r="106" spans="1:102" x14ac:dyDescent="0.25">
      <c r="A106" s="31" t="s">
        <v>108</v>
      </c>
      <c r="B106" s="13">
        <v>668</v>
      </c>
      <c r="C106" s="13">
        <v>55</v>
      </c>
      <c r="D106" s="13">
        <v>25</v>
      </c>
      <c r="E106" s="32" t="s">
        <v>0</v>
      </c>
      <c r="F106" s="32"/>
      <c r="G106" s="32">
        <v>1</v>
      </c>
      <c r="H106" s="32">
        <v>1</v>
      </c>
      <c r="I106" s="32" t="s">
        <v>2</v>
      </c>
      <c r="J106" s="13"/>
      <c r="K106" s="33"/>
      <c r="L106" s="34">
        <f>IFERROR(INDEX('Pokemon Data'!A:A,MATCH($A106,'Pokemon Data'!$B:$B,0)),"")</f>
        <v>74</v>
      </c>
      <c r="M106" s="34">
        <f>IFERROR(INDEX('Pokemon Data'!I:I,MATCH($A106,'Pokemon Data'!$B:$B,0)),"")</f>
        <v>80</v>
      </c>
      <c r="N106" s="34">
        <f>IFERROR(INDEX('Pokemon Data'!J:J,MATCH($A106,'Pokemon Data'!$B:$B,0)),"")</f>
        <v>132</v>
      </c>
      <c r="O106" s="34">
        <f>IFERROR(INDEX('Pokemon Data'!K:K,MATCH($A106,'Pokemon Data'!$B:$B,0)),"")</f>
        <v>163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37"/>
        <v>15</v>
      </c>
      <c r="S106" s="37">
        <f t="shared" si="38"/>
        <v>15</v>
      </c>
      <c r="T106" s="38">
        <f t="shared" si="39"/>
        <v>388176009.93194747</v>
      </c>
      <c r="U106" s="38">
        <f t="shared" si="40"/>
        <v>389339083.46738935</v>
      </c>
      <c r="V106" s="38" t="b">
        <f t="shared" si="41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2"/>
        <v>19.5</v>
      </c>
      <c r="AI106" s="36">
        <f>IFERROR(INDEX('Level Multipliers'!$D:$D,MATCH(AH106,'Level Multipliers'!$A:$A,0)),"")</f>
        <v>1.6952373266621776</v>
      </c>
      <c r="AJ106" s="37">
        <f t="shared" si="43"/>
        <v>14</v>
      </c>
      <c r="AK106" s="37">
        <f t="shared" si="44"/>
        <v>14</v>
      </c>
      <c r="AL106" s="38">
        <f t="shared" si="45"/>
        <v>368531784.68430686</v>
      </c>
      <c r="AM106" s="38">
        <f t="shared" si="46"/>
        <v>369635999.15085936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20</v>
      </c>
      <c r="BA106" s="36">
        <f>IFERROR(INDEX('Level Multipliers'!$D:$D,MATCH(AZ106,'Level Multipliers'!$A:$A,0)),"")</f>
        <v>1.6739202944034379</v>
      </c>
      <c r="BB106" s="37">
        <f t="shared" si="49"/>
        <v>13</v>
      </c>
      <c r="BC106" s="37">
        <f t="shared" si="50"/>
        <v>13</v>
      </c>
      <c r="BD106" s="38">
        <f t="shared" si="51"/>
        <v>350341853.96234536</v>
      </c>
      <c r="BE106" s="38">
        <f t="shared" si="52"/>
        <v>351391566.79434824</v>
      </c>
      <c r="BF106" s="38" t="b">
        <f t="shared" si="53"/>
        <v>0</v>
      </c>
      <c r="BG106" s="37">
        <f t="array" ref="BG106:BQ106">IF(BF106,"",IVSolution($M106,$N106,$O106,BB106,BC106,BD106,BE106,$E106,$F106,$G106,$H106,$I106))</f>
        <v>1</v>
      </c>
      <c r="BH106" s="37">
        <v>41</v>
      </c>
      <c r="BI106" s="37">
        <v>41</v>
      </c>
      <c r="BJ106" s="39">
        <v>0.91111111111111109</v>
      </c>
      <c r="BK106" s="39">
        <v>0.91111111111111109</v>
      </c>
      <c r="BL106" s="37">
        <v>13</v>
      </c>
      <c r="BM106" s="37">
        <v>13</v>
      </c>
      <c r="BN106" s="37">
        <v>14</v>
      </c>
      <c r="BO106" s="37">
        <v>14</v>
      </c>
      <c r="BP106" s="37">
        <v>14</v>
      </c>
      <c r="BQ106" s="37">
        <v>14</v>
      </c>
      <c r="BR106" s="40">
        <f t="shared" si="54"/>
        <v>20.5</v>
      </c>
      <c r="BS106" s="36">
        <f>IFERROR(INDEX('Level Multipliers'!$D:$D,MATCH(BR106,'Level Multipliers'!$A:$A,0)),"")</f>
        <v>1.6533745038028393</v>
      </c>
      <c r="BT106" s="37">
        <f t="shared" si="55"/>
        <v>11</v>
      </c>
      <c r="BU106" s="37">
        <f t="shared" si="56"/>
        <v>12</v>
      </c>
      <c r="BV106" s="38">
        <f t="shared" si="57"/>
        <v>333455488.30810672</v>
      </c>
      <c r="BW106" s="38">
        <f t="shared" si="58"/>
        <v>334454605.31630874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60"/>
        <v>20</v>
      </c>
      <c r="CK106" s="41">
        <f t="shared" si="61"/>
        <v>20</v>
      </c>
      <c r="CL106" s="66">
        <f t="shared" si="62"/>
        <v>0.91111111111111109</v>
      </c>
      <c r="CM106" s="39">
        <f t="shared" si="63"/>
        <v>0.91111111111111109</v>
      </c>
      <c r="CN106" s="39">
        <f t="shared" si="64"/>
        <v>0.91111111111111109</v>
      </c>
      <c r="CO106" s="42">
        <f t="shared" si="65"/>
        <v>13</v>
      </c>
      <c r="CP106" s="42">
        <f t="shared" si="66"/>
        <v>13</v>
      </c>
      <c r="CQ106" s="42">
        <f t="shared" si="67"/>
        <v>14</v>
      </c>
      <c r="CR106" s="42">
        <f t="shared" si="68"/>
        <v>14</v>
      </c>
      <c r="CS106" s="42">
        <f t="shared" si="69"/>
        <v>14</v>
      </c>
      <c r="CT106" s="42">
        <f t="shared" si="70"/>
        <v>14</v>
      </c>
      <c r="CU106" s="43">
        <f t="shared" si="71"/>
        <v>13</v>
      </c>
      <c r="CV106" s="43">
        <f t="shared" si="72"/>
        <v>14</v>
      </c>
      <c r="CW106" s="43">
        <f t="shared" si="73"/>
        <v>14</v>
      </c>
      <c r="CX106" s="13" t="s">
        <v>394</v>
      </c>
    </row>
    <row r="107" spans="1:102" x14ac:dyDescent="0.25">
      <c r="A107" s="31" t="s">
        <v>108</v>
      </c>
      <c r="B107" s="13">
        <v>667</v>
      </c>
      <c r="C107" s="13">
        <v>55</v>
      </c>
      <c r="D107" s="13">
        <v>25</v>
      </c>
      <c r="E107" s="32" t="s">
        <v>0</v>
      </c>
      <c r="F107" s="32"/>
      <c r="G107" s="32">
        <v>1</v>
      </c>
      <c r="H107" s="32"/>
      <c r="I107" s="32" t="s">
        <v>0</v>
      </c>
      <c r="J107" s="13"/>
      <c r="K107" s="33"/>
      <c r="L107" s="34">
        <f>IFERROR(INDEX('Pokemon Data'!A:A,MATCH($A107,'Pokemon Data'!$B:$B,0)),"")</f>
        <v>74</v>
      </c>
      <c r="M107" s="34">
        <f>IFERROR(INDEX('Pokemon Data'!I:I,MATCH($A107,'Pokemon Data'!$B:$B,0)),"")</f>
        <v>80</v>
      </c>
      <c r="N107" s="34">
        <f>IFERROR(INDEX('Pokemon Data'!J:J,MATCH($A107,'Pokemon Data'!$B:$B,0)),"")</f>
        <v>132</v>
      </c>
      <c r="O107" s="34">
        <f>IFERROR(INDEX('Pokemon Data'!K:K,MATCH($A107,'Pokemon Data'!$B:$B,0)),"")</f>
        <v>163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7"/>
        <v>15</v>
      </c>
      <c r="S107" s="37">
        <f t="shared" si="38"/>
        <v>15</v>
      </c>
      <c r="T107" s="38">
        <f t="shared" si="39"/>
        <v>387014676.22228789</v>
      </c>
      <c r="U107" s="38">
        <f t="shared" si="40"/>
        <v>388176009.93194747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19.5</v>
      </c>
      <c r="AI107" s="36">
        <f>IFERROR(INDEX('Level Multipliers'!$D:$D,MATCH(AH107,'Level Multipliers'!$A:$A,0)),"")</f>
        <v>1.6952373266621776</v>
      </c>
      <c r="AJ107" s="37">
        <f t="shared" si="43"/>
        <v>14</v>
      </c>
      <c r="AK107" s="37">
        <f t="shared" si="44"/>
        <v>14</v>
      </c>
      <c r="AL107" s="38">
        <f t="shared" si="45"/>
        <v>367429221.99706113</v>
      </c>
      <c r="AM107" s="38">
        <f t="shared" si="46"/>
        <v>368531784.68430686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20</v>
      </c>
      <c r="BA107" s="36">
        <f>IFERROR(INDEX('Level Multipliers'!$D:$D,MATCH(AZ107,'Level Multipliers'!$A:$A,0)),"")</f>
        <v>1.6739202944034379</v>
      </c>
      <c r="BB107" s="37">
        <f t="shared" si="49"/>
        <v>13</v>
      </c>
      <c r="BC107" s="37">
        <f t="shared" si="50"/>
        <v>13</v>
      </c>
      <c r="BD107" s="38">
        <f t="shared" si="51"/>
        <v>349293711.38140005</v>
      </c>
      <c r="BE107" s="38">
        <f t="shared" si="52"/>
        <v>350341853.96234536</v>
      </c>
      <c r="BF107" s="38" t="b">
        <f t="shared" si="53"/>
        <v>0</v>
      </c>
      <c r="BG107" s="37">
        <f t="array" ref="BG107:BQ107">IF(BF107,"",IVSolution($M107,$N107,$O107,BB107,BC107,BD107,BE107,$E107,$F107,$G107,$H107,$I107))</f>
        <v>1</v>
      </c>
      <c r="BH107" s="37">
        <v>39</v>
      </c>
      <c r="BI107" s="37">
        <v>39</v>
      </c>
      <c r="BJ107" s="39">
        <v>0.8666666666666667</v>
      </c>
      <c r="BK107" s="39">
        <v>0.8666666666666667</v>
      </c>
      <c r="BL107" s="37">
        <v>13</v>
      </c>
      <c r="BM107" s="37">
        <v>13</v>
      </c>
      <c r="BN107" s="37">
        <v>15</v>
      </c>
      <c r="BO107" s="37">
        <v>15</v>
      </c>
      <c r="BP107" s="37">
        <v>11</v>
      </c>
      <c r="BQ107" s="37">
        <v>11</v>
      </c>
      <c r="BR107" s="40">
        <f t="shared" si="54"/>
        <v>20.5</v>
      </c>
      <c r="BS107" s="36">
        <f>IFERROR(INDEX('Level Multipliers'!$D:$D,MATCH(BR107,'Level Multipliers'!$A:$A,0)),"")</f>
        <v>1.6533745038028393</v>
      </c>
      <c r="BT107" s="37">
        <f t="shared" si="55"/>
        <v>11</v>
      </c>
      <c r="BU107" s="37">
        <f t="shared" si="56"/>
        <v>12</v>
      </c>
      <c r="BV107" s="38">
        <f t="shared" si="57"/>
        <v>332457865.86536199</v>
      </c>
      <c r="BW107" s="38">
        <f t="shared" si="58"/>
        <v>333455488.30810672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60"/>
        <v>20</v>
      </c>
      <c r="CK107" s="41">
        <f t="shared" si="61"/>
        <v>20</v>
      </c>
      <c r="CL107" s="66">
        <f t="shared" si="62"/>
        <v>0.8666666666666667</v>
      </c>
      <c r="CM107" s="39">
        <f t="shared" si="63"/>
        <v>0.8666666666666667</v>
      </c>
      <c r="CN107" s="39">
        <f t="shared" si="64"/>
        <v>0.8666666666666667</v>
      </c>
      <c r="CO107" s="42">
        <f t="shared" si="65"/>
        <v>13</v>
      </c>
      <c r="CP107" s="42">
        <f t="shared" si="66"/>
        <v>13</v>
      </c>
      <c r="CQ107" s="42">
        <f t="shared" si="67"/>
        <v>15</v>
      </c>
      <c r="CR107" s="42">
        <f t="shared" si="68"/>
        <v>15</v>
      </c>
      <c r="CS107" s="42">
        <f t="shared" si="69"/>
        <v>11</v>
      </c>
      <c r="CT107" s="42">
        <f t="shared" si="70"/>
        <v>11</v>
      </c>
      <c r="CU107" s="43">
        <f t="shared" si="71"/>
        <v>13</v>
      </c>
      <c r="CV107" s="43">
        <f t="shared" si="72"/>
        <v>15</v>
      </c>
      <c r="CW107" s="43">
        <f t="shared" si="73"/>
        <v>11</v>
      </c>
      <c r="CX107" s="13" t="s">
        <v>395</v>
      </c>
    </row>
    <row r="108" spans="1:102" x14ac:dyDescent="0.25">
      <c r="A108" s="31" t="s">
        <v>111</v>
      </c>
      <c r="B108" s="13">
        <v>1651</v>
      </c>
      <c r="C108" s="13">
        <v>104</v>
      </c>
      <c r="D108" s="13">
        <v>25</v>
      </c>
      <c r="E108" s="32" t="s">
        <v>0</v>
      </c>
      <c r="F108" s="32">
        <v>1</v>
      </c>
      <c r="G108" s="32"/>
      <c r="H108" s="32">
        <v>1</v>
      </c>
      <c r="I108" s="32" t="s">
        <v>0</v>
      </c>
      <c r="J108" s="13"/>
      <c r="K108" s="33"/>
      <c r="L108" s="34">
        <f>IFERROR(INDEX('Pokemon Data'!A:A,MATCH($A108,'Pokemon Data'!$B:$B,0)),"")</f>
        <v>76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211</v>
      </c>
      <c r="O108" s="34">
        <f>IFERROR(INDEX('Pokemon Data'!K:K,MATCH($A108,'Pokemon Data'!$B:$B,0)),"")</f>
        <v>229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7"/>
        <v>19</v>
      </c>
      <c r="S108" s="37">
        <f t="shared" si="38"/>
        <v>15</v>
      </c>
      <c r="T108" s="38">
        <f t="shared" si="39"/>
        <v>2371209428.55721</v>
      </c>
      <c r="U108" s="38">
        <f t="shared" si="40"/>
        <v>2374082750.8366146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19.5</v>
      </c>
      <c r="AI108" s="36">
        <f>IFERROR(INDEX('Level Multipliers'!$D:$D,MATCH(AH108,'Level Multipliers'!$A:$A,0)),"")</f>
        <v>1.6952373266621776</v>
      </c>
      <c r="AJ108" s="37">
        <f t="shared" si="43"/>
        <v>17</v>
      </c>
      <c r="AK108" s="37">
        <f t="shared" si="44"/>
        <v>15</v>
      </c>
      <c r="AL108" s="38">
        <f t="shared" si="45"/>
        <v>2251210843.0390754</v>
      </c>
      <c r="AM108" s="38">
        <f t="shared" si="46"/>
        <v>2253938756.5641484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20</v>
      </c>
      <c r="BA108" s="36">
        <f>IFERROR(INDEX('Level Multipliers'!$D:$D,MATCH(AZ108,'Level Multipliers'!$A:$A,0)),"")</f>
        <v>1.6739202944034379</v>
      </c>
      <c r="BB108" s="37">
        <f t="shared" si="49"/>
        <v>15</v>
      </c>
      <c r="BC108" s="37">
        <f t="shared" si="50"/>
        <v>15</v>
      </c>
      <c r="BD108" s="38">
        <f t="shared" si="51"/>
        <v>2140095951.5230353</v>
      </c>
      <c r="BE108" s="38">
        <f t="shared" si="52"/>
        <v>2142689221.144655</v>
      </c>
      <c r="BF108" s="38" t="b">
        <f t="shared" si="53"/>
        <v>0</v>
      </c>
      <c r="BG108" s="37">
        <f t="array" ref="BG108:BQ108">IF(BF108,"",IVSolution($M108,$N108,$O108,BB108,BC108,BD108,BE108,$E108,$F108,$G108,$H108,$I108))</f>
        <v>1</v>
      </c>
      <c r="BH108" s="37">
        <v>43</v>
      </c>
      <c r="BI108" s="37">
        <v>43</v>
      </c>
      <c r="BJ108" s="39">
        <v>0.9555555555555556</v>
      </c>
      <c r="BK108" s="39">
        <v>0.9555555555555556</v>
      </c>
      <c r="BL108" s="37">
        <v>15</v>
      </c>
      <c r="BM108" s="37">
        <v>15</v>
      </c>
      <c r="BN108" s="37">
        <v>13</v>
      </c>
      <c r="BO108" s="37">
        <v>13</v>
      </c>
      <c r="BP108" s="37">
        <v>15</v>
      </c>
      <c r="BQ108" s="37">
        <v>15</v>
      </c>
      <c r="BR108" s="40">
        <f t="shared" si="54"/>
        <v>20.5</v>
      </c>
      <c r="BS108" s="36">
        <f>IFERROR(INDEX('Level Multipliers'!$D:$D,MATCH(BR108,'Level Multipliers'!$A:$A,0)),"")</f>
        <v>1.6533745038028393</v>
      </c>
      <c r="BT108" s="37">
        <f t="shared" si="55"/>
        <v>12</v>
      </c>
      <c r="BU108" s="37">
        <f t="shared" si="56"/>
        <v>13</v>
      </c>
      <c r="BV108" s="38">
        <f t="shared" si="57"/>
        <v>2036944009.0307233</v>
      </c>
      <c r="BW108" s="38">
        <f t="shared" si="58"/>
        <v>2039412283.8834469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60"/>
        <v>20</v>
      </c>
      <c r="CK108" s="41">
        <f t="shared" si="61"/>
        <v>20</v>
      </c>
      <c r="CL108" s="66">
        <f t="shared" si="62"/>
        <v>0.9555555555555556</v>
      </c>
      <c r="CM108" s="39">
        <f t="shared" si="63"/>
        <v>0.9555555555555556</v>
      </c>
      <c r="CN108" s="39">
        <f t="shared" si="64"/>
        <v>0.9555555555555556</v>
      </c>
      <c r="CO108" s="42">
        <f t="shared" si="65"/>
        <v>15</v>
      </c>
      <c r="CP108" s="42">
        <f t="shared" si="66"/>
        <v>15</v>
      </c>
      <c r="CQ108" s="42">
        <f t="shared" si="67"/>
        <v>13</v>
      </c>
      <c r="CR108" s="42">
        <f t="shared" si="68"/>
        <v>13</v>
      </c>
      <c r="CS108" s="42">
        <f t="shared" si="69"/>
        <v>15</v>
      </c>
      <c r="CT108" s="42">
        <f t="shared" si="70"/>
        <v>15</v>
      </c>
      <c r="CU108" s="43">
        <f t="shared" si="71"/>
        <v>15</v>
      </c>
      <c r="CV108" s="43">
        <f t="shared" si="72"/>
        <v>13</v>
      </c>
      <c r="CW108" s="43">
        <f t="shared" si="73"/>
        <v>15</v>
      </c>
      <c r="CX108" s="13" t="s">
        <v>432</v>
      </c>
    </row>
    <row r="109" spans="1:102" x14ac:dyDescent="0.25">
      <c r="A109" s="31" t="s">
        <v>112</v>
      </c>
      <c r="B109" s="13">
        <v>830</v>
      </c>
      <c r="C109" s="13">
        <v>68</v>
      </c>
      <c r="D109" s="13">
        <v>25</v>
      </c>
      <c r="E109" s="32" t="s">
        <v>0</v>
      </c>
      <c r="F109" s="32">
        <v>1</v>
      </c>
      <c r="G109" s="32"/>
      <c r="H109" s="32"/>
      <c r="I109" s="32" t="s">
        <v>0</v>
      </c>
      <c r="J109" s="13"/>
      <c r="K109" s="33"/>
      <c r="L109" s="34">
        <f>IFERROR(INDEX('Pokemon Data'!A:A,MATCH($A109,'Pokemon Data'!$B:$B,0)),"")</f>
        <v>77</v>
      </c>
      <c r="M109" s="34">
        <f>IFERROR(INDEX('Pokemon Data'!I:I,MATCH($A109,'Pokemon Data'!$B:$B,0)),"")</f>
        <v>100</v>
      </c>
      <c r="N109" s="34">
        <f>IFERROR(INDEX('Pokemon Data'!J:J,MATCH($A109,'Pokemon Data'!$B:$B,0)),"")</f>
        <v>170</v>
      </c>
      <c r="O109" s="34">
        <f>IFERROR(INDEX('Pokemon Data'!K:K,MATCH($A109,'Pokemon Data'!$B:$B,0)),"")</f>
        <v>132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37"/>
        <v>17</v>
      </c>
      <c r="S109" s="37">
        <f t="shared" si="38"/>
        <v>15</v>
      </c>
      <c r="T109" s="38">
        <f t="shared" si="39"/>
        <v>599282990.7000041</v>
      </c>
      <c r="U109" s="38">
        <f t="shared" si="40"/>
        <v>600727916.01217234</v>
      </c>
      <c r="V109" s="38" t="b">
        <f t="shared" si="41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2"/>
        <v>19.5</v>
      </c>
      <c r="AI109" s="36">
        <f>IFERROR(INDEX('Level Multipliers'!$D:$D,MATCH(AH109,'Level Multipliers'!$A:$A,0)),"")</f>
        <v>1.6952373266621776</v>
      </c>
      <c r="AJ109" s="37">
        <f t="shared" si="43"/>
        <v>16</v>
      </c>
      <c r="AK109" s="37">
        <f t="shared" si="44"/>
        <v>15</v>
      </c>
      <c r="AL109" s="38">
        <f t="shared" si="45"/>
        <v>568955382.20494413</v>
      </c>
      <c r="AM109" s="38">
        <f t="shared" si="46"/>
        <v>570327184.91918778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20</v>
      </c>
      <c r="BA109" s="36">
        <f>IFERROR(INDEX('Level Multipliers'!$D:$D,MATCH(AZ109,'Level Multipliers'!$A:$A,0)),"")</f>
        <v>1.6739202944034379</v>
      </c>
      <c r="BB109" s="37">
        <f t="shared" si="49"/>
        <v>14</v>
      </c>
      <c r="BC109" s="37">
        <f t="shared" si="50"/>
        <v>15</v>
      </c>
      <c r="BD109" s="38">
        <f t="shared" si="51"/>
        <v>540872976.78892148</v>
      </c>
      <c r="BE109" s="38">
        <f t="shared" si="52"/>
        <v>542177070.29225492</v>
      </c>
      <c r="BF109" s="38" t="b">
        <f t="shared" si="53"/>
        <v>0</v>
      </c>
      <c r="BG109" s="37">
        <f t="array" ref="BG109:BQ109">IF(BF109,"",IVSolution($M109,$N109,$O109,BB109,BC109,BD109,BE109,$E109,$F109,$G109,$H109,$I109))</f>
        <v>1</v>
      </c>
      <c r="BH109" s="37">
        <v>37</v>
      </c>
      <c r="BI109" s="37">
        <v>37</v>
      </c>
      <c r="BJ109" s="39">
        <v>0.82222222222222219</v>
      </c>
      <c r="BK109" s="39">
        <v>0.82222222222222219</v>
      </c>
      <c r="BL109" s="37">
        <v>15</v>
      </c>
      <c r="BM109" s="37">
        <v>15</v>
      </c>
      <c r="BN109" s="37">
        <v>12</v>
      </c>
      <c r="BO109" s="37">
        <v>12</v>
      </c>
      <c r="BP109" s="37">
        <v>10</v>
      </c>
      <c r="BQ109" s="37">
        <v>10</v>
      </c>
      <c r="BR109" s="40">
        <f t="shared" si="54"/>
        <v>20.5</v>
      </c>
      <c r="BS109" s="36">
        <f>IFERROR(INDEX('Level Multipliers'!$D:$D,MATCH(BR109,'Level Multipliers'!$A:$A,0)),"")</f>
        <v>1.6533745038028393</v>
      </c>
      <c r="BT109" s="37">
        <f t="shared" si="55"/>
        <v>13</v>
      </c>
      <c r="BU109" s="37">
        <f t="shared" si="56"/>
        <v>14</v>
      </c>
      <c r="BV109" s="38">
        <f t="shared" si="57"/>
        <v>514803071.76542431</v>
      </c>
      <c r="BW109" s="38">
        <f t="shared" si="58"/>
        <v>516044308.3777082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60"/>
        <v>20</v>
      </c>
      <c r="CK109" s="41">
        <f t="shared" si="61"/>
        <v>20</v>
      </c>
      <c r="CL109" s="66">
        <f t="shared" si="62"/>
        <v>0.82222222222222219</v>
      </c>
      <c r="CM109" s="39">
        <f t="shared" si="63"/>
        <v>0.82222222222222219</v>
      </c>
      <c r="CN109" s="39">
        <f t="shared" si="64"/>
        <v>0.82222222222222219</v>
      </c>
      <c r="CO109" s="42">
        <f t="shared" si="65"/>
        <v>15</v>
      </c>
      <c r="CP109" s="42">
        <f t="shared" si="66"/>
        <v>15</v>
      </c>
      <c r="CQ109" s="42">
        <f t="shared" si="67"/>
        <v>12</v>
      </c>
      <c r="CR109" s="42">
        <f t="shared" si="68"/>
        <v>12</v>
      </c>
      <c r="CS109" s="42">
        <f t="shared" si="69"/>
        <v>10</v>
      </c>
      <c r="CT109" s="42">
        <f t="shared" si="70"/>
        <v>10</v>
      </c>
      <c r="CU109" s="43">
        <f t="shared" si="71"/>
        <v>15</v>
      </c>
      <c r="CV109" s="43">
        <f t="shared" si="72"/>
        <v>12</v>
      </c>
      <c r="CW109" s="43">
        <f t="shared" si="73"/>
        <v>10</v>
      </c>
      <c r="CX109" s="13"/>
    </row>
    <row r="110" spans="1:102" x14ac:dyDescent="0.25">
      <c r="A110" s="31" t="s">
        <v>112</v>
      </c>
      <c r="B110" s="13">
        <v>826</v>
      </c>
      <c r="C110" s="13">
        <v>67</v>
      </c>
      <c r="D110" s="13">
        <v>25</v>
      </c>
      <c r="E110" s="32" t="s">
        <v>0</v>
      </c>
      <c r="F110" s="32">
        <v>1</v>
      </c>
      <c r="G110" s="32"/>
      <c r="H110" s="32">
        <v>1</v>
      </c>
      <c r="I110" s="32" t="s">
        <v>2</v>
      </c>
      <c r="J110" s="13"/>
      <c r="K110" s="33"/>
      <c r="L110" s="34">
        <f>IFERROR(INDEX('Pokemon Data'!A:A,MATCH($A110,'Pokemon Data'!$B:$B,0)),"")</f>
        <v>77</v>
      </c>
      <c r="M110" s="34">
        <f>IFERROR(INDEX('Pokemon Data'!I:I,MATCH($A110,'Pokemon Data'!$B:$B,0)),"")</f>
        <v>100</v>
      </c>
      <c r="N110" s="34">
        <f>IFERROR(INDEX('Pokemon Data'!J:J,MATCH($A110,'Pokemon Data'!$B:$B,0)),"")</f>
        <v>170</v>
      </c>
      <c r="O110" s="34">
        <f>IFERROR(INDEX('Pokemon Data'!K:K,MATCH($A110,'Pokemon Data'!$B:$B,0)),"")</f>
        <v>132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7"/>
        <v>16</v>
      </c>
      <c r="S110" s="37">
        <f t="shared" si="38"/>
        <v>15</v>
      </c>
      <c r="T110" s="38">
        <f t="shared" si="39"/>
        <v>593520687.70915365</v>
      </c>
      <c r="U110" s="38">
        <f t="shared" si="40"/>
        <v>594958653.71819293</v>
      </c>
      <c r="V110" s="38" t="b">
        <f t="shared" si="41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2"/>
        <v>19.5</v>
      </c>
      <c r="AI110" s="36">
        <f>IFERROR(INDEX('Level Multipliers'!$D:$D,MATCH(AH110,'Level Multipliers'!$A:$A,0)),"")</f>
        <v>1.6952373266621776</v>
      </c>
      <c r="AJ110" s="37">
        <f t="shared" si="43"/>
        <v>14</v>
      </c>
      <c r="AK110" s="37">
        <f t="shared" si="44"/>
        <v>15</v>
      </c>
      <c r="AL110" s="38">
        <f t="shared" si="45"/>
        <v>563484689.14103711</v>
      </c>
      <c r="AM110" s="38">
        <f t="shared" si="46"/>
        <v>564849884.7380538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20</v>
      </c>
      <c r="BA110" s="36">
        <f>IFERROR(INDEX('Level Multipliers'!$D:$D,MATCH(AZ110,'Level Multipliers'!$A:$A,0)),"")</f>
        <v>1.6739202944034379</v>
      </c>
      <c r="BB110" s="37">
        <f t="shared" si="49"/>
        <v>13</v>
      </c>
      <c r="BC110" s="37">
        <f t="shared" si="50"/>
        <v>13</v>
      </c>
      <c r="BD110" s="38">
        <f t="shared" si="51"/>
        <v>535672305.28616375</v>
      </c>
      <c r="BE110" s="38">
        <f t="shared" si="52"/>
        <v>536970117.78526688</v>
      </c>
      <c r="BF110" s="38" t="b">
        <f t="shared" si="53"/>
        <v>0</v>
      </c>
      <c r="BG110" s="37">
        <f t="array" ref="BG110:BQ110">IF(BF110,"",IVSolution($M110,$N110,$O110,BB110,BC110,BD110,BE110,$E110,$F110,$G110,$H110,$I110))</f>
        <v>1</v>
      </c>
      <c r="BH110" s="37">
        <v>37</v>
      </c>
      <c r="BI110" s="37">
        <v>37</v>
      </c>
      <c r="BJ110" s="39">
        <v>0.82222222222222219</v>
      </c>
      <c r="BK110" s="39">
        <v>0.82222222222222219</v>
      </c>
      <c r="BL110" s="37">
        <v>13</v>
      </c>
      <c r="BM110" s="37">
        <v>13</v>
      </c>
      <c r="BN110" s="37">
        <v>11</v>
      </c>
      <c r="BO110" s="37">
        <v>11</v>
      </c>
      <c r="BP110" s="37">
        <v>13</v>
      </c>
      <c r="BQ110" s="37">
        <v>13</v>
      </c>
      <c r="BR110" s="40">
        <f t="shared" si="54"/>
        <v>20.5</v>
      </c>
      <c r="BS110" s="36">
        <f>IFERROR(INDEX('Level Multipliers'!$D:$D,MATCH(BR110,'Level Multipliers'!$A:$A,0)),"")</f>
        <v>1.6533745038028393</v>
      </c>
      <c r="BT110" s="37">
        <f t="shared" si="55"/>
        <v>11</v>
      </c>
      <c r="BU110" s="37">
        <f t="shared" si="56"/>
        <v>12</v>
      </c>
      <c r="BV110" s="38">
        <f t="shared" si="57"/>
        <v>509853070.97086173</v>
      </c>
      <c r="BW110" s="38">
        <f t="shared" si="58"/>
        <v>511088329.32131642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60"/>
        <v>20</v>
      </c>
      <c r="CK110" s="41">
        <f t="shared" si="61"/>
        <v>20</v>
      </c>
      <c r="CL110" s="66">
        <f t="shared" si="62"/>
        <v>0.82222222222222219</v>
      </c>
      <c r="CM110" s="39">
        <f t="shared" si="63"/>
        <v>0.82222222222222219</v>
      </c>
      <c r="CN110" s="39">
        <f t="shared" si="64"/>
        <v>0.82222222222222219</v>
      </c>
      <c r="CO110" s="42">
        <f t="shared" si="65"/>
        <v>13</v>
      </c>
      <c r="CP110" s="42">
        <f t="shared" si="66"/>
        <v>13</v>
      </c>
      <c r="CQ110" s="42">
        <f t="shared" si="67"/>
        <v>11</v>
      </c>
      <c r="CR110" s="42">
        <f t="shared" si="68"/>
        <v>11</v>
      </c>
      <c r="CS110" s="42">
        <f t="shared" si="69"/>
        <v>13</v>
      </c>
      <c r="CT110" s="42">
        <f t="shared" si="70"/>
        <v>13</v>
      </c>
      <c r="CU110" s="43">
        <f t="shared" si="71"/>
        <v>13</v>
      </c>
      <c r="CV110" s="43">
        <f t="shared" si="72"/>
        <v>11</v>
      </c>
      <c r="CW110" s="43">
        <f t="shared" si="73"/>
        <v>13</v>
      </c>
      <c r="CX110" s="13"/>
    </row>
    <row r="111" spans="1:102" x14ac:dyDescent="0.25">
      <c r="A111" s="31" t="s">
        <v>113</v>
      </c>
      <c r="B111" s="13">
        <v>1271</v>
      </c>
      <c r="C111" s="13">
        <v>86</v>
      </c>
      <c r="D111" s="13">
        <v>25</v>
      </c>
      <c r="E111" s="32" t="s">
        <v>0</v>
      </c>
      <c r="F111" s="32"/>
      <c r="G111" s="32"/>
      <c r="H111" s="32">
        <v>1</v>
      </c>
      <c r="I111" s="32" t="s">
        <v>0</v>
      </c>
      <c r="J111" s="13"/>
      <c r="K111" s="33"/>
      <c r="L111" s="34">
        <f>IFERROR(INDEX('Pokemon Data'!A:A,MATCH($A111,'Pokemon Data'!$B:$B,0)),"")</f>
        <v>78</v>
      </c>
      <c r="M111" s="34">
        <f>IFERROR(INDEX('Pokemon Data'!I:I,MATCH($A111,'Pokemon Data'!$B:$B,0)),"")</f>
        <v>130</v>
      </c>
      <c r="N111" s="34">
        <f>IFERROR(INDEX('Pokemon Data'!J:J,MATCH($A111,'Pokemon Data'!$B:$B,0)),"")</f>
        <v>207</v>
      </c>
      <c r="O111" s="34">
        <f>IFERROR(INDEX('Pokemon Data'!K:K,MATCH($A111,'Pokemon Data'!$B:$B,0)),"")</f>
        <v>167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7"/>
        <v>18</v>
      </c>
      <c r="S111" s="37">
        <f t="shared" si="38"/>
        <v>15</v>
      </c>
      <c r="T111" s="38">
        <f t="shared" si="39"/>
        <v>1405292950.7612212</v>
      </c>
      <c r="U111" s="38">
        <f t="shared" si="40"/>
        <v>1407505139.243367</v>
      </c>
      <c r="V111" s="38" t="b">
        <f t="shared" si="41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2"/>
        <v>19.5</v>
      </c>
      <c r="AI111" s="36">
        <f>IFERROR(INDEX('Level Multipliers'!$D:$D,MATCH(AH111,'Level Multipliers'!$A:$A,0)),"")</f>
        <v>1.6952373266621776</v>
      </c>
      <c r="AJ111" s="37">
        <f t="shared" si="43"/>
        <v>16</v>
      </c>
      <c r="AK111" s="37">
        <f t="shared" si="44"/>
        <v>15</v>
      </c>
      <c r="AL111" s="38">
        <f t="shared" si="45"/>
        <v>1334176007.5258198</v>
      </c>
      <c r="AM111" s="38">
        <f t="shared" si="46"/>
        <v>1336276244.9143336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20</v>
      </c>
      <c r="BA111" s="36">
        <f>IFERROR(INDEX('Level Multipliers'!$D:$D,MATCH(AZ111,'Level Multipliers'!$A:$A,0)),"")</f>
        <v>1.6739202944034379</v>
      </c>
      <c r="BB111" s="37">
        <f t="shared" si="49"/>
        <v>14</v>
      </c>
      <c r="BC111" s="37">
        <f t="shared" si="50"/>
        <v>15</v>
      </c>
      <c r="BD111" s="38">
        <f t="shared" si="51"/>
        <v>1268323969.3669214</v>
      </c>
      <c r="BE111" s="38">
        <f t="shared" si="52"/>
        <v>1270320543.5866547</v>
      </c>
      <c r="BF111" s="38" t="b">
        <f t="shared" si="53"/>
        <v>0</v>
      </c>
      <c r="BG111" s="37">
        <f t="array" ref="BG111:BQ111">IF(BF111,"",IVSolution($M111,$N111,$O111,BB111,BC111,BD111,BE111,$E111,$F111,$G111,$H111,$I111))</f>
        <v>1</v>
      </c>
      <c r="BH111" s="37">
        <v>42</v>
      </c>
      <c r="BI111" s="37">
        <v>42</v>
      </c>
      <c r="BJ111" s="39">
        <v>0.93333333333333335</v>
      </c>
      <c r="BK111" s="39">
        <v>0.93333333333333335</v>
      </c>
      <c r="BL111" s="37">
        <v>14</v>
      </c>
      <c r="BM111" s="37">
        <v>14</v>
      </c>
      <c r="BN111" s="37">
        <v>13</v>
      </c>
      <c r="BO111" s="37">
        <v>13</v>
      </c>
      <c r="BP111" s="37">
        <v>15</v>
      </c>
      <c r="BQ111" s="37">
        <v>15</v>
      </c>
      <c r="BR111" s="40">
        <f t="shared" si="54"/>
        <v>20.5</v>
      </c>
      <c r="BS111" s="36">
        <f>IFERROR(INDEX('Level Multipliers'!$D:$D,MATCH(BR111,'Level Multipliers'!$A:$A,0)),"")</f>
        <v>1.6533745038028393</v>
      </c>
      <c r="BT111" s="37">
        <f t="shared" si="55"/>
        <v>13</v>
      </c>
      <c r="BU111" s="37">
        <f t="shared" si="56"/>
        <v>13</v>
      </c>
      <c r="BV111" s="38">
        <f t="shared" si="57"/>
        <v>1207191158.449425</v>
      </c>
      <c r="BW111" s="38">
        <f t="shared" si="58"/>
        <v>1209091498.4283762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60"/>
        <v>20</v>
      </c>
      <c r="CK111" s="41">
        <f t="shared" si="61"/>
        <v>20</v>
      </c>
      <c r="CL111" s="66">
        <f t="shared" si="62"/>
        <v>0.93333333333333335</v>
      </c>
      <c r="CM111" s="39">
        <f t="shared" si="63"/>
        <v>0.93333333333333335</v>
      </c>
      <c r="CN111" s="39">
        <f t="shared" si="64"/>
        <v>0.93333333333333335</v>
      </c>
      <c r="CO111" s="42">
        <f t="shared" si="65"/>
        <v>14</v>
      </c>
      <c r="CP111" s="42">
        <f t="shared" si="66"/>
        <v>14</v>
      </c>
      <c r="CQ111" s="42">
        <f t="shared" si="67"/>
        <v>13</v>
      </c>
      <c r="CR111" s="42">
        <f t="shared" si="68"/>
        <v>13</v>
      </c>
      <c r="CS111" s="42">
        <f t="shared" si="69"/>
        <v>15</v>
      </c>
      <c r="CT111" s="42">
        <f t="shared" si="70"/>
        <v>15</v>
      </c>
      <c r="CU111" s="43">
        <f t="shared" si="71"/>
        <v>14</v>
      </c>
      <c r="CV111" s="43">
        <f t="shared" si="72"/>
        <v>13</v>
      </c>
      <c r="CW111" s="43">
        <f t="shared" si="73"/>
        <v>15</v>
      </c>
      <c r="CX111" s="13" t="s">
        <v>429</v>
      </c>
    </row>
    <row r="112" spans="1:102" x14ac:dyDescent="0.25">
      <c r="A112" s="31" t="s">
        <v>115</v>
      </c>
      <c r="B112" s="13">
        <v>1452</v>
      </c>
      <c r="C112" s="13">
        <v>121</v>
      </c>
      <c r="D112" s="13">
        <v>30</v>
      </c>
      <c r="E112" s="32" t="s">
        <v>0</v>
      </c>
      <c r="F112" s="32"/>
      <c r="G112" s="32"/>
      <c r="H112" s="32">
        <v>1</v>
      </c>
      <c r="I112" s="32" t="s">
        <v>0</v>
      </c>
      <c r="J112" s="13"/>
      <c r="K112" s="33">
        <v>21</v>
      </c>
      <c r="L112" s="34">
        <f>IFERROR(INDEX('Pokemon Data'!A:A,MATCH($A112,'Pokemon Data'!$B:$B,0)),"")</f>
        <v>80</v>
      </c>
      <c r="M112" s="34">
        <f>IFERROR(INDEX('Pokemon Data'!I:I,MATCH($A112,'Pokemon Data'!$B:$B,0)),"")</f>
        <v>190</v>
      </c>
      <c r="N112" s="34">
        <f>IFERROR(INDEX('Pokemon Data'!J:J,MATCH($A112,'Pokemon Data'!$B:$B,0)),"")</f>
        <v>177</v>
      </c>
      <c r="O112" s="34">
        <f>IFERROR(INDEX('Pokemon Data'!K:K,MATCH($A112,'Pokemon Data'!$B:$B,0)),"")</f>
        <v>194</v>
      </c>
      <c r="P112" s="35">
        <f>IFERROR(INDEX('Level Multipliers'!$A:$A,MATCH($D112,'Level Multipliers'!$B:$B,0)),"")</f>
        <v>21</v>
      </c>
      <c r="Q112" s="36">
        <f>IFERROR(INDEX('Level Multipliers'!$D:$D,MATCH(P112,'Level Multipliers'!$A:$A,0)),"")</f>
        <v>1.6335670981213306</v>
      </c>
      <c r="R112" s="37">
        <f t="shared" si="37"/>
        <v>8</v>
      </c>
      <c r="S112" s="37">
        <f t="shared" si="38"/>
        <v>9</v>
      </c>
      <c r="T112" s="38">
        <f t="shared" si="39"/>
        <v>1501347217.2287929</v>
      </c>
      <c r="U112" s="38">
        <f t="shared" si="40"/>
        <v>1503415900.7137408</v>
      </c>
      <c r="V112" s="38" t="b">
        <f t="shared" si="41"/>
        <v>0</v>
      </c>
      <c r="W112" s="37">
        <f t="array" ref="W112:AG112">IF(V112,"",IVSolution($M112,$N112,$O112,R112,S112,T112,U112,$E112,$F112,$G112,$H112,$I112))</f>
        <v>1</v>
      </c>
      <c r="X112" s="37">
        <v>37</v>
      </c>
      <c r="Y112" s="37">
        <v>37</v>
      </c>
      <c r="Z112" s="39">
        <v>0.82222222222222219</v>
      </c>
      <c r="AA112" s="39">
        <v>0.82222222222222219</v>
      </c>
      <c r="AB112" s="37">
        <v>9</v>
      </c>
      <c r="AC112" s="37">
        <v>9</v>
      </c>
      <c r="AD112" s="37">
        <v>13</v>
      </c>
      <c r="AE112" s="37">
        <v>13</v>
      </c>
      <c r="AF112" s="37">
        <v>15</v>
      </c>
      <c r="AG112" s="37">
        <v>15</v>
      </c>
      <c r="AH112" s="40">
        <f t="shared" si="42"/>
        <v>21.5</v>
      </c>
      <c r="AI112" s="36">
        <f>IFERROR(INDEX('Level Multipliers'!$D:$D,MATCH(AH112,'Level Multipliers'!$A:$A,0)),"")</f>
        <v>1.6144549045635799</v>
      </c>
      <c r="AJ112" s="37">
        <f t="shared" si="43"/>
        <v>6</v>
      </c>
      <c r="AK112" s="37">
        <f t="shared" si="44"/>
        <v>6</v>
      </c>
      <c r="AL112" s="38">
        <f t="shared" si="45"/>
        <v>1432309615.403599</v>
      </c>
      <c r="AM112" s="38">
        <f t="shared" si="46"/>
        <v>1434283173.0275221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22</v>
      </c>
      <c r="BA112" s="36">
        <f>IFERROR(INDEX('Level Multipliers'!$D:$D,MATCH(AZ112,'Level Multipliers'!$A:$A,0)),"")</f>
        <v>1.5959981933118279</v>
      </c>
      <c r="BB112" s="37">
        <f t="shared" si="49"/>
        <v>4</v>
      </c>
      <c r="BC112" s="37">
        <f t="shared" si="50"/>
        <v>4</v>
      </c>
      <c r="BD112" s="38">
        <f t="shared" si="51"/>
        <v>1367926661.6776474</v>
      </c>
      <c r="BE112" s="38">
        <f t="shared" si="52"/>
        <v>1369811507.0093327</v>
      </c>
      <c r="BF112" s="38" t="b">
        <f t="shared" si="53"/>
        <v>1</v>
      </c>
      <c r="BG112" s="37" t="str">
        <f t="array" ref="BG112:BQ112">IF(BF112,"",IVSolution($M112,$N112,$O112,BB112,BC112,BD112,BE112,$E112,$F112,$G112,$H112,$I112))</f>
        <v/>
      </c>
      <c r="BH112" s="37" t="str">
        <v/>
      </c>
      <c r="BI112" s="37" t="str">
        <v/>
      </c>
      <c r="BJ112" s="39" t="str">
        <v/>
      </c>
      <c r="BK112" s="39" t="str">
        <v/>
      </c>
      <c r="BL112" s="37" t="str">
        <v/>
      </c>
      <c r="BM112" s="37" t="str">
        <v/>
      </c>
      <c r="BN112" s="37" t="str">
        <v/>
      </c>
      <c r="BO112" s="37" t="str">
        <v/>
      </c>
      <c r="BP112" s="37" t="str">
        <v/>
      </c>
      <c r="BQ112" s="37" t="str">
        <v/>
      </c>
      <c r="BR112" s="40">
        <f t="shared" si="54"/>
        <v>22.5</v>
      </c>
      <c r="BS112" s="36">
        <f>IFERROR(INDEX('Level Multipliers'!$D:$D,MATCH(BR112,'Level Multipliers'!$A:$A,0)),"")</f>
        <v>1.578160334674382</v>
      </c>
      <c r="BT112" s="37">
        <f t="shared" si="55"/>
        <v>1</v>
      </c>
      <c r="BU112" s="37">
        <f t="shared" si="56"/>
        <v>2</v>
      </c>
      <c r="BV112" s="38">
        <f t="shared" si="57"/>
        <v>1307789142.3556018</v>
      </c>
      <c r="BW112" s="38">
        <f t="shared" si="58"/>
        <v>1309591125.1145127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60"/>
        <v>21</v>
      </c>
      <c r="CK112" s="41">
        <f t="shared" si="61"/>
        <v>21</v>
      </c>
      <c r="CL112" s="66">
        <f t="shared" si="62"/>
        <v>0.82222222222222219</v>
      </c>
      <c r="CM112" s="39">
        <f t="shared" si="63"/>
        <v>0.82222222222222219</v>
      </c>
      <c r="CN112" s="39">
        <f t="shared" si="64"/>
        <v>0.82222222222222219</v>
      </c>
      <c r="CO112" s="42">
        <f t="shared" si="65"/>
        <v>9</v>
      </c>
      <c r="CP112" s="42">
        <f t="shared" si="66"/>
        <v>9</v>
      </c>
      <c r="CQ112" s="42">
        <f t="shared" si="67"/>
        <v>13</v>
      </c>
      <c r="CR112" s="42">
        <f t="shared" si="68"/>
        <v>13</v>
      </c>
      <c r="CS112" s="42">
        <f t="shared" si="69"/>
        <v>15</v>
      </c>
      <c r="CT112" s="42">
        <f t="shared" si="70"/>
        <v>15</v>
      </c>
      <c r="CU112" s="43">
        <f t="shared" si="71"/>
        <v>9</v>
      </c>
      <c r="CV112" s="43">
        <f t="shared" si="72"/>
        <v>13</v>
      </c>
      <c r="CW112" s="43">
        <f t="shared" si="73"/>
        <v>15</v>
      </c>
      <c r="CX112" s="13" t="s">
        <v>427</v>
      </c>
    </row>
    <row r="113" spans="1:102" x14ac:dyDescent="0.25">
      <c r="A113" s="31" t="s">
        <v>116</v>
      </c>
      <c r="B113" s="13">
        <v>285</v>
      </c>
      <c r="C113" s="13">
        <v>24</v>
      </c>
      <c r="D113" s="13">
        <v>10</v>
      </c>
      <c r="E113" s="32" t="s">
        <v>2</v>
      </c>
      <c r="F113" s="32"/>
      <c r="G113" s="32">
        <v>1</v>
      </c>
      <c r="H113" s="32"/>
      <c r="I113" s="32" t="s">
        <v>2</v>
      </c>
      <c r="J113" s="13"/>
      <c r="K113" s="33"/>
      <c r="L113" s="34">
        <f>IFERROR(INDEX('Pokemon Data'!A:A,MATCH($A113,'Pokemon Data'!$B:$B,0)),"")</f>
        <v>81</v>
      </c>
      <c r="M113" s="34">
        <f>IFERROR(INDEX('Pokemon Data'!I:I,MATCH($A113,'Pokemon Data'!$B:$B,0)),"")</f>
        <v>50</v>
      </c>
      <c r="N113" s="34">
        <f>IFERROR(INDEX('Pokemon Data'!J:J,MATCH($A113,'Pokemon Data'!$B:$B,0)),"")</f>
        <v>165</v>
      </c>
      <c r="O113" s="34">
        <f>IFERROR(INDEX('Pokemon Data'!K:K,MATCH($A113,'Pokemon Data'!$B:$B,0)),"")</f>
        <v>128</v>
      </c>
      <c r="P113" s="35">
        <f>IFERROR(INDEX('Level Multipliers'!$A:$A,MATCH($D113,'Level Multipliers'!$B:$B,0)),"")</f>
        <v>9</v>
      </c>
      <c r="Q113" s="36">
        <f>IFERROR(INDEX('Level Multipliers'!$D:$D,MATCH(P113,'Level Multipliers'!$A:$A,0)),"")</f>
        <v>2.5027074524512973</v>
      </c>
      <c r="R113" s="37">
        <f t="shared" si="37"/>
        <v>11</v>
      </c>
      <c r="S113" s="37">
        <f t="shared" si="38"/>
        <v>12</v>
      </c>
      <c r="T113" s="38">
        <f t="shared" si="39"/>
        <v>318661845.78413492</v>
      </c>
      <c r="U113" s="38">
        <f t="shared" si="40"/>
        <v>320901992.46240813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9.5</v>
      </c>
      <c r="AI113" s="36">
        <f>IFERROR(INDEX('Level Multipliers'!$D:$D,MATCH(AH113,'Level Multipliers'!$A:$A,0)),"")</f>
        <v>2.4319447427583007</v>
      </c>
      <c r="AJ113" s="37">
        <f t="shared" si="43"/>
        <v>9</v>
      </c>
      <c r="AK113" s="37">
        <f t="shared" si="44"/>
        <v>10</v>
      </c>
      <c r="AL113" s="38">
        <f t="shared" si="45"/>
        <v>284121783.19768757</v>
      </c>
      <c r="AM113" s="38">
        <f t="shared" si="46"/>
        <v>286119118.23253989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10</v>
      </c>
      <c r="BA113" s="36">
        <f>IFERROR(INDEX('Level Multipliers'!$D:$D,MATCH(AZ113,'Level Multipliers'!$A:$A,0)),"")</f>
        <v>2.366863825187552</v>
      </c>
      <c r="BB113" s="37">
        <f t="shared" si="49"/>
        <v>7</v>
      </c>
      <c r="BC113" s="37">
        <f t="shared" si="50"/>
        <v>9</v>
      </c>
      <c r="BD113" s="38">
        <f t="shared" si="51"/>
        <v>254907614.10050833</v>
      </c>
      <c r="BE113" s="38">
        <f t="shared" si="52"/>
        <v>256699577.75272614</v>
      </c>
      <c r="BF113" s="38" t="b">
        <f t="shared" si="53"/>
        <v>0</v>
      </c>
      <c r="BG113" s="37">
        <f t="array" ref="BG113:BQ113">IF(BF113,"",IVSolution($M113,$N113,$O113,BB113,BC113,BD113,BE113,$E113,$F113,$G113,$H113,$I113))</f>
        <v>5</v>
      </c>
      <c r="BH113" s="37">
        <v>30</v>
      </c>
      <c r="BI113" s="37">
        <v>33</v>
      </c>
      <c r="BJ113" s="39">
        <v>0.66666666666666663</v>
      </c>
      <c r="BK113" s="39">
        <v>0.73333333333333328</v>
      </c>
      <c r="BL113" s="37">
        <v>7</v>
      </c>
      <c r="BM113" s="37">
        <v>9</v>
      </c>
      <c r="BN113" s="37">
        <v>13</v>
      </c>
      <c r="BO113" s="37">
        <v>14</v>
      </c>
      <c r="BP113" s="37">
        <v>7</v>
      </c>
      <c r="BQ113" s="37">
        <v>12</v>
      </c>
      <c r="BR113" s="40">
        <f t="shared" si="54"/>
        <v>10.5</v>
      </c>
      <c r="BS113" s="36">
        <f>IFERROR(INDEX('Level Multipliers'!$D:$D,MATCH(BR113,'Level Multipliers'!$A:$A,0)),"")</f>
        <v>2.3098613358274029</v>
      </c>
      <c r="BT113" s="37">
        <f t="shared" si="55"/>
        <v>6</v>
      </c>
      <c r="BU113" s="37">
        <f t="shared" si="56"/>
        <v>7</v>
      </c>
      <c r="BV113" s="38">
        <f t="shared" si="57"/>
        <v>231224238.32928649</v>
      </c>
      <c r="BW113" s="38">
        <f t="shared" si="58"/>
        <v>232849711.27586725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60"/>
        <v>10</v>
      </c>
      <c r="CK113" s="41">
        <f t="shared" si="61"/>
        <v>10</v>
      </c>
      <c r="CL113" s="66">
        <f t="shared" si="62"/>
        <v>0.7</v>
      </c>
      <c r="CM113" s="39">
        <f t="shared" si="63"/>
        <v>0.66666666666666663</v>
      </c>
      <c r="CN113" s="39">
        <f t="shared" si="64"/>
        <v>0.73333333333333328</v>
      </c>
      <c r="CO113" s="42">
        <f t="shared" si="65"/>
        <v>7</v>
      </c>
      <c r="CP113" s="42">
        <f t="shared" si="66"/>
        <v>9</v>
      </c>
      <c r="CQ113" s="42">
        <f t="shared" si="67"/>
        <v>13</v>
      </c>
      <c r="CR113" s="42">
        <f t="shared" si="68"/>
        <v>14</v>
      </c>
      <c r="CS113" s="42">
        <f t="shared" si="69"/>
        <v>7</v>
      </c>
      <c r="CT113" s="42">
        <f t="shared" si="70"/>
        <v>12</v>
      </c>
      <c r="CU113" s="43" t="str">
        <f t="shared" si="71"/>
        <v>7-9</v>
      </c>
      <c r="CV113" s="43" t="str">
        <f t="shared" si="72"/>
        <v>13-14</v>
      </c>
      <c r="CW113" s="43" t="str">
        <f t="shared" si="73"/>
        <v>7-12</v>
      </c>
      <c r="CX113" s="13" t="s">
        <v>397</v>
      </c>
    </row>
    <row r="114" spans="1:102" x14ac:dyDescent="0.25">
      <c r="A114" s="31" t="s">
        <v>117</v>
      </c>
      <c r="B114" s="13">
        <v>1549</v>
      </c>
      <c r="C114" s="13">
        <v>76</v>
      </c>
      <c r="D114" s="13">
        <v>40</v>
      </c>
      <c r="E114" s="32" t="s">
        <v>0</v>
      </c>
      <c r="F114" s="32">
        <v>1</v>
      </c>
      <c r="G114" s="32"/>
      <c r="H114" s="32"/>
      <c r="I114" s="32" t="s">
        <v>2</v>
      </c>
      <c r="J114" s="13"/>
      <c r="K114" s="33">
        <v>25</v>
      </c>
      <c r="L114" s="34">
        <f>IFERROR(INDEX('Pokemon Data'!A:A,MATCH($A114,'Pokemon Data'!$B:$B,0)),"")</f>
        <v>82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223</v>
      </c>
      <c r="O114" s="34">
        <f>IFERROR(INDEX('Pokemon Data'!K:K,MATCH($A114,'Pokemon Data'!$B:$B,0)),"")</f>
        <v>182</v>
      </c>
      <c r="P114" s="35">
        <f>IFERROR(INDEX('Level Multipliers'!$A:$A,MATCH($D114,'Level Multipliers'!$B:$B,0)),"")</f>
        <v>25</v>
      </c>
      <c r="Q114" s="36">
        <f>IFERROR(INDEX('Level Multipliers'!$D:$D,MATCH(P114,'Level Multipliers'!$A:$A,0)),"")</f>
        <v>1.4971539093132804</v>
      </c>
      <c r="R114" s="37">
        <f t="shared" si="37"/>
        <v>14</v>
      </c>
      <c r="S114" s="37">
        <f t="shared" si="38"/>
        <v>15</v>
      </c>
      <c r="T114" s="38">
        <f t="shared" si="39"/>
        <v>1205503928.9446037</v>
      </c>
      <c r="U114" s="38">
        <f t="shared" si="40"/>
        <v>1207060924.4929924</v>
      </c>
      <c r="V114" s="38" t="b">
        <f t="shared" si="41"/>
        <v>0</v>
      </c>
      <c r="W114" s="37">
        <f t="array" ref="W114:AG114">IF(V114,"",IVSolution($M114,$N114,$O114,R114,S114,T114,U114,$E114,$F114,$G114,$H114,$I114))</f>
        <v>1</v>
      </c>
      <c r="X114" s="37">
        <v>37</v>
      </c>
      <c r="Y114" s="37">
        <v>37</v>
      </c>
      <c r="Z114" s="39">
        <v>0.82222222222222219</v>
      </c>
      <c r="AA114" s="39">
        <v>0.82222222222222219</v>
      </c>
      <c r="AB114" s="37">
        <v>14</v>
      </c>
      <c r="AC114" s="37">
        <v>14</v>
      </c>
      <c r="AD114" s="37">
        <v>10</v>
      </c>
      <c r="AE114" s="37">
        <v>10</v>
      </c>
      <c r="AF114" s="37">
        <v>13</v>
      </c>
      <c r="AG114" s="37">
        <v>13</v>
      </c>
      <c r="AH114" s="40">
        <f t="shared" si="42"/>
        <v>25.5</v>
      </c>
      <c r="AI114" s="36">
        <f>IFERROR(INDEX('Level Multipliers'!$D:$D,MATCH(AH114,'Level Multipliers'!$A:$A,0)),"")</f>
        <v>1.4823997223704843</v>
      </c>
      <c r="AJ114" s="37">
        <f t="shared" si="43"/>
        <v>13</v>
      </c>
      <c r="AK114" s="37">
        <f t="shared" si="44"/>
        <v>14</v>
      </c>
      <c r="AL114" s="38">
        <f t="shared" si="45"/>
        <v>1158681666.8173971</v>
      </c>
      <c r="AM114" s="38">
        <f t="shared" si="46"/>
        <v>1160178188.0264268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26</v>
      </c>
      <c r="BA114" s="36">
        <f>IFERROR(INDEX('Level Multipliers'!$D:$D,MATCH(AZ114,'Level Multipliers'!$A:$A,0)),"")</f>
        <v>1.4680732523857296</v>
      </c>
      <c r="BB114" s="37">
        <f t="shared" si="49"/>
        <v>12</v>
      </c>
      <c r="BC114" s="37">
        <f t="shared" si="50"/>
        <v>13</v>
      </c>
      <c r="BD114" s="38">
        <f t="shared" si="51"/>
        <v>1114535073.4238148</v>
      </c>
      <c r="BE114" s="38">
        <f t="shared" si="52"/>
        <v>1115974576.1132529</v>
      </c>
      <c r="BF114" s="38" t="b">
        <f t="shared" si="53"/>
        <v>1</v>
      </c>
      <c r="BG114" s="37" t="str">
        <f t="array" ref="BG114:BQ114">IF(BF114,"",IVSolution($M114,$N114,$O114,BB114,BC114,BD114,BE114,$E114,$F114,$G114,$H114,$I114))</f>
        <v/>
      </c>
      <c r="BH114" s="37" t="str">
        <v/>
      </c>
      <c r="BI114" s="37" t="str">
        <v/>
      </c>
      <c r="BJ114" s="39" t="str">
        <v/>
      </c>
      <c r="BK114" s="39" t="str">
        <v/>
      </c>
      <c r="BL114" s="37" t="str">
        <v/>
      </c>
      <c r="BM114" s="37" t="str">
        <v/>
      </c>
      <c r="BN114" s="37" t="str">
        <v/>
      </c>
      <c r="BO114" s="37" t="str">
        <v/>
      </c>
      <c r="BP114" s="37" t="str">
        <v/>
      </c>
      <c r="BQ114" s="37" t="str">
        <v/>
      </c>
      <c r="BR114" s="40">
        <f t="shared" si="54"/>
        <v>26.5</v>
      </c>
      <c r="BS114" s="36">
        <f>IFERROR(INDEX('Level Multipliers'!$D:$D,MATCH(BR114,'Level Multipliers'!$A:$A,0)),"")</f>
        <v>1.4541543636838528</v>
      </c>
      <c r="BT114" s="37">
        <f t="shared" si="55"/>
        <v>11</v>
      </c>
      <c r="BU114" s="37">
        <f t="shared" si="56"/>
        <v>11</v>
      </c>
      <c r="BV114" s="38">
        <f t="shared" si="57"/>
        <v>1072864509.5889593</v>
      </c>
      <c r="BW114" s="38">
        <f t="shared" si="58"/>
        <v>1074250191.7301338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60"/>
        <v>25</v>
      </c>
      <c r="CK114" s="41">
        <f t="shared" si="61"/>
        <v>25</v>
      </c>
      <c r="CL114" s="66">
        <f t="shared" si="62"/>
        <v>0.82222222222222219</v>
      </c>
      <c r="CM114" s="39">
        <f t="shared" si="63"/>
        <v>0.82222222222222219</v>
      </c>
      <c r="CN114" s="39">
        <f t="shared" si="64"/>
        <v>0.82222222222222219</v>
      </c>
      <c r="CO114" s="42">
        <f t="shared" si="65"/>
        <v>14</v>
      </c>
      <c r="CP114" s="42">
        <f t="shared" si="66"/>
        <v>14</v>
      </c>
      <c r="CQ114" s="42">
        <f t="shared" si="67"/>
        <v>10</v>
      </c>
      <c r="CR114" s="42">
        <f t="shared" si="68"/>
        <v>10</v>
      </c>
      <c r="CS114" s="42">
        <f t="shared" si="69"/>
        <v>13</v>
      </c>
      <c r="CT114" s="42">
        <f t="shared" si="70"/>
        <v>13</v>
      </c>
      <c r="CU114" s="43">
        <f t="shared" si="71"/>
        <v>14</v>
      </c>
      <c r="CV114" s="43">
        <f t="shared" si="72"/>
        <v>10</v>
      </c>
      <c r="CW114" s="43">
        <f t="shared" si="73"/>
        <v>13</v>
      </c>
      <c r="CX114" s="13" t="s">
        <v>433</v>
      </c>
    </row>
    <row r="115" spans="1:102" x14ac:dyDescent="0.25">
      <c r="A115" s="31" t="s">
        <v>117</v>
      </c>
      <c r="B115" s="13">
        <v>1262</v>
      </c>
      <c r="C115" s="13">
        <v>68</v>
      </c>
      <c r="D115" s="13">
        <v>25</v>
      </c>
      <c r="E115" s="32" t="s">
        <v>0</v>
      </c>
      <c r="F115" s="32">
        <v>1</v>
      </c>
      <c r="G115" s="32"/>
      <c r="H115" s="32">
        <v>1</v>
      </c>
      <c r="I115" s="32" t="s">
        <v>0</v>
      </c>
      <c r="J115" s="13"/>
      <c r="K115" s="33"/>
      <c r="L115" s="34">
        <f>IFERROR(INDEX('Pokemon Data'!A:A,MATCH($A115,'Pokemon Data'!$B:$B,0)),"")</f>
        <v>82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223</v>
      </c>
      <c r="O115" s="34">
        <f>IFERROR(INDEX('Pokemon Data'!K:K,MATCH($A115,'Pokemon Data'!$B:$B,0)),"")</f>
        <v>182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37"/>
        <v>17</v>
      </c>
      <c r="S115" s="37">
        <f t="shared" si="38"/>
        <v>15</v>
      </c>
      <c r="T115" s="38">
        <f t="shared" si="39"/>
        <v>1385461546.5821126</v>
      </c>
      <c r="U115" s="38">
        <f t="shared" si="40"/>
        <v>1387658076.6322179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19.5</v>
      </c>
      <c r="AI115" s="36">
        <f>IFERROR(INDEX('Level Multipliers'!$D:$D,MATCH(AH115,'Level Multipliers'!$A:$A,0)),"")</f>
        <v>1.6952373266621776</v>
      </c>
      <c r="AJ115" s="37">
        <f t="shared" si="43"/>
        <v>16</v>
      </c>
      <c r="AK115" s="37">
        <f t="shared" si="44"/>
        <v>15</v>
      </c>
      <c r="AL115" s="38">
        <f t="shared" si="45"/>
        <v>1315348201.0979984</v>
      </c>
      <c r="AM115" s="38">
        <f t="shared" si="46"/>
        <v>1317433572.4727516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20</v>
      </c>
      <c r="BA115" s="36">
        <f>IFERROR(INDEX('Level Multipliers'!$D:$D,MATCH(AZ115,'Level Multipliers'!$A:$A,0)),"")</f>
        <v>1.6739202944034379</v>
      </c>
      <c r="BB115" s="37">
        <f t="shared" si="49"/>
        <v>14</v>
      </c>
      <c r="BC115" s="37">
        <f t="shared" si="50"/>
        <v>15</v>
      </c>
      <c r="BD115" s="38">
        <f t="shared" si="51"/>
        <v>1250425462.6869142</v>
      </c>
      <c r="BE115" s="38">
        <f t="shared" si="52"/>
        <v>1252407904.6471291</v>
      </c>
      <c r="BF115" s="38" t="b">
        <f t="shared" si="53"/>
        <v>0</v>
      </c>
      <c r="BG115" s="37">
        <f t="array" ref="BG115:BQ115">IF(BF115,"",IVSolution($M115,$N115,$O115,BB115,BC115,BD115,BE115,$E115,$F115,$G115,$H115,$I115))</f>
        <v>1</v>
      </c>
      <c r="BH115" s="37">
        <v>42</v>
      </c>
      <c r="BI115" s="37">
        <v>42</v>
      </c>
      <c r="BJ115" s="39">
        <v>0.93333333333333335</v>
      </c>
      <c r="BK115" s="39">
        <v>0.93333333333333335</v>
      </c>
      <c r="BL115" s="37">
        <v>15</v>
      </c>
      <c r="BM115" s="37">
        <v>15</v>
      </c>
      <c r="BN115" s="37">
        <v>12</v>
      </c>
      <c r="BO115" s="37">
        <v>12</v>
      </c>
      <c r="BP115" s="37">
        <v>15</v>
      </c>
      <c r="BQ115" s="37">
        <v>15</v>
      </c>
      <c r="BR115" s="40">
        <f t="shared" si="54"/>
        <v>20.5</v>
      </c>
      <c r="BS115" s="36">
        <f>IFERROR(INDEX('Level Multipliers'!$D:$D,MATCH(BR115,'Level Multipliers'!$A:$A,0)),"")</f>
        <v>1.6533745038028393</v>
      </c>
      <c r="BT115" s="37">
        <f t="shared" si="55"/>
        <v>13</v>
      </c>
      <c r="BU115" s="37">
        <f t="shared" si="56"/>
        <v>14</v>
      </c>
      <c r="BV115" s="38">
        <f t="shared" si="57"/>
        <v>1190155354.0844426</v>
      </c>
      <c r="BW115" s="38">
        <f t="shared" si="58"/>
        <v>1192042242.974278</v>
      </c>
      <c r="BX115" s="38" t="b">
        <f t="shared" si="59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60"/>
        <v>20</v>
      </c>
      <c r="CK115" s="41">
        <f t="shared" si="61"/>
        <v>20</v>
      </c>
      <c r="CL115" s="66">
        <f t="shared" si="62"/>
        <v>0.93333333333333335</v>
      </c>
      <c r="CM115" s="39">
        <f t="shared" si="63"/>
        <v>0.93333333333333335</v>
      </c>
      <c r="CN115" s="39">
        <f t="shared" si="64"/>
        <v>0.93333333333333335</v>
      </c>
      <c r="CO115" s="42">
        <f t="shared" si="65"/>
        <v>15</v>
      </c>
      <c r="CP115" s="42">
        <f t="shared" si="66"/>
        <v>15</v>
      </c>
      <c r="CQ115" s="42">
        <f t="shared" si="67"/>
        <v>12</v>
      </c>
      <c r="CR115" s="42">
        <f t="shared" si="68"/>
        <v>12</v>
      </c>
      <c r="CS115" s="42">
        <f t="shared" si="69"/>
        <v>15</v>
      </c>
      <c r="CT115" s="42">
        <f t="shared" si="70"/>
        <v>15</v>
      </c>
      <c r="CU115" s="43">
        <f t="shared" si="71"/>
        <v>15</v>
      </c>
      <c r="CV115" s="43">
        <f t="shared" si="72"/>
        <v>12</v>
      </c>
      <c r="CW115" s="43">
        <f t="shared" si="73"/>
        <v>15</v>
      </c>
      <c r="CX115" s="13" t="s">
        <v>425</v>
      </c>
    </row>
    <row r="116" spans="1:102" x14ac:dyDescent="0.25">
      <c r="A116" s="31" t="s">
        <v>117</v>
      </c>
      <c r="B116" s="13">
        <v>433</v>
      </c>
      <c r="C116" s="13">
        <v>39</v>
      </c>
      <c r="D116" s="13">
        <v>8</v>
      </c>
      <c r="E116" s="32" t="s">
        <v>0</v>
      </c>
      <c r="F116" s="32"/>
      <c r="G116" s="32">
        <v>1</v>
      </c>
      <c r="H116" s="32">
        <v>1</v>
      </c>
      <c r="I116" s="32" t="s">
        <v>0</v>
      </c>
      <c r="J116" s="13"/>
      <c r="K116" s="33">
        <v>7</v>
      </c>
      <c r="L116" s="34">
        <f>IFERROR(INDEX('Pokemon Data'!A:A,MATCH($A116,'Pokemon Data'!$B:$B,0)),"")</f>
        <v>82</v>
      </c>
      <c r="M116" s="34">
        <f>IFERROR(INDEX('Pokemon Data'!I:I,MATCH($A116,'Pokemon Data'!$B:$B,0)),"")</f>
        <v>100</v>
      </c>
      <c r="N116" s="34">
        <f>IFERROR(INDEX('Pokemon Data'!J:J,MATCH($A116,'Pokemon Data'!$B:$B,0)),"")</f>
        <v>223</v>
      </c>
      <c r="O116" s="34">
        <f>IFERROR(INDEX('Pokemon Data'!K:K,MATCH($A116,'Pokemon Data'!$B:$B,0)),"")</f>
        <v>182</v>
      </c>
      <c r="P116" s="35">
        <f>IFERROR(INDEX('Level Multipliers'!$A:$A,MATCH($D116,'Level Multipliers'!$B:$B,0)),"")</f>
        <v>7</v>
      </c>
      <c r="Q116" s="36">
        <f>IFERROR(INDEX('Level Multipliers'!$D:$D,MATCH(P116,'Level Multipliers'!$A:$A,0)),"")</f>
        <v>2.8635844799030687</v>
      </c>
      <c r="R116" s="37">
        <f t="shared" si="37"/>
        <v>12</v>
      </c>
      <c r="S116" s="37">
        <f t="shared" si="38"/>
        <v>14</v>
      </c>
      <c r="T116" s="38">
        <f t="shared" si="39"/>
        <v>1260711726.7727201</v>
      </c>
      <c r="U116" s="38">
        <f t="shared" si="40"/>
        <v>1266541599.8165357</v>
      </c>
      <c r="V116" s="38" t="b">
        <f t="shared" si="41"/>
        <v>0</v>
      </c>
      <c r="W116" s="37">
        <f t="array" ref="W116:AG116">IF(V116,"",IVSolution($M116,$N116,$O116,R116,S116,T116,U116,$E116,$F116,$G116,$H116,$I116))</f>
        <v>1</v>
      </c>
      <c r="X116" s="37">
        <v>43</v>
      </c>
      <c r="Y116" s="37">
        <v>43</v>
      </c>
      <c r="Z116" s="39">
        <v>0.9555555555555556</v>
      </c>
      <c r="AA116" s="39">
        <v>0.9555555555555556</v>
      </c>
      <c r="AB116" s="37">
        <v>13</v>
      </c>
      <c r="AC116" s="37">
        <v>13</v>
      </c>
      <c r="AD116" s="37">
        <v>15</v>
      </c>
      <c r="AE116" s="37">
        <v>15</v>
      </c>
      <c r="AF116" s="37">
        <v>15</v>
      </c>
      <c r="AG116" s="37">
        <v>15</v>
      </c>
      <c r="AH116" s="40">
        <f t="shared" si="42"/>
        <v>7.5</v>
      </c>
      <c r="AI116" s="36">
        <f>IFERROR(INDEX('Level Multipliers'!$D:$D,MATCH(AH116,'Level Multipliers'!$A:$A,0)),"")</f>
        <v>2.7589423510530713</v>
      </c>
      <c r="AJ116" s="37">
        <f t="shared" si="43"/>
        <v>8</v>
      </c>
      <c r="AK116" s="37">
        <f t="shared" si="44"/>
        <v>10</v>
      </c>
      <c r="AL116" s="38">
        <f t="shared" si="45"/>
        <v>1086291287.0134149</v>
      </c>
      <c r="AM116" s="38">
        <f t="shared" si="46"/>
        <v>1091314592.6251607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8</v>
      </c>
      <c r="BA116" s="36">
        <f>IFERROR(INDEX('Level Multipliers'!$D:$D,MATCH(AZ116,'Level Multipliers'!$A:$A,0)),"")</f>
        <v>2.6649924305944541</v>
      </c>
      <c r="BB116" s="37">
        <f t="shared" si="49"/>
        <v>4</v>
      </c>
      <c r="BC116" s="37">
        <f t="shared" si="50"/>
        <v>6</v>
      </c>
      <c r="BD116" s="38">
        <f t="shared" si="51"/>
        <v>945713768.78612709</v>
      </c>
      <c r="BE116" s="38">
        <f t="shared" si="52"/>
        <v>950087005.81623328</v>
      </c>
      <c r="BF116" s="38" t="b">
        <f t="shared" si="53"/>
        <v>1</v>
      </c>
      <c r="BG116" s="37" t="str">
        <f t="array" ref="BG116:BQ116">IF(BF116,"",IVSolution($M116,$N116,$O116,BB116,BC116,BD116,BE116,$E116,$F116,$G116,$H116,$I116))</f>
        <v/>
      </c>
      <c r="BH116" s="37" t="str">
        <v/>
      </c>
      <c r="BI116" s="37" t="str">
        <v/>
      </c>
      <c r="BJ116" s="39" t="str">
        <v/>
      </c>
      <c r="BK116" s="39" t="str">
        <v/>
      </c>
      <c r="BL116" s="37" t="str">
        <v/>
      </c>
      <c r="BM116" s="37" t="str">
        <v/>
      </c>
      <c r="BN116" s="37" t="str">
        <v/>
      </c>
      <c r="BO116" s="37" t="str">
        <v/>
      </c>
      <c r="BP116" s="37" t="str">
        <v/>
      </c>
      <c r="BQ116" s="37" t="str">
        <v/>
      </c>
      <c r="BR116" s="40">
        <f t="shared" si="54"/>
        <v>8.5</v>
      </c>
      <c r="BS116" s="36">
        <f>IFERROR(INDEX('Level Multipliers'!$D:$D,MATCH(BR116,'Level Multipliers'!$A:$A,0)),"")</f>
        <v>2.5800298976397995</v>
      </c>
      <c r="BT116" s="37">
        <f t="shared" si="55"/>
        <v>1</v>
      </c>
      <c r="BU116" s="37">
        <f t="shared" si="56"/>
        <v>3</v>
      </c>
      <c r="BV116" s="38">
        <f t="shared" si="57"/>
        <v>830758411.54380023</v>
      </c>
      <c r="BW116" s="38">
        <f t="shared" si="58"/>
        <v>834600063.81571209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60"/>
        <v>7</v>
      </c>
      <c r="CK116" s="41">
        <f t="shared" si="61"/>
        <v>7</v>
      </c>
      <c r="CL116" s="66">
        <f t="shared" si="62"/>
        <v>0.9555555555555556</v>
      </c>
      <c r="CM116" s="39">
        <f t="shared" si="63"/>
        <v>0.9555555555555556</v>
      </c>
      <c r="CN116" s="39">
        <f t="shared" si="64"/>
        <v>0.9555555555555556</v>
      </c>
      <c r="CO116" s="42">
        <f t="shared" si="65"/>
        <v>13</v>
      </c>
      <c r="CP116" s="42">
        <f t="shared" si="66"/>
        <v>13</v>
      </c>
      <c r="CQ116" s="42">
        <f t="shared" si="67"/>
        <v>15</v>
      </c>
      <c r="CR116" s="42">
        <f t="shared" si="68"/>
        <v>15</v>
      </c>
      <c r="CS116" s="42">
        <f t="shared" si="69"/>
        <v>15</v>
      </c>
      <c r="CT116" s="42">
        <f t="shared" si="70"/>
        <v>15</v>
      </c>
      <c r="CU116" s="43">
        <f t="shared" si="71"/>
        <v>13</v>
      </c>
      <c r="CV116" s="43">
        <f t="shared" si="72"/>
        <v>15</v>
      </c>
      <c r="CW116" s="43">
        <f t="shared" si="73"/>
        <v>15</v>
      </c>
      <c r="CX116" s="13" t="s">
        <v>433</v>
      </c>
    </row>
    <row r="117" spans="1:102" x14ac:dyDescent="0.25">
      <c r="A117" s="31" t="s">
        <v>120</v>
      </c>
      <c r="B117" s="13">
        <v>542</v>
      </c>
      <c r="C117" s="13">
        <v>47</v>
      </c>
      <c r="D117" s="13">
        <v>25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84</v>
      </c>
      <c r="M117" s="34">
        <f>IFERROR(INDEX('Pokemon Data'!I:I,MATCH($A117,'Pokemon Data'!$B:$B,0)),"")</f>
        <v>70</v>
      </c>
      <c r="N117" s="34">
        <f>IFERROR(INDEX('Pokemon Data'!J:J,MATCH($A117,'Pokemon Data'!$B:$B,0)),"")</f>
        <v>158</v>
      </c>
      <c r="O117" s="34">
        <f>IFERROR(INDEX('Pokemon Data'!K:K,MATCH($A117,'Pokemon Data'!$B:$B,0)),"")</f>
        <v>88</v>
      </c>
      <c r="P117" s="35">
        <f>IFERROR(INDEX('Level Multipliers'!$A:$A,MATCH($D117,'Level Multipliers'!$B:$B,0)),"")</f>
        <v>19</v>
      </c>
      <c r="Q117" s="36">
        <f>IFERROR(INDEX('Level Multipliers'!$D:$D,MATCH(P117,'Level Multipliers'!$A:$A,0)),"")</f>
        <v>1.7173900470456649</v>
      </c>
      <c r="R117" s="37">
        <f t="shared" si="37"/>
        <v>11</v>
      </c>
      <c r="S117" s="37">
        <f t="shared" si="38"/>
        <v>12</v>
      </c>
      <c r="T117" s="38">
        <f t="shared" si="39"/>
        <v>255549090.55014661</v>
      </c>
      <c r="U117" s="38">
        <f t="shared" si="40"/>
        <v>256492946.03702351</v>
      </c>
      <c r="V117" s="38" t="b">
        <f t="shared" si="41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2"/>
        <v>19.5</v>
      </c>
      <c r="AI117" s="36">
        <f>IFERROR(INDEX('Level Multipliers'!$D:$D,MATCH(AH117,'Level Multipliers'!$A:$A,0)),"")</f>
        <v>1.6952373266621776</v>
      </c>
      <c r="AJ117" s="37">
        <f t="shared" si="43"/>
        <v>10</v>
      </c>
      <c r="AK117" s="37">
        <f t="shared" si="44"/>
        <v>11</v>
      </c>
      <c r="AL117" s="38">
        <f t="shared" si="45"/>
        <v>242616648.13188156</v>
      </c>
      <c r="AM117" s="38">
        <f t="shared" si="46"/>
        <v>243512738.40578544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20</v>
      </c>
      <c r="BA117" s="36">
        <f>IFERROR(INDEX('Level Multipliers'!$D:$D,MATCH(AZ117,'Level Multipliers'!$A:$A,0)),"")</f>
        <v>1.6739202944034379</v>
      </c>
      <c r="BB117" s="37">
        <f t="shared" si="49"/>
        <v>9</v>
      </c>
      <c r="BC117" s="37">
        <f t="shared" si="50"/>
        <v>10</v>
      </c>
      <c r="BD117" s="38">
        <f t="shared" si="51"/>
        <v>230641615.84180686</v>
      </c>
      <c r="BE117" s="38">
        <f t="shared" si="52"/>
        <v>231493477.04055265</v>
      </c>
      <c r="BF117" s="38" t="b">
        <f t="shared" si="53"/>
        <v>0</v>
      </c>
      <c r="BG117" s="37">
        <f t="array" ref="BG117:BQ117">IF(BF117,"",IVSolution($M117,$N117,$O117,BB117,BC117,BD117,BE117,$E117,$F117,$G117,$H117,$I117))</f>
        <v>4</v>
      </c>
      <c r="BH117" s="37">
        <v>34</v>
      </c>
      <c r="BI117" s="37">
        <v>34</v>
      </c>
      <c r="BJ117" s="39">
        <v>0.75555555555555554</v>
      </c>
      <c r="BK117" s="39">
        <v>0.75555555555555554</v>
      </c>
      <c r="BL117" s="37">
        <v>9</v>
      </c>
      <c r="BM117" s="37">
        <v>10</v>
      </c>
      <c r="BN117" s="37">
        <v>11</v>
      </c>
      <c r="BO117" s="37">
        <v>14</v>
      </c>
      <c r="BP117" s="37">
        <v>11</v>
      </c>
      <c r="BQ117" s="37">
        <v>13</v>
      </c>
      <c r="BR117" s="40">
        <f t="shared" si="54"/>
        <v>20.5</v>
      </c>
      <c r="BS117" s="36">
        <f>IFERROR(INDEX('Level Multipliers'!$D:$D,MATCH(BR117,'Level Multipliers'!$A:$A,0)),"")</f>
        <v>1.6533745038028393</v>
      </c>
      <c r="BT117" s="37">
        <f t="shared" si="55"/>
        <v>8</v>
      </c>
      <c r="BU117" s="37">
        <f t="shared" si="56"/>
        <v>9</v>
      </c>
      <c r="BV117" s="38">
        <f t="shared" si="57"/>
        <v>219524763.49847308</v>
      </c>
      <c r="BW117" s="38">
        <f t="shared" si="58"/>
        <v>220335565.25905588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60"/>
        <v>20</v>
      </c>
      <c r="CK117" s="41">
        <f t="shared" si="61"/>
        <v>20</v>
      </c>
      <c r="CL117" s="66">
        <f t="shared" si="62"/>
        <v>0.75555555555555554</v>
      </c>
      <c r="CM117" s="39">
        <f t="shared" si="63"/>
        <v>0.75555555555555554</v>
      </c>
      <c r="CN117" s="39">
        <f t="shared" si="64"/>
        <v>0.75555555555555554</v>
      </c>
      <c r="CO117" s="42">
        <f t="shared" si="65"/>
        <v>9</v>
      </c>
      <c r="CP117" s="42">
        <f t="shared" si="66"/>
        <v>10</v>
      </c>
      <c r="CQ117" s="42">
        <f t="shared" si="67"/>
        <v>11</v>
      </c>
      <c r="CR117" s="42">
        <f t="shared" si="68"/>
        <v>14</v>
      </c>
      <c r="CS117" s="42">
        <f t="shared" si="69"/>
        <v>11</v>
      </c>
      <c r="CT117" s="42">
        <f t="shared" si="70"/>
        <v>13</v>
      </c>
      <c r="CU117" s="43" t="str">
        <f t="shared" si="71"/>
        <v>9-10</v>
      </c>
      <c r="CV117" s="43" t="str">
        <f t="shared" si="72"/>
        <v>11-14</v>
      </c>
      <c r="CW117" s="43" t="str">
        <f t="shared" si="73"/>
        <v>11-13</v>
      </c>
      <c r="CX117" s="13"/>
    </row>
    <row r="118" spans="1:102" x14ac:dyDescent="0.25">
      <c r="A118" s="31" t="s">
        <v>122</v>
      </c>
      <c r="B118" s="13">
        <v>114</v>
      </c>
      <c r="C118" s="13">
        <v>40</v>
      </c>
      <c r="D118" s="13">
        <v>6</v>
      </c>
      <c r="E118" s="32" t="s">
        <v>2</v>
      </c>
      <c r="F118" s="32"/>
      <c r="G118" s="32">
        <v>1</v>
      </c>
      <c r="H118" s="32"/>
      <c r="I118" s="32" t="s">
        <v>2</v>
      </c>
      <c r="J118" s="13"/>
      <c r="K118" s="33"/>
      <c r="L118" s="34">
        <f>IFERROR(INDEX('Pokemon Data'!A:A,MATCH($A118,'Pokemon Data'!$B:$B,0)),"")</f>
        <v>86</v>
      </c>
      <c r="M118" s="34">
        <f>IFERROR(INDEX('Pokemon Data'!I:I,MATCH($A118,'Pokemon Data'!$B:$B,0)),"")</f>
        <v>130</v>
      </c>
      <c r="N118" s="34">
        <f>IFERROR(INDEX('Pokemon Data'!J:J,MATCH($A118,'Pokemon Data'!$B:$B,0)),"")</f>
        <v>85</v>
      </c>
      <c r="O118" s="34">
        <f>IFERROR(INDEX('Pokemon Data'!K:K,MATCH($A118,'Pokemon Data'!$B:$B,0)),"")</f>
        <v>128</v>
      </c>
      <c r="P118" s="35">
        <f>IFERROR(INDEX('Level Multipliers'!$A:$A,MATCH($D118,'Level Multipliers'!$B:$B,0)),"")</f>
        <v>5</v>
      </c>
      <c r="Q118" s="36">
        <f>IFERROR(INDEX('Level Multipliers'!$D:$D,MATCH(P118,'Level Multipliers'!$A:$A,0)),"")</f>
        <v>3.4453071462968556</v>
      </c>
      <c r="R118" s="37">
        <f t="shared" si="37"/>
        <v>8</v>
      </c>
      <c r="S118" s="37">
        <f t="shared" si="38"/>
        <v>11</v>
      </c>
      <c r="T118" s="38">
        <f t="shared" si="39"/>
        <v>183113971.72205645</v>
      </c>
      <c r="U118" s="38">
        <f t="shared" si="40"/>
        <v>186340587.56726658</v>
      </c>
      <c r="V118" s="38" t="b">
        <f t="shared" si="41"/>
        <v>0</v>
      </c>
      <c r="W118" s="37">
        <f t="array" ref="W118:AG118">IF(V118,"",IVSolution($M118,$N118,$O118,R118,S118,T118,U118,$E118,$F118,$G118,$H118,$I118))</f>
        <v>16</v>
      </c>
      <c r="X118" s="37">
        <v>30</v>
      </c>
      <c r="Y118" s="37">
        <v>33</v>
      </c>
      <c r="Z118" s="39">
        <v>0.66666666666666663</v>
      </c>
      <c r="AA118" s="39">
        <v>0.73333333333333328</v>
      </c>
      <c r="AB118" s="37">
        <v>8</v>
      </c>
      <c r="AC118" s="37">
        <v>11</v>
      </c>
      <c r="AD118" s="37">
        <v>13</v>
      </c>
      <c r="AE118" s="37">
        <v>14</v>
      </c>
      <c r="AF118" s="37">
        <v>5</v>
      </c>
      <c r="AG118" s="37">
        <v>12</v>
      </c>
      <c r="AH118" s="40">
        <f t="shared" si="42"/>
        <v>5.5</v>
      </c>
      <c r="AI118" s="36">
        <f>IFERROR(INDEX('Level Multipliers'!$D:$D,MATCH(AH118,'Level Multipliers'!$A:$A,0)),"")</f>
        <v>3.2673611577633439</v>
      </c>
      <c r="AJ118" s="37">
        <f t="shared" si="43"/>
        <v>1</v>
      </c>
      <c r="AK118" s="37">
        <f t="shared" si="44"/>
        <v>3</v>
      </c>
      <c r="AL118" s="38">
        <f t="shared" si="45"/>
        <v>148114736.45353499</v>
      </c>
      <c r="AM118" s="38">
        <f t="shared" si="46"/>
        <v>150724637.54986149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6</v>
      </c>
      <c r="BA118" s="36">
        <f>IFERROR(INDEX('Level Multipliers'!$D:$D,MATCH(AZ118,'Level Multipliers'!$A:$A,0)),"")</f>
        <v>3.1144148940514844</v>
      </c>
      <c r="BB118" s="37">
        <f t="shared" si="49"/>
        <v>0</v>
      </c>
      <c r="BC118" s="37">
        <f t="shared" si="50"/>
        <v>-3</v>
      </c>
      <c r="BD118" s="38">
        <f t="shared" si="51"/>
        <v>122268778.42362522</v>
      </c>
      <c r="BE118" s="38">
        <f t="shared" si="52"/>
        <v>124423252.89723326</v>
      </c>
      <c r="BF118" s="38" t="b">
        <f t="shared" si="53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4"/>
        <v>6.5</v>
      </c>
      <c r="BS118" s="36">
        <f>IFERROR(INDEX('Level Multipliers'!$D:$D,MATCH(BR118,'Level Multipliers'!$A:$A,0)),"")</f>
        <v>2.9811143544095775</v>
      </c>
      <c r="BT118" s="37">
        <f t="shared" si="55"/>
        <v>0</v>
      </c>
      <c r="BU118" s="37">
        <f t="shared" si="56"/>
        <v>-8</v>
      </c>
      <c r="BV118" s="38">
        <f t="shared" si="57"/>
        <v>102641796.69879836</v>
      </c>
      <c r="BW118" s="38">
        <f t="shared" si="58"/>
        <v>104450427.92717822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60"/>
        <v>5</v>
      </c>
      <c r="CK118" s="41">
        <f t="shared" si="61"/>
        <v>5</v>
      </c>
      <c r="CL118" s="66">
        <f t="shared" si="62"/>
        <v>0.7</v>
      </c>
      <c r="CM118" s="39">
        <f t="shared" si="63"/>
        <v>0.66666666666666663</v>
      </c>
      <c r="CN118" s="39">
        <f t="shared" si="64"/>
        <v>0.73333333333333328</v>
      </c>
      <c r="CO118" s="42">
        <f t="shared" si="65"/>
        <v>8</v>
      </c>
      <c r="CP118" s="42">
        <f t="shared" si="66"/>
        <v>11</v>
      </c>
      <c r="CQ118" s="42">
        <f t="shared" si="67"/>
        <v>13</v>
      </c>
      <c r="CR118" s="42">
        <f t="shared" si="68"/>
        <v>14</v>
      </c>
      <c r="CS118" s="42">
        <f t="shared" si="69"/>
        <v>5</v>
      </c>
      <c r="CT118" s="42">
        <f t="shared" si="70"/>
        <v>12</v>
      </c>
      <c r="CU118" s="43" t="str">
        <f t="shared" si="71"/>
        <v>8-11</v>
      </c>
      <c r="CV118" s="43" t="str">
        <f t="shared" si="72"/>
        <v>13-14</v>
      </c>
      <c r="CW118" s="43" t="str">
        <f t="shared" si="73"/>
        <v>5-12</v>
      </c>
      <c r="CX118" s="13"/>
    </row>
    <row r="119" spans="1:102" x14ac:dyDescent="0.25">
      <c r="A119" s="31" t="s">
        <v>123</v>
      </c>
      <c r="B119" s="13">
        <v>1315</v>
      </c>
      <c r="C119" s="13">
        <v>127</v>
      </c>
      <c r="D119" s="13">
        <v>40</v>
      </c>
      <c r="E119" s="32" t="s">
        <v>2</v>
      </c>
      <c r="F119" s="32"/>
      <c r="G119" s="32">
        <v>1</v>
      </c>
      <c r="H119" s="32"/>
      <c r="I119" s="32" t="s">
        <v>0</v>
      </c>
      <c r="J119" s="13"/>
      <c r="K119" s="33">
        <v>25</v>
      </c>
      <c r="L119" s="34">
        <f>IFERROR(INDEX('Pokemon Data'!A:A,MATCH($A119,'Pokemon Data'!$B:$B,0)),"")</f>
        <v>87</v>
      </c>
      <c r="M119" s="34">
        <f>IFERROR(INDEX('Pokemon Data'!I:I,MATCH($A119,'Pokemon Data'!$B:$B,0)),"")</f>
        <v>180</v>
      </c>
      <c r="N119" s="34">
        <f>IFERROR(INDEX('Pokemon Data'!J:J,MATCH($A119,'Pokemon Data'!$B:$B,0)),"")</f>
        <v>139</v>
      </c>
      <c r="O119" s="34">
        <f>IFERROR(INDEX('Pokemon Data'!K:K,MATCH($A119,'Pokemon Data'!$B:$B,0)),"")</f>
        <v>184</v>
      </c>
      <c r="P119" s="35">
        <f>IFERROR(INDEX('Level Multipliers'!$A:$A,MATCH($D119,'Level Multipliers'!$B:$B,0)),"")</f>
        <v>25</v>
      </c>
      <c r="Q119" s="36">
        <f>IFERROR(INDEX('Level Multipliers'!$D:$D,MATCH(P119,'Level Multipliers'!$A:$A,0)),"")</f>
        <v>1.4971539093132804</v>
      </c>
      <c r="R119" s="37">
        <f t="shared" si="37"/>
        <v>11</v>
      </c>
      <c r="S119" s="37">
        <f t="shared" si="38"/>
        <v>11</v>
      </c>
      <c r="T119" s="38">
        <f t="shared" si="39"/>
        <v>868794974.88299465</v>
      </c>
      <c r="U119" s="38">
        <f t="shared" si="40"/>
        <v>870116838.48022294</v>
      </c>
      <c r="V119" s="38" t="b">
        <f t="shared" si="41"/>
        <v>0</v>
      </c>
      <c r="W119" s="37">
        <f t="array" ref="W119:AG119">IF(V119,"",IVSolution($M119,$N119,$O119,R119,S119,T119,U119,$E119,$F119,$G119,$H119,$I119))</f>
        <v>1</v>
      </c>
      <c r="X119" s="37">
        <v>34</v>
      </c>
      <c r="Y119" s="37">
        <v>34</v>
      </c>
      <c r="Z119" s="39">
        <v>0.75555555555555554</v>
      </c>
      <c r="AA119" s="39">
        <v>0.75555555555555554</v>
      </c>
      <c r="AB119" s="37">
        <v>11</v>
      </c>
      <c r="AC119" s="37">
        <v>11</v>
      </c>
      <c r="AD119" s="37">
        <v>15</v>
      </c>
      <c r="AE119" s="37">
        <v>15</v>
      </c>
      <c r="AF119" s="37">
        <v>8</v>
      </c>
      <c r="AG119" s="37">
        <v>8</v>
      </c>
      <c r="AH119" s="40">
        <f t="shared" si="42"/>
        <v>25.5</v>
      </c>
      <c r="AI119" s="36">
        <f>IFERROR(INDEX('Level Multipliers'!$D:$D,MATCH(AH119,'Level Multipliers'!$A:$A,0)),"")</f>
        <v>1.4823997223704843</v>
      </c>
      <c r="AJ119" s="37">
        <f t="shared" si="43"/>
        <v>9</v>
      </c>
      <c r="AK119" s="37">
        <f t="shared" si="44"/>
        <v>9</v>
      </c>
      <c r="AL119" s="38">
        <f t="shared" si="45"/>
        <v>835050625.26118529</v>
      </c>
      <c r="AM119" s="38">
        <f t="shared" si="46"/>
        <v>836321147.13951933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26</v>
      </c>
      <c r="BA119" s="36">
        <f>IFERROR(INDEX('Level Multipliers'!$D:$D,MATCH(AZ119,'Level Multipliers'!$A:$A,0)),"")</f>
        <v>1.4680732523857296</v>
      </c>
      <c r="BB119" s="37">
        <f t="shared" si="49"/>
        <v>7</v>
      </c>
      <c r="BC119" s="37">
        <f t="shared" si="50"/>
        <v>7</v>
      </c>
      <c r="BD119" s="38">
        <f t="shared" si="51"/>
        <v>803234604.11214972</v>
      </c>
      <c r="BE119" s="38">
        <f t="shared" si="52"/>
        <v>804456718.20569968</v>
      </c>
      <c r="BF119" s="38" t="b">
        <f t="shared" si="53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4"/>
        <v>26.5</v>
      </c>
      <c r="BS119" s="36">
        <f>IFERROR(INDEX('Level Multipliers'!$D:$D,MATCH(BR119,'Level Multipliers'!$A:$A,0)),"")</f>
        <v>1.4541543636838528</v>
      </c>
      <c r="BT119" s="37">
        <f t="shared" si="55"/>
        <v>5</v>
      </c>
      <c r="BU119" s="37">
        <f t="shared" si="56"/>
        <v>6</v>
      </c>
      <c r="BV119" s="38">
        <f t="shared" si="57"/>
        <v>773203033.42124474</v>
      </c>
      <c r="BW119" s="38">
        <f t="shared" si="58"/>
        <v>774379454.75503957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60"/>
        <v>25</v>
      </c>
      <c r="CK119" s="41">
        <f t="shared" si="61"/>
        <v>25</v>
      </c>
      <c r="CL119" s="66">
        <f t="shared" si="62"/>
        <v>0.75555555555555554</v>
      </c>
      <c r="CM119" s="39">
        <f t="shared" si="63"/>
        <v>0.75555555555555554</v>
      </c>
      <c r="CN119" s="39">
        <f t="shared" si="64"/>
        <v>0.75555555555555554</v>
      </c>
      <c r="CO119" s="42">
        <f t="shared" si="65"/>
        <v>11</v>
      </c>
      <c r="CP119" s="42">
        <f t="shared" si="66"/>
        <v>11</v>
      </c>
      <c r="CQ119" s="42">
        <f t="shared" si="67"/>
        <v>15</v>
      </c>
      <c r="CR119" s="42">
        <f t="shared" si="68"/>
        <v>15</v>
      </c>
      <c r="CS119" s="42">
        <f t="shared" si="69"/>
        <v>8</v>
      </c>
      <c r="CT119" s="42">
        <f t="shared" si="70"/>
        <v>8</v>
      </c>
      <c r="CU119" s="43">
        <f t="shared" si="71"/>
        <v>11</v>
      </c>
      <c r="CV119" s="43">
        <f t="shared" si="72"/>
        <v>15</v>
      </c>
      <c r="CW119" s="43">
        <f t="shared" si="73"/>
        <v>8</v>
      </c>
      <c r="CX119" s="13" t="s">
        <v>433</v>
      </c>
    </row>
    <row r="120" spans="1:102" x14ac:dyDescent="0.25">
      <c r="A120" s="31" t="s">
        <v>125</v>
      </c>
      <c r="B120" s="13">
        <v>701</v>
      </c>
      <c r="C120" s="13">
        <v>102</v>
      </c>
      <c r="D120" s="13">
        <v>25</v>
      </c>
      <c r="E120" s="32" t="s">
        <v>0</v>
      </c>
      <c r="F120" s="32"/>
      <c r="G120" s="32"/>
      <c r="H120" s="32">
        <v>1</v>
      </c>
      <c r="I120" s="32" t="s">
        <v>2</v>
      </c>
      <c r="J120" s="13"/>
      <c r="K120" s="33"/>
      <c r="L120" s="34">
        <f>IFERROR(INDEX('Pokemon Data'!A:A,MATCH($A120,'Pokemon Data'!$B:$B,0)),"")</f>
        <v>88</v>
      </c>
      <c r="M120" s="34">
        <f>IFERROR(INDEX('Pokemon Data'!I:I,MATCH($A120,'Pokemon Data'!$B:$B,0)),"")</f>
        <v>160</v>
      </c>
      <c r="N120" s="34">
        <f>IFERROR(INDEX('Pokemon Data'!J:J,MATCH($A120,'Pokemon Data'!$B:$B,0)),"")</f>
        <v>135</v>
      </c>
      <c r="O120" s="34">
        <f>IFERROR(INDEX('Pokemon Data'!K:K,MATCH($A120,'Pokemon Data'!$B:$B,0)),"")</f>
        <v>90</v>
      </c>
      <c r="P120" s="35">
        <f>IFERROR(INDEX('Level Multipliers'!$A:$A,MATCH($D120,'Level Multipliers'!$B:$B,0)),"")</f>
        <v>19</v>
      </c>
      <c r="Q120" s="36">
        <f>IFERROR(INDEX('Level Multipliers'!$D:$D,MATCH(P120,'Level Multipliers'!$A:$A,0)),"")</f>
        <v>1.7173900470456649</v>
      </c>
      <c r="R120" s="37">
        <f t="shared" si="37"/>
        <v>16</v>
      </c>
      <c r="S120" s="37">
        <f t="shared" si="38"/>
        <v>15</v>
      </c>
      <c r="T120" s="38">
        <f t="shared" si="39"/>
        <v>427476064.61456341</v>
      </c>
      <c r="U120" s="38">
        <f t="shared" si="40"/>
        <v>428696552.4008199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19.5</v>
      </c>
      <c r="AI120" s="36">
        <f>IFERROR(INDEX('Level Multipliers'!$D:$D,MATCH(AH120,'Level Multipliers'!$A:$A,0)),"")</f>
        <v>1.6952373266621776</v>
      </c>
      <c r="AJ120" s="37">
        <f t="shared" si="43"/>
        <v>13</v>
      </c>
      <c r="AK120" s="37">
        <f t="shared" si="44"/>
        <v>14</v>
      </c>
      <c r="AL120" s="38">
        <f t="shared" si="45"/>
        <v>405843001.55449522</v>
      </c>
      <c r="AM120" s="38">
        <f t="shared" si="46"/>
        <v>407001724.73816997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20</v>
      </c>
      <c r="BA120" s="36">
        <f>IFERROR(INDEX('Level Multipliers'!$D:$D,MATCH(AZ120,'Level Multipliers'!$A:$A,0)),"")</f>
        <v>1.6739202944034379</v>
      </c>
      <c r="BB120" s="37">
        <f t="shared" si="49"/>
        <v>11</v>
      </c>
      <c r="BC120" s="37">
        <f t="shared" si="50"/>
        <v>12</v>
      </c>
      <c r="BD120" s="38">
        <f t="shared" si="51"/>
        <v>385811469.97685122</v>
      </c>
      <c r="BE120" s="38">
        <f t="shared" si="52"/>
        <v>386913001.09375483</v>
      </c>
      <c r="BF120" s="38" t="b">
        <f t="shared" si="53"/>
        <v>0</v>
      </c>
      <c r="BG120" s="37">
        <f t="array" ref="BG120:BQ120">IF(BF120,"",IVSolution($M120,$N120,$O120,BB120,BC120,BD120,BE120,$E120,$F120,$G120,$H120,$I120))</f>
        <v>1</v>
      </c>
      <c r="BH120" s="37">
        <v>38</v>
      </c>
      <c r="BI120" s="37">
        <v>38</v>
      </c>
      <c r="BJ120" s="39">
        <v>0.84444444444444444</v>
      </c>
      <c r="BK120" s="39">
        <v>0.84444444444444444</v>
      </c>
      <c r="BL120" s="37">
        <v>12</v>
      </c>
      <c r="BM120" s="37">
        <v>12</v>
      </c>
      <c r="BN120" s="37">
        <v>12</v>
      </c>
      <c r="BO120" s="37">
        <v>12</v>
      </c>
      <c r="BP120" s="37">
        <v>14</v>
      </c>
      <c r="BQ120" s="37">
        <v>14</v>
      </c>
      <c r="BR120" s="40">
        <f t="shared" si="54"/>
        <v>20.5</v>
      </c>
      <c r="BS120" s="36">
        <f>IFERROR(INDEX('Level Multipliers'!$D:$D,MATCH(BR120,'Level Multipliers'!$A:$A,0)),"")</f>
        <v>1.6533745038028393</v>
      </c>
      <c r="BT120" s="37">
        <f t="shared" si="55"/>
        <v>9</v>
      </c>
      <c r="BU120" s="37">
        <f t="shared" si="56"/>
        <v>10</v>
      </c>
      <c r="BV120" s="38">
        <f t="shared" si="57"/>
        <v>367215480.14022541</v>
      </c>
      <c r="BW120" s="38">
        <f t="shared" si="58"/>
        <v>368263917.80851817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60"/>
        <v>20</v>
      </c>
      <c r="CK120" s="41">
        <f t="shared" si="61"/>
        <v>20</v>
      </c>
      <c r="CL120" s="66">
        <f t="shared" si="62"/>
        <v>0.84444444444444444</v>
      </c>
      <c r="CM120" s="39">
        <f t="shared" si="63"/>
        <v>0.84444444444444444</v>
      </c>
      <c r="CN120" s="39">
        <f t="shared" si="64"/>
        <v>0.84444444444444444</v>
      </c>
      <c r="CO120" s="42">
        <f t="shared" si="65"/>
        <v>12</v>
      </c>
      <c r="CP120" s="42">
        <f t="shared" si="66"/>
        <v>12</v>
      </c>
      <c r="CQ120" s="42">
        <f t="shared" si="67"/>
        <v>12</v>
      </c>
      <c r="CR120" s="42">
        <f t="shared" si="68"/>
        <v>12</v>
      </c>
      <c r="CS120" s="42">
        <f t="shared" si="69"/>
        <v>14</v>
      </c>
      <c r="CT120" s="42">
        <f t="shared" si="70"/>
        <v>14</v>
      </c>
      <c r="CU120" s="43">
        <f t="shared" si="71"/>
        <v>12</v>
      </c>
      <c r="CV120" s="43">
        <f t="shared" si="72"/>
        <v>12</v>
      </c>
      <c r="CW120" s="43">
        <f t="shared" si="73"/>
        <v>14</v>
      </c>
      <c r="CX120" s="13"/>
    </row>
    <row r="121" spans="1:102" x14ac:dyDescent="0.25">
      <c r="A121" s="31" t="s">
        <v>126</v>
      </c>
      <c r="B121" s="13">
        <v>1503</v>
      </c>
      <c r="C121" s="13">
        <v>132</v>
      </c>
      <c r="D121" s="13">
        <v>25</v>
      </c>
      <c r="E121" s="32" t="s">
        <v>2</v>
      </c>
      <c r="F121" s="32"/>
      <c r="G121" s="32">
        <v>1</v>
      </c>
      <c r="H121" s="32"/>
      <c r="I121" s="32" t="s">
        <v>2</v>
      </c>
      <c r="J121" s="13"/>
      <c r="K121" s="33"/>
      <c r="L121" s="34">
        <f>IFERROR(INDEX('Pokemon Data'!A:A,MATCH($A121,'Pokemon Data'!$B:$B,0)),"")</f>
        <v>89</v>
      </c>
      <c r="M121" s="34">
        <f>IFERROR(INDEX('Pokemon Data'!I:I,MATCH($A121,'Pokemon Data'!$B:$B,0)),"")</f>
        <v>210</v>
      </c>
      <c r="N121" s="34">
        <f>IFERROR(INDEX('Pokemon Data'!J:J,MATCH($A121,'Pokemon Data'!$B:$B,0)),"")</f>
        <v>190</v>
      </c>
      <c r="O121" s="34">
        <f>IFERROR(INDEX('Pokemon Data'!K:K,MATCH($A121,'Pokemon Data'!$B:$B,0)),"")</f>
        <v>184</v>
      </c>
      <c r="P121" s="35">
        <f>IFERROR(INDEX('Level Multipliers'!$A:$A,MATCH($D121,'Level Multipliers'!$B:$B,0)),"")</f>
        <v>19</v>
      </c>
      <c r="Q121" s="36">
        <f>IFERROR(INDEX('Level Multipliers'!$D:$D,MATCH(P121,'Level Multipliers'!$A:$A,0)),"")</f>
        <v>1.7173900470456649</v>
      </c>
      <c r="R121" s="37">
        <f t="shared" si="37"/>
        <v>17</v>
      </c>
      <c r="S121" s="37">
        <f t="shared" si="38"/>
        <v>15</v>
      </c>
      <c r="T121" s="38">
        <f t="shared" si="39"/>
        <v>1965141050.2804842</v>
      </c>
      <c r="U121" s="38">
        <f t="shared" si="40"/>
        <v>1967756878.3441145</v>
      </c>
      <c r="V121" s="38" t="b">
        <f t="shared" si="41"/>
        <v>1</v>
      </c>
      <c r="W121" s="37" t="str">
        <f t="array" ref="W121:AG121">IF(V121,"",IVSolution($M121,$N121,$O121,R121,S121,T121,U121,$E121,$F121,$G121,$H121,$I121))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40">
        <f t="shared" si="42"/>
        <v>19.5</v>
      </c>
      <c r="AI121" s="36">
        <f>IFERROR(INDEX('Level Multipliers'!$D:$D,MATCH(AH121,'Level Multipliers'!$A:$A,0)),"")</f>
        <v>1.6952373266621776</v>
      </c>
      <c r="AJ121" s="37">
        <f t="shared" si="43"/>
        <v>14</v>
      </c>
      <c r="AK121" s="37">
        <f t="shared" si="44"/>
        <v>15</v>
      </c>
      <c r="AL121" s="38">
        <f t="shared" si="45"/>
        <v>1865692159.9643035</v>
      </c>
      <c r="AM121" s="38">
        <f t="shared" si="46"/>
        <v>1868175610.1519799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20</v>
      </c>
      <c r="BA121" s="36">
        <f>IFERROR(INDEX('Level Multipliers'!$D:$D,MATCH(AZ121,'Level Multipliers'!$A:$A,0)),"")</f>
        <v>1.6739202944034379</v>
      </c>
      <c r="BB121" s="37">
        <f t="shared" si="49"/>
        <v>11</v>
      </c>
      <c r="BC121" s="37">
        <f t="shared" si="50"/>
        <v>12</v>
      </c>
      <c r="BD121" s="38">
        <f t="shared" si="51"/>
        <v>1773605635.6843734</v>
      </c>
      <c r="BE121" s="38">
        <f t="shared" si="52"/>
        <v>1775966508.1494689</v>
      </c>
      <c r="BF121" s="38" t="b">
        <f t="shared" si="53"/>
        <v>0</v>
      </c>
      <c r="BG121" s="37">
        <f t="array" ref="BG121:BQ121">IF(BF121,"",IVSolution($M121,$N121,$O121,BB121,BC121,BD121,BE121,$E121,$F121,$G121,$H121,$I121))</f>
        <v>4</v>
      </c>
      <c r="BH121" s="37">
        <v>34</v>
      </c>
      <c r="BI121" s="37">
        <v>35</v>
      </c>
      <c r="BJ121" s="39">
        <v>0.75555555555555554</v>
      </c>
      <c r="BK121" s="39">
        <v>0.77777777777777779</v>
      </c>
      <c r="BL121" s="37">
        <v>11</v>
      </c>
      <c r="BM121" s="37">
        <v>12</v>
      </c>
      <c r="BN121" s="37">
        <v>13</v>
      </c>
      <c r="BO121" s="37">
        <v>14</v>
      </c>
      <c r="BP121" s="37">
        <v>8</v>
      </c>
      <c r="BQ121" s="37">
        <v>11</v>
      </c>
      <c r="BR121" s="40">
        <f t="shared" si="54"/>
        <v>20.5</v>
      </c>
      <c r="BS121" s="36">
        <f>IFERROR(INDEX('Level Multipliers'!$D:$D,MATCH(BR121,'Level Multipliers'!$A:$A,0)),"")</f>
        <v>1.6533745038028393</v>
      </c>
      <c r="BT121" s="37">
        <f t="shared" si="55"/>
        <v>9</v>
      </c>
      <c r="BU121" s="37">
        <f t="shared" si="56"/>
        <v>9</v>
      </c>
      <c r="BV121" s="38">
        <f t="shared" si="57"/>
        <v>1688118409.5597901</v>
      </c>
      <c r="BW121" s="38">
        <f t="shared" si="58"/>
        <v>1690365488.724834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60"/>
        <v>20</v>
      </c>
      <c r="CK121" s="41">
        <f t="shared" si="61"/>
        <v>20</v>
      </c>
      <c r="CL121" s="66">
        <f t="shared" si="62"/>
        <v>0.76666666666666661</v>
      </c>
      <c r="CM121" s="39">
        <f t="shared" si="63"/>
        <v>0.75555555555555554</v>
      </c>
      <c r="CN121" s="39">
        <f t="shared" si="64"/>
        <v>0.77777777777777779</v>
      </c>
      <c r="CO121" s="42">
        <f t="shared" si="65"/>
        <v>11</v>
      </c>
      <c r="CP121" s="42">
        <f t="shared" si="66"/>
        <v>12</v>
      </c>
      <c r="CQ121" s="42">
        <f t="shared" si="67"/>
        <v>13</v>
      </c>
      <c r="CR121" s="42">
        <f t="shared" si="68"/>
        <v>14</v>
      </c>
      <c r="CS121" s="42">
        <f t="shared" si="69"/>
        <v>8</v>
      </c>
      <c r="CT121" s="42">
        <f t="shared" si="70"/>
        <v>11</v>
      </c>
      <c r="CU121" s="43" t="str">
        <f t="shared" si="71"/>
        <v>11-12</v>
      </c>
      <c r="CV121" s="43" t="str">
        <f t="shared" si="72"/>
        <v>13-14</v>
      </c>
      <c r="CW121" s="43" t="str">
        <f t="shared" si="73"/>
        <v>8-11</v>
      </c>
      <c r="CX121" s="13" t="s">
        <v>422</v>
      </c>
    </row>
    <row r="122" spans="1:102" x14ac:dyDescent="0.25">
      <c r="A122" s="31" t="s">
        <v>127</v>
      </c>
      <c r="B122" s="13">
        <v>95</v>
      </c>
      <c r="C122" s="13">
        <v>18</v>
      </c>
      <c r="D122" s="13">
        <v>4</v>
      </c>
      <c r="E122" s="32" t="s">
        <v>0</v>
      </c>
      <c r="F122" s="32">
        <v>1</v>
      </c>
      <c r="G122" s="32"/>
      <c r="H122" s="32"/>
      <c r="I122" s="32" t="s">
        <v>2</v>
      </c>
      <c r="J122" s="13"/>
      <c r="K122" s="33"/>
      <c r="L122" s="34">
        <f>IFERROR(INDEX('Pokemon Data'!A:A,MATCH($A122,'Pokemon Data'!$B:$B,0)),"")</f>
        <v>90</v>
      </c>
      <c r="M122" s="34">
        <f>IFERROR(INDEX('Pokemon Data'!I:I,MATCH($A122,'Pokemon Data'!$B:$B,0)),"")</f>
        <v>60</v>
      </c>
      <c r="N122" s="34">
        <f>IFERROR(INDEX('Pokemon Data'!J:J,MATCH($A122,'Pokemon Data'!$B:$B,0)),"")</f>
        <v>116</v>
      </c>
      <c r="O122" s="34">
        <f>IFERROR(INDEX('Pokemon Data'!K:K,MATCH($A122,'Pokemon Data'!$B:$B,0)),"")</f>
        <v>168</v>
      </c>
      <c r="P122" s="35">
        <f>IFERROR(INDEX('Level Multipliers'!$A:$A,MATCH($D122,'Level Multipliers'!$B:$B,0)),"")</f>
        <v>3</v>
      </c>
      <c r="Q122" s="36">
        <f>IFERROR(INDEX('Level Multipliers'!$D:$D,MATCH(P122,'Level Multipliers'!$A:$A,0)),"")</f>
        <v>4.6353708335264541</v>
      </c>
      <c r="R122" s="37">
        <f t="shared" si="37"/>
        <v>24</v>
      </c>
      <c r="S122" s="37">
        <f t="shared" si="38"/>
        <v>15</v>
      </c>
      <c r="T122" s="38">
        <f t="shared" si="39"/>
        <v>416663200.76424736</v>
      </c>
      <c r="U122" s="38">
        <f t="shared" si="40"/>
        <v>425481225.29011679</v>
      </c>
      <c r="V122" s="38" t="b">
        <f t="shared" si="41"/>
        <v>1</v>
      </c>
      <c r="W122" s="37" t="str">
        <f t="array" ref="W122:AG122">IF(V122,"",IVSolution($M122,$N122,$O122,R122,S122,T122,U122,$E122,$F122,$G122,$H122,$I122))</f>
        <v/>
      </c>
      <c r="X122" s="37" t="str">
        <v/>
      </c>
      <c r="Y122" s="37" t="str">
        <v/>
      </c>
      <c r="Z122" s="39" t="str">
        <v/>
      </c>
      <c r="AA122" s="39" t="str">
        <v/>
      </c>
      <c r="AB122" s="37" t="str">
        <v/>
      </c>
      <c r="AC122" s="37" t="str">
        <v/>
      </c>
      <c r="AD122" s="37" t="str">
        <v/>
      </c>
      <c r="AE122" s="37" t="str">
        <v/>
      </c>
      <c r="AF122" s="37" t="str">
        <v/>
      </c>
      <c r="AG122" s="37" t="str">
        <v/>
      </c>
      <c r="AH122" s="40">
        <f t="shared" si="42"/>
        <v>3.5</v>
      </c>
      <c r="AI122" s="36">
        <f>IFERROR(INDEX('Level Multipliers'!$D:$D,MATCH(AH122,'Level Multipliers'!$A:$A,0)),"")</f>
        <v>4.227031290291726</v>
      </c>
      <c r="AJ122" s="37">
        <f t="shared" si="43"/>
        <v>17</v>
      </c>
      <c r="AK122" s="37">
        <f t="shared" si="44"/>
        <v>15</v>
      </c>
      <c r="AL122" s="38">
        <f t="shared" si="45"/>
        <v>288130386.15286148</v>
      </c>
      <c r="AM122" s="38">
        <f t="shared" si="46"/>
        <v>294228214.82379735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4</v>
      </c>
      <c r="BA122" s="36">
        <f>IFERROR(INDEX('Level Multipliers'!$D:$D,MATCH(AZ122,'Level Multipliers'!$A:$A,0)),"")</f>
        <v>3.9105263875552758</v>
      </c>
      <c r="BB122" s="37">
        <f t="shared" si="49"/>
        <v>11</v>
      </c>
      <c r="BC122" s="37">
        <f t="shared" si="50"/>
        <v>14</v>
      </c>
      <c r="BD122" s="38">
        <f t="shared" si="51"/>
        <v>211051330.17495009</v>
      </c>
      <c r="BE122" s="38">
        <f t="shared" si="52"/>
        <v>215517901.26230913</v>
      </c>
      <c r="BF122" s="38" t="b">
        <f t="shared" si="53"/>
        <v>0</v>
      </c>
      <c r="BG122" s="37">
        <f t="array" ref="BG122:BQ122">IF(BF122,"",IVSolution($M122,$N122,$O122,BB122,BC122,BD122,BE122,$E122,$F122,$G122,$H122,$I122))</f>
        <v>3</v>
      </c>
      <c r="BH122" s="37">
        <v>37</v>
      </c>
      <c r="BI122" s="37">
        <v>37</v>
      </c>
      <c r="BJ122" s="39">
        <v>0.82222222222222219</v>
      </c>
      <c r="BK122" s="39">
        <v>0.82222222222222219</v>
      </c>
      <c r="BL122" s="37">
        <v>13</v>
      </c>
      <c r="BM122" s="37">
        <v>14</v>
      </c>
      <c r="BN122" s="37">
        <v>10</v>
      </c>
      <c r="BO122" s="37">
        <v>12</v>
      </c>
      <c r="BP122" s="37">
        <v>12</v>
      </c>
      <c r="BQ122" s="37">
        <v>13</v>
      </c>
      <c r="BR122" s="40">
        <f t="shared" si="54"/>
        <v>4.5</v>
      </c>
      <c r="BS122" s="36">
        <f>IFERROR(INDEX('Level Multipliers'!$D:$D,MATCH(BR122,'Level Multipliers'!$A:$A,0)),"")</f>
        <v>3.6559011428916688</v>
      </c>
      <c r="BT122" s="37">
        <f t="shared" si="55"/>
        <v>6</v>
      </c>
      <c r="BU122" s="37">
        <f t="shared" si="56"/>
        <v>9</v>
      </c>
      <c r="BV122" s="38">
        <f t="shared" si="57"/>
        <v>161222252.82548836</v>
      </c>
      <c r="BW122" s="38">
        <f t="shared" si="58"/>
        <v>164634269.47808316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60"/>
        <v>4</v>
      </c>
      <c r="CK122" s="41">
        <f t="shared" si="61"/>
        <v>4</v>
      </c>
      <c r="CL122" s="66">
        <f t="shared" si="62"/>
        <v>0.82222222222222219</v>
      </c>
      <c r="CM122" s="39">
        <f t="shared" si="63"/>
        <v>0.82222222222222219</v>
      </c>
      <c r="CN122" s="39">
        <f t="shared" si="64"/>
        <v>0.82222222222222219</v>
      </c>
      <c r="CO122" s="42">
        <f t="shared" si="65"/>
        <v>13</v>
      </c>
      <c r="CP122" s="42">
        <f t="shared" si="66"/>
        <v>14</v>
      </c>
      <c r="CQ122" s="42">
        <f t="shared" si="67"/>
        <v>10</v>
      </c>
      <c r="CR122" s="42">
        <f t="shared" si="68"/>
        <v>12</v>
      </c>
      <c r="CS122" s="42">
        <f t="shared" si="69"/>
        <v>12</v>
      </c>
      <c r="CT122" s="42">
        <f t="shared" si="70"/>
        <v>13</v>
      </c>
      <c r="CU122" s="43" t="str">
        <f t="shared" si="71"/>
        <v>13-14</v>
      </c>
      <c r="CV122" s="43" t="str">
        <f t="shared" si="72"/>
        <v>10-12</v>
      </c>
      <c r="CW122" s="43" t="str">
        <f t="shared" si="73"/>
        <v>12-13</v>
      </c>
      <c r="CX122" s="13"/>
    </row>
    <row r="123" spans="1:102" x14ac:dyDescent="0.25">
      <c r="A123" s="31" t="s">
        <v>128</v>
      </c>
      <c r="B123" s="13">
        <v>2109</v>
      </c>
      <c r="C123" s="13">
        <v>83</v>
      </c>
      <c r="D123" s="13">
        <v>50</v>
      </c>
      <c r="E123" s="32" t="s">
        <v>0</v>
      </c>
      <c r="F123" s="32"/>
      <c r="G123" s="32">
        <v>1</v>
      </c>
      <c r="H123" s="32"/>
      <c r="I123" s="32" t="s">
        <v>0</v>
      </c>
      <c r="J123" s="13">
        <v>1</v>
      </c>
      <c r="K123" s="33">
        <v>30</v>
      </c>
      <c r="L123" s="34">
        <f>IFERROR(INDEX('Pokemon Data'!A:A,MATCH($A123,'Pokemon Data'!$B:$B,0)),"")</f>
        <v>91</v>
      </c>
      <c r="M123" s="34">
        <f>IFERROR(INDEX('Pokemon Data'!I:I,MATCH($A123,'Pokemon Data'!$B:$B,0)),"")</f>
        <v>100</v>
      </c>
      <c r="N123" s="34">
        <f>IFERROR(INDEX('Pokemon Data'!J:J,MATCH($A123,'Pokemon Data'!$B:$B,0)),"")</f>
        <v>186</v>
      </c>
      <c r="O123" s="34">
        <f>IFERROR(INDEX('Pokemon Data'!K:K,MATCH($A123,'Pokemon Data'!$B:$B,0)),"")</f>
        <v>323</v>
      </c>
      <c r="P123" s="35">
        <f>IFERROR(INDEX('Level Multipliers'!$A:$A,MATCH($D123,'Level Multipliers'!$B:$B,0)),"")</f>
        <v>29</v>
      </c>
      <c r="Q123" s="36">
        <f>IFERROR(INDEX('Level Multipliers'!$D:$D,MATCH(P123,'Level Multipliers'!$A:$A,0)),"")</f>
        <v>1.3900490110869419</v>
      </c>
      <c r="R123" s="37">
        <f t="shared" si="37"/>
        <v>16</v>
      </c>
      <c r="S123" s="37">
        <f t="shared" si="38"/>
        <v>15</v>
      </c>
      <c r="T123" s="38">
        <f t="shared" si="39"/>
        <v>1660632801.0539498</v>
      </c>
      <c r="U123" s="38">
        <f t="shared" si="40"/>
        <v>1662207980.2882071</v>
      </c>
      <c r="V123" s="38" t="b">
        <f t="shared" si="41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2"/>
        <v>29.5</v>
      </c>
      <c r="AI123" s="36">
        <f>IFERROR(INDEX('Level Multipliers'!$D:$D,MATCH(AH123,'Level Multipliers'!$A:$A,0)),"")</f>
        <v>1.3782161611191808</v>
      </c>
      <c r="AJ123" s="37">
        <f t="shared" si="43"/>
        <v>15</v>
      </c>
      <c r="AK123" s="37">
        <f t="shared" si="44"/>
        <v>15</v>
      </c>
      <c r="AL123" s="38">
        <f t="shared" si="45"/>
        <v>1604805899.6836803</v>
      </c>
      <c r="AM123" s="38">
        <f t="shared" si="46"/>
        <v>1606328124.7816012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30</v>
      </c>
      <c r="BA123" s="36">
        <f>IFERROR(INDEX('Level Multipliers'!$D:$D,MATCH(AZ123,'Level Multipliers'!$A:$A,0)),"")</f>
        <v>1.3666803275917536</v>
      </c>
      <c r="BB123" s="37">
        <f t="shared" si="49"/>
        <v>14</v>
      </c>
      <c r="BC123" s="37">
        <f t="shared" si="50"/>
        <v>14</v>
      </c>
      <c r="BD123" s="38">
        <f t="shared" si="51"/>
        <v>1551747062.309999</v>
      </c>
      <c r="BE123" s="38">
        <f t="shared" si="52"/>
        <v>1553218958.8953362</v>
      </c>
      <c r="BF123" s="38" t="b">
        <f t="shared" si="53"/>
        <v>0</v>
      </c>
      <c r="BG123" s="37">
        <f t="array" ref="BG123:BQ123">IF(BF123,"",IVSolution($M123,$N123,$O123,BB123,BC123,BD123,BE123,$E123,$F123,$G123,$H123,$I123))</f>
        <v>1</v>
      </c>
      <c r="BH123" s="37">
        <v>43</v>
      </c>
      <c r="BI123" s="37">
        <v>43</v>
      </c>
      <c r="BJ123" s="39">
        <v>0.9555555555555556</v>
      </c>
      <c r="BK123" s="39">
        <v>0.9555555555555556</v>
      </c>
      <c r="BL123" s="37">
        <v>14</v>
      </c>
      <c r="BM123" s="37">
        <v>14</v>
      </c>
      <c r="BN123" s="37">
        <v>15</v>
      </c>
      <c r="BO123" s="37">
        <v>15</v>
      </c>
      <c r="BP123" s="37">
        <v>14</v>
      </c>
      <c r="BQ123" s="37">
        <v>14</v>
      </c>
      <c r="BR123" s="40">
        <f t="shared" si="54"/>
        <v>30.5</v>
      </c>
      <c r="BS123" s="36">
        <f>IFERROR(INDEX('Level Multipliers'!$D:$D,MATCH(BR123,'Level Multipliers'!$A:$A,0)),"")</f>
        <v>1.3610237451455012</v>
      </c>
      <c r="BT123" s="37">
        <f t="shared" si="55"/>
        <v>13</v>
      </c>
      <c r="BU123" s="37">
        <f t="shared" si="56"/>
        <v>14</v>
      </c>
      <c r="BV123" s="38">
        <f t="shared" si="57"/>
        <v>1526215881.022938</v>
      </c>
      <c r="BW123" s="38">
        <f t="shared" si="58"/>
        <v>1527663560.2216475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60"/>
        <v>30</v>
      </c>
      <c r="CK123" s="41">
        <f t="shared" si="61"/>
        <v>30</v>
      </c>
      <c r="CL123" s="66">
        <f t="shared" si="62"/>
        <v>0.9555555555555556</v>
      </c>
      <c r="CM123" s="39">
        <f t="shared" si="63"/>
        <v>0.9555555555555556</v>
      </c>
      <c r="CN123" s="39">
        <f t="shared" si="64"/>
        <v>0.9555555555555556</v>
      </c>
      <c r="CO123" s="42">
        <f t="shared" si="65"/>
        <v>14</v>
      </c>
      <c r="CP123" s="42">
        <f t="shared" si="66"/>
        <v>14</v>
      </c>
      <c r="CQ123" s="42">
        <f t="shared" si="67"/>
        <v>15</v>
      </c>
      <c r="CR123" s="42">
        <f t="shared" si="68"/>
        <v>15</v>
      </c>
      <c r="CS123" s="42">
        <f t="shared" si="69"/>
        <v>14</v>
      </c>
      <c r="CT123" s="42">
        <f t="shared" si="70"/>
        <v>14</v>
      </c>
      <c r="CU123" s="43">
        <f t="shared" si="71"/>
        <v>14</v>
      </c>
      <c r="CV123" s="43">
        <f t="shared" si="72"/>
        <v>15</v>
      </c>
      <c r="CW123" s="43">
        <f t="shared" si="73"/>
        <v>14</v>
      </c>
      <c r="CX123" s="13" t="s">
        <v>433</v>
      </c>
    </row>
    <row r="124" spans="1:102" x14ac:dyDescent="0.25">
      <c r="A124" s="31" t="s">
        <v>128</v>
      </c>
      <c r="B124" s="13">
        <v>1778</v>
      </c>
      <c r="C124" s="13">
        <v>76</v>
      </c>
      <c r="D124" s="13">
        <v>40</v>
      </c>
      <c r="E124" s="32" t="s">
        <v>0</v>
      </c>
      <c r="F124" s="32"/>
      <c r="G124" s="32"/>
      <c r="H124" s="32">
        <v>1</v>
      </c>
      <c r="I124" s="32" t="s">
        <v>0</v>
      </c>
      <c r="J124" s="13"/>
      <c r="K124" s="33"/>
      <c r="L124" s="34">
        <f>IFERROR(INDEX('Pokemon Data'!A:A,MATCH($A124,'Pokemon Data'!$B:$B,0)),"")</f>
        <v>91</v>
      </c>
      <c r="M124" s="34">
        <f>IFERROR(INDEX('Pokemon Data'!I:I,MATCH($A124,'Pokemon Data'!$B:$B,0)),"")</f>
        <v>100</v>
      </c>
      <c r="N124" s="34">
        <f>IFERROR(INDEX('Pokemon Data'!J:J,MATCH($A124,'Pokemon Data'!$B:$B,0)),"")</f>
        <v>186</v>
      </c>
      <c r="O124" s="34">
        <f>IFERROR(INDEX('Pokemon Data'!K:K,MATCH($A124,'Pokemon Data'!$B:$B,0)),"")</f>
        <v>323</v>
      </c>
      <c r="P124" s="35">
        <f>IFERROR(INDEX('Level Multipliers'!$A:$A,MATCH($D124,'Level Multipliers'!$B:$B,0)),"")</f>
        <v>25</v>
      </c>
      <c r="Q124" s="36">
        <f>IFERROR(INDEX('Level Multipliers'!$D:$D,MATCH(P124,'Level Multipliers'!$A:$A,0)),"")</f>
        <v>1.4971539093132804</v>
      </c>
      <c r="R124" s="37">
        <f t="shared" si="37"/>
        <v>14</v>
      </c>
      <c r="S124" s="37">
        <f t="shared" si="38"/>
        <v>15</v>
      </c>
      <c r="T124" s="38">
        <f t="shared" si="39"/>
        <v>1588288194.6409593</v>
      </c>
      <c r="U124" s="38">
        <f t="shared" si="40"/>
        <v>1590075297.9535177</v>
      </c>
      <c r="V124" s="38" t="b">
        <f t="shared" si="41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2"/>
        <v>25.5</v>
      </c>
      <c r="AI124" s="36">
        <f>IFERROR(INDEX('Level Multipliers'!$D:$D,MATCH(AH124,'Level Multipliers'!$A:$A,0)),"")</f>
        <v>1.4823997223704843</v>
      </c>
      <c r="AJ124" s="37">
        <f t="shared" si="43"/>
        <v>13</v>
      </c>
      <c r="AK124" s="37">
        <f t="shared" si="44"/>
        <v>14</v>
      </c>
      <c r="AL124" s="38">
        <f t="shared" si="45"/>
        <v>1526598436.1943536</v>
      </c>
      <c r="AM124" s="38">
        <f t="shared" si="46"/>
        <v>1528316127.6885512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26</v>
      </c>
      <c r="BA124" s="36">
        <f>IFERROR(INDEX('Level Multipliers'!$D:$D,MATCH(AZ124,'Level Multipliers'!$A:$A,0)),"")</f>
        <v>1.4680732523857296</v>
      </c>
      <c r="BB124" s="37">
        <f t="shared" si="49"/>
        <v>12</v>
      </c>
      <c r="BC124" s="37">
        <f t="shared" si="50"/>
        <v>13</v>
      </c>
      <c r="BD124" s="38">
        <f t="shared" si="51"/>
        <v>1468433952.9130523</v>
      </c>
      <c r="BE124" s="38">
        <f t="shared" si="52"/>
        <v>1470086199.1429107</v>
      </c>
      <c r="BF124" s="38" t="b">
        <f t="shared" si="53"/>
        <v>0</v>
      </c>
      <c r="BG124" s="37">
        <f t="array" ref="BG124:BQ124">IF(BF124,"",IVSolution($M124,$N124,$O124,BB124,BC124,BD124,BE124,$E124,$F124,$G124,$H124,$I124))</f>
        <v>1</v>
      </c>
      <c r="BH124" s="37">
        <v>38</v>
      </c>
      <c r="BI124" s="37">
        <v>38</v>
      </c>
      <c r="BJ124" s="39">
        <v>0.84444444444444444</v>
      </c>
      <c r="BK124" s="39">
        <v>0.84444444444444444</v>
      </c>
      <c r="BL124" s="37">
        <v>12</v>
      </c>
      <c r="BM124" s="37">
        <v>12</v>
      </c>
      <c r="BN124" s="37">
        <v>11</v>
      </c>
      <c r="BO124" s="37">
        <v>11</v>
      </c>
      <c r="BP124" s="37">
        <v>15</v>
      </c>
      <c r="BQ124" s="37">
        <v>15</v>
      </c>
      <c r="BR124" s="40">
        <f t="shared" si="54"/>
        <v>26.5</v>
      </c>
      <c r="BS124" s="36">
        <f>IFERROR(INDEX('Level Multipliers'!$D:$D,MATCH(BR124,'Level Multipliers'!$A:$A,0)),"")</f>
        <v>1.4541543636838528</v>
      </c>
      <c r="BT124" s="37">
        <f t="shared" si="55"/>
        <v>11</v>
      </c>
      <c r="BU124" s="37">
        <f t="shared" si="56"/>
        <v>11</v>
      </c>
      <c r="BV124" s="38">
        <f t="shared" si="57"/>
        <v>1413531714.0950694</v>
      </c>
      <c r="BW124" s="38">
        <f t="shared" si="58"/>
        <v>1415122185.6588504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60"/>
        <v>26</v>
      </c>
      <c r="CK124" s="41">
        <f t="shared" si="61"/>
        <v>26</v>
      </c>
      <c r="CL124" s="66">
        <f t="shared" si="62"/>
        <v>0.84444444444444444</v>
      </c>
      <c r="CM124" s="39">
        <f t="shared" si="63"/>
        <v>0.84444444444444444</v>
      </c>
      <c r="CN124" s="39">
        <f t="shared" si="64"/>
        <v>0.84444444444444444</v>
      </c>
      <c r="CO124" s="42">
        <f t="shared" si="65"/>
        <v>12</v>
      </c>
      <c r="CP124" s="42">
        <f t="shared" si="66"/>
        <v>12</v>
      </c>
      <c r="CQ124" s="42">
        <f t="shared" si="67"/>
        <v>11</v>
      </c>
      <c r="CR124" s="42">
        <f t="shared" si="68"/>
        <v>11</v>
      </c>
      <c r="CS124" s="42">
        <f t="shared" si="69"/>
        <v>15</v>
      </c>
      <c r="CT124" s="42">
        <f t="shared" si="70"/>
        <v>15</v>
      </c>
      <c r="CU124" s="43">
        <f t="shared" si="71"/>
        <v>12</v>
      </c>
      <c r="CV124" s="43">
        <f t="shared" si="72"/>
        <v>11</v>
      </c>
      <c r="CW124" s="43">
        <f t="shared" si="73"/>
        <v>15</v>
      </c>
      <c r="CX124" s="13" t="s">
        <v>433</v>
      </c>
    </row>
    <row r="125" spans="1:102" x14ac:dyDescent="0.25">
      <c r="A125" s="31" t="s">
        <v>128</v>
      </c>
      <c r="B125" s="13">
        <v>621</v>
      </c>
      <c r="C125" s="13">
        <v>45</v>
      </c>
      <c r="D125" s="13">
        <v>10</v>
      </c>
      <c r="E125" s="32" t="s">
        <v>0</v>
      </c>
      <c r="F125" s="32"/>
      <c r="G125" s="32">
        <v>1</v>
      </c>
      <c r="H125" s="32"/>
      <c r="I125" s="32" t="s">
        <v>2</v>
      </c>
      <c r="J125" s="13"/>
      <c r="K125" s="33"/>
      <c r="L125" s="34">
        <f>IFERROR(INDEX('Pokemon Data'!A:A,MATCH($A125,'Pokemon Data'!$B:$B,0)),"")</f>
        <v>91</v>
      </c>
      <c r="M125" s="34">
        <f>IFERROR(INDEX('Pokemon Data'!I:I,MATCH($A125,'Pokemon Data'!$B:$B,0)),"")</f>
        <v>100</v>
      </c>
      <c r="N125" s="34">
        <f>IFERROR(INDEX('Pokemon Data'!J:J,MATCH($A125,'Pokemon Data'!$B:$B,0)),"")</f>
        <v>186</v>
      </c>
      <c r="O125" s="34">
        <f>IFERROR(INDEX('Pokemon Data'!K:K,MATCH($A125,'Pokemon Data'!$B:$B,0)),"")</f>
        <v>323</v>
      </c>
      <c r="P125" s="35">
        <f>IFERROR(INDEX('Level Multipliers'!$A:$A,MATCH($D125,'Level Multipliers'!$B:$B,0)),"")</f>
        <v>9</v>
      </c>
      <c r="Q125" s="36">
        <f>IFERROR(INDEX('Level Multipliers'!$D:$D,MATCH(P125,'Level Multipliers'!$A:$A,0)),"")</f>
        <v>2.5027074524512973</v>
      </c>
      <c r="R125" s="37">
        <f t="shared" si="37"/>
        <v>13</v>
      </c>
      <c r="S125" s="37">
        <f t="shared" si="38"/>
        <v>15</v>
      </c>
      <c r="T125" s="38">
        <f t="shared" si="39"/>
        <v>1512946418.8370523</v>
      </c>
      <c r="U125" s="38">
        <f t="shared" si="40"/>
        <v>1517822955.3013144</v>
      </c>
      <c r="V125" s="38" t="b">
        <f t="shared" si="41"/>
        <v>0</v>
      </c>
      <c r="W125" s="37">
        <f t="array" ref="W125:AG125">IF(V125,"",IVSolution($M125,$N125,$O125,R125,S125,T125,U125,$E125,$F125,$G125,$H125,$I125))</f>
        <v>1</v>
      </c>
      <c r="X125" s="37">
        <v>39</v>
      </c>
      <c r="Y125" s="37">
        <v>39</v>
      </c>
      <c r="Z125" s="39">
        <v>0.8666666666666667</v>
      </c>
      <c r="AA125" s="39">
        <v>0.8666666666666667</v>
      </c>
      <c r="AB125" s="37">
        <v>13</v>
      </c>
      <c r="AC125" s="37">
        <v>13</v>
      </c>
      <c r="AD125" s="37">
        <v>14</v>
      </c>
      <c r="AE125" s="37">
        <v>14</v>
      </c>
      <c r="AF125" s="37">
        <v>12</v>
      </c>
      <c r="AG125" s="37">
        <v>12</v>
      </c>
      <c r="AH125" s="40">
        <f t="shared" si="42"/>
        <v>9.5</v>
      </c>
      <c r="AI125" s="36">
        <f>IFERROR(INDEX('Level Multipliers'!$D:$D,MATCH(AH125,'Level Multipliers'!$A:$A,0)),"")</f>
        <v>2.4319447427583007</v>
      </c>
      <c r="AJ125" s="37">
        <f t="shared" si="43"/>
        <v>10</v>
      </c>
      <c r="AK125" s="37">
        <f t="shared" si="44"/>
        <v>11</v>
      </c>
      <c r="AL125" s="38">
        <f t="shared" si="45"/>
        <v>1348956707.8379738</v>
      </c>
      <c r="AM125" s="38">
        <f t="shared" si="46"/>
        <v>1353304671.845542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10</v>
      </c>
      <c r="BA125" s="36">
        <f>IFERROR(INDEX('Level Multipliers'!$D:$D,MATCH(AZ125,'Level Multipliers'!$A:$A,0)),"")</f>
        <v>2.366863825187552</v>
      </c>
      <c r="BB125" s="37">
        <f t="shared" si="49"/>
        <v>7</v>
      </c>
      <c r="BC125" s="37">
        <f t="shared" si="50"/>
        <v>8</v>
      </c>
      <c r="BD125" s="38">
        <f t="shared" si="51"/>
        <v>1210253335.9105465</v>
      </c>
      <c r="BE125" s="38">
        <f t="shared" si="52"/>
        <v>1214154230.5159872</v>
      </c>
      <c r="BF125" s="38" t="b">
        <f t="shared" si="53"/>
        <v>0</v>
      </c>
      <c r="BG125" s="37">
        <f t="array" ref="BG125:BQ125">IF(BF125,"",IVSolution($M125,$N125,$O125,BB125,BC125,BD125,BE125,$E125,$F125,$G125,$H125,$I125))</f>
        <v>0</v>
      </c>
      <c r="BH125" s="37" t="str">
        <v/>
      </c>
      <c r="BI125" s="37" t="str">
        <v/>
      </c>
      <c r="BJ125" s="39" t="str">
        <v/>
      </c>
      <c r="BK125" s="39" t="str">
        <v/>
      </c>
      <c r="BL125" s="37" t="str">
        <v/>
      </c>
      <c r="BM125" s="37" t="str">
        <v/>
      </c>
      <c r="BN125" s="37" t="str">
        <v/>
      </c>
      <c r="BO125" s="37" t="str">
        <v/>
      </c>
      <c r="BP125" s="37" t="str">
        <v/>
      </c>
      <c r="BQ125" s="37" t="str">
        <v/>
      </c>
      <c r="BR125" s="40">
        <f t="shared" si="54"/>
        <v>10.5</v>
      </c>
      <c r="BS125" s="36">
        <f>IFERROR(INDEX('Level Multipliers'!$D:$D,MATCH(BR125,'Level Multipliers'!$A:$A,0)),"")</f>
        <v>2.3098613358274029</v>
      </c>
      <c r="BT125" s="37">
        <f t="shared" si="55"/>
        <v>4</v>
      </c>
      <c r="BU125" s="37">
        <f t="shared" si="56"/>
        <v>6</v>
      </c>
      <c r="BV125" s="38">
        <f t="shared" si="57"/>
        <v>1097809128.8832796</v>
      </c>
      <c r="BW125" s="38">
        <f t="shared" si="58"/>
        <v>1101347592.7582355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60"/>
        <v>9</v>
      </c>
      <c r="CK125" s="41">
        <f t="shared" si="61"/>
        <v>9</v>
      </c>
      <c r="CL125" s="66">
        <f t="shared" si="62"/>
        <v>0.8666666666666667</v>
      </c>
      <c r="CM125" s="39">
        <f t="shared" si="63"/>
        <v>0.8666666666666667</v>
      </c>
      <c r="CN125" s="39">
        <f t="shared" si="64"/>
        <v>0.8666666666666667</v>
      </c>
      <c r="CO125" s="42">
        <f t="shared" si="65"/>
        <v>13</v>
      </c>
      <c r="CP125" s="42">
        <f t="shared" si="66"/>
        <v>13</v>
      </c>
      <c r="CQ125" s="42">
        <f t="shared" si="67"/>
        <v>14</v>
      </c>
      <c r="CR125" s="42">
        <f t="shared" si="68"/>
        <v>14</v>
      </c>
      <c r="CS125" s="42">
        <f t="shared" si="69"/>
        <v>12</v>
      </c>
      <c r="CT125" s="42">
        <f t="shared" si="70"/>
        <v>12</v>
      </c>
      <c r="CU125" s="43">
        <f t="shared" si="71"/>
        <v>13</v>
      </c>
      <c r="CV125" s="43">
        <f t="shared" si="72"/>
        <v>14</v>
      </c>
      <c r="CW125" s="43">
        <f t="shared" si="73"/>
        <v>12</v>
      </c>
      <c r="CX125" s="13" t="s">
        <v>427</v>
      </c>
    </row>
    <row r="126" spans="1:102" x14ac:dyDescent="0.25">
      <c r="A126" s="31" t="s">
        <v>129</v>
      </c>
      <c r="B126" s="13">
        <v>269</v>
      </c>
      <c r="C126" s="13">
        <v>31</v>
      </c>
      <c r="D126" s="13">
        <v>10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92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186</v>
      </c>
      <c r="O126" s="34">
        <f>IFERROR(INDEX('Pokemon Data'!K:K,MATCH($A126,'Pokemon Data'!$B:$B,0)),"")</f>
        <v>70</v>
      </c>
      <c r="P126" s="35">
        <f>IFERROR(INDEX('Level Multipliers'!$A:$A,MATCH($D126,'Level Multipliers'!$B:$B,0)),"")</f>
        <v>9</v>
      </c>
      <c r="Q126" s="36">
        <f>IFERROR(INDEX('Level Multipliers'!$D:$D,MATCH(P126,'Level Multipliers'!$A:$A,0)),"")</f>
        <v>2.5027074524512973</v>
      </c>
      <c r="R126" s="37">
        <f t="shared" si="37"/>
        <v>18</v>
      </c>
      <c r="S126" s="37">
        <f t="shared" si="38"/>
        <v>15</v>
      </c>
      <c r="T126" s="38">
        <f t="shared" si="39"/>
        <v>283886609.08323532</v>
      </c>
      <c r="U126" s="38">
        <f t="shared" si="40"/>
        <v>286001213.39074713</v>
      </c>
      <c r="V126" s="38" t="b">
        <f t="shared" si="41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2"/>
        <v>9.5</v>
      </c>
      <c r="AI126" s="36">
        <f>IFERROR(INDEX('Level Multipliers'!$D:$D,MATCH(AH126,'Level Multipliers'!$A:$A,0)),"")</f>
        <v>2.4319447427583007</v>
      </c>
      <c r="AJ126" s="37">
        <f t="shared" si="43"/>
        <v>16</v>
      </c>
      <c r="AK126" s="37">
        <f t="shared" si="44"/>
        <v>15</v>
      </c>
      <c r="AL126" s="38">
        <f t="shared" si="45"/>
        <v>253115867.70043546</v>
      </c>
      <c r="AM126" s="38">
        <f t="shared" si="46"/>
        <v>255001268.02230129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10</v>
      </c>
      <c r="BA126" s="36">
        <f>IFERROR(INDEX('Level Multipliers'!$D:$D,MATCH(AZ126,'Level Multipliers'!$A:$A,0)),"")</f>
        <v>2.366863825187552</v>
      </c>
      <c r="BB126" s="37">
        <f t="shared" si="49"/>
        <v>14</v>
      </c>
      <c r="BC126" s="37">
        <f t="shared" si="50"/>
        <v>15</v>
      </c>
      <c r="BD126" s="38">
        <f t="shared" si="51"/>
        <v>227089810.57466155</v>
      </c>
      <c r="BE126" s="38">
        <f t="shared" si="52"/>
        <v>228781348.94339252</v>
      </c>
      <c r="BF126" s="38" t="b">
        <f t="shared" si="53"/>
        <v>0</v>
      </c>
      <c r="BG126" s="37">
        <f t="array" ref="BG126:BQ126">IF(BF126,"",IVSolution($M126,$N126,$O126,BB126,BC126,BD126,BE126,$E126,$F126,$G126,$H126,$I126))</f>
        <v>15</v>
      </c>
      <c r="BH126" s="37">
        <v>33</v>
      </c>
      <c r="BI126" s="37">
        <v>35</v>
      </c>
      <c r="BJ126" s="39">
        <v>0.73333333333333328</v>
      </c>
      <c r="BK126" s="39">
        <v>0.77777777777777779</v>
      </c>
      <c r="BL126" s="37">
        <v>14</v>
      </c>
      <c r="BM126" s="37">
        <v>15</v>
      </c>
      <c r="BN126" s="37">
        <v>3</v>
      </c>
      <c r="BO126" s="37">
        <v>15</v>
      </c>
      <c r="BP126" s="37">
        <v>5</v>
      </c>
      <c r="BQ126" s="37">
        <v>15</v>
      </c>
      <c r="BR126" s="40">
        <f t="shared" si="54"/>
        <v>10.5</v>
      </c>
      <c r="BS126" s="36">
        <f>IFERROR(INDEX('Level Multipliers'!$D:$D,MATCH(BR126,'Level Multipliers'!$A:$A,0)),"")</f>
        <v>2.3098613358274029</v>
      </c>
      <c r="BT126" s="37">
        <f t="shared" si="55"/>
        <v>12</v>
      </c>
      <c r="BU126" s="37">
        <f t="shared" si="56"/>
        <v>13</v>
      </c>
      <c r="BV126" s="38">
        <f t="shared" si="57"/>
        <v>205990977.0359557</v>
      </c>
      <c r="BW126" s="38">
        <f t="shared" si="58"/>
        <v>207525355.17642334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60"/>
        <v>10</v>
      </c>
      <c r="CK126" s="41">
        <f t="shared" si="61"/>
        <v>10</v>
      </c>
      <c r="CL126" s="66">
        <f t="shared" si="62"/>
        <v>0.75555555555555554</v>
      </c>
      <c r="CM126" s="39">
        <f t="shared" si="63"/>
        <v>0.73333333333333328</v>
      </c>
      <c r="CN126" s="39">
        <f t="shared" si="64"/>
        <v>0.77777777777777779</v>
      </c>
      <c r="CO126" s="42">
        <f t="shared" si="65"/>
        <v>14</v>
      </c>
      <c r="CP126" s="42">
        <f t="shared" si="66"/>
        <v>15</v>
      </c>
      <c r="CQ126" s="42">
        <f t="shared" si="67"/>
        <v>3</v>
      </c>
      <c r="CR126" s="42">
        <f t="shared" si="68"/>
        <v>15</v>
      </c>
      <c r="CS126" s="42">
        <f t="shared" si="69"/>
        <v>5</v>
      </c>
      <c r="CT126" s="42">
        <f t="shared" si="70"/>
        <v>15</v>
      </c>
      <c r="CU126" s="43" t="str">
        <f t="shared" si="71"/>
        <v>14-15</v>
      </c>
      <c r="CV126" s="43" t="str">
        <f t="shared" si="72"/>
        <v>3-15</v>
      </c>
      <c r="CW126" s="43" t="str">
        <f t="shared" si="73"/>
        <v>5-15</v>
      </c>
      <c r="CX126" s="13" t="s">
        <v>396</v>
      </c>
    </row>
    <row r="127" spans="1:102" x14ac:dyDescent="0.25">
      <c r="A127" s="31" t="s">
        <v>129</v>
      </c>
      <c r="B127" s="13">
        <v>182</v>
      </c>
      <c r="C127" s="13">
        <v>26</v>
      </c>
      <c r="D127" s="13">
        <v>8</v>
      </c>
      <c r="E127" s="32" t="s">
        <v>2</v>
      </c>
      <c r="F127" s="32">
        <v>1</v>
      </c>
      <c r="G127" s="32"/>
      <c r="H127" s="32"/>
      <c r="I127" s="32" t="s">
        <v>0</v>
      </c>
      <c r="J127" s="13"/>
      <c r="K127" s="33"/>
      <c r="L127" s="34">
        <f>IFERROR(INDEX('Pokemon Data'!A:A,MATCH($A127,'Pokemon Data'!$B:$B,0)),"")</f>
        <v>92</v>
      </c>
      <c r="M127" s="34">
        <f>IFERROR(INDEX('Pokemon Data'!I:I,MATCH($A127,'Pokemon Data'!$B:$B,0)),"")</f>
        <v>60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70</v>
      </c>
      <c r="P127" s="35">
        <f>IFERROR(INDEX('Level Multipliers'!$A:$A,MATCH($D127,'Level Multipliers'!$B:$B,0)),"")</f>
        <v>7</v>
      </c>
      <c r="Q127" s="36">
        <f>IFERROR(INDEX('Level Multipliers'!$D:$D,MATCH(P127,'Level Multipliers'!$A:$A,0)),"")</f>
        <v>2.8635844799030687</v>
      </c>
      <c r="R127" s="37">
        <f t="shared" si="37"/>
        <v>15</v>
      </c>
      <c r="S127" s="37">
        <f t="shared" si="38"/>
        <v>15</v>
      </c>
      <c r="T127" s="38">
        <f t="shared" si="39"/>
        <v>222732081.549422</v>
      </c>
      <c r="U127" s="38">
        <f t="shared" si="40"/>
        <v>225186411.03153583</v>
      </c>
      <c r="V127" s="38" t="b">
        <f t="shared" si="41"/>
        <v>0</v>
      </c>
      <c r="W127" s="37">
        <f t="array" ref="W127:AG127">IF(V127,"",IVSolution($M127,$N127,$O127,R127,S127,T127,U127,$E127,$F127,$G127,$H127,$I127))</f>
        <v>11</v>
      </c>
      <c r="X127" s="37">
        <v>32</v>
      </c>
      <c r="Y127" s="37">
        <v>34</v>
      </c>
      <c r="Z127" s="39">
        <v>0.71111111111111114</v>
      </c>
      <c r="AA127" s="39">
        <v>0.75555555555555554</v>
      </c>
      <c r="AB127" s="37">
        <v>15</v>
      </c>
      <c r="AC127" s="37">
        <v>15</v>
      </c>
      <c r="AD127" s="37">
        <v>3</v>
      </c>
      <c r="AE127" s="37">
        <v>14</v>
      </c>
      <c r="AF127" s="37">
        <v>5</v>
      </c>
      <c r="AG127" s="37">
        <v>14</v>
      </c>
      <c r="AH127" s="40">
        <f t="shared" si="42"/>
        <v>7.5</v>
      </c>
      <c r="AI127" s="36">
        <f>IFERROR(INDEX('Level Multipliers'!$D:$D,MATCH(AH127,'Level Multipliers'!$A:$A,0)),"")</f>
        <v>2.7589423510530713</v>
      </c>
      <c r="AJ127" s="37">
        <f t="shared" si="43"/>
        <v>12</v>
      </c>
      <c r="AK127" s="37">
        <f t="shared" si="44"/>
        <v>14</v>
      </c>
      <c r="AL127" s="38">
        <f t="shared" si="45"/>
        <v>191916926.27851421</v>
      </c>
      <c r="AM127" s="38">
        <f t="shared" si="46"/>
        <v>194031697.38380519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8</v>
      </c>
      <c r="BA127" s="36">
        <f>IFERROR(INDEX('Level Multipliers'!$D:$D,MATCH(AZ127,'Level Multipliers'!$A:$A,0)),"")</f>
        <v>2.6649924305944541</v>
      </c>
      <c r="BB127" s="37">
        <f t="shared" si="49"/>
        <v>10</v>
      </c>
      <c r="BC127" s="37">
        <f t="shared" si="50"/>
        <v>11</v>
      </c>
      <c r="BD127" s="38">
        <f t="shared" si="51"/>
        <v>167080857.4224177</v>
      </c>
      <c r="BE127" s="38">
        <f t="shared" si="52"/>
        <v>168921954.9033736</v>
      </c>
      <c r="BF127" s="38" t="b">
        <f t="shared" si="53"/>
        <v>1</v>
      </c>
      <c r="BG127" s="37" t="str">
        <f t="array" ref="BG127:BQ127">IF(BF127,"",IVSolution($M127,$N127,$O127,BB127,BC127,BD127,BE127,$E127,$F127,$G127,$H127,$I127))</f>
        <v/>
      </c>
      <c r="BH127" s="37" t="str">
        <v/>
      </c>
      <c r="BI127" s="37" t="str">
        <v/>
      </c>
      <c r="BJ127" s="39" t="str">
        <v/>
      </c>
      <c r="BK127" s="39" t="str">
        <v/>
      </c>
      <c r="BL127" s="37" t="str">
        <v/>
      </c>
      <c r="BM127" s="37" t="str">
        <v/>
      </c>
      <c r="BN127" s="37" t="str">
        <v/>
      </c>
      <c r="BO127" s="37" t="str">
        <v/>
      </c>
      <c r="BP127" s="37" t="str">
        <v/>
      </c>
      <c r="BQ127" s="37" t="str">
        <v/>
      </c>
      <c r="BR127" s="40">
        <f t="shared" si="54"/>
        <v>8.5</v>
      </c>
      <c r="BS127" s="36">
        <f>IFERROR(INDEX('Level Multipliers'!$D:$D,MATCH(BR127,'Level Multipliers'!$A:$A,0)),"")</f>
        <v>2.5800298976397995</v>
      </c>
      <c r="BT127" s="37">
        <f t="shared" si="55"/>
        <v>8</v>
      </c>
      <c r="BU127" s="37">
        <f t="shared" si="56"/>
        <v>9</v>
      </c>
      <c r="BV127" s="38">
        <f t="shared" si="57"/>
        <v>146771499.25583282</v>
      </c>
      <c r="BW127" s="38">
        <f t="shared" si="58"/>
        <v>148388803.84550735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60"/>
        <v>7</v>
      </c>
      <c r="CK127" s="41">
        <f t="shared" si="61"/>
        <v>7</v>
      </c>
      <c r="CL127" s="66">
        <f t="shared" si="62"/>
        <v>0.73333333333333339</v>
      </c>
      <c r="CM127" s="39">
        <f t="shared" si="63"/>
        <v>0.71111111111111114</v>
      </c>
      <c r="CN127" s="39">
        <f t="shared" si="64"/>
        <v>0.75555555555555554</v>
      </c>
      <c r="CO127" s="42">
        <f t="shared" si="65"/>
        <v>15</v>
      </c>
      <c r="CP127" s="42">
        <f t="shared" si="66"/>
        <v>15</v>
      </c>
      <c r="CQ127" s="42">
        <f t="shared" si="67"/>
        <v>3</v>
      </c>
      <c r="CR127" s="42">
        <f t="shared" si="68"/>
        <v>14</v>
      </c>
      <c r="CS127" s="42">
        <f t="shared" si="69"/>
        <v>5</v>
      </c>
      <c r="CT127" s="42">
        <f t="shared" si="70"/>
        <v>14</v>
      </c>
      <c r="CU127" s="43">
        <f t="shared" si="71"/>
        <v>15</v>
      </c>
      <c r="CV127" s="43" t="str">
        <f t="shared" si="72"/>
        <v>3-14</v>
      </c>
      <c r="CW127" s="43" t="str">
        <f t="shared" si="73"/>
        <v>5-14</v>
      </c>
      <c r="CX127" s="13" t="s">
        <v>395</v>
      </c>
    </row>
    <row r="128" spans="1:102" x14ac:dyDescent="0.25">
      <c r="A128" s="31" t="s">
        <v>129</v>
      </c>
      <c r="B128" s="13">
        <v>41</v>
      </c>
      <c r="C128" s="13">
        <v>11</v>
      </c>
      <c r="D128" s="13">
        <v>2</v>
      </c>
      <c r="E128" s="32" t="s">
        <v>2</v>
      </c>
      <c r="F128" s="32"/>
      <c r="G128" s="32"/>
      <c r="H128" s="32">
        <v>1</v>
      </c>
      <c r="I128" s="32" t="s">
        <v>2</v>
      </c>
      <c r="J128" s="13"/>
      <c r="K128" s="33"/>
      <c r="L128" s="34">
        <f>IFERROR(INDEX('Pokemon Data'!A:A,MATCH($A128,'Pokemon Data'!$B:$B,0)),"")</f>
        <v>92</v>
      </c>
      <c r="M128" s="34">
        <f>IFERROR(INDEX('Pokemon Data'!I:I,MATCH($A128,'Pokemon Data'!$B:$B,0)),"")</f>
        <v>60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70</v>
      </c>
      <c r="P128" s="35">
        <f>IFERROR(INDEX('Level Multipliers'!$A:$A,MATCH($D128,'Level Multipliers'!$B:$B,0)),"")</f>
        <v>1</v>
      </c>
      <c r="Q128" s="36">
        <f>IFERROR(INDEX('Level Multipliers'!$D:$D,MATCH(P128,'Level Multipliers'!$A:$A,0)),"")</f>
        <v>10.638298236606033</v>
      </c>
      <c r="R128" s="37">
        <f t="shared" si="37"/>
        <v>58</v>
      </c>
      <c r="S128" s="37">
        <f t="shared" si="38"/>
        <v>15</v>
      </c>
      <c r="T128" s="38">
        <f t="shared" si="39"/>
        <v>2153061119.9741778</v>
      </c>
      <c r="U128" s="38">
        <f t="shared" si="40"/>
        <v>2259369313.286407</v>
      </c>
      <c r="V128" s="38" t="b">
        <f t="shared" si="41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2"/>
        <v>1.5</v>
      </c>
      <c r="AI128" s="36">
        <f>IFERROR(INDEX('Level Multipliers'!$D:$D,MATCH(AH128,'Level Multipliers'!$A:$A,0)),"")</f>
        <v>7.3998742209257209</v>
      </c>
      <c r="AJ128" s="37">
        <f t="shared" si="43"/>
        <v>22</v>
      </c>
      <c r="AK128" s="37">
        <f t="shared" si="44"/>
        <v>15</v>
      </c>
      <c r="AL128" s="38">
        <f t="shared" si="45"/>
        <v>504040072.08015609</v>
      </c>
      <c r="AM128" s="38">
        <f t="shared" si="46"/>
        <v>528927238.04247195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2</v>
      </c>
      <c r="BA128" s="36">
        <f>IFERROR(INDEX('Level Multipliers'!$D:$D,MATCH(AZ128,'Level Multipliers'!$A:$A,0)),"")</f>
        <v>6.0096923264843083</v>
      </c>
      <c r="BB128" s="37">
        <f t="shared" si="49"/>
        <v>7</v>
      </c>
      <c r="BC128" s="37">
        <f t="shared" si="50"/>
        <v>12</v>
      </c>
      <c r="BD128" s="38">
        <f t="shared" si="51"/>
        <v>219268712.63282806</v>
      </c>
      <c r="BE128" s="38">
        <f t="shared" si="52"/>
        <v>230095186.84372914</v>
      </c>
      <c r="BF128" s="38" t="b">
        <f t="shared" si="53"/>
        <v>0</v>
      </c>
      <c r="BG128" s="37">
        <f t="array" ref="BG128:BQ128">IF(BF128,"",IVSolution($M128,$N128,$O128,BB128,BC128,BD128,BE128,$E128,$F128,$G128,$H128,$I128))</f>
        <v>43</v>
      </c>
      <c r="BH128" s="37">
        <v>31</v>
      </c>
      <c r="BI128" s="37">
        <v>36</v>
      </c>
      <c r="BJ128" s="39">
        <v>0.68888888888888888</v>
      </c>
      <c r="BK128" s="39">
        <v>0.8</v>
      </c>
      <c r="BL128" s="37">
        <v>7</v>
      </c>
      <c r="BM128" s="37">
        <v>12</v>
      </c>
      <c r="BN128" s="37">
        <v>5</v>
      </c>
      <c r="BO128" s="37">
        <v>13</v>
      </c>
      <c r="BP128" s="37">
        <v>13</v>
      </c>
      <c r="BQ128" s="37">
        <v>14</v>
      </c>
      <c r="BR128" s="40">
        <f t="shared" si="54"/>
        <v>2.5</v>
      </c>
      <c r="BS128" s="36">
        <f>IFERROR(INDEX('Level Multipliers'!$D:$D,MATCH(BR128,'Level Multipliers'!$A:$A,0)),"")</f>
        <v>5.1907358424704109</v>
      </c>
      <c r="BT128" s="37">
        <f t="shared" si="55"/>
        <v>0</v>
      </c>
      <c r="BU128" s="37">
        <f t="shared" si="56"/>
        <v>2</v>
      </c>
      <c r="BV128" s="38">
        <f t="shared" si="57"/>
        <v>122034724.73811856</v>
      </c>
      <c r="BW128" s="38">
        <f t="shared" si="58"/>
        <v>128060234.64487873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60"/>
        <v>2</v>
      </c>
      <c r="CK128" s="41">
        <f t="shared" si="61"/>
        <v>2</v>
      </c>
      <c r="CL128" s="66">
        <f t="shared" si="62"/>
        <v>0.74444444444444446</v>
      </c>
      <c r="CM128" s="39">
        <f t="shared" si="63"/>
        <v>0.68888888888888888</v>
      </c>
      <c r="CN128" s="39">
        <f t="shared" si="64"/>
        <v>0.8</v>
      </c>
      <c r="CO128" s="42">
        <f t="shared" si="65"/>
        <v>7</v>
      </c>
      <c r="CP128" s="42">
        <f t="shared" si="66"/>
        <v>12</v>
      </c>
      <c r="CQ128" s="42">
        <f t="shared" si="67"/>
        <v>5</v>
      </c>
      <c r="CR128" s="42">
        <f t="shared" si="68"/>
        <v>13</v>
      </c>
      <c r="CS128" s="42">
        <f t="shared" si="69"/>
        <v>13</v>
      </c>
      <c r="CT128" s="42">
        <f t="shared" si="70"/>
        <v>14</v>
      </c>
      <c r="CU128" s="43" t="str">
        <f t="shared" si="71"/>
        <v>7-12</v>
      </c>
      <c r="CV128" s="43" t="str">
        <f t="shared" si="72"/>
        <v>5-13</v>
      </c>
      <c r="CW128" s="43" t="str">
        <f t="shared" si="73"/>
        <v>13-14</v>
      </c>
      <c r="CX128" s="13" t="s">
        <v>394</v>
      </c>
    </row>
    <row r="129" spans="1:102" x14ac:dyDescent="0.25">
      <c r="A129" s="31" t="s">
        <v>132</v>
      </c>
      <c r="B129" s="13">
        <v>1448</v>
      </c>
      <c r="C129" s="13">
        <v>79</v>
      </c>
      <c r="D129" s="13">
        <v>25</v>
      </c>
      <c r="E129" s="32" t="s">
        <v>2</v>
      </c>
      <c r="F129" s="32">
        <v>1</v>
      </c>
      <c r="G129" s="32">
        <v>1</v>
      </c>
      <c r="H129" s="32"/>
      <c r="I129" s="32" t="s">
        <v>2</v>
      </c>
      <c r="J129" s="13"/>
      <c r="K129" s="33"/>
      <c r="L129" s="34">
        <f>IFERROR(INDEX('Pokemon Data'!A:A,MATCH($A129,'Pokemon Data'!$B:$B,0)),"")</f>
        <v>94</v>
      </c>
      <c r="M129" s="34">
        <f>IFERROR(INDEX('Pokemon Data'!I:I,MATCH($A129,'Pokemon Data'!$B:$B,0)),"")</f>
        <v>120</v>
      </c>
      <c r="N129" s="34">
        <f>IFERROR(INDEX('Pokemon Data'!J:J,MATCH($A129,'Pokemon Data'!$B:$B,0)),"")</f>
        <v>261</v>
      </c>
      <c r="O129" s="34">
        <f>IFERROR(INDEX('Pokemon Data'!K:K,MATCH($A129,'Pokemon Data'!$B:$B,0)),"")</f>
        <v>156</v>
      </c>
      <c r="P129" s="35">
        <f>IFERROR(INDEX('Level Multipliers'!$A:$A,MATCH($D129,'Level Multipliers'!$B:$B,0)),"")</f>
        <v>19</v>
      </c>
      <c r="Q129" s="36">
        <f>IFERROR(INDEX('Level Multipliers'!$D:$D,MATCH(P129,'Level Multipliers'!$A:$A,0)),"")</f>
        <v>1.7173900470456649</v>
      </c>
      <c r="R129" s="37">
        <f t="shared" si="37"/>
        <v>16</v>
      </c>
      <c r="S129" s="37">
        <f t="shared" si="38"/>
        <v>15</v>
      </c>
      <c r="T129" s="38">
        <f t="shared" si="39"/>
        <v>1823949838.4855006</v>
      </c>
      <c r="U129" s="38">
        <f t="shared" si="40"/>
        <v>1826469976.1311066</v>
      </c>
      <c r="V129" s="38" t="b">
        <f t="shared" si="41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2"/>
        <v>19.5</v>
      </c>
      <c r="AI129" s="36">
        <f>IFERROR(INDEX('Level Multipliers'!$D:$D,MATCH(AH129,'Level Multipliers'!$A:$A,0)),"")</f>
        <v>1.6952373266621776</v>
      </c>
      <c r="AJ129" s="37">
        <f t="shared" si="43"/>
        <v>14</v>
      </c>
      <c r="AK129" s="37">
        <f t="shared" si="44"/>
        <v>15</v>
      </c>
      <c r="AL129" s="38">
        <f t="shared" si="45"/>
        <v>1731646139.7744741</v>
      </c>
      <c r="AM129" s="38">
        <f t="shared" si="46"/>
        <v>1734038742.10028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20</v>
      </c>
      <c r="BA129" s="36">
        <f>IFERROR(INDEX('Level Multipliers'!$D:$D,MATCH(AZ129,'Level Multipliers'!$A:$A,0)),"")</f>
        <v>1.6739202944034379</v>
      </c>
      <c r="BB129" s="37">
        <f t="shared" si="49"/>
        <v>13</v>
      </c>
      <c r="BC129" s="37">
        <f t="shared" si="50"/>
        <v>13</v>
      </c>
      <c r="BD129" s="38">
        <f t="shared" si="51"/>
        <v>1646175836.7328188</v>
      </c>
      <c r="BE129" s="38">
        <f t="shared" si="52"/>
        <v>1648450345.3897467</v>
      </c>
      <c r="BF129" s="38" t="b">
        <f t="shared" si="53"/>
        <v>0</v>
      </c>
      <c r="BG129" s="37">
        <f t="array" ref="BG129:BQ129">IF(BF129,"",IVSolution($M129,$N129,$O129,BB129,BC129,BD129,BE129,$E129,$F129,$G129,$H129,$I129))</f>
        <v>1</v>
      </c>
      <c r="BH129" s="37">
        <v>35</v>
      </c>
      <c r="BI129" s="37">
        <v>35</v>
      </c>
      <c r="BJ129" s="39">
        <v>0.77777777777777779</v>
      </c>
      <c r="BK129" s="39">
        <v>0.77777777777777779</v>
      </c>
      <c r="BL129" s="37">
        <v>13</v>
      </c>
      <c r="BM129" s="37">
        <v>13</v>
      </c>
      <c r="BN129" s="37">
        <v>13</v>
      </c>
      <c r="BO129" s="37">
        <v>13</v>
      </c>
      <c r="BP129" s="37">
        <v>9</v>
      </c>
      <c r="BQ129" s="37">
        <v>9</v>
      </c>
      <c r="BR129" s="40">
        <f t="shared" si="54"/>
        <v>20.5</v>
      </c>
      <c r="BS129" s="36">
        <f>IFERROR(INDEX('Level Multipliers'!$D:$D,MATCH(BR129,'Level Multipliers'!$A:$A,0)),"")</f>
        <v>1.6533745038028393</v>
      </c>
      <c r="BT129" s="37">
        <f t="shared" si="55"/>
        <v>11</v>
      </c>
      <c r="BU129" s="37">
        <f t="shared" si="56"/>
        <v>12</v>
      </c>
      <c r="BV129" s="38">
        <f t="shared" si="57"/>
        <v>1566830686.2866197</v>
      </c>
      <c r="BW129" s="38">
        <f t="shared" si="58"/>
        <v>1568995564.351512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60"/>
        <v>20</v>
      </c>
      <c r="CK129" s="41">
        <f t="shared" si="61"/>
        <v>20</v>
      </c>
      <c r="CL129" s="66">
        <f t="shared" si="62"/>
        <v>0.77777777777777779</v>
      </c>
      <c r="CM129" s="39">
        <f t="shared" si="63"/>
        <v>0.77777777777777779</v>
      </c>
      <c r="CN129" s="39">
        <f t="shared" si="64"/>
        <v>0.77777777777777779</v>
      </c>
      <c r="CO129" s="42">
        <f t="shared" si="65"/>
        <v>13</v>
      </c>
      <c r="CP129" s="42">
        <f t="shared" si="66"/>
        <v>13</v>
      </c>
      <c r="CQ129" s="42">
        <f t="shared" si="67"/>
        <v>13</v>
      </c>
      <c r="CR129" s="42">
        <f t="shared" si="68"/>
        <v>13</v>
      </c>
      <c r="CS129" s="42">
        <f t="shared" si="69"/>
        <v>9</v>
      </c>
      <c r="CT129" s="42">
        <f t="shared" si="70"/>
        <v>9</v>
      </c>
      <c r="CU129" s="43">
        <f t="shared" si="71"/>
        <v>13</v>
      </c>
      <c r="CV129" s="43">
        <f t="shared" si="72"/>
        <v>13</v>
      </c>
      <c r="CW129" s="43">
        <f t="shared" si="73"/>
        <v>9</v>
      </c>
      <c r="CX129" s="13" t="s">
        <v>433</v>
      </c>
    </row>
    <row r="130" spans="1:102" x14ac:dyDescent="0.25">
      <c r="A130" s="31" t="s">
        <v>133</v>
      </c>
      <c r="B130" s="13">
        <v>156</v>
      </c>
      <c r="C130" s="13">
        <v>26</v>
      </c>
      <c r="D130" s="13">
        <v>8</v>
      </c>
      <c r="E130" s="32" t="s">
        <v>1</v>
      </c>
      <c r="F130" s="32"/>
      <c r="G130" s="32"/>
      <c r="H130" s="32">
        <v>1</v>
      </c>
      <c r="I130" s="32" t="s">
        <v>3</v>
      </c>
      <c r="J130" s="13"/>
      <c r="K130" s="33"/>
      <c r="L130" s="34">
        <f>IFERROR(INDEX('Pokemon Data'!A:A,MATCH($A130,'Pokemon Data'!$B:$B,0)),"")</f>
        <v>95</v>
      </c>
      <c r="M130" s="34">
        <f>IFERROR(INDEX('Pokemon Data'!I:I,MATCH($A130,'Pokemon Data'!$B:$B,0)),"")</f>
        <v>70</v>
      </c>
      <c r="N130" s="34">
        <f>IFERROR(INDEX('Pokemon Data'!J:J,MATCH($A130,'Pokemon Data'!$B:$B,0)),"")</f>
        <v>85</v>
      </c>
      <c r="O130" s="34">
        <f>IFERROR(INDEX('Pokemon Data'!K:K,MATCH($A130,'Pokemon Data'!$B:$B,0)),"")</f>
        <v>288</v>
      </c>
      <c r="P130" s="35">
        <f>IFERROR(INDEX('Level Multipliers'!$A:$A,MATCH($D130,'Level Multipliers'!$B:$B,0)),"")</f>
        <v>7</v>
      </c>
      <c r="Q130" s="36">
        <f>IFERROR(INDEX('Level Multipliers'!$D:$D,MATCH(P130,'Level Multipliers'!$A:$A,0)),"")</f>
        <v>2.8635844799030687</v>
      </c>
      <c r="R130" s="37">
        <f t="shared" si="37"/>
        <v>5</v>
      </c>
      <c r="S130" s="37">
        <f t="shared" si="38"/>
        <v>7</v>
      </c>
      <c r="T130" s="38">
        <f t="shared" si="39"/>
        <v>163639896.64855492</v>
      </c>
      <c r="U130" s="38">
        <f t="shared" si="40"/>
        <v>165744568.23184708</v>
      </c>
      <c r="V130" s="38" t="b">
        <f t="shared" si="41"/>
        <v>0</v>
      </c>
      <c r="W130" s="37">
        <f t="array" ref="W130:AG130">IF(V130,"",IVSolution($M130,$N130,$O130,R130,S130,T130,U130,$E130,$F130,$G130,$H130,$I130))</f>
        <v>7</v>
      </c>
      <c r="X130" s="37">
        <v>14</v>
      </c>
      <c r="Y130" s="37">
        <v>18</v>
      </c>
      <c r="Z130" s="39">
        <v>0.31111111111111112</v>
      </c>
      <c r="AA130" s="39">
        <v>0.4</v>
      </c>
      <c r="AB130" s="37">
        <v>5</v>
      </c>
      <c r="AC130" s="37">
        <v>7</v>
      </c>
      <c r="AD130" s="37">
        <v>0</v>
      </c>
      <c r="AE130" s="37">
        <v>1</v>
      </c>
      <c r="AF130" s="37">
        <v>8</v>
      </c>
      <c r="AG130" s="37">
        <v>12</v>
      </c>
      <c r="AH130" s="40">
        <f t="shared" si="42"/>
        <v>7.5</v>
      </c>
      <c r="AI130" s="36">
        <f>IFERROR(INDEX('Level Multipliers'!$D:$D,MATCH(AH130,'Level Multipliers'!$A:$A,0)),"")</f>
        <v>2.7589423510530713</v>
      </c>
      <c r="AJ130" s="37">
        <f t="shared" si="43"/>
        <v>2</v>
      </c>
      <c r="AK130" s="37">
        <f t="shared" si="44"/>
        <v>4</v>
      </c>
      <c r="AL130" s="38">
        <f t="shared" si="45"/>
        <v>141000190.73523495</v>
      </c>
      <c r="AM130" s="38">
        <f t="shared" si="46"/>
        <v>142813679.38168994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8</v>
      </c>
      <c r="BA130" s="36">
        <f>IFERROR(INDEX('Level Multipliers'!$D:$D,MATCH(AZ130,'Level Multipliers'!$A:$A,0)),"")</f>
        <v>2.6649924305944541</v>
      </c>
      <c r="BB130" s="37">
        <f t="shared" si="49"/>
        <v>0</v>
      </c>
      <c r="BC130" s="37">
        <f t="shared" si="50"/>
        <v>1</v>
      </c>
      <c r="BD130" s="38">
        <f t="shared" si="51"/>
        <v>122753283.00422525</v>
      </c>
      <c r="BE130" s="38">
        <f t="shared" si="52"/>
        <v>124332087.14542852</v>
      </c>
      <c r="BF130" s="38" t="b">
        <f t="shared" si="53"/>
        <v>1</v>
      </c>
      <c r="BG130" s="37" t="str">
        <f t="array" ref="BG130:BQ130">IF(BF130,"",IVSolution($M130,$N130,$O130,BB130,BC130,BD130,BE130,$E130,$F130,$G130,$H130,$I130))</f>
        <v/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4"/>
        <v>8.5</v>
      </c>
      <c r="BS130" s="36">
        <f>IFERROR(INDEX('Level Multipliers'!$D:$D,MATCH(BR130,'Level Multipliers'!$A:$A,0)),"")</f>
        <v>2.5800298976397995</v>
      </c>
      <c r="BT130" s="37">
        <f t="shared" si="55"/>
        <v>0</v>
      </c>
      <c r="BU130" s="37">
        <f t="shared" si="56"/>
        <v>-1</v>
      </c>
      <c r="BV130" s="38">
        <f t="shared" si="57"/>
        <v>107832121.90224452</v>
      </c>
      <c r="BW130" s="38">
        <f t="shared" si="58"/>
        <v>109219015.97503391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60"/>
        <v>7</v>
      </c>
      <c r="CK130" s="41">
        <f t="shared" si="61"/>
        <v>7</v>
      </c>
      <c r="CL130" s="66">
        <f t="shared" si="62"/>
        <v>0.35555555555555557</v>
      </c>
      <c r="CM130" s="39">
        <f t="shared" si="63"/>
        <v>0.31111111111111112</v>
      </c>
      <c r="CN130" s="39">
        <f t="shared" si="64"/>
        <v>0.4</v>
      </c>
      <c r="CO130" s="42">
        <f t="shared" si="65"/>
        <v>5</v>
      </c>
      <c r="CP130" s="42">
        <f t="shared" si="66"/>
        <v>7</v>
      </c>
      <c r="CQ130" s="42">
        <f t="shared" si="67"/>
        <v>0</v>
      </c>
      <c r="CR130" s="42">
        <f t="shared" si="68"/>
        <v>1</v>
      </c>
      <c r="CS130" s="42">
        <f t="shared" si="69"/>
        <v>8</v>
      </c>
      <c r="CT130" s="42">
        <f t="shared" si="70"/>
        <v>12</v>
      </c>
      <c r="CU130" s="43" t="str">
        <f t="shared" si="71"/>
        <v>5-7</v>
      </c>
      <c r="CV130" s="43" t="str">
        <f t="shared" si="72"/>
        <v>0-1</v>
      </c>
      <c r="CW130" s="43" t="str">
        <f t="shared" si="73"/>
        <v>8-12</v>
      </c>
      <c r="CX130" s="13"/>
    </row>
    <row r="131" spans="1:102" x14ac:dyDescent="0.25">
      <c r="A131" s="31" t="s">
        <v>135</v>
      </c>
      <c r="B131" s="13">
        <v>532</v>
      </c>
      <c r="C131" s="13">
        <v>78</v>
      </c>
      <c r="D131" s="13">
        <v>25</v>
      </c>
      <c r="E131" s="32" t="s">
        <v>2</v>
      </c>
      <c r="F131" s="32"/>
      <c r="G131" s="32"/>
      <c r="H131" s="32">
        <v>1</v>
      </c>
      <c r="I131" s="32" t="s">
        <v>2</v>
      </c>
      <c r="J131" s="13"/>
      <c r="K131" s="33"/>
      <c r="L131" s="34">
        <f>IFERROR(INDEX('Pokemon Data'!A:A,MATCH($A131,'Pokemon Data'!$B:$B,0)),"")</f>
        <v>96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89</v>
      </c>
      <c r="O131" s="34">
        <f>IFERROR(INDEX('Pokemon Data'!K:K,MATCH($A131,'Pokemon Data'!$B:$B,0)),"")</f>
        <v>158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ref="R131:R194" si="74">IF(P131="","",IF($C131&gt;10,MAX(0,ROUNDUP(Q131*$C131-$M131+1000,0)-1000),0))</f>
        <v>14</v>
      </c>
      <c r="S131" s="37">
        <f t="shared" ref="S131:S194" si="75">IF(P131="","",MIN(15,ROUNDDOWN(Q131*($C131+1)-$M131+1000,0)-1000))</f>
        <v>15</v>
      </c>
      <c r="T131" s="38">
        <f t="shared" ref="T131:T194" si="76">IFERROR(IF($B131&gt;10,100*Q131^4*$B131^2,$N131^2*$O131*($M131+R131)),"")</f>
        <v>246206226.09940189</v>
      </c>
      <c r="U131" s="38">
        <f t="shared" ref="U131:U194" si="77">IFERROR(100*Q131^4*($B131+1)^2,"")</f>
        <v>247132683.32845619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0</v>
      </c>
      <c r="W131" s="37">
        <f t="array" ref="W131:AG131">IF(V131,"",IVSolution($M131,$N131,$O131,R131,S131,T131,U131,$E131,$F131,$G131,$H131,$I131))</f>
        <v>0</v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9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ref="AJ131:AJ194" si="80">IF(AH131="","",IF($C131&gt;10,MAX(0,ROUNDUP(AI131*$C131-$M131+1000,0)-1000),0))</f>
        <v>13</v>
      </c>
      <c r="AK131" s="37">
        <f t="shared" ref="AK131:AK194" si="81">IF(AH131="","",MIN(15,ROUNDDOWN(AI131*($C131+1)-$M131+1000,0)-1000))</f>
        <v>13</v>
      </c>
      <c r="AL131" s="38">
        <f t="shared" ref="AL131:AL194" si="82">IFERROR(IF($B131&gt;10,100*AI131^4*$B131^2,$N131^2*$O131*($M131+AJ131)),"")</f>
        <v>233746593.25471348</v>
      </c>
      <c r="AM131" s="38">
        <f t="shared" ref="AM131:AM194" si="83">IFERROR(100*AI131^4*($B131+1)^2,"")</f>
        <v>234626165.73554999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20</v>
      </c>
      <c r="BA131" s="36">
        <f>IFERROR(INDEX('Level Multipliers'!$D:$D,MATCH(AZ131,'Level Multipliers'!$A:$A,0)),"")</f>
        <v>1.6739202944034379</v>
      </c>
      <c r="BB131" s="37">
        <f t="shared" ref="BB131:BB194" si="86">IF(AZ131="","",IF($C131&gt;10,MAX(0,ROUNDUP(BA131*$C131-$M131+1000,0)-1000),0))</f>
        <v>11</v>
      </c>
      <c r="BC131" s="37">
        <f t="shared" ref="BC131:BC194" si="87">IF(AZ131="","",MIN(15,ROUNDDOWN(BA131*($C131+1)-$M131+1000,0)-1000))</f>
        <v>12</v>
      </c>
      <c r="BD131" s="38">
        <f t="shared" ref="BD131:BD194" si="88">IFERROR(IF($B131&gt;10,100*BA131^4*$B131^2,$N131^2*$O131*($M131+BB131)),"")</f>
        <v>222209367.66251665</v>
      </c>
      <c r="BE131" s="38">
        <f t="shared" ref="BE131:BE194" si="89">IFERROR(100*BA131^4*($B131+1)^2,"")</f>
        <v>223045526.35068649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1</v>
      </c>
      <c r="BH131" s="37">
        <v>36</v>
      </c>
      <c r="BI131" s="37">
        <v>36</v>
      </c>
      <c r="BJ131" s="39">
        <v>0.8</v>
      </c>
      <c r="BK131" s="39">
        <v>0.8</v>
      </c>
      <c r="BL131" s="37">
        <v>12</v>
      </c>
      <c r="BM131" s="37">
        <v>12</v>
      </c>
      <c r="BN131" s="37">
        <v>10</v>
      </c>
      <c r="BO131" s="37">
        <v>10</v>
      </c>
      <c r="BP131" s="37">
        <v>14</v>
      </c>
      <c r="BQ131" s="37">
        <v>14</v>
      </c>
      <c r="BR131" s="40">
        <f t="shared" ref="BR131:BR194" si="91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ref="BT131:BT194" si="92">IF(BR131="","",IF($C131&gt;10,MAX(0,ROUNDUP(BS131*$C131-$M131+1000,0)-1000),0))</f>
        <v>9</v>
      </c>
      <c r="BU131" s="37">
        <f t="shared" ref="BU131:BU194" si="93">IF(BR131="","",MIN(15,ROUNDDOWN(BS131*($C131+1)-$M131+1000,0)-1000))</f>
        <v>10</v>
      </c>
      <c r="BV131" s="38">
        <f t="shared" ref="BV131:BV194" si="94">IFERROR(IF($B131&gt;10,100*BS131^4*$B131^2,$N131^2*$O131*($M131+BT131)),"")</f>
        <v>211498946.99279642</v>
      </c>
      <c r="BW131" s="38">
        <f t="shared" ref="BW131:BW194" si="95">IFERROR(100*BS131^4*($B131+1)^2,"")</f>
        <v>212294803.09880626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7">IF(IFERROR(W131*1,0)&gt;0,P131,IF(IFERROR(AO131*1,0)&gt;0,AH131,IF(IFERROR(BG131*1,0)&gt;0,AZ131,IF(IFERROR(BY131*1,0)&gt;0,BR131,""))))</f>
        <v>20</v>
      </c>
      <c r="CK131" s="41">
        <f t="shared" ref="CK131:CK194" si="98">IF(IFERROR(BY131*1,0)&gt;0,BR131,IF(IFERROR(BG131*1,0)&gt;0,AZ131,IF(IFERROR(AO131*1,0)&gt;0,AH131,IF(IFERROR(W131*1,0)&gt;0,P131,""))))</f>
        <v>20</v>
      </c>
      <c r="CL131" s="66">
        <f t="shared" ref="CL131:CL194" si="99">IF(OR(CJ131="",CK131=""),"",(CM131+CN131)/2)</f>
        <v>0.8</v>
      </c>
      <c r="CM131" s="39">
        <f t="shared" ref="CM131:CM194" si="100">IF(OR(CJ131="",CK131=""),"",MIN(Z131,AR131,BJ131,CB131))</f>
        <v>0.8</v>
      </c>
      <c r="CN131" s="39">
        <f t="shared" ref="CN131:CN194" si="101">IF(OR(CJ131="",CK131=""),"",MAX(AA131,AS131,BK131,CC131))</f>
        <v>0.8</v>
      </c>
      <c r="CO131" s="42">
        <f t="shared" ref="CO131:CO194" si="102">IF(OR(CJ131="",CK131=""),"",MIN(AB131,AT131,BL131,CD131))</f>
        <v>12</v>
      </c>
      <c r="CP131" s="42">
        <f t="shared" ref="CP131:CP194" si="103">IF(OR(CJ131="",CK131=""),"",MAX(AC131,AU131,BM131,CE131))</f>
        <v>12</v>
      </c>
      <c r="CQ131" s="42">
        <f t="shared" ref="CQ131:CQ194" si="104">IF(OR(CJ131="",CK131=""),"",MIN(AD131,AV131,BN131,CF131))</f>
        <v>10</v>
      </c>
      <c r="CR131" s="42">
        <f t="shared" ref="CR131:CR194" si="105">IF(OR(CJ131="",CK131=""),"",MAX(AE131,AW131,BO131,CG131))</f>
        <v>10</v>
      </c>
      <c r="CS131" s="42">
        <f t="shared" ref="CS131:CS194" si="106">IF(OR(CJ131="",CK131=""),"",MIN(AF131,AX131,BP131,CH131))</f>
        <v>14</v>
      </c>
      <c r="CT131" s="42">
        <f t="shared" ref="CT131:CT194" si="107">IF(OR(CJ131="",CK131=""),"",MAX(AG131,AY131,BQ131,CI131))</f>
        <v>14</v>
      </c>
      <c r="CU131" s="43">
        <f t="shared" ref="CU131:CU194" si="108">IF(CO131=CP131,CP131,CO131&amp;"-"&amp;CP131)</f>
        <v>12</v>
      </c>
      <c r="CV131" s="43">
        <f t="shared" ref="CV131:CV194" si="109">IF(CQ131=CR131,CR131,CQ131&amp;"-"&amp;CR131)</f>
        <v>10</v>
      </c>
      <c r="CW131" s="43">
        <f t="shared" ref="CW131:CW194" si="110">IF(CS131=CT131,CT131,CS131&amp;"-"&amp;CT131)</f>
        <v>14</v>
      </c>
      <c r="CX131" s="13"/>
    </row>
    <row r="132" spans="1:102" x14ac:dyDescent="0.25">
      <c r="A132" s="31" t="s">
        <v>136</v>
      </c>
      <c r="B132" s="13">
        <v>1364</v>
      </c>
      <c r="C132" s="13">
        <v>115</v>
      </c>
      <c r="D132" s="13">
        <v>35</v>
      </c>
      <c r="E132" s="32" t="s">
        <v>2</v>
      </c>
      <c r="F132" s="32"/>
      <c r="G132" s="32">
        <v>1</v>
      </c>
      <c r="H132" s="32"/>
      <c r="I132" s="32" t="s">
        <v>0</v>
      </c>
      <c r="J132" s="13"/>
      <c r="K132" s="33"/>
      <c r="L132" s="34">
        <f>IFERROR(INDEX('Pokemon Data'!A:A,MATCH($A132,'Pokemon Data'!$B:$B,0)),"")</f>
        <v>97</v>
      </c>
      <c r="M132" s="34">
        <f>IFERROR(INDEX('Pokemon Data'!I:I,MATCH($A132,'Pokemon Data'!$B:$B,0)),"")</f>
        <v>170</v>
      </c>
      <c r="N132" s="34">
        <f>IFERROR(INDEX('Pokemon Data'!J:J,MATCH($A132,'Pokemon Data'!$B:$B,0)),"")</f>
        <v>144</v>
      </c>
      <c r="O132" s="34">
        <f>IFERROR(INDEX('Pokemon Data'!K:K,MATCH($A132,'Pokemon Data'!$B:$B,0)),"")</f>
        <v>215</v>
      </c>
      <c r="P132" s="35">
        <f>IFERROR(INDEX('Level Multipliers'!$A:$A,MATCH($D132,'Level Multipliers'!$B:$B,0)),"")</f>
        <v>23</v>
      </c>
      <c r="Q132" s="36">
        <f>IFERROR(INDEX('Level Multipliers'!$D:$D,MATCH(P132,'Level Multipliers'!$A:$A,0)),"")</f>
        <v>1.5609074973486676</v>
      </c>
      <c r="R132" s="37">
        <f t="shared" si="74"/>
        <v>10</v>
      </c>
      <c r="S132" s="37">
        <f t="shared" si="75"/>
        <v>11</v>
      </c>
      <c r="T132" s="38">
        <f t="shared" si="76"/>
        <v>1104427996.3912377</v>
      </c>
      <c r="U132" s="38">
        <f t="shared" si="77"/>
        <v>1106047985.9005685</v>
      </c>
      <c r="V132" s="38" t="b">
        <f t="shared" si="78"/>
        <v>1</v>
      </c>
      <c r="W132" s="37" t="str">
        <f t="array" ref="W132:AG132">IF(V132,"",IVSolution($M132,$N132,$O132,R132,S132,T132,U132,$E132,$F132,$G132,$H132,$I132))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40">
        <f t="shared" si="79"/>
        <v>23.5</v>
      </c>
      <c r="AI132" s="36">
        <f>IFERROR(INDEX('Level Multipliers'!$D:$D,MATCH(AH132,'Level Multipliers'!$A:$A,0)),"")</f>
        <v>1.5442084375315592</v>
      </c>
      <c r="AJ132" s="37">
        <f t="shared" si="80"/>
        <v>8</v>
      </c>
      <c r="AK132" s="37">
        <f t="shared" si="81"/>
        <v>9</v>
      </c>
      <c r="AL132" s="38">
        <f t="shared" si="82"/>
        <v>1057919019.5282216</v>
      </c>
      <c r="AM132" s="38">
        <f t="shared" si="83"/>
        <v>1059470789.0586547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24</v>
      </c>
      <c r="BA132" s="36">
        <f>IFERROR(INDEX('Level Multipliers'!$D:$D,MATCH(AZ132,'Level Multipliers'!$A:$A,0)),"")</f>
        <v>1.5280341520389438</v>
      </c>
      <c r="BB132" s="37">
        <f t="shared" si="86"/>
        <v>6</v>
      </c>
      <c r="BC132" s="37">
        <f t="shared" si="87"/>
        <v>7</v>
      </c>
      <c r="BD132" s="38">
        <f t="shared" si="88"/>
        <v>1014287292.5946882</v>
      </c>
      <c r="BE132" s="38">
        <f t="shared" si="89"/>
        <v>1015775062.5342585</v>
      </c>
      <c r="BF132" s="38" t="b">
        <f t="shared" si="90"/>
        <v>0</v>
      </c>
      <c r="BG132" s="37">
        <f t="array" ref="BG132:BQ132">IF(BF132,"",IVSolution($M132,$N132,$O132,BB132,BC132,BD132,BE132,$E132,$F132,$G132,$H132,$I132))</f>
        <v>2</v>
      </c>
      <c r="BH132" s="37">
        <v>34</v>
      </c>
      <c r="BI132" s="37">
        <v>34</v>
      </c>
      <c r="BJ132" s="39">
        <v>0.75555555555555554</v>
      </c>
      <c r="BK132" s="39">
        <v>0.75555555555555554</v>
      </c>
      <c r="BL132" s="37">
        <v>6</v>
      </c>
      <c r="BM132" s="37">
        <v>7</v>
      </c>
      <c r="BN132" s="37">
        <v>15</v>
      </c>
      <c r="BO132" s="37">
        <v>15</v>
      </c>
      <c r="BP132" s="37">
        <v>12</v>
      </c>
      <c r="BQ132" s="37">
        <v>13</v>
      </c>
      <c r="BR132" s="40">
        <f t="shared" si="91"/>
        <v>24.5</v>
      </c>
      <c r="BS132" s="36">
        <f>IFERROR(INDEX('Level Multipliers'!$D:$D,MATCH(BR132,'Level Multipliers'!$A:$A,0)),"")</f>
        <v>1.5123576273617088</v>
      </c>
      <c r="BT132" s="37">
        <f t="shared" si="92"/>
        <v>4</v>
      </c>
      <c r="BU132" s="37">
        <f t="shared" si="93"/>
        <v>5</v>
      </c>
      <c r="BV132" s="38">
        <f t="shared" si="94"/>
        <v>973300047.38760865</v>
      </c>
      <c r="BW132" s="38">
        <f t="shared" si="95"/>
        <v>974727696.69689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7"/>
        <v>24</v>
      </c>
      <c r="CK132" s="41">
        <f t="shared" si="98"/>
        <v>24</v>
      </c>
      <c r="CL132" s="66">
        <f t="shared" si="99"/>
        <v>0.75555555555555554</v>
      </c>
      <c r="CM132" s="39">
        <f t="shared" si="100"/>
        <v>0.75555555555555554</v>
      </c>
      <c r="CN132" s="39">
        <f t="shared" si="101"/>
        <v>0.75555555555555554</v>
      </c>
      <c r="CO132" s="42">
        <f t="shared" si="102"/>
        <v>6</v>
      </c>
      <c r="CP132" s="42">
        <f t="shared" si="103"/>
        <v>7</v>
      </c>
      <c r="CQ132" s="42">
        <f t="shared" si="104"/>
        <v>15</v>
      </c>
      <c r="CR132" s="42">
        <f t="shared" si="105"/>
        <v>15</v>
      </c>
      <c r="CS132" s="42">
        <f t="shared" si="106"/>
        <v>12</v>
      </c>
      <c r="CT132" s="42">
        <f t="shared" si="107"/>
        <v>13</v>
      </c>
      <c r="CU132" s="43" t="str">
        <f t="shared" si="108"/>
        <v>6-7</v>
      </c>
      <c r="CV132" s="43">
        <f t="shared" si="109"/>
        <v>15</v>
      </c>
      <c r="CW132" s="43" t="str">
        <f t="shared" si="110"/>
        <v>12-13</v>
      </c>
      <c r="CX132" s="13" t="s">
        <v>437</v>
      </c>
    </row>
    <row r="133" spans="1:102" x14ac:dyDescent="0.25">
      <c r="A133" s="31" t="s">
        <v>137</v>
      </c>
      <c r="B133" s="13">
        <v>758</v>
      </c>
      <c r="C133" s="13">
        <v>43</v>
      </c>
      <c r="D133" s="13">
        <v>25</v>
      </c>
      <c r="E133" s="32" t="s">
        <v>2</v>
      </c>
      <c r="F133" s="32">
        <v>1</v>
      </c>
      <c r="G133" s="32"/>
      <c r="H133" s="32"/>
      <c r="I133" s="32" t="s">
        <v>2</v>
      </c>
      <c r="J133" s="13"/>
      <c r="K133" s="33"/>
      <c r="L133" s="34">
        <f>IFERROR(INDEX('Pokemon Data'!A:A,MATCH($A133,'Pokemon Data'!$B:$B,0)),"")</f>
        <v>98</v>
      </c>
      <c r="M133" s="34">
        <f>IFERROR(INDEX('Pokemon Data'!I:I,MATCH($A133,'Pokemon Data'!$B:$B,0)),"")</f>
        <v>60</v>
      </c>
      <c r="N133" s="34">
        <f>IFERROR(INDEX('Pokemon Data'!J:J,MATCH($A133,'Pokemon Data'!$B:$B,0)),"")</f>
        <v>181</v>
      </c>
      <c r="O133" s="34">
        <f>IFERROR(INDEX('Pokemon Data'!K:K,MATCH($A133,'Pokemon Data'!$B:$B,0)),"")</f>
        <v>156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74"/>
        <v>14</v>
      </c>
      <c r="S133" s="37">
        <f t="shared" si="75"/>
        <v>15</v>
      </c>
      <c r="T133" s="38">
        <f t="shared" si="76"/>
        <v>499820630.3796736</v>
      </c>
      <c r="U133" s="38">
        <f t="shared" si="77"/>
        <v>501140288.23551905</v>
      </c>
      <c r="V133" s="38" t="b">
        <f t="shared" si="78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9"/>
        <v>19.5</v>
      </c>
      <c r="AI133" s="36">
        <f>IFERROR(INDEX('Level Multipliers'!$D:$D,MATCH(AH133,'Level Multipliers'!$A:$A,0)),"")</f>
        <v>1.6952373266621776</v>
      </c>
      <c r="AJ133" s="37">
        <f t="shared" si="80"/>
        <v>13</v>
      </c>
      <c r="AK133" s="37">
        <f t="shared" si="81"/>
        <v>14</v>
      </c>
      <c r="AL133" s="38">
        <f t="shared" si="82"/>
        <v>474526462.7975055</v>
      </c>
      <c r="AM133" s="38">
        <f t="shared" si="83"/>
        <v>475779337.40166414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20</v>
      </c>
      <c r="BA133" s="36">
        <f>IFERROR(INDEX('Level Multipliers'!$D:$D,MATCH(AZ133,'Level Multipliers'!$A:$A,0)),"")</f>
        <v>1.6739202944034379</v>
      </c>
      <c r="BB133" s="37">
        <f t="shared" si="86"/>
        <v>12</v>
      </c>
      <c r="BC133" s="37">
        <f t="shared" si="87"/>
        <v>13</v>
      </c>
      <c r="BD133" s="38">
        <f t="shared" si="88"/>
        <v>451104864.32827681</v>
      </c>
      <c r="BE133" s="38">
        <f t="shared" si="89"/>
        <v>452295899.75546336</v>
      </c>
      <c r="BF133" s="38" t="b">
        <f t="shared" si="90"/>
        <v>0</v>
      </c>
      <c r="BG133" s="37">
        <f t="array" ref="BG133:BQ133">IF(BF133,"",IVSolution($M133,$N133,$O133,BB133,BC133,BD133,BE133,$E133,$F133,$G133,$H133,$I133))</f>
        <v>2</v>
      </c>
      <c r="BH133" s="37">
        <v>35</v>
      </c>
      <c r="BI133" s="37">
        <v>36</v>
      </c>
      <c r="BJ133" s="39">
        <v>0.77777777777777779</v>
      </c>
      <c r="BK133" s="39">
        <v>0.8</v>
      </c>
      <c r="BL133" s="37">
        <v>13</v>
      </c>
      <c r="BM133" s="37">
        <v>13</v>
      </c>
      <c r="BN133" s="37">
        <v>11</v>
      </c>
      <c r="BO133" s="37">
        <v>12</v>
      </c>
      <c r="BP133" s="37">
        <v>10</v>
      </c>
      <c r="BQ133" s="37">
        <v>12</v>
      </c>
      <c r="BR133" s="40">
        <f t="shared" si="91"/>
        <v>20.5</v>
      </c>
      <c r="BS133" s="36">
        <f>IFERROR(INDEX('Level Multipliers'!$D:$D,MATCH(BR133,'Level Multipliers'!$A:$A,0)),"")</f>
        <v>1.6533745038028393</v>
      </c>
      <c r="BT133" s="37">
        <f t="shared" si="92"/>
        <v>12</v>
      </c>
      <c r="BU133" s="37">
        <f t="shared" si="93"/>
        <v>12</v>
      </c>
      <c r="BV133" s="38">
        <f t="shared" si="94"/>
        <v>429361753.70275694</v>
      </c>
      <c r="BW133" s="38">
        <f t="shared" si="95"/>
        <v>430495381.60211557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7"/>
        <v>20</v>
      </c>
      <c r="CK133" s="41">
        <f t="shared" si="98"/>
        <v>20</v>
      </c>
      <c r="CL133" s="66">
        <f t="shared" si="99"/>
        <v>0.78888888888888897</v>
      </c>
      <c r="CM133" s="39">
        <f t="shared" si="100"/>
        <v>0.77777777777777779</v>
      </c>
      <c r="CN133" s="39">
        <f t="shared" si="101"/>
        <v>0.8</v>
      </c>
      <c r="CO133" s="42">
        <f t="shared" si="102"/>
        <v>13</v>
      </c>
      <c r="CP133" s="42">
        <f t="shared" si="103"/>
        <v>13</v>
      </c>
      <c r="CQ133" s="42">
        <f t="shared" si="104"/>
        <v>11</v>
      </c>
      <c r="CR133" s="42">
        <f t="shared" si="105"/>
        <v>12</v>
      </c>
      <c r="CS133" s="42">
        <f t="shared" si="106"/>
        <v>10</v>
      </c>
      <c r="CT133" s="42">
        <f t="shared" si="107"/>
        <v>12</v>
      </c>
      <c r="CU133" s="43">
        <f t="shared" si="108"/>
        <v>13</v>
      </c>
      <c r="CV133" s="43" t="str">
        <f t="shared" si="109"/>
        <v>11-12</v>
      </c>
      <c r="CW133" s="43" t="str">
        <f t="shared" si="110"/>
        <v>10-12</v>
      </c>
      <c r="CX133" s="13"/>
    </row>
    <row r="134" spans="1:102" x14ac:dyDescent="0.25">
      <c r="A134" s="31" t="s">
        <v>138</v>
      </c>
      <c r="B134" s="13">
        <v>2091</v>
      </c>
      <c r="C134" s="13">
        <v>84</v>
      </c>
      <c r="D134" s="13">
        <v>45</v>
      </c>
      <c r="E134" s="32" t="s">
        <v>0</v>
      </c>
      <c r="F134" s="32"/>
      <c r="G134" s="32"/>
      <c r="H134" s="32">
        <v>1</v>
      </c>
      <c r="I134" s="32" t="s">
        <v>2</v>
      </c>
      <c r="J134" s="13"/>
      <c r="K134" s="33"/>
      <c r="L134" s="34">
        <f>IFERROR(INDEX('Pokemon Data'!A:A,MATCH($A134,'Pokemon Data'!$B:$B,0)),"")</f>
        <v>99</v>
      </c>
      <c r="M134" s="34">
        <f>IFERROR(INDEX('Pokemon Data'!I:I,MATCH($A134,'Pokemon Data'!$B:$B,0)),"")</f>
        <v>110</v>
      </c>
      <c r="N134" s="34">
        <f>IFERROR(INDEX('Pokemon Data'!J:J,MATCH($A134,'Pokemon Data'!$B:$B,0)),"")</f>
        <v>240</v>
      </c>
      <c r="O134" s="34">
        <f>IFERROR(INDEX('Pokemon Data'!K:K,MATCH($A134,'Pokemon Data'!$B:$B,0)),"")</f>
        <v>214</v>
      </c>
      <c r="P134" s="35">
        <f>IFERROR(INDEX('Level Multipliers'!$A:$A,MATCH($D134,'Level Multipliers'!$B:$B,0)),"")</f>
        <v>27</v>
      </c>
      <c r="Q134" s="36">
        <f>IFERROR(INDEX('Level Multipliers'!$D:$D,MATCH(P134,'Level Multipliers'!$A:$A,0)),"")</f>
        <v>1.4406239915890684</v>
      </c>
      <c r="R134" s="37">
        <f t="shared" si="74"/>
        <v>12</v>
      </c>
      <c r="S134" s="37">
        <f t="shared" si="75"/>
        <v>12</v>
      </c>
      <c r="T134" s="38">
        <f t="shared" si="76"/>
        <v>1883261542.5868163</v>
      </c>
      <c r="U134" s="38">
        <f t="shared" si="77"/>
        <v>1885063275.6027501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27.5</v>
      </c>
      <c r="AI134" s="36">
        <f>IFERROR(INDEX('Level Multipliers'!$D:$D,MATCH(AH134,'Level Multipliers'!$A:$A,0)),"")</f>
        <v>1.4274643259182833</v>
      </c>
      <c r="AJ134" s="37">
        <f t="shared" si="80"/>
        <v>10</v>
      </c>
      <c r="AK134" s="37">
        <f t="shared" si="81"/>
        <v>11</v>
      </c>
      <c r="AL134" s="38">
        <f t="shared" si="82"/>
        <v>1815386575.767499</v>
      </c>
      <c r="AM134" s="38">
        <f t="shared" si="83"/>
        <v>1817123372.2008562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28</v>
      </c>
      <c r="BA134" s="36">
        <f>IFERROR(INDEX('Level Multipliers'!$D:$D,MATCH(AZ134,'Level Multipliers'!$A:$A,0)),"")</f>
        <v>1.4146588542279308</v>
      </c>
      <c r="BB134" s="37">
        <f t="shared" si="86"/>
        <v>9</v>
      </c>
      <c r="BC134" s="37">
        <f t="shared" si="87"/>
        <v>10</v>
      </c>
      <c r="BD134" s="38">
        <f t="shared" si="88"/>
        <v>1751116152.9923356</v>
      </c>
      <c r="BE134" s="38">
        <f t="shared" si="89"/>
        <v>1752791461.3423631</v>
      </c>
      <c r="BF134" s="38" t="b">
        <f t="shared" si="90"/>
        <v>0</v>
      </c>
      <c r="BG134" s="37">
        <f t="array" ref="BG134:BQ134">IF(BF134,"",IVSolution($M134,$N134,$O134,BB134,BC134,BD134,BE134,$E134,$F134,$G134,$H134,$I134))</f>
        <v>1</v>
      </c>
      <c r="BH134" s="37">
        <v>37</v>
      </c>
      <c r="BI134" s="37">
        <v>37</v>
      </c>
      <c r="BJ134" s="39">
        <v>0.82222222222222219</v>
      </c>
      <c r="BK134" s="39">
        <v>0.82222222222222219</v>
      </c>
      <c r="BL134" s="37">
        <v>10</v>
      </c>
      <c r="BM134" s="37">
        <v>10</v>
      </c>
      <c r="BN134" s="37">
        <v>13</v>
      </c>
      <c r="BO134" s="37">
        <v>13</v>
      </c>
      <c r="BP134" s="37">
        <v>14</v>
      </c>
      <c r="BQ134" s="37">
        <v>14</v>
      </c>
      <c r="BR134" s="40">
        <f t="shared" si="91"/>
        <v>28.5</v>
      </c>
      <c r="BS134" s="36">
        <f>IFERROR(INDEX('Level Multipliers'!$D:$D,MATCH(BR134,'Level Multipliers'!$A:$A,0)),"")</f>
        <v>1.4021920400529488</v>
      </c>
      <c r="BT134" s="37">
        <f t="shared" si="92"/>
        <v>8</v>
      </c>
      <c r="BU134" s="37">
        <f t="shared" si="93"/>
        <v>9</v>
      </c>
      <c r="BV134" s="38">
        <f t="shared" si="94"/>
        <v>1690199835.7899399</v>
      </c>
      <c r="BW134" s="38">
        <f t="shared" si="95"/>
        <v>1691816864.9591787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7"/>
        <v>28</v>
      </c>
      <c r="CK134" s="41">
        <f t="shared" si="98"/>
        <v>28</v>
      </c>
      <c r="CL134" s="66">
        <f t="shared" si="99"/>
        <v>0.82222222222222219</v>
      </c>
      <c r="CM134" s="39">
        <f t="shared" si="100"/>
        <v>0.82222222222222219</v>
      </c>
      <c r="CN134" s="39">
        <f t="shared" si="101"/>
        <v>0.82222222222222219</v>
      </c>
      <c r="CO134" s="42">
        <f t="shared" si="102"/>
        <v>10</v>
      </c>
      <c r="CP134" s="42">
        <f t="shared" si="103"/>
        <v>10</v>
      </c>
      <c r="CQ134" s="42">
        <f t="shared" si="104"/>
        <v>13</v>
      </c>
      <c r="CR134" s="42">
        <f t="shared" si="105"/>
        <v>13</v>
      </c>
      <c r="CS134" s="42">
        <f t="shared" si="106"/>
        <v>14</v>
      </c>
      <c r="CT134" s="42">
        <f t="shared" si="107"/>
        <v>14</v>
      </c>
      <c r="CU134" s="43">
        <f t="shared" si="108"/>
        <v>10</v>
      </c>
      <c r="CV134" s="43">
        <f t="shared" si="109"/>
        <v>13</v>
      </c>
      <c r="CW134" s="43">
        <f t="shared" si="110"/>
        <v>14</v>
      </c>
      <c r="CX134" s="13" t="s">
        <v>433</v>
      </c>
    </row>
    <row r="135" spans="1:102" x14ac:dyDescent="0.25">
      <c r="A135" s="31" t="s">
        <v>138</v>
      </c>
      <c r="B135" s="13">
        <v>2020</v>
      </c>
      <c r="C135" s="13">
        <v>84</v>
      </c>
      <c r="D135" s="13">
        <v>45</v>
      </c>
      <c r="E135" s="32" t="s">
        <v>0</v>
      </c>
      <c r="F135" s="32"/>
      <c r="G135" s="32"/>
      <c r="H135" s="32">
        <v>1</v>
      </c>
      <c r="I135" s="32" t="s">
        <v>2</v>
      </c>
      <c r="J135" s="13"/>
      <c r="K135" s="33">
        <v>27</v>
      </c>
      <c r="L135" s="34">
        <f>IFERROR(INDEX('Pokemon Data'!A:A,MATCH($A135,'Pokemon Data'!$B:$B,0)),"")</f>
        <v>99</v>
      </c>
      <c r="M135" s="34">
        <f>IFERROR(INDEX('Pokemon Data'!I:I,MATCH($A135,'Pokemon Data'!$B:$B,0)),"")</f>
        <v>110</v>
      </c>
      <c r="N135" s="34">
        <f>IFERROR(INDEX('Pokemon Data'!J:J,MATCH($A135,'Pokemon Data'!$B:$B,0)),"")</f>
        <v>240</v>
      </c>
      <c r="O135" s="34">
        <f>IFERROR(INDEX('Pokemon Data'!K:K,MATCH($A135,'Pokemon Data'!$B:$B,0)),"")</f>
        <v>214</v>
      </c>
      <c r="P135" s="35">
        <f>IFERROR(INDEX('Level Multipliers'!$A:$A,MATCH($D135,'Level Multipliers'!$B:$B,0)),"")</f>
        <v>27</v>
      </c>
      <c r="Q135" s="36">
        <f>IFERROR(INDEX('Level Multipliers'!$D:$D,MATCH(P135,'Level Multipliers'!$A:$A,0)),"")</f>
        <v>1.4406239915890684</v>
      </c>
      <c r="R135" s="37">
        <f t="shared" si="74"/>
        <v>12</v>
      </c>
      <c r="S135" s="37">
        <f t="shared" si="75"/>
        <v>12</v>
      </c>
      <c r="T135" s="38">
        <f t="shared" si="76"/>
        <v>1757540377.2930524</v>
      </c>
      <c r="U135" s="38">
        <f t="shared" si="77"/>
        <v>1759280947.0079436</v>
      </c>
      <c r="V135" s="38" t="b">
        <f t="shared" si="78"/>
        <v>0</v>
      </c>
      <c r="W135" s="37">
        <f t="array" ref="W135:AG135">IF(V135,"",IVSolution($M135,$N135,$O135,R135,S135,T135,U135,$E135,$F135,$G135,$H135,$I135))</f>
        <v>1</v>
      </c>
      <c r="X135" s="37">
        <v>37</v>
      </c>
      <c r="Y135" s="37">
        <v>37</v>
      </c>
      <c r="Z135" s="39">
        <v>0.82222222222222219</v>
      </c>
      <c r="AA135" s="39">
        <v>0.82222222222222219</v>
      </c>
      <c r="AB135" s="37">
        <v>12</v>
      </c>
      <c r="AC135" s="37">
        <v>12</v>
      </c>
      <c r="AD135" s="37">
        <v>12</v>
      </c>
      <c r="AE135" s="37">
        <v>12</v>
      </c>
      <c r="AF135" s="37">
        <v>13</v>
      </c>
      <c r="AG135" s="37">
        <v>13</v>
      </c>
      <c r="AH135" s="40">
        <f t="shared" si="79"/>
        <v>27.5</v>
      </c>
      <c r="AI135" s="36">
        <f>IFERROR(INDEX('Level Multipliers'!$D:$D,MATCH(AH135,'Level Multipliers'!$A:$A,0)),"")</f>
        <v>1.4274643259182833</v>
      </c>
      <c r="AJ135" s="37">
        <f t="shared" si="80"/>
        <v>10</v>
      </c>
      <c r="AK135" s="37">
        <f t="shared" si="81"/>
        <v>11</v>
      </c>
      <c r="AL135" s="38">
        <f t="shared" si="82"/>
        <v>1694196549.5268266</v>
      </c>
      <c r="AM135" s="38">
        <f t="shared" si="83"/>
        <v>1695874387.0566368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28</v>
      </c>
      <c r="BA135" s="36">
        <f>IFERROR(INDEX('Level Multipliers'!$D:$D,MATCH(AZ135,'Level Multipliers'!$A:$A,0)),"")</f>
        <v>1.4146588542279308</v>
      </c>
      <c r="BB135" s="37">
        <f t="shared" si="86"/>
        <v>9</v>
      </c>
      <c r="BC135" s="37">
        <f t="shared" si="87"/>
        <v>10</v>
      </c>
      <c r="BD135" s="38">
        <f t="shared" si="88"/>
        <v>1634216636.7326176</v>
      </c>
      <c r="BE135" s="38">
        <f t="shared" si="89"/>
        <v>1635835073.5106385</v>
      </c>
      <c r="BF135" s="38" t="b">
        <f t="shared" si="90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91"/>
        <v>28.5</v>
      </c>
      <c r="BS135" s="36">
        <f>IFERROR(INDEX('Level Multipliers'!$D:$D,MATCH(BR135,'Level Multipliers'!$A:$A,0)),"")</f>
        <v>1.4021920400529488</v>
      </c>
      <c r="BT135" s="37">
        <f t="shared" si="92"/>
        <v>8</v>
      </c>
      <c r="BU135" s="37">
        <f t="shared" si="93"/>
        <v>9</v>
      </c>
      <c r="BV135" s="38">
        <f t="shared" si="94"/>
        <v>1577366918.9965765</v>
      </c>
      <c r="BW135" s="38">
        <f t="shared" si="95"/>
        <v>1578929054.9929655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7"/>
        <v>27</v>
      </c>
      <c r="CK135" s="41">
        <f t="shared" si="98"/>
        <v>27</v>
      </c>
      <c r="CL135" s="66">
        <f t="shared" si="99"/>
        <v>0.82222222222222219</v>
      </c>
      <c r="CM135" s="39">
        <f t="shared" si="100"/>
        <v>0.82222222222222219</v>
      </c>
      <c r="CN135" s="39">
        <f t="shared" si="101"/>
        <v>0.82222222222222219</v>
      </c>
      <c r="CO135" s="42">
        <f t="shared" si="102"/>
        <v>12</v>
      </c>
      <c r="CP135" s="42">
        <f t="shared" si="103"/>
        <v>12</v>
      </c>
      <c r="CQ135" s="42">
        <f t="shared" si="104"/>
        <v>12</v>
      </c>
      <c r="CR135" s="42">
        <f t="shared" si="105"/>
        <v>12</v>
      </c>
      <c r="CS135" s="42">
        <f t="shared" si="106"/>
        <v>13</v>
      </c>
      <c r="CT135" s="42">
        <f t="shared" si="107"/>
        <v>13</v>
      </c>
      <c r="CU135" s="43">
        <f t="shared" si="108"/>
        <v>12</v>
      </c>
      <c r="CV135" s="43">
        <f t="shared" si="109"/>
        <v>12</v>
      </c>
      <c r="CW135" s="43">
        <f t="shared" si="110"/>
        <v>13</v>
      </c>
      <c r="CX135" s="13" t="s">
        <v>434</v>
      </c>
    </row>
    <row r="136" spans="1:102" x14ac:dyDescent="0.25">
      <c r="A136" s="31" t="s">
        <v>138</v>
      </c>
      <c r="B136" s="13">
        <v>1524</v>
      </c>
      <c r="C136" s="13">
        <v>74</v>
      </c>
      <c r="D136" s="13">
        <v>25</v>
      </c>
      <c r="E136" s="32" t="s">
        <v>0</v>
      </c>
      <c r="F136" s="32">
        <v>1</v>
      </c>
      <c r="G136" s="32"/>
      <c r="H136" s="32"/>
      <c r="I136" s="32" t="s">
        <v>0</v>
      </c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4"/>
        <v>18</v>
      </c>
      <c r="S136" s="37">
        <f t="shared" si="75"/>
        <v>15</v>
      </c>
      <c r="T136" s="38">
        <f t="shared" si="76"/>
        <v>2020438803.0309954</v>
      </c>
      <c r="U136" s="38">
        <f t="shared" si="77"/>
        <v>2023091167.436053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19.5</v>
      </c>
      <c r="AI136" s="36">
        <f>IFERROR(INDEX('Level Multipliers'!$D:$D,MATCH(AH136,'Level Multipliers'!$A:$A,0)),"")</f>
        <v>1.6952373266621776</v>
      </c>
      <c r="AJ136" s="37">
        <f t="shared" si="80"/>
        <v>16</v>
      </c>
      <c r="AK136" s="37">
        <f t="shared" si="81"/>
        <v>15</v>
      </c>
      <c r="AL136" s="38">
        <f t="shared" si="82"/>
        <v>1918191487.5599222</v>
      </c>
      <c r="AM136" s="38">
        <f t="shared" si="83"/>
        <v>1920709625.11304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20</v>
      </c>
      <c r="BA136" s="36">
        <f>IFERROR(INDEX('Level Multipliers'!$D:$D,MATCH(AZ136,'Level Multipliers'!$A:$A,0)),"")</f>
        <v>1.6739202944034379</v>
      </c>
      <c r="BB136" s="37">
        <f t="shared" si="86"/>
        <v>14</v>
      </c>
      <c r="BC136" s="37">
        <f t="shared" si="87"/>
        <v>15</v>
      </c>
      <c r="BD136" s="38">
        <f t="shared" si="88"/>
        <v>1823513710.1734738</v>
      </c>
      <c r="BE136" s="38">
        <f t="shared" si="89"/>
        <v>1825907557.910779</v>
      </c>
      <c r="BF136" s="38" t="b">
        <f t="shared" si="90"/>
        <v>0</v>
      </c>
      <c r="BG136" s="37">
        <f t="array" ref="BG136:BQ136">IF(BF136,"",IVSolution($M136,$N136,$O136,BB136,BC136,BD136,BE136,$E136,$F136,$G136,$H136,$I136))</f>
        <v>1</v>
      </c>
      <c r="BH136" s="37">
        <v>42</v>
      </c>
      <c r="BI136" s="37">
        <v>42</v>
      </c>
      <c r="BJ136" s="39">
        <v>0.93333333333333335</v>
      </c>
      <c r="BK136" s="39">
        <v>0.93333333333333335</v>
      </c>
      <c r="BL136" s="37">
        <v>15</v>
      </c>
      <c r="BM136" s="37">
        <v>15</v>
      </c>
      <c r="BN136" s="37">
        <v>13</v>
      </c>
      <c r="BO136" s="37">
        <v>13</v>
      </c>
      <c r="BP136" s="37">
        <v>14</v>
      </c>
      <c r="BQ136" s="37">
        <v>14</v>
      </c>
      <c r="BR136" s="40">
        <f t="shared" si="91"/>
        <v>20.5</v>
      </c>
      <c r="BS136" s="36">
        <f>IFERROR(INDEX('Level Multipliers'!$D:$D,MATCH(BR136,'Level Multipliers'!$A:$A,0)),"")</f>
        <v>1.6533745038028393</v>
      </c>
      <c r="BT136" s="37">
        <f t="shared" si="92"/>
        <v>13</v>
      </c>
      <c r="BU136" s="37">
        <f t="shared" si="93"/>
        <v>14</v>
      </c>
      <c r="BV136" s="38">
        <f t="shared" si="94"/>
        <v>1735620930.7717407</v>
      </c>
      <c r="BW136" s="38">
        <f t="shared" si="95"/>
        <v>1737899395.8113875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7"/>
        <v>20</v>
      </c>
      <c r="CK136" s="41">
        <f t="shared" si="98"/>
        <v>20</v>
      </c>
      <c r="CL136" s="66">
        <f t="shared" si="99"/>
        <v>0.93333333333333335</v>
      </c>
      <c r="CM136" s="39">
        <f t="shared" si="100"/>
        <v>0.93333333333333335</v>
      </c>
      <c r="CN136" s="39">
        <f t="shared" si="101"/>
        <v>0.93333333333333335</v>
      </c>
      <c r="CO136" s="42">
        <f t="shared" si="102"/>
        <v>15</v>
      </c>
      <c r="CP136" s="42">
        <f t="shared" si="103"/>
        <v>15</v>
      </c>
      <c r="CQ136" s="42">
        <f t="shared" si="104"/>
        <v>13</v>
      </c>
      <c r="CR136" s="42">
        <f t="shared" si="105"/>
        <v>13</v>
      </c>
      <c r="CS136" s="42">
        <f t="shared" si="106"/>
        <v>14</v>
      </c>
      <c r="CT136" s="42">
        <f t="shared" si="107"/>
        <v>14</v>
      </c>
      <c r="CU136" s="43">
        <f t="shared" si="108"/>
        <v>15</v>
      </c>
      <c r="CV136" s="43">
        <f t="shared" si="109"/>
        <v>13</v>
      </c>
      <c r="CW136" s="43">
        <f t="shared" si="110"/>
        <v>14</v>
      </c>
      <c r="CX136" s="13" t="s">
        <v>425</v>
      </c>
    </row>
    <row r="137" spans="1:102" x14ac:dyDescent="0.25">
      <c r="A137" s="31" t="s">
        <v>139</v>
      </c>
      <c r="B137" s="13">
        <v>135</v>
      </c>
      <c r="C137" s="13">
        <v>30</v>
      </c>
      <c r="D137" s="13">
        <v>6</v>
      </c>
      <c r="E137" s="32" t="s">
        <v>0</v>
      </c>
      <c r="F137" s="32">
        <v>1</v>
      </c>
      <c r="G137" s="32"/>
      <c r="H137" s="32"/>
      <c r="I137" s="32" t="s">
        <v>0</v>
      </c>
      <c r="J137" s="13"/>
      <c r="K137" s="33"/>
      <c r="L137" s="34">
        <f>IFERROR(INDEX('Pokemon Data'!A:A,MATCH($A137,'Pokemon Data'!$B:$B,0)),"")</f>
        <v>100</v>
      </c>
      <c r="M137" s="34">
        <f>IFERROR(INDEX('Pokemon Data'!I:I,MATCH($A137,'Pokemon Data'!$B:$B,0)),"")</f>
        <v>80</v>
      </c>
      <c r="N137" s="34">
        <f>IFERROR(INDEX('Pokemon Data'!J:J,MATCH($A137,'Pokemon Data'!$B:$B,0)),"")</f>
        <v>109</v>
      </c>
      <c r="O137" s="34">
        <f>IFERROR(INDEX('Pokemon Data'!K:K,MATCH($A137,'Pokemon Data'!$B:$B,0)),"")</f>
        <v>114</v>
      </c>
      <c r="P137" s="35">
        <f>IFERROR(INDEX('Level Multipliers'!$A:$A,MATCH($D137,'Level Multipliers'!$B:$B,0)),"")</f>
        <v>5</v>
      </c>
      <c r="Q137" s="36">
        <f>IFERROR(INDEX('Level Multipliers'!$D:$D,MATCH(P137,'Level Multipliers'!$A:$A,0)),"")</f>
        <v>3.4453071462968556</v>
      </c>
      <c r="R137" s="37">
        <f t="shared" si="74"/>
        <v>24</v>
      </c>
      <c r="S137" s="37">
        <f t="shared" si="75"/>
        <v>15</v>
      </c>
      <c r="T137" s="38">
        <f t="shared" si="76"/>
        <v>256790715.19194207</v>
      </c>
      <c r="U137" s="38">
        <f t="shared" si="77"/>
        <v>260609112.10919946</v>
      </c>
      <c r="V137" s="38" t="b">
        <f t="shared" si="78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9"/>
        <v>5.5</v>
      </c>
      <c r="AI137" s="36">
        <f>IFERROR(INDEX('Level Multipliers'!$D:$D,MATCH(AH137,'Level Multipliers'!$A:$A,0)),"")</f>
        <v>3.2673611577633439</v>
      </c>
      <c r="AJ137" s="37">
        <f t="shared" si="80"/>
        <v>19</v>
      </c>
      <c r="AK137" s="37">
        <f t="shared" si="81"/>
        <v>15</v>
      </c>
      <c r="AL137" s="38">
        <f t="shared" si="82"/>
        <v>207709377.6443271</v>
      </c>
      <c r="AM137" s="38">
        <f t="shared" si="83"/>
        <v>210797950.55744714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6</v>
      </c>
      <c r="BA137" s="36">
        <f>IFERROR(INDEX('Level Multipliers'!$D:$D,MATCH(AZ137,'Level Multipliers'!$A:$A,0)),"")</f>
        <v>3.1144148940514844</v>
      </c>
      <c r="BB137" s="37">
        <f t="shared" si="86"/>
        <v>14</v>
      </c>
      <c r="BC137" s="37">
        <f t="shared" si="87"/>
        <v>15</v>
      </c>
      <c r="BD137" s="38">
        <f t="shared" si="88"/>
        <v>171464180.26858798</v>
      </c>
      <c r="BE137" s="38">
        <f t="shared" si="89"/>
        <v>174013798.5321154</v>
      </c>
      <c r="BF137" s="38" t="b">
        <f t="shared" si="90"/>
        <v>0</v>
      </c>
      <c r="BG137" s="37">
        <f t="array" ref="BG137:BQ137">IF(BF137,"",IVSolution($M137,$N137,$O137,BB137,BC137,BD137,BE137,$E137,$F137,$G137,$H137,$I137))</f>
        <v>6</v>
      </c>
      <c r="BH137" s="37">
        <v>37</v>
      </c>
      <c r="BI137" s="37">
        <v>39</v>
      </c>
      <c r="BJ137" s="39">
        <v>0.82222222222222219</v>
      </c>
      <c r="BK137" s="39">
        <v>0.8666666666666667</v>
      </c>
      <c r="BL137" s="37">
        <v>15</v>
      </c>
      <c r="BM137" s="37">
        <v>15</v>
      </c>
      <c r="BN137" s="37">
        <v>10</v>
      </c>
      <c r="BO137" s="37">
        <v>13</v>
      </c>
      <c r="BP137" s="37">
        <v>9</v>
      </c>
      <c r="BQ137" s="37">
        <v>14</v>
      </c>
      <c r="BR137" s="40">
        <f t="shared" si="91"/>
        <v>6.5</v>
      </c>
      <c r="BS137" s="36">
        <f>IFERROR(INDEX('Level Multipliers'!$D:$D,MATCH(BR137,'Level Multipliers'!$A:$A,0)),"")</f>
        <v>2.9811143544095775</v>
      </c>
      <c r="BT137" s="37">
        <f t="shared" si="92"/>
        <v>10</v>
      </c>
      <c r="BU137" s="37">
        <f t="shared" si="93"/>
        <v>12</v>
      </c>
      <c r="BV137" s="38">
        <f t="shared" si="94"/>
        <v>143940192.73896584</v>
      </c>
      <c r="BW137" s="38">
        <f t="shared" si="95"/>
        <v>146080537.99176472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7"/>
        <v>6</v>
      </c>
      <c r="CK137" s="41">
        <f t="shared" si="98"/>
        <v>6</v>
      </c>
      <c r="CL137" s="66">
        <f t="shared" si="99"/>
        <v>0.84444444444444444</v>
      </c>
      <c r="CM137" s="39">
        <f t="shared" si="100"/>
        <v>0.82222222222222219</v>
      </c>
      <c r="CN137" s="39">
        <f t="shared" si="101"/>
        <v>0.8666666666666667</v>
      </c>
      <c r="CO137" s="42">
        <f t="shared" si="102"/>
        <v>15</v>
      </c>
      <c r="CP137" s="42">
        <f t="shared" si="103"/>
        <v>15</v>
      </c>
      <c r="CQ137" s="42">
        <f t="shared" si="104"/>
        <v>10</v>
      </c>
      <c r="CR137" s="42">
        <f t="shared" si="105"/>
        <v>13</v>
      </c>
      <c r="CS137" s="42">
        <f t="shared" si="106"/>
        <v>9</v>
      </c>
      <c r="CT137" s="42">
        <f t="shared" si="107"/>
        <v>14</v>
      </c>
      <c r="CU137" s="43">
        <f t="shared" si="108"/>
        <v>15</v>
      </c>
      <c r="CV137" s="43" t="str">
        <f t="shared" si="109"/>
        <v>10-13</v>
      </c>
      <c r="CW137" s="43" t="str">
        <f t="shared" si="110"/>
        <v>9-14</v>
      </c>
      <c r="CX137" s="13"/>
    </row>
    <row r="138" spans="1:102" x14ac:dyDescent="0.25">
      <c r="A138" s="31" t="s">
        <v>140</v>
      </c>
      <c r="B138" s="13">
        <v>806</v>
      </c>
      <c r="C138" s="13">
        <v>68</v>
      </c>
      <c r="D138" s="13">
        <v>19</v>
      </c>
      <c r="E138" s="32" t="s">
        <v>0</v>
      </c>
      <c r="F138" s="32"/>
      <c r="G138" s="32">
        <v>1</v>
      </c>
      <c r="H138" s="32"/>
      <c r="I138" s="32" t="s">
        <v>0</v>
      </c>
      <c r="J138" s="13"/>
      <c r="K138" s="33">
        <v>15</v>
      </c>
      <c r="L138" s="34">
        <f>IFERROR(INDEX('Pokemon Data'!A:A,MATCH($A138,'Pokemon Data'!$B:$B,0)),"")</f>
        <v>101</v>
      </c>
      <c r="M138" s="34">
        <f>IFERROR(INDEX('Pokemon Data'!I:I,MATCH($A138,'Pokemon Data'!$B:$B,0)),"")</f>
        <v>120</v>
      </c>
      <c r="N138" s="34">
        <f>IFERROR(INDEX('Pokemon Data'!J:J,MATCH($A138,'Pokemon Data'!$B:$B,0)),"")</f>
        <v>173</v>
      </c>
      <c r="O138" s="34">
        <f>IFERROR(INDEX('Pokemon Data'!K:K,MATCH($A138,'Pokemon Data'!$B:$B,0)),"")</f>
        <v>179</v>
      </c>
      <c r="P138" s="35">
        <f>IFERROR(INDEX('Level Multipliers'!$A:$A,MATCH($D138,'Level Multipliers'!$B:$B,0)),"")</f>
        <v>15</v>
      </c>
      <c r="Q138" s="36">
        <f>IFERROR(INDEX('Level Multipliers'!$D:$D,MATCH(P138,'Level Multipliers'!$A:$A,0)),"")</f>
        <v>1.9327632386874845</v>
      </c>
      <c r="R138" s="37">
        <f t="shared" si="74"/>
        <v>12</v>
      </c>
      <c r="S138" s="37">
        <f t="shared" si="75"/>
        <v>13</v>
      </c>
      <c r="T138" s="38">
        <f t="shared" si="76"/>
        <v>906535280.10448527</v>
      </c>
      <c r="U138" s="38">
        <f t="shared" si="77"/>
        <v>908786142.75188863</v>
      </c>
      <c r="V138" s="38" t="b">
        <f t="shared" si="78"/>
        <v>0</v>
      </c>
      <c r="W138" s="37">
        <f t="array" ref="W138:AG138">IF(V138,"",IVSolution($M138,$N138,$O138,R138,S138,T138,U138,$E138,$F138,$G138,$H138,$I138))</f>
        <v>1</v>
      </c>
      <c r="X138" s="37">
        <v>42</v>
      </c>
      <c r="Y138" s="37">
        <v>42</v>
      </c>
      <c r="Z138" s="39">
        <v>0.93333333333333335</v>
      </c>
      <c r="AA138" s="39">
        <v>0.93333333333333335</v>
      </c>
      <c r="AB138" s="37">
        <v>13</v>
      </c>
      <c r="AC138" s="37">
        <v>13</v>
      </c>
      <c r="AD138" s="37">
        <v>15</v>
      </c>
      <c r="AE138" s="37">
        <v>15</v>
      </c>
      <c r="AF138" s="37">
        <v>14</v>
      </c>
      <c r="AG138" s="37">
        <v>14</v>
      </c>
      <c r="AH138" s="40">
        <f t="shared" si="79"/>
        <v>15.5</v>
      </c>
      <c r="AI138" s="36">
        <f>IFERROR(INDEX('Level Multipliers'!$D:$D,MATCH(AH138,'Level Multipliers'!$A:$A,0)),"")</f>
        <v>1.9013484732050823</v>
      </c>
      <c r="AJ138" s="37">
        <f t="shared" si="80"/>
        <v>10</v>
      </c>
      <c r="AK138" s="37">
        <f t="shared" si="81"/>
        <v>11</v>
      </c>
      <c r="AL138" s="38">
        <f t="shared" si="82"/>
        <v>849018130.95964515</v>
      </c>
      <c r="AM138" s="38">
        <f t="shared" si="83"/>
        <v>851126182.61509204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16</v>
      </c>
      <c r="BA138" s="36">
        <f>IFERROR(INDEX('Level Multipliers'!$D:$D,MATCH(AZ138,'Level Multipliers'!$A:$A,0)),"")</f>
        <v>1.8714174200985207</v>
      </c>
      <c r="BB138" s="37">
        <f t="shared" si="86"/>
        <v>8</v>
      </c>
      <c r="BC138" s="37">
        <f t="shared" si="87"/>
        <v>9</v>
      </c>
      <c r="BD138" s="38">
        <f t="shared" si="88"/>
        <v>796806291.87549901</v>
      </c>
      <c r="BE138" s="38">
        <f t="shared" si="89"/>
        <v>798784705.24667168</v>
      </c>
      <c r="BF138" s="38" t="b">
        <f t="shared" si="90"/>
        <v>1</v>
      </c>
      <c r="BG138" s="37" t="str">
        <f t="array" ref="BG138:BQ138">IF(BF138,"",IVSolution($M138,$N138,$O138,BB138,BC138,BD138,BE138,$E138,$F138,$G138,$H138,$I138))</f>
        <v/>
      </c>
      <c r="BH138" s="37" t="str">
        <v/>
      </c>
      <c r="BI138" s="37" t="str">
        <v/>
      </c>
      <c r="BJ138" s="39" t="str">
        <v/>
      </c>
      <c r="BK138" s="39" t="str">
        <v/>
      </c>
      <c r="BL138" s="37" t="str">
        <v/>
      </c>
      <c r="BM138" s="37" t="str">
        <v/>
      </c>
      <c r="BN138" s="37" t="str">
        <v/>
      </c>
      <c r="BO138" s="37" t="str">
        <v/>
      </c>
      <c r="BP138" s="37" t="str">
        <v/>
      </c>
      <c r="BQ138" s="37" t="str">
        <v/>
      </c>
      <c r="BR138" s="40">
        <f t="shared" si="91"/>
        <v>16.5</v>
      </c>
      <c r="BS138" s="36">
        <f>IFERROR(INDEX('Level Multipliers'!$D:$D,MATCH(BR138,'Level Multipliers'!$A:$A,0)),"")</f>
        <v>1.8428568206029767</v>
      </c>
      <c r="BT138" s="37">
        <f t="shared" si="92"/>
        <v>6</v>
      </c>
      <c r="BU138" s="37">
        <f t="shared" si="93"/>
        <v>7</v>
      </c>
      <c r="BV138" s="38">
        <f t="shared" si="94"/>
        <v>749266750.88709295</v>
      </c>
      <c r="BW138" s="38">
        <f t="shared" si="95"/>
        <v>751127126.95797086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7"/>
        <v>15</v>
      </c>
      <c r="CK138" s="41">
        <f t="shared" si="98"/>
        <v>15</v>
      </c>
      <c r="CL138" s="66">
        <f t="shared" si="99"/>
        <v>0.93333333333333335</v>
      </c>
      <c r="CM138" s="39">
        <f t="shared" si="100"/>
        <v>0.93333333333333335</v>
      </c>
      <c r="CN138" s="39">
        <f t="shared" si="101"/>
        <v>0.93333333333333335</v>
      </c>
      <c r="CO138" s="42">
        <f t="shared" si="102"/>
        <v>13</v>
      </c>
      <c r="CP138" s="42">
        <f t="shared" si="103"/>
        <v>13</v>
      </c>
      <c r="CQ138" s="42">
        <f t="shared" si="104"/>
        <v>15</v>
      </c>
      <c r="CR138" s="42">
        <f t="shared" si="105"/>
        <v>15</v>
      </c>
      <c r="CS138" s="42">
        <f t="shared" si="106"/>
        <v>14</v>
      </c>
      <c r="CT138" s="42">
        <f t="shared" si="107"/>
        <v>14</v>
      </c>
      <c r="CU138" s="43">
        <f t="shared" si="108"/>
        <v>13</v>
      </c>
      <c r="CV138" s="43">
        <f t="shared" si="109"/>
        <v>15</v>
      </c>
      <c r="CW138" s="43">
        <f t="shared" si="110"/>
        <v>14</v>
      </c>
      <c r="CX138" s="13" t="s">
        <v>427</v>
      </c>
    </row>
    <row r="139" spans="1:102" x14ac:dyDescent="0.25">
      <c r="A139" s="31" t="s">
        <v>141</v>
      </c>
      <c r="B139" s="13">
        <v>602</v>
      </c>
      <c r="C139" s="13">
        <v>80</v>
      </c>
      <c r="D139" s="13">
        <v>25</v>
      </c>
      <c r="E139" s="32" t="s">
        <v>2</v>
      </c>
      <c r="F139" s="32">
        <v>1</v>
      </c>
      <c r="G139" s="32"/>
      <c r="H139" s="32"/>
      <c r="I139" s="32" t="s">
        <v>2</v>
      </c>
      <c r="J139" s="13"/>
      <c r="K139" s="33"/>
      <c r="L139" s="34">
        <f>IFERROR(INDEX('Pokemon Data'!A:A,MATCH($A139,'Pokemon Data'!$B:$B,0)),"")</f>
        <v>102</v>
      </c>
      <c r="M139" s="34">
        <f>IFERROR(INDEX('Pokemon Data'!I:I,MATCH($A139,'Pokemon Data'!$B:$B,0)),"")</f>
        <v>120</v>
      </c>
      <c r="N139" s="34">
        <f>IFERROR(INDEX('Pokemon Data'!J:J,MATCH($A139,'Pokemon Data'!$B:$B,0)),"")</f>
        <v>107</v>
      </c>
      <c r="O139" s="34">
        <f>IFERROR(INDEX('Pokemon Data'!K:K,MATCH($A139,'Pokemon Data'!$B:$B,0)),"")</f>
        <v>140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4"/>
        <v>18</v>
      </c>
      <c r="S139" s="37">
        <f t="shared" si="75"/>
        <v>15</v>
      </c>
      <c r="T139" s="38">
        <f t="shared" si="76"/>
        <v>315259911.39736432</v>
      </c>
      <c r="U139" s="38">
        <f t="shared" si="77"/>
        <v>316308156.4311769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19.5</v>
      </c>
      <c r="AI139" s="36">
        <f>IFERROR(INDEX('Level Multipliers'!$D:$D,MATCH(AH139,'Level Multipliers'!$A:$A,0)),"")</f>
        <v>1.6952373266621776</v>
      </c>
      <c r="AJ139" s="37">
        <f t="shared" si="80"/>
        <v>16</v>
      </c>
      <c r="AK139" s="37">
        <f t="shared" si="81"/>
        <v>15</v>
      </c>
      <c r="AL139" s="38">
        <f t="shared" si="82"/>
        <v>299305713.9390341</v>
      </c>
      <c r="AM139" s="38">
        <f t="shared" si="83"/>
        <v>300300910.97134209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20</v>
      </c>
      <c r="BA139" s="36">
        <f>IFERROR(INDEX('Level Multipliers'!$D:$D,MATCH(AZ139,'Level Multipliers'!$A:$A,0)),"")</f>
        <v>1.6739202944034379</v>
      </c>
      <c r="BB139" s="37">
        <f t="shared" si="86"/>
        <v>14</v>
      </c>
      <c r="BC139" s="37">
        <f t="shared" si="87"/>
        <v>15</v>
      </c>
      <c r="BD139" s="38">
        <f t="shared" si="88"/>
        <v>284532632.1384995</v>
      </c>
      <c r="BE139" s="38">
        <f t="shared" si="89"/>
        <v>285478708.40070105</v>
      </c>
      <c r="BF139" s="38" t="b">
        <f t="shared" si="90"/>
        <v>0</v>
      </c>
      <c r="BG139" s="37">
        <f t="array" ref="BG139:BQ139">IF(BF139,"",IVSolution($M139,$N139,$O139,BB139,BC139,BD139,BE139,$E139,$F139,$G139,$H139,$I139))</f>
        <v>1</v>
      </c>
      <c r="BH139" s="37">
        <v>36</v>
      </c>
      <c r="BI139" s="37">
        <v>36</v>
      </c>
      <c r="BJ139" s="39">
        <v>0.8</v>
      </c>
      <c r="BK139" s="39">
        <v>0.8</v>
      </c>
      <c r="BL139" s="37">
        <v>14</v>
      </c>
      <c r="BM139" s="37">
        <v>14</v>
      </c>
      <c r="BN139" s="37">
        <v>12</v>
      </c>
      <c r="BO139" s="37">
        <v>12</v>
      </c>
      <c r="BP139" s="37">
        <v>10</v>
      </c>
      <c r="BQ139" s="37">
        <v>10</v>
      </c>
      <c r="BR139" s="40">
        <f t="shared" si="91"/>
        <v>20.5</v>
      </c>
      <c r="BS139" s="36">
        <f>IFERROR(INDEX('Level Multipliers'!$D:$D,MATCH(BR139,'Level Multipliers'!$A:$A,0)),"")</f>
        <v>1.6533745038028393</v>
      </c>
      <c r="BT139" s="37">
        <f t="shared" si="92"/>
        <v>13</v>
      </c>
      <c r="BU139" s="37">
        <f t="shared" si="93"/>
        <v>13</v>
      </c>
      <c r="BV139" s="38">
        <f t="shared" si="94"/>
        <v>270818249.99285358</v>
      </c>
      <c r="BW139" s="38">
        <f t="shared" si="95"/>
        <v>271718725.68087411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7"/>
        <v>20</v>
      </c>
      <c r="CK139" s="41">
        <f t="shared" si="98"/>
        <v>20</v>
      </c>
      <c r="CL139" s="66">
        <f t="shared" si="99"/>
        <v>0.8</v>
      </c>
      <c r="CM139" s="39">
        <f t="shared" si="100"/>
        <v>0.8</v>
      </c>
      <c r="CN139" s="39">
        <f t="shared" si="101"/>
        <v>0.8</v>
      </c>
      <c r="CO139" s="42">
        <f t="shared" si="102"/>
        <v>14</v>
      </c>
      <c r="CP139" s="42">
        <f t="shared" si="103"/>
        <v>14</v>
      </c>
      <c r="CQ139" s="42">
        <f t="shared" si="104"/>
        <v>12</v>
      </c>
      <c r="CR139" s="42">
        <f t="shared" si="105"/>
        <v>12</v>
      </c>
      <c r="CS139" s="42">
        <f t="shared" si="106"/>
        <v>10</v>
      </c>
      <c r="CT139" s="42">
        <f t="shared" si="107"/>
        <v>10</v>
      </c>
      <c r="CU139" s="43">
        <f t="shared" si="108"/>
        <v>14</v>
      </c>
      <c r="CV139" s="43">
        <f t="shared" si="109"/>
        <v>12</v>
      </c>
      <c r="CW139" s="43">
        <f t="shared" si="110"/>
        <v>10</v>
      </c>
      <c r="CX139" s="13"/>
    </row>
    <row r="140" spans="1:102" x14ac:dyDescent="0.25">
      <c r="A140" s="31" t="s">
        <v>142</v>
      </c>
      <c r="B140" s="13">
        <v>1644</v>
      </c>
      <c r="C140" s="13">
        <v>121</v>
      </c>
      <c r="D140" s="13">
        <v>25</v>
      </c>
      <c r="E140" s="32" t="s">
        <v>0</v>
      </c>
      <c r="F140" s="32">
        <v>1</v>
      </c>
      <c r="G140" s="32"/>
      <c r="H140" s="32">
        <v>1</v>
      </c>
      <c r="I140" s="32" t="s">
        <v>2</v>
      </c>
      <c r="J140" s="13"/>
      <c r="K140" s="33"/>
      <c r="L140" s="34">
        <f>IFERROR(INDEX('Pokemon Data'!A:A,MATCH($A140,'Pokemon Data'!$B:$B,0)),"")</f>
        <v>103</v>
      </c>
      <c r="M140" s="34">
        <f>IFERROR(INDEX('Pokemon Data'!I:I,MATCH($A140,'Pokemon Data'!$B:$B,0)),"")</f>
        <v>190</v>
      </c>
      <c r="N140" s="34">
        <f>IFERROR(INDEX('Pokemon Data'!J:J,MATCH($A140,'Pokemon Data'!$B:$B,0)),"")</f>
        <v>233</v>
      </c>
      <c r="O140" s="34">
        <f>IFERROR(INDEX('Pokemon Data'!K:K,MATCH($A140,'Pokemon Data'!$B:$B,0)),"")</f>
        <v>158</v>
      </c>
      <c r="P140" s="35">
        <f>IFERROR(INDEX('Level Multipliers'!$A:$A,MATCH($D140,'Level Multipliers'!$B:$B,0)),"")</f>
        <v>19</v>
      </c>
      <c r="Q140" s="36">
        <f>IFERROR(INDEX('Level Multipliers'!$D:$D,MATCH(P140,'Level Multipliers'!$A:$A,0)),"")</f>
        <v>1.7173900470456649</v>
      </c>
      <c r="R140" s="37">
        <f t="shared" si="74"/>
        <v>18</v>
      </c>
      <c r="S140" s="37">
        <f t="shared" si="75"/>
        <v>15</v>
      </c>
      <c r="T140" s="38">
        <f t="shared" si="76"/>
        <v>2351144887.723278</v>
      </c>
      <c r="U140" s="38">
        <f t="shared" si="77"/>
        <v>2354006031.2222071</v>
      </c>
      <c r="V140" s="38" t="b">
        <f t="shared" si="78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9"/>
        <v>19.5</v>
      </c>
      <c r="AI140" s="36">
        <f>IFERROR(INDEX('Level Multipliers'!$D:$D,MATCH(AH140,'Level Multipliers'!$A:$A,0)),"")</f>
        <v>1.6952373266621776</v>
      </c>
      <c r="AJ140" s="37">
        <f t="shared" si="80"/>
        <v>16</v>
      </c>
      <c r="AK140" s="37">
        <f t="shared" si="81"/>
        <v>15</v>
      </c>
      <c r="AL140" s="38">
        <f t="shared" si="82"/>
        <v>2232161698.1841516</v>
      </c>
      <c r="AM140" s="38">
        <f t="shared" si="83"/>
        <v>2234878049.2540774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20</v>
      </c>
      <c r="BA140" s="36">
        <f>IFERROR(INDEX('Level Multipliers'!$D:$D,MATCH(AZ140,'Level Multipliers'!$A:$A,0)),"")</f>
        <v>1.6739202944034379</v>
      </c>
      <c r="BB140" s="37">
        <f t="shared" si="86"/>
        <v>13</v>
      </c>
      <c r="BC140" s="37">
        <f t="shared" si="87"/>
        <v>14</v>
      </c>
      <c r="BD140" s="38">
        <f t="shared" si="88"/>
        <v>2121987031.2013102</v>
      </c>
      <c r="BE140" s="38">
        <f t="shared" si="89"/>
        <v>2124569309.0655267</v>
      </c>
      <c r="BF140" s="38" t="b">
        <f t="shared" si="90"/>
        <v>0</v>
      </c>
      <c r="BG140" s="37">
        <f t="array" ref="BG140:BQ140">IF(BF140,"",IVSolution($M140,$N140,$O140,BB140,BC140,BD140,BE140,$E140,$F140,$G140,$H140,$I140))</f>
        <v>1</v>
      </c>
      <c r="BH140" s="37">
        <v>41</v>
      </c>
      <c r="BI140" s="37">
        <v>41</v>
      </c>
      <c r="BJ140" s="39">
        <v>0.91111111111111109</v>
      </c>
      <c r="BK140" s="39">
        <v>0.91111111111111109</v>
      </c>
      <c r="BL140" s="37">
        <v>14</v>
      </c>
      <c r="BM140" s="37">
        <v>14</v>
      </c>
      <c r="BN140" s="37">
        <v>13</v>
      </c>
      <c r="BO140" s="37">
        <v>13</v>
      </c>
      <c r="BP140" s="37">
        <v>14</v>
      </c>
      <c r="BQ140" s="37">
        <v>14</v>
      </c>
      <c r="BR140" s="40">
        <f t="shared" si="91"/>
        <v>20.5</v>
      </c>
      <c r="BS140" s="36">
        <f>IFERROR(INDEX('Level Multipliers'!$D:$D,MATCH(BR140,'Level Multipliers'!$A:$A,0)),"")</f>
        <v>1.6533745038028393</v>
      </c>
      <c r="BT140" s="37">
        <f t="shared" si="92"/>
        <v>11</v>
      </c>
      <c r="BU140" s="37">
        <f t="shared" si="93"/>
        <v>11</v>
      </c>
      <c r="BV140" s="38">
        <f t="shared" si="94"/>
        <v>2019707932.8944635</v>
      </c>
      <c r="BW140" s="38">
        <f t="shared" si="95"/>
        <v>2022165745.7889857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7"/>
        <v>20</v>
      </c>
      <c r="CK140" s="41">
        <f t="shared" si="98"/>
        <v>20</v>
      </c>
      <c r="CL140" s="66">
        <f t="shared" si="99"/>
        <v>0.91111111111111109</v>
      </c>
      <c r="CM140" s="39">
        <f t="shared" si="100"/>
        <v>0.91111111111111109</v>
      </c>
      <c r="CN140" s="39">
        <f t="shared" si="101"/>
        <v>0.91111111111111109</v>
      </c>
      <c r="CO140" s="42">
        <f t="shared" si="102"/>
        <v>14</v>
      </c>
      <c r="CP140" s="42">
        <f t="shared" si="103"/>
        <v>14</v>
      </c>
      <c r="CQ140" s="42">
        <f t="shared" si="104"/>
        <v>13</v>
      </c>
      <c r="CR140" s="42">
        <f t="shared" si="105"/>
        <v>13</v>
      </c>
      <c r="CS140" s="42">
        <f t="shared" si="106"/>
        <v>14</v>
      </c>
      <c r="CT140" s="42">
        <f t="shared" si="107"/>
        <v>14</v>
      </c>
      <c r="CU140" s="43">
        <f t="shared" si="108"/>
        <v>14</v>
      </c>
      <c r="CV140" s="43">
        <f t="shared" si="109"/>
        <v>13</v>
      </c>
      <c r="CW140" s="43">
        <f t="shared" si="110"/>
        <v>14</v>
      </c>
      <c r="CX140" s="13" t="s">
        <v>431</v>
      </c>
    </row>
    <row r="141" spans="1:102" x14ac:dyDescent="0.25">
      <c r="A141" s="31" t="s">
        <v>143</v>
      </c>
      <c r="B141" s="13">
        <v>675</v>
      </c>
      <c r="C141" s="13">
        <v>75</v>
      </c>
      <c r="D141" s="13">
        <v>40</v>
      </c>
      <c r="E141" s="32" t="s">
        <v>0</v>
      </c>
      <c r="F141" s="32"/>
      <c r="G141" s="32"/>
      <c r="H141" s="32">
        <v>1</v>
      </c>
      <c r="I141" s="32" t="s">
        <v>0</v>
      </c>
      <c r="J141" s="13"/>
      <c r="K141" s="33"/>
      <c r="L141" s="34">
        <f>IFERROR(INDEX('Pokemon Data'!A:A,MATCH($A141,'Pokemon Data'!$B:$B,0)),"")</f>
        <v>104</v>
      </c>
      <c r="M141" s="34">
        <f>IFERROR(INDEX('Pokemon Data'!I:I,MATCH($A141,'Pokemon Data'!$B:$B,0)),"")</f>
        <v>100</v>
      </c>
      <c r="N141" s="34">
        <f>IFERROR(INDEX('Pokemon Data'!J:J,MATCH($A141,'Pokemon Data'!$B:$B,0)),"")</f>
        <v>90</v>
      </c>
      <c r="O141" s="34">
        <f>IFERROR(INDEX('Pokemon Data'!K:K,MATCH($A141,'Pokemon Data'!$B:$B,0)),"")</f>
        <v>165</v>
      </c>
      <c r="P141" s="35">
        <f>IFERROR(INDEX('Level Multipliers'!$A:$A,MATCH($D141,'Level Multipliers'!$B:$B,0)),"")</f>
        <v>25</v>
      </c>
      <c r="Q141" s="36">
        <f>IFERROR(INDEX('Level Multipliers'!$D:$D,MATCH(P141,'Level Multipliers'!$A:$A,0)),"")</f>
        <v>1.4971539093132804</v>
      </c>
      <c r="R141" s="37">
        <f t="shared" si="74"/>
        <v>13</v>
      </c>
      <c r="S141" s="37">
        <f t="shared" si="75"/>
        <v>13</v>
      </c>
      <c r="T141" s="38">
        <f t="shared" si="76"/>
        <v>228914519.75946707</v>
      </c>
      <c r="U141" s="38">
        <f t="shared" si="77"/>
        <v>229593287.42189789</v>
      </c>
      <c r="V141" s="38" t="b">
        <f t="shared" si="78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9"/>
        <v>25.5</v>
      </c>
      <c r="AI141" s="36">
        <f>IFERROR(INDEX('Level Multipliers'!$D:$D,MATCH(AH141,'Level Multipliers'!$A:$A,0)),"")</f>
        <v>1.4823997223704843</v>
      </c>
      <c r="AJ141" s="37">
        <f t="shared" si="80"/>
        <v>12</v>
      </c>
      <c r="AK141" s="37">
        <f t="shared" si="81"/>
        <v>12</v>
      </c>
      <c r="AL141" s="38">
        <f t="shared" si="82"/>
        <v>220023386.85516781</v>
      </c>
      <c r="AM141" s="38">
        <f t="shared" si="83"/>
        <v>220675790.90595812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26</v>
      </c>
      <c r="BA141" s="36">
        <f>IFERROR(INDEX('Level Multipliers'!$D:$D,MATCH(AZ141,'Level Multipliers'!$A:$A,0)),"")</f>
        <v>1.4680732523857296</v>
      </c>
      <c r="BB141" s="37">
        <f t="shared" si="86"/>
        <v>11</v>
      </c>
      <c r="BC141" s="37">
        <f t="shared" si="87"/>
        <v>11</v>
      </c>
      <c r="BD141" s="38">
        <f t="shared" si="88"/>
        <v>211640339.74676412</v>
      </c>
      <c r="BE141" s="38">
        <f t="shared" si="89"/>
        <v>212267886.74044946</v>
      </c>
      <c r="BF141" s="38" t="b">
        <f t="shared" si="90"/>
        <v>0</v>
      </c>
      <c r="BG141" s="37">
        <f t="array" ref="BG141:BQ141">IF(BF141,"",IVSolution($M141,$N141,$O141,BB141,BC141,BD141,BE141,$E141,$F141,$G141,$H141,$I141))</f>
        <v>1</v>
      </c>
      <c r="BH141" s="37">
        <v>39</v>
      </c>
      <c r="BI141" s="37">
        <v>39</v>
      </c>
      <c r="BJ141" s="39">
        <v>0.8666666666666667</v>
      </c>
      <c r="BK141" s="39">
        <v>0.8666666666666667</v>
      </c>
      <c r="BL141" s="37">
        <v>11</v>
      </c>
      <c r="BM141" s="37">
        <v>11</v>
      </c>
      <c r="BN141" s="37">
        <v>13</v>
      </c>
      <c r="BO141" s="37">
        <v>13</v>
      </c>
      <c r="BP141" s="37">
        <v>15</v>
      </c>
      <c r="BQ141" s="37">
        <v>15</v>
      </c>
      <c r="BR141" s="40">
        <f t="shared" si="91"/>
        <v>26.5</v>
      </c>
      <c r="BS141" s="36">
        <f>IFERROR(INDEX('Level Multipliers'!$D:$D,MATCH(BR141,'Level Multipliers'!$A:$A,0)),"")</f>
        <v>1.4541543636838528</v>
      </c>
      <c r="BT141" s="37">
        <f t="shared" si="92"/>
        <v>10</v>
      </c>
      <c r="BU141" s="37">
        <f t="shared" si="93"/>
        <v>10</v>
      </c>
      <c r="BV141" s="38">
        <f t="shared" si="94"/>
        <v>203727468.72301444</v>
      </c>
      <c r="BW141" s="38">
        <f t="shared" si="95"/>
        <v>204331552.80585623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7"/>
        <v>26</v>
      </c>
      <c r="CK141" s="41">
        <f t="shared" si="98"/>
        <v>26</v>
      </c>
      <c r="CL141" s="66">
        <f t="shared" si="99"/>
        <v>0.8666666666666667</v>
      </c>
      <c r="CM141" s="39">
        <f t="shared" si="100"/>
        <v>0.8666666666666667</v>
      </c>
      <c r="CN141" s="39">
        <f t="shared" si="101"/>
        <v>0.8666666666666667</v>
      </c>
      <c r="CO141" s="42">
        <f t="shared" si="102"/>
        <v>11</v>
      </c>
      <c r="CP141" s="42">
        <f t="shared" si="103"/>
        <v>11</v>
      </c>
      <c r="CQ141" s="42">
        <f t="shared" si="104"/>
        <v>13</v>
      </c>
      <c r="CR141" s="42">
        <f t="shared" si="105"/>
        <v>13</v>
      </c>
      <c r="CS141" s="42">
        <f t="shared" si="106"/>
        <v>15</v>
      </c>
      <c r="CT141" s="42">
        <f t="shared" si="107"/>
        <v>15</v>
      </c>
      <c r="CU141" s="43">
        <f t="shared" si="108"/>
        <v>11</v>
      </c>
      <c r="CV141" s="43">
        <f t="shared" si="109"/>
        <v>13</v>
      </c>
      <c r="CW141" s="43">
        <f t="shared" si="110"/>
        <v>15</v>
      </c>
      <c r="CX141" s="13"/>
    </row>
    <row r="142" spans="1:102" x14ac:dyDescent="0.25">
      <c r="A142" s="31" t="s">
        <v>144</v>
      </c>
      <c r="B142" s="13">
        <v>476</v>
      </c>
      <c r="C142" s="13">
        <v>56</v>
      </c>
      <c r="D142" s="13">
        <v>10</v>
      </c>
      <c r="E142" s="32" t="s">
        <v>0</v>
      </c>
      <c r="F142" s="32"/>
      <c r="G142" s="32"/>
      <c r="H142" s="32">
        <v>1</v>
      </c>
      <c r="I142" s="32" t="s">
        <v>0</v>
      </c>
      <c r="J142" s="13"/>
      <c r="K142" s="33"/>
      <c r="L142" s="34">
        <f>IFERROR(INDEX('Pokemon Data'!A:A,MATCH($A142,'Pokemon Data'!$B:$B,0)),"")</f>
        <v>105</v>
      </c>
      <c r="M142" s="34">
        <f>IFERROR(INDEX('Pokemon Data'!I:I,MATCH($A142,'Pokemon Data'!$B:$B,0)),"")</f>
        <v>120</v>
      </c>
      <c r="N142" s="34">
        <f>IFERROR(INDEX('Pokemon Data'!J:J,MATCH($A142,'Pokemon Data'!$B:$B,0)),"")</f>
        <v>144</v>
      </c>
      <c r="O142" s="34">
        <f>IFERROR(INDEX('Pokemon Data'!K:K,MATCH($A142,'Pokemon Data'!$B:$B,0)),"")</f>
        <v>200</v>
      </c>
      <c r="P142" s="35">
        <f>IFERROR(INDEX('Level Multipliers'!$A:$A,MATCH($D142,'Level Multipliers'!$B:$B,0)),"")</f>
        <v>9</v>
      </c>
      <c r="Q142" s="36">
        <f>IFERROR(INDEX('Level Multipliers'!$D:$D,MATCH(P142,'Level Multipliers'!$A:$A,0)),"")</f>
        <v>2.5027074524512973</v>
      </c>
      <c r="R142" s="37">
        <f t="shared" si="74"/>
        <v>21</v>
      </c>
      <c r="S142" s="37">
        <f t="shared" si="75"/>
        <v>15</v>
      </c>
      <c r="T142" s="38">
        <f t="shared" si="76"/>
        <v>888902756.17588377</v>
      </c>
      <c r="U142" s="38">
        <f t="shared" si="77"/>
        <v>892641564.90512085</v>
      </c>
      <c r="V142" s="38" t="b">
        <f t="shared" si="78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9"/>
        <v>9.5</v>
      </c>
      <c r="AI142" s="36">
        <f>IFERROR(INDEX('Level Multipliers'!$D:$D,MATCH(AH142,'Level Multipliers'!$A:$A,0)),"")</f>
        <v>2.4319447427583007</v>
      </c>
      <c r="AJ142" s="37">
        <f t="shared" si="80"/>
        <v>17</v>
      </c>
      <c r="AK142" s="37">
        <f t="shared" si="81"/>
        <v>15</v>
      </c>
      <c r="AL142" s="38">
        <f t="shared" si="82"/>
        <v>792553735.30069876</v>
      </c>
      <c r="AM142" s="38">
        <f t="shared" si="83"/>
        <v>795887290.97182703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10</v>
      </c>
      <c r="BA142" s="36">
        <f>IFERROR(INDEX('Level Multipliers'!$D:$D,MATCH(AZ142,'Level Multipliers'!$A:$A,0)),"")</f>
        <v>2.366863825187552</v>
      </c>
      <c r="BB142" s="37">
        <f t="shared" si="86"/>
        <v>13</v>
      </c>
      <c r="BC142" s="37">
        <f t="shared" si="87"/>
        <v>14</v>
      </c>
      <c r="BD142" s="38">
        <f t="shared" si="88"/>
        <v>711061219.728369</v>
      </c>
      <c r="BE142" s="38">
        <f t="shared" si="89"/>
        <v>714052010.20221066</v>
      </c>
      <c r="BF142" s="38" t="b">
        <f t="shared" si="90"/>
        <v>0</v>
      </c>
      <c r="BG142" s="37">
        <f t="array" ref="BG142:BQ142">IF(BF142,"",IVSolution($M142,$N142,$O142,BB142,BC142,BD142,BE142,$E142,$F142,$G142,$H142,$I142))</f>
        <v>1</v>
      </c>
      <c r="BH142" s="37">
        <v>42</v>
      </c>
      <c r="BI142" s="37">
        <v>42</v>
      </c>
      <c r="BJ142" s="39">
        <v>0.93333333333333335</v>
      </c>
      <c r="BK142" s="39">
        <v>0.93333333333333335</v>
      </c>
      <c r="BL142" s="37">
        <v>13</v>
      </c>
      <c r="BM142" s="37">
        <v>13</v>
      </c>
      <c r="BN142" s="37">
        <v>14</v>
      </c>
      <c r="BO142" s="37">
        <v>14</v>
      </c>
      <c r="BP142" s="37">
        <v>15</v>
      </c>
      <c r="BQ142" s="37">
        <v>15</v>
      </c>
      <c r="BR142" s="40">
        <f t="shared" si="91"/>
        <v>10.5</v>
      </c>
      <c r="BS142" s="36">
        <f>IFERROR(INDEX('Level Multipliers'!$D:$D,MATCH(BR142,'Level Multipliers'!$A:$A,0)),"")</f>
        <v>2.3098613358274029</v>
      </c>
      <c r="BT142" s="37">
        <f t="shared" si="92"/>
        <v>10</v>
      </c>
      <c r="BU142" s="37">
        <f t="shared" si="93"/>
        <v>11</v>
      </c>
      <c r="BV142" s="38">
        <f t="shared" si="94"/>
        <v>644996774.68385863</v>
      </c>
      <c r="BW142" s="38">
        <f t="shared" si="95"/>
        <v>647709691.87841463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7"/>
        <v>10</v>
      </c>
      <c r="CK142" s="41">
        <f t="shared" si="98"/>
        <v>10</v>
      </c>
      <c r="CL142" s="66">
        <f t="shared" si="99"/>
        <v>0.93333333333333335</v>
      </c>
      <c r="CM142" s="39">
        <f t="shared" si="100"/>
        <v>0.93333333333333335</v>
      </c>
      <c r="CN142" s="39">
        <f t="shared" si="101"/>
        <v>0.93333333333333335</v>
      </c>
      <c r="CO142" s="42">
        <f t="shared" si="102"/>
        <v>13</v>
      </c>
      <c r="CP142" s="42">
        <f t="shared" si="103"/>
        <v>13</v>
      </c>
      <c r="CQ142" s="42">
        <f t="shared" si="104"/>
        <v>14</v>
      </c>
      <c r="CR142" s="42">
        <f t="shared" si="105"/>
        <v>14</v>
      </c>
      <c r="CS142" s="42">
        <f t="shared" si="106"/>
        <v>15</v>
      </c>
      <c r="CT142" s="42">
        <f t="shared" si="107"/>
        <v>15</v>
      </c>
      <c r="CU142" s="43">
        <f t="shared" si="108"/>
        <v>13</v>
      </c>
      <c r="CV142" s="43">
        <f t="shared" si="109"/>
        <v>14</v>
      </c>
      <c r="CW142" s="43">
        <f t="shared" si="110"/>
        <v>15</v>
      </c>
      <c r="CX142" s="13" t="s">
        <v>434</v>
      </c>
    </row>
    <row r="143" spans="1:102" x14ac:dyDescent="0.25">
      <c r="A143" s="31" t="s">
        <v>145</v>
      </c>
      <c r="B143" s="13">
        <v>1322</v>
      </c>
      <c r="C143" s="13">
        <v>65</v>
      </c>
      <c r="D143" s="13">
        <v>25</v>
      </c>
      <c r="E143" s="32" t="s">
        <v>2</v>
      </c>
      <c r="F143" s="32"/>
      <c r="G143" s="32"/>
      <c r="H143" s="32">
        <v>1</v>
      </c>
      <c r="I143" s="32" t="s">
        <v>0</v>
      </c>
      <c r="J143" s="13"/>
      <c r="K143" s="33"/>
      <c r="L143" s="34">
        <f>IFERROR(INDEX('Pokemon Data'!A:A,MATCH($A143,'Pokemon Data'!$B:$B,0)),"")</f>
        <v>106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224</v>
      </c>
      <c r="O143" s="34">
        <f>IFERROR(INDEX('Pokemon Data'!K:K,MATCH($A143,'Pokemon Data'!$B:$B,0)),"")</f>
        <v>211</v>
      </c>
      <c r="P143" s="35">
        <f>IFERROR(INDEX('Level Multipliers'!$A:$A,MATCH($D143,'Level Multipliers'!$B:$B,0)),"")</f>
        <v>19</v>
      </c>
      <c r="Q143" s="36">
        <f>IFERROR(INDEX('Level Multipliers'!$D:$D,MATCH(P143,'Level Multipliers'!$A:$A,0)),"")</f>
        <v>1.7173900470456649</v>
      </c>
      <c r="R143" s="37">
        <f t="shared" si="74"/>
        <v>12</v>
      </c>
      <c r="S143" s="37">
        <f t="shared" si="75"/>
        <v>13</v>
      </c>
      <c r="T143" s="38">
        <f t="shared" si="76"/>
        <v>1520332841.2230308</v>
      </c>
      <c r="U143" s="38">
        <f t="shared" si="77"/>
        <v>1522633760.8200717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19.5</v>
      </c>
      <c r="AI143" s="36">
        <f>IFERROR(INDEX('Level Multipliers'!$D:$D,MATCH(AH143,'Level Multipliers'!$A:$A,0)),"")</f>
        <v>1.6952373266621776</v>
      </c>
      <c r="AJ143" s="37">
        <f t="shared" si="80"/>
        <v>11</v>
      </c>
      <c r="AK143" s="37">
        <f t="shared" si="81"/>
        <v>11</v>
      </c>
      <c r="AL143" s="38">
        <f t="shared" si="82"/>
        <v>1443394132.9561121</v>
      </c>
      <c r="AM143" s="38">
        <f t="shared" si="83"/>
        <v>1445578611.0892694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20</v>
      </c>
      <c r="BA143" s="36">
        <f>IFERROR(INDEX('Level Multipliers'!$D:$D,MATCH(AZ143,'Level Multipliers'!$A:$A,0)),"")</f>
        <v>1.6739202944034379</v>
      </c>
      <c r="BB143" s="37">
        <f t="shared" si="86"/>
        <v>9</v>
      </c>
      <c r="BC143" s="37">
        <f t="shared" si="87"/>
        <v>10</v>
      </c>
      <c r="BD143" s="38">
        <f t="shared" si="88"/>
        <v>1372151324.6717515</v>
      </c>
      <c r="BE143" s="38">
        <f t="shared" si="89"/>
        <v>1374227981.6954219</v>
      </c>
      <c r="BF143" s="38" t="b">
        <f t="shared" si="90"/>
        <v>0</v>
      </c>
      <c r="BG143" s="37">
        <f t="array" ref="BG143:BQ143">IF(BF143,"",IVSolution($M143,$N143,$O143,BB143,BC143,BD143,BE143,$E143,$F143,$G143,$H143,$I143))</f>
        <v>1</v>
      </c>
      <c r="BH143" s="37">
        <v>36</v>
      </c>
      <c r="BI143" s="37">
        <v>36</v>
      </c>
      <c r="BJ143" s="39">
        <v>0.8</v>
      </c>
      <c r="BK143" s="39">
        <v>0.8</v>
      </c>
      <c r="BL143" s="37">
        <v>10</v>
      </c>
      <c r="BM143" s="37">
        <v>10</v>
      </c>
      <c r="BN143" s="37">
        <v>11</v>
      </c>
      <c r="BO143" s="37">
        <v>11</v>
      </c>
      <c r="BP143" s="37">
        <v>15</v>
      </c>
      <c r="BQ143" s="37">
        <v>15</v>
      </c>
      <c r="BR143" s="40">
        <f t="shared" si="91"/>
        <v>20.5</v>
      </c>
      <c r="BS143" s="36">
        <f>IFERROR(INDEX('Level Multipliers'!$D:$D,MATCH(BR143,'Level Multipliers'!$A:$A,0)),"")</f>
        <v>1.6533745038028393</v>
      </c>
      <c r="BT143" s="37">
        <f t="shared" si="92"/>
        <v>8</v>
      </c>
      <c r="BU143" s="37">
        <f t="shared" si="93"/>
        <v>9</v>
      </c>
      <c r="BV143" s="38">
        <f t="shared" si="94"/>
        <v>1306014068.3339872</v>
      </c>
      <c r="BW143" s="38">
        <f t="shared" si="95"/>
        <v>1307990631.1512606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7"/>
        <v>20</v>
      </c>
      <c r="CK143" s="41">
        <f t="shared" si="98"/>
        <v>20</v>
      </c>
      <c r="CL143" s="66">
        <f t="shared" si="99"/>
        <v>0.8</v>
      </c>
      <c r="CM143" s="39">
        <f t="shared" si="100"/>
        <v>0.8</v>
      </c>
      <c r="CN143" s="39">
        <f t="shared" si="101"/>
        <v>0.8</v>
      </c>
      <c r="CO143" s="42">
        <f t="shared" si="102"/>
        <v>10</v>
      </c>
      <c r="CP143" s="42">
        <f t="shared" si="103"/>
        <v>10</v>
      </c>
      <c r="CQ143" s="42">
        <f t="shared" si="104"/>
        <v>11</v>
      </c>
      <c r="CR143" s="42">
        <f t="shared" si="105"/>
        <v>11</v>
      </c>
      <c r="CS143" s="42">
        <f t="shared" si="106"/>
        <v>15</v>
      </c>
      <c r="CT143" s="42">
        <f t="shared" si="107"/>
        <v>15</v>
      </c>
      <c r="CU143" s="43">
        <f t="shared" si="108"/>
        <v>10</v>
      </c>
      <c r="CV143" s="43">
        <f t="shared" si="109"/>
        <v>11</v>
      </c>
      <c r="CW143" s="43">
        <f t="shared" si="110"/>
        <v>15</v>
      </c>
      <c r="CX143" s="13" t="s">
        <v>422</v>
      </c>
    </row>
    <row r="144" spans="1:102" x14ac:dyDescent="0.25">
      <c r="A144" s="31" t="s">
        <v>147</v>
      </c>
      <c r="B144" s="13">
        <v>564</v>
      </c>
      <c r="C144" s="13">
        <v>97</v>
      </c>
      <c r="D144" s="13">
        <v>19</v>
      </c>
      <c r="E144" s="32" t="s">
        <v>3</v>
      </c>
      <c r="F144" s="32"/>
      <c r="G144" s="32">
        <v>1</v>
      </c>
      <c r="H144" s="32">
        <v>1</v>
      </c>
      <c r="I144" s="32" t="s">
        <v>3</v>
      </c>
      <c r="J144" s="13"/>
      <c r="K144" s="33"/>
      <c r="L144" s="34">
        <f>IFERROR(INDEX('Pokemon Data'!A:A,MATCH($A144,'Pokemon Data'!$B:$B,0)),"")</f>
        <v>108</v>
      </c>
      <c r="M144" s="34">
        <f>IFERROR(INDEX('Pokemon Data'!I:I,MATCH($A144,'Pokemon Data'!$B:$B,0)),"")</f>
        <v>180</v>
      </c>
      <c r="N144" s="34">
        <f>IFERROR(INDEX('Pokemon Data'!J:J,MATCH($A144,'Pokemon Data'!$B:$B,0)),"")</f>
        <v>108</v>
      </c>
      <c r="O144" s="34">
        <f>IFERROR(INDEX('Pokemon Data'!K:K,MATCH($A144,'Pokemon Data'!$B:$B,0)),"")</f>
        <v>137</v>
      </c>
      <c r="P144" s="35">
        <f>IFERROR(INDEX('Level Multipliers'!$A:$A,MATCH($D144,'Level Multipliers'!$B:$B,0)),"")</f>
        <v>15</v>
      </c>
      <c r="Q144" s="36">
        <f>IFERROR(INDEX('Level Multipliers'!$D:$D,MATCH(P144,'Level Multipliers'!$A:$A,0)),"")</f>
        <v>1.9327632386874845</v>
      </c>
      <c r="R144" s="37">
        <f t="shared" si="74"/>
        <v>8</v>
      </c>
      <c r="S144" s="37">
        <f t="shared" si="75"/>
        <v>9</v>
      </c>
      <c r="T144" s="38">
        <f t="shared" si="76"/>
        <v>443887417.66176188</v>
      </c>
      <c r="U144" s="38">
        <f t="shared" si="77"/>
        <v>445462881.96983284</v>
      </c>
      <c r="V144" s="38" t="b">
        <f t="shared" si="78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9"/>
        <v>15.5</v>
      </c>
      <c r="AI144" s="36">
        <f>IFERROR(INDEX('Level Multipliers'!$D:$D,MATCH(AH144,'Level Multipliers'!$A:$A,0)),"")</f>
        <v>1.9013484732050823</v>
      </c>
      <c r="AJ144" s="37">
        <f t="shared" si="80"/>
        <v>5</v>
      </c>
      <c r="AK144" s="37">
        <f t="shared" si="81"/>
        <v>6</v>
      </c>
      <c r="AL144" s="38">
        <f t="shared" si="82"/>
        <v>415723992.18291366</v>
      </c>
      <c r="AM144" s="38">
        <f t="shared" si="83"/>
        <v>417199497.65036529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16</v>
      </c>
      <c r="BA144" s="36">
        <f>IFERROR(INDEX('Level Multipliers'!$D:$D,MATCH(AZ144,'Level Multipliers'!$A:$A,0)),"")</f>
        <v>1.8714174200985207</v>
      </c>
      <c r="BB144" s="37">
        <f t="shared" si="86"/>
        <v>2</v>
      </c>
      <c r="BC144" s="37">
        <f t="shared" si="87"/>
        <v>3</v>
      </c>
      <c r="BD144" s="38">
        <f t="shared" si="88"/>
        <v>390158325.92471588</v>
      </c>
      <c r="BE144" s="38">
        <f t="shared" si="89"/>
        <v>391543092.63026702</v>
      </c>
      <c r="BF144" s="38" t="b">
        <f t="shared" si="90"/>
        <v>0</v>
      </c>
      <c r="BG144" s="37">
        <f t="array" ref="BG144:BQ144">IF(BF144,"",IVSolution($M144,$N144,$O144,BB144,BC144,BD144,BE144,$E144,$F144,$G144,$H144,$I144))</f>
        <v>1</v>
      </c>
      <c r="BH144" s="37">
        <v>26</v>
      </c>
      <c r="BI144" s="37">
        <v>26</v>
      </c>
      <c r="BJ144" s="39">
        <v>0.57777777777777772</v>
      </c>
      <c r="BK144" s="39">
        <v>0.57777777777777772</v>
      </c>
      <c r="BL144" s="37">
        <v>2</v>
      </c>
      <c r="BM144" s="37">
        <v>2</v>
      </c>
      <c r="BN144" s="37">
        <v>12</v>
      </c>
      <c r="BO144" s="37">
        <v>12</v>
      </c>
      <c r="BP144" s="37">
        <v>12</v>
      </c>
      <c r="BQ144" s="37">
        <v>12</v>
      </c>
      <c r="BR144" s="40">
        <f t="shared" si="91"/>
        <v>16.5</v>
      </c>
      <c r="BS144" s="36">
        <f>IFERROR(INDEX('Level Multipliers'!$D:$D,MATCH(BR144,'Level Multipliers'!$A:$A,0)),"")</f>
        <v>1.8428568206029767</v>
      </c>
      <c r="BT144" s="37">
        <f t="shared" si="92"/>
        <v>0</v>
      </c>
      <c r="BU144" s="37">
        <f t="shared" si="93"/>
        <v>0</v>
      </c>
      <c r="BV144" s="38">
        <f t="shared" si="94"/>
        <v>366880462.89026582</v>
      </c>
      <c r="BW144" s="38">
        <f t="shared" si="95"/>
        <v>368182610.80348414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7"/>
        <v>16</v>
      </c>
      <c r="CK144" s="41">
        <f t="shared" si="98"/>
        <v>16</v>
      </c>
      <c r="CL144" s="66">
        <f t="shared" si="99"/>
        <v>0.57777777777777772</v>
      </c>
      <c r="CM144" s="39">
        <f t="shared" si="100"/>
        <v>0.57777777777777772</v>
      </c>
      <c r="CN144" s="39">
        <f t="shared" si="101"/>
        <v>0.57777777777777772</v>
      </c>
      <c r="CO144" s="42">
        <f t="shared" si="102"/>
        <v>2</v>
      </c>
      <c r="CP144" s="42">
        <f t="shared" si="103"/>
        <v>2</v>
      </c>
      <c r="CQ144" s="42">
        <f t="shared" si="104"/>
        <v>12</v>
      </c>
      <c r="CR144" s="42">
        <f t="shared" si="105"/>
        <v>12</v>
      </c>
      <c r="CS144" s="42">
        <f t="shared" si="106"/>
        <v>12</v>
      </c>
      <c r="CT144" s="42">
        <f t="shared" si="107"/>
        <v>12</v>
      </c>
      <c r="CU144" s="43">
        <f t="shared" si="108"/>
        <v>2</v>
      </c>
      <c r="CV144" s="43">
        <f t="shared" si="109"/>
        <v>12</v>
      </c>
      <c r="CW144" s="43">
        <f t="shared" si="110"/>
        <v>12</v>
      </c>
      <c r="CX144" s="13" t="s">
        <v>425</v>
      </c>
    </row>
    <row r="145" spans="1:102" x14ac:dyDescent="0.25">
      <c r="A145" s="31" t="s">
        <v>148</v>
      </c>
      <c r="B145" s="13">
        <v>78</v>
      </c>
      <c r="C145" s="13">
        <v>20</v>
      </c>
      <c r="D145" s="13">
        <v>4</v>
      </c>
      <c r="E145" s="32" t="s">
        <v>0</v>
      </c>
      <c r="F145" s="32">
        <v>1</v>
      </c>
      <c r="G145" s="32"/>
      <c r="H145" s="32"/>
      <c r="I145" s="32" t="s">
        <v>0</v>
      </c>
      <c r="J145" s="13"/>
      <c r="K145" s="33"/>
      <c r="L145" s="34">
        <f>IFERROR(INDEX('Pokemon Data'!A:A,MATCH($A145,'Pokemon Data'!$B:$B,0)),"")</f>
        <v>109</v>
      </c>
      <c r="M145" s="34">
        <f>IFERROR(INDEX('Pokemon Data'!I:I,MATCH($A145,'Pokemon Data'!$B:$B,0)),"")</f>
        <v>80</v>
      </c>
      <c r="N145" s="34">
        <f>IFERROR(INDEX('Pokemon Data'!J:J,MATCH($A145,'Pokemon Data'!$B:$B,0)),"")</f>
        <v>119</v>
      </c>
      <c r="O145" s="34">
        <f>IFERROR(INDEX('Pokemon Data'!K:K,MATCH($A145,'Pokemon Data'!$B:$B,0)),"")</f>
        <v>164</v>
      </c>
      <c r="P145" s="35">
        <f>IFERROR(INDEX('Level Multipliers'!$A:$A,MATCH($D145,'Level Multipliers'!$B:$B,0)),"")</f>
        <v>3</v>
      </c>
      <c r="Q145" s="36">
        <f>IFERROR(INDEX('Level Multipliers'!$D:$D,MATCH(P145,'Level Multipliers'!$A:$A,0)),"")</f>
        <v>4.6353708335264541</v>
      </c>
      <c r="R145" s="37">
        <f t="shared" si="74"/>
        <v>13</v>
      </c>
      <c r="S145" s="37">
        <f t="shared" si="75"/>
        <v>15</v>
      </c>
      <c r="T145" s="38">
        <f t="shared" si="76"/>
        <v>280884090.13292867</v>
      </c>
      <c r="U145" s="38">
        <f t="shared" si="77"/>
        <v>288132413.95785791</v>
      </c>
      <c r="V145" s="38" t="b">
        <f t="shared" si="78"/>
        <v>0</v>
      </c>
      <c r="W145" s="37">
        <f t="array" ref="W145:AG145">IF(V145,"",IVSolution($M145,$N145,$O145,R145,S145,T145,U145,$E145,$F145,$G145,$H145,$I145))</f>
        <v>10</v>
      </c>
      <c r="X145" s="37">
        <v>37</v>
      </c>
      <c r="Y145" s="37">
        <v>40</v>
      </c>
      <c r="Z145" s="39">
        <v>0.82222222222222219</v>
      </c>
      <c r="AA145" s="39">
        <v>0.88888888888888884</v>
      </c>
      <c r="AB145" s="37">
        <v>15</v>
      </c>
      <c r="AC145" s="37">
        <v>15</v>
      </c>
      <c r="AD145" s="37">
        <v>10</v>
      </c>
      <c r="AE145" s="37">
        <v>13</v>
      </c>
      <c r="AF145" s="37">
        <v>9</v>
      </c>
      <c r="AG145" s="37">
        <v>14</v>
      </c>
      <c r="AH145" s="40">
        <f t="shared" si="79"/>
        <v>3.5</v>
      </c>
      <c r="AI145" s="36">
        <f>IFERROR(INDEX('Level Multipliers'!$D:$D,MATCH(AH145,'Level Multipliers'!$A:$A,0)),"")</f>
        <v>4.227031290291726</v>
      </c>
      <c r="AJ145" s="37">
        <f t="shared" si="80"/>
        <v>5</v>
      </c>
      <c r="AK145" s="37">
        <f t="shared" si="81"/>
        <v>8</v>
      </c>
      <c r="AL145" s="38">
        <f t="shared" si="82"/>
        <v>194236594.94227248</v>
      </c>
      <c r="AM145" s="38">
        <f t="shared" si="83"/>
        <v>199248946.25817266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4</v>
      </c>
      <c r="BA145" s="36">
        <f>IFERROR(INDEX('Level Multipliers'!$D:$D,MATCH(AZ145,'Level Multipliers'!$A:$A,0)),"")</f>
        <v>3.9105263875552758</v>
      </c>
      <c r="BB145" s="37">
        <f t="shared" si="86"/>
        <v>0</v>
      </c>
      <c r="BC145" s="37">
        <f t="shared" si="87"/>
        <v>2</v>
      </c>
      <c r="BD145" s="38">
        <f t="shared" si="88"/>
        <v>142275489.50519627</v>
      </c>
      <c r="BE145" s="38">
        <f t="shared" si="89"/>
        <v>145946964.16862753</v>
      </c>
      <c r="BF145" s="38" t="b">
        <f t="shared" si="90"/>
        <v>1</v>
      </c>
      <c r="BG145" s="37" t="str">
        <f t="array" ref="BG145:BQ145">IF(BF145,"",IVSolution($M145,$N145,$O145,BB145,BC145,BD145,BE145,$E145,$F145,$G145,$H145,$I145))</f>
        <v/>
      </c>
      <c r="BH145" s="37" t="str">
        <v/>
      </c>
      <c r="BI145" s="37" t="str">
        <v/>
      </c>
      <c r="BJ145" s="39" t="str">
        <v/>
      </c>
      <c r="BK145" s="39" t="str">
        <v/>
      </c>
      <c r="BL145" s="37" t="str">
        <v/>
      </c>
      <c r="BM145" s="37" t="str">
        <v/>
      </c>
      <c r="BN145" s="37" t="str">
        <v/>
      </c>
      <c r="BO145" s="37" t="str">
        <v/>
      </c>
      <c r="BP145" s="37" t="str">
        <v/>
      </c>
      <c r="BQ145" s="37" t="str">
        <v/>
      </c>
      <c r="BR145" s="40">
        <f t="shared" si="91"/>
        <v>4.5</v>
      </c>
      <c r="BS145" s="36">
        <f>IFERROR(INDEX('Level Multipliers'!$D:$D,MATCH(BR145,'Level Multipliers'!$A:$A,0)),"")</f>
        <v>3.6559011428916688</v>
      </c>
      <c r="BT145" s="37">
        <f t="shared" si="92"/>
        <v>0</v>
      </c>
      <c r="BU145" s="37">
        <f t="shared" si="93"/>
        <v>-4</v>
      </c>
      <c r="BV145" s="38">
        <f t="shared" si="94"/>
        <v>108684341.96014084</v>
      </c>
      <c r="BW145" s="38">
        <f t="shared" si="95"/>
        <v>111488983.92065072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7"/>
        <v>3</v>
      </c>
      <c r="CK145" s="41">
        <f t="shared" si="98"/>
        <v>3</v>
      </c>
      <c r="CL145" s="66">
        <f t="shared" si="99"/>
        <v>0.85555555555555551</v>
      </c>
      <c r="CM145" s="39">
        <f t="shared" si="100"/>
        <v>0.82222222222222219</v>
      </c>
      <c r="CN145" s="39">
        <f t="shared" si="101"/>
        <v>0.88888888888888884</v>
      </c>
      <c r="CO145" s="42">
        <f t="shared" si="102"/>
        <v>15</v>
      </c>
      <c r="CP145" s="42">
        <f t="shared" si="103"/>
        <v>15</v>
      </c>
      <c r="CQ145" s="42">
        <f t="shared" si="104"/>
        <v>10</v>
      </c>
      <c r="CR145" s="42">
        <f t="shared" si="105"/>
        <v>13</v>
      </c>
      <c r="CS145" s="42">
        <f t="shared" si="106"/>
        <v>9</v>
      </c>
      <c r="CT145" s="42">
        <f t="shared" si="107"/>
        <v>14</v>
      </c>
      <c r="CU145" s="43">
        <f t="shared" si="108"/>
        <v>15</v>
      </c>
      <c r="CV145" s="43" t="str">
        <f t="shared" si="109"/>
        <v>10-13</v>
      </c>
      <c r="CW145" s="43" t="str">
        <f t="shared" si="110"/>
        <v>9-14</v>
      </c>
      <c r="CX145" s="13"/>
    </row>
    <row r="146" spans="1:102" x14ac:dyDescent="0.25">
      <c r="A146" s="31" t="s">
        <v>149</v>
      </c>
      <c r="B146" s="13">
        <v>908</v>
      </c>
      <c r="C146" s="13">
        <v>75</v>
      </c>
      <c r="D146" s="13">
        <v>19</v>
      </c>
      <c r="E146" s="32" t="s">
        <v>0</v>
      </c>
      <c r="F146" s="32">
        <v>1</v>
      </c>
      <c r="G146" s="32"/>
      <c r="H146" s="32"/>
      <c r="I146" s="32" t="s">
        <v>0</v>
      </c>
      <c r="J146" s="13"/>
      <c r="K146" s="33">
        <v>15</v>
      </c>
      <c r="L146" s="34">
        <f>IFERROR(INDEX('Pokemon Data'!A:A,MATCH($A146,'Pokemon Data'!$B:$B,0)),"")</f>
        <v>110</v>
      </c>
      <c r="M146" s="34">
        <f>IFERROR(INDEX('Pokemon Data'!I:I,MATCH($A146,'Pokemon Data'!$B:$B,0)),"")</f>
        <v>130</v>
      </c>
      <c r="N146" s="34">
        <f>IFERROR(INDEX('Pokemon Data'!J:J,MATCH($A146,'Pokemon Data'!$B:$B,0)),"")</f>
        <v>174</v>
      </c>
      <c r="O146" s="34">
        <f>IFERROR(INDEX('Pokemon Data'!K:K,MATCH($A146,'Pokemon Data'!$B:$B,0)),"")</f>
        <v>221</v>
      </c>
      <c r="P146" s="35">
        <f>IFERROR(INDEX('Level Multipliers'!$A:$A,MATCH($D146,'Level Multipliers'!$B:$B,0)),"")</f>
        <v>15</v>
      </c>
      <c r="Q146" s="36">
        <f>IFERROR(INDEX('Level Multipliers'!$D:$D,MATCH(P146,'Level Multipliers'!$A:$A,0)),"")</f>
        <v>1.9327632386874845</v>
      </c>
      <c r="R146" s="37">
        <f t="shared" si="74"/>
        <v>15</v>
      </c>
      <c r="S146" s="37">
        <f t="shared" si="75"/>
        <v>15</v>
      </c>
      <c r="T146" s="38">
        <f t="shared" si="76"/>
        <v>1150499207.5193868</v>
      </c>
      <c r="U146" s="38">
        <f t="shared" si="77"/>
        <v>1153034742.1941121</v>
      </c>
      <c r="V146" s="38" t="b">
        <f t="shared" si="78"/>
        <v>0</v>
      </c>
      <c r="W146" s="37">
        <f t="array" ref="W146:AG146">IF(V146,"",IVSolution($M146,$N146,$O146,R146,S146,T146,U146,$E146,$F146,$G146,$H146,$I146))</f>
        <v>1</v>
      </c>
      <c r="X146" s="37">
        <v>37</v>
      </c>
      <c r="Y146" s="37">
        <v>37</v>
      </c>
      <c r="Z146" s="39">
        <v>0.82222222222222219</v>
      </c>
      <c r="AA146" s="39">
        <v>0.82222222222222219</v>
      </c>
      <c r="AB146" s="37">
        <v>15</v>
      </c>
      <c r="AC146" s="37">
        <v>15</v>
      </c>
      <c r="AD146" s="37">
        <v>11</v>
      </c>
      <c r="AE146" s="37">
        <v>11</v>
      </c>
      <c r="AF146" s="37">
        <v>11</v>
      </c>
      <c r="AG146" s="37">
        <v>11</v>
      </c>
      <c r="AH146" s="40">
        <f t="shared" si="79"/>
        <v>15.5</v>
      </c>
      <c r="AI146" s="36">
        <f>IFERROR(INDEX('Level Multipliers'!$D:$D,MATCH(AH146,'Level Multipliers'!$A:$A,0)),"")</f>
        <v>1.9013484732050823</v>
      </c>
      <c r="AJ146" s="37">
        <f t="shared" si="80"/>
        <v>13</v>
      </c>
      <c r="AK146" s="37">
        <f t="shared" si="81"/>
        <v>14</v>
      </c>
      <c r="AL146" s="38">
        <f t="shared" si="82"/>
        <v>1077503223.8415248</v>
      </c>
      <c r="AM146" s="38">
        <f t="shared" si="83"/>
        <v>1079877885.8737302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16</v>
      </c>
      <c r="BA146" s="36">
        <f>IFERROR(INDEX('Level Multipliers'!$D:$D,MATCH(AZ146,'Level Multipliers'!$A:$A,0)),"")</f>
        <v>1.8714174200985207</v>
      </c>
      <c r="BB146" s="37">
        <f t="shared" si="86"/>
        <v>11</v>
      </c>
      <c r="BC146" s="37">
        <f t="shared" si="87"/>
        <v>12</v>
      </c>
      <c r="BD146" s="38">
        <f t="shared" si="88"/>
        <v>1011240298.6054366</v>
      </c>
      <c r="BE146" s="38">
        <f t="shared" si="89"/>
        <v>1013468926.6869127</v>
      </c>
      <c r="BF146" s="38" t="b">
        <f t="shared" si="90"/>
        <v>1</v>
      </c>
      <c r="BG146" s="37" t="str">
        <f t="array" ref="BG146:BQ146">IF(BF146,"",IVSolution($M146,$N146,$O146,BB146,BC146,BD146,BE146,$E146,$F146,$G146,$H146,$I146))</f>
        <v/>
      </c>
      <c r="BH146" s="37" t="str">
        <v/>
      </c>
      <c r="BI146" s="37" t="str">
        <v/>
      </c>
      <c r="BJ146" s="39" t="str">
        <v/>
      </c>
      <c r="BK146" s="39" t="str">
        <v/>
      </c>
      <c r="BL146" s="37" t="str">
        <v/>
      </c>
      <c r="BM146" s="37" t="str">
        <v/>
      </c>
      <c r="BN146" s="37" t="str">
        <v/>
      </c>
      <c r="BO146" s="37" t="str">
        <v/>
      </c>
      <c r="BP146" s="37" t="str">
        <v/>
      </c>
      <c r="BQ146" s="37" t="str">
        <v/>
      </c>
      <c r="BR146" s="40">
        <f t="shared" si="91"/>
        <v>16.5</v>
      </c>
      <c r="BS146" s="36">
        <f>IFERROR(INDEX('Level Multipliers'!$D:$D,MATCH(BR146,'Level Multipliers'!$A:$A,0)),"")</f>
        <v>1.8428568206029767</v>
      </c>
      <c r="BT146" s="37">
        <f t="shared" si="92"/>
        <v>9</v>
      </c>
      <c r="BU146" s="37">
        <f t="shared" si="93"/>
        <v>10</v>
      </c>
      <c r="BV146" s="38">
        <f t="shared" si="94"/>
        <v>950907065.65426815</v>
      </c>
      <c r="BW146" s="38">
        <f t="shared" si="95"/>
        <v>953002727.97341597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7"/>
        <v>15</v>
      </c>
      <c r="CK146" s="41">
        <f t="shared" si="98"/>
        <v>15</v>
      </c>
      <c r="CL146" s="66">
        <f t="shared" si="99"/>
        <v>0.82222222222222219</v>
      </c>
      <c r="CM146" s="39">
        <f t="shared" si="100"/>
        <v>0.82222222222222219</v>
      </c>
      <c r="CN146" s="39">
        <f t="shared" si="101"/>
        <v>0.82222222222222219</v>
      </c>
      <c r="CO146" s="42">
        <f t="shared" si="102"/>
        <v>15</v>
      </c>
      <c r="CP146" s="42">
        <f t="shared" si="103"/>
        <v>15</v>
      </c>
      <c r="CQ146" s="42">
        <f t="shared" si="104"/>
        <v>11</v>
      </c>
      <c r="CR146" s="42">
        <f t="shared" si="105"/>
        <v>11</v>
      </c>
      <c r="CS146" s="42">
        <f t="shared" si="106"/>
        <v>11</v>
      </c>
      <c r="CT146" s="42">
        <f t="shared" si="107"/>
        <v>11</v>
      </c>
      <c r="CU146" s="43">
        <f t="shared" si="108"/>
        <v>15</v>
      </c>
      <c r="CV146" s="43">
        <f t="shared" si="109"/>
        <v>11</v>
      </c>
      <c r="CW146" s="43">
        <f t="shared" si="110"/>
        <v>11</v>
      </c>
      <c r="CX146" s="13" t="s">
        <v>422</v>
      </c>
    </row>
    <row r="147" spans="1:102" x14ac:dyDescent="0.25">
      <c r="A147" s="31" t="s">
        <v>150</v>
      </c>
      <c r="B147" s="13">
        <v>936</v>
      </c>
      <c r="C147" s="13">
        <v>103</v>
      </c>
      <c r="D147" s="13">
        <v>25</v>
      </c>
      <c r="E147" s="32" t="s">
        <v>0</v>
      </c>
      <c r="F147" s="32"/>
      <c r="G147" s="32">
        <v>1</v>
      </c>
      <c r="H147" s="32"/>
      <c r="I147" s="32" t="s">
        <v>2</v>
      </c>
      <c r="J147" s="13"/>
      <c r="K147" s="33"/>
      <c r="L147" s="34">
        <f>IFERROR(INDEX('Pokemon Data'!A:A,MATCH($A147,'Pokemon Data'!$B:$B,0)),"")</f>
        <v>111</v>
      </c>
      <c r="M147" s="34">
        <f>IFERROR(INDEX('Pokemon Data'!I:I,MATCH($A147,'Pokemon Data'!$B:$B,0)),"")</f>
        <v>160</v>
      </c>
      <c r="N147" s="34">
        <f>IFERROR(INDEX('Pokemon Data'!J:J,MATCH($A147,'Pokemon Data'!$B:$B,0)),"")</f>
        <v>140</v>
      </c>
      <c r="O147" s="34">
        <f>IFERROR(INDEX('Pokemon Data'!K:K,MATCH($A147,'Pokemon Data'!$B:$B,0)),"")</f>
        <v>157</v>
      </c>
      <c r="P147" s="35">
        <f>IFERROR(INDEX('Level Multipliers'!$A:$A,MATCH($D147,'Level Multipliers'!$B:$B,0)),"")</f>
        <v>19</v>
      </c>
      <c r="Q147" s="36">
        <f>IFERROR(INDEX('Level Multipliers'!$D:$D,MATCH(P147,'Level Multipliers'!$A:$A,0)),"")</f>
        <v>1.7173900470456649</v>
      </c>
      <c r="R147" s="37">
        <f t="shared" si="74"/>
        <v>17</v>
      </c>
      <c r="S147" s="37">
        <f t="shared" si="75"/>
        <v>15</v>
      </c>
      <c r="T147" s="38">
        <f t="shared" si="76"/>
        <v>762127204.26812422</v>
      </c>
      <c r="U147" s="38">
        <f t="shared" si="77"/>
        <v>763756551.11321223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19.5</v>
      </c>
      <c r="AI147" s="36">
        <f>IFERROR(INDEX('Level Multipliers'!$D:$D,MATCH(AH147,'Level Multipliers'!$A:$A,0)),"")</f>
        <v>1.6952373266621776</v>
      </c>
      <c r="AJ147" s="37">
        <f t="shared" si="80"/>
        <v>15</v>
      </c>
      <c r="AK147" s="37">
        <f t="shared" si="81"/>
        <v>15</v>
      </c>
      <c r="AL147" s="38">
        <f t="shared" si="82"/>
        <v>723558621.75674665</v>
      </c>
      <c r="AM147" s="38">
        <f t="shared" si="83"/>
        <v>725105513.07750416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20</v>
      </c>
      <c r="BA147" s="36">
        <f>IFERROR(INDEX('Level Multipliers'!$D:$D,MATCH(AZ147,'Level Multipliers'!$A:$A,0)),"")</f>
        <v>1.6739202944034379</v>
      </c>
      <c r="BB147" s="37">
        <f t="shared" si="86"/>
        <v>13</v>
      </c>
      <c r="BC147" s="37">
        <f t="shared" si="87"/>
        <v>14</v>
      </c>
      <c r="BD147" s="38">
        <f t="shared" si="88"/>
        <v>687845335.27778637</v>
      </c>
      <c r="BE147" s="38">
        <f t="shared" si="89"/>
        <v>689315875.39322495</v>
      </c>
      <c r="BF147" s="38" t="b">
        <f t="shared" si="90"/>
        <v>0</v>
      </c>
      <c r="BG147" s="37">
        <f t="array" ref="BG147:BQ147">IF(BF147,"",IVSolution($M147,$N147,$O147,BB147,BC147,BD147,BE147,$E147,$F147,$G147,$H147,$I147))</f>
        <v>1</v>
      </c>
      <c r="BH147" s="37">
        <v>38</v>
      </c>
      <c r="BI147" s="37">
        <v>38</v>
      </c>
      <c r="BJ147" s="39">
        <v>0.84444444444444444</v>
      </c>
      <c r="BK147" s="39">
        <v>0.84444444444444444</v>
      </c>
      <c r="BL147" s="37">
        <v>13</v>
      </c>
      <c r="BM147" s="37">
        <v>13</v>
      </c>
      <c r="BN147" s="37">
        <v>14</v>
      </c>
      <c r="BO147" s="37">
        <v>14</v>
      </c>
      <c r="BP147" s="37">
        <v>11</v>
      </c>
      <c r="BQ147" s="37">
        <v>11</v>
      </c>
      <c r="BR147" s="40">
        <f t="shared" si="91"/>
        <v>20.5</v>
      </c>
      <c r="BS147" s="36">
        <f>IFERROR(INDEX('Level Multipliers'!$D:$D,MATCH(BR147,'Level Multipliers'!$A:$A,0)),"")</f>
        <v>1.6533745038028393</v>
      </c>
      <c r="BT147" s="37">
        <f t="shared" si="92"/>
        <v>11</v>
      </c>
      <c r="BU147" s="37">
        <f t="shared" si="93"/>
        <v>11</v>
      </c>
      <c r="BV147" s="38">
        <f t="shared" si="94"/>
        <v>654691409.43736565</v>
      </c>
      <c r="BW147" s="38">
        <f t="shared" si="95"/>
        <v>656091069.98812282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7"/>
        <v>20</v>
      </c>
      <c r="CK147" s="41">
        <f t="shared" si="98"/>
        <v>20</v>
      </c>
      <c r="CL147" s="66">
        <f t="shared" si="99"/>
        <v>0.84444444444444444</v>
      </c>
      <c r="CM147" s="39">
        <f t="shared" si="100"/>
        <v>0.84444444444444444</v>
      </c>
      <c r="CN147" s="39">
        <f t="shared" si="101"/>
        <v>0.84444444444444444</v>
      </c>
      <c r="CO147" s="42">
        <f t="shared" si="102"/>
        <v>13</v>
      </c>
      <c r="CP147" s="42">
        <f t="shared" si="103"/>
        <v>13</v>
      </c>
      <c r="CQ147" s="42">
        <f t="shared" si="104"/>
        <v>14</v>
      </c>
      <c r="CR147" s="42">
        <f t="shared" si="105"/>
        <v>14</v>
      </c>
      <c r="CS147" s="42">
        <f t="shared" si="106"/>
        <v>11</v>
      </c>
      <c r="CT147" s="42">
        <f t="shared" si="107"/>
        <v>11</v>
      </c>
      <c r="CU147" s="43">
        <f t="shared" si="108"/>
        <v>13</v>
      </c>
      <c r="CV147" s="43">
        <f t="shared" si="109"/>
        <v>14</v>
      </c>
      <c r="CW147" s="43">
        <f t="shared" si="110"/>
        <v>11</v>
      </c>
      <c r="CX147" s="13"/>
    </row>
    <row r="148" spans="1:102" x14ac:dyDescent="0.25">
      <c r="A148" s="31" t="s">
        <v>151</v>
      </c>
      <c r="B148" s="13">
        <v>1628</v>
      </c>
      <c r="C148" s="13">
        <v>122</v>
      </c>
      <c r="D148" s="13">
        <v>25</v>
      </c>
      <c r="E148" s="32" t="s">
        <v>1</v>
      </c>
      <c r="F148" s="32"/>
      <c r="G148" s="32">
        <v>1</v>
      </c>
      <c r="H148" s="32"/>
      <c r="I148" s="32" t="s">
        <v>3</v>
      </c>
      <c r="J148" s="13"/>
      <c r="K148" s="33"/>
      <c r="L148" s="34">
        <f>IFERROR(INDEX('Pokemon Data'!A:A,MATCH($A148,'Pokemon Data'!$B:$B,0)),"")</f>
        <v>112</v>
      </c>
      <c r="M148" s="34">
        <f>IFERROR(INDEX('Pokemon Data'!I:I,MATCH($A148,'Pokemon Data'!$B:$B,0)),"")</f>
        <v>210</v>
      </c>
      <c r="N148" s="34">
        <f>IFERROR(INDEX('Pokemon Data'!J:J,MATCH($A148,'Pokemon Data'!$B:$B,0)),"")</f>
        <v>222</v>
      </c>
      <c r="O148" s="34">
        <f>IFERROR(INDEX('Pokemon Data'!K:K,MATCH($A148,'Pokemon Data'!$B:$B,0)),"")</f>
        <v>206</v>
      </c>
      <c r="P148" s="35">
        <f>IFERROR(INDEX('Level Multipliers'!$A:$A,MATCH($D148,'Level Multipliers'!$B:$B,0)),"")</f>
        <v>19</v>
      </c>
      <c r="Q148" s="36">
        <f>IFERROR(INDEX('Level Multipliers'!$D:$D,MATCH(P148,'Level Multipliers'!$A:$A,0)),"")</f>
        <v>1.7173900470456649</v>
      </c>
      <c r="R148" s="37">
        <f t="shared" si="74"/>
        <v>0</v>
      </c>
      <c r="S148" s="37">
        <f t="shared" si="75"/>
        <v>1</v>
      </c>
      <c r="T148" s="38">
        <f t="shared" si="76"/>
        <v>2305603208.0467987</v>
      </c>
      <c r="U148" s="38">
        <f t="shared" si="77"/>
        <v>2308436514.3332119</v>
      </c>
      <c r="V148" s="38" t="b">
        <f t="shared" si="78"/>
        <v>0</v>
      </c>
      <c r="W148" s="37">
        <f t="array" ref="W148:AG148">IF(V148,"",IVSolution($M148,$N148,$O148,R148,S148,T148,U148,$E148,$F148,$G148,$H148,$I148))</f>
        <v>1</v>
      </c>
      <c r="X148" s="37">
        <v>9</v>
      </c>
      <c r="Y148" s="37">
        <v>9</v>
      </c>
      <c r="Z148" s="39">
        <v>0.2</v>
      </c>
      <c r="AA148" s="39">
        <v>0.2</v>
      </c>
      <c r="AB148" s="37">
        <v>0</v>
      </c>
      <c r="AC148" s="37">
        <v>0</v>
      </c>
      <c r="AD148" s="37">
        <v>9</v>
      </c>
      <c r="AE148" s="37">
        <v>9</v>
      </c>
      <c r="AF148" s="37">
        <v>0</v>
      </c>
      <c r="AG148" s="37">
        <v>0</v>
      </c>
      <c r="AH148" s="40">
        <f t="shared" si="79"/>
        <v>19.5</v>
      </c>
      <c r="AI148" s="36">
        <f>IFERROR(INDEX('Level Multipliers'!$D:$D,MATCH(AH148,'Level Multipliers'!$A:$A,0)),"")</f>
        <v>1.6952373266621776</v>
      </c>
      <c r="AJ148" s="37">
        <f t="shared" si="80"/>
        <v>0</v>
      </c>
      <c r="AK148" s="37">
        <f t="shared" si="81"/>
        <v>-2</v>
      </c>
      <c r="AL148" s="38">
        <f t="shared" si="82"/>
        <v>2188924723.0510507</v>
      </c>
      <c r="AM148" s="38">
        <f t="shared" si="83"/>
        <v>2191614645.6520691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20</v>
      </c>
      <c r="BA148" s="36">
        <f>IFERROR(INDEX('Level Multipliers'!$D:$D,MATCH(AZ148,'Level Multipliers'!$A:$A,0)),"")</f>
        <v>1.6739202944034379</v>
      </c>
      <c r="BB148" s="37">
        <f t="shared" si="86"/>
        <v>0</v>
      </c>
      <c r="BC148" s="37">
        <f t="shared" si="87"/>
        <v>-5</v>
      </c>
      <c r="BD148" s="38">
        <f t="shared" si="88"/>
        <v>2080884139.517679</v>
      </c>
      <c r="BE148" s="38">
        <f t="shared" si="89"/>
        <v>2083441293.3649738</v>
      </c>
      <c r="BF148" s="38" t="b">
        <f t="shared" si="90"/>
        <v>1</v>
      </c>
      <c r="BG148" s="37" t="str">
        <f t="array" ref="BG148:BQ148">IF(BF148,"",IVSolution($M148,$N148,$O148,BB148,BC148,BD148,BE148,$E148,$F148,$G148,$H148,$I148))</f>
        <v/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91"/>
        <v>20.5</v>
      </c>
      <c r="BS148" s="36">
        <f>IFERROR(INDEX('Level Multipliers'!$D:$D,MATCH(BR148,'Level Multipliers'!$A:$A,0)),"")</f>
        <v>1.6533745038028393</v>
      </c>
      <c r="BT148" s="37">
        <f t="shared" si="92"/>
        <v>0</v>
      </c>
      <c r="BU148" s="37">
        <f t="shared" si="93"/>
        <v>-7</v>
      </c>
      <c r="BV148" s="38">
        <f t="shared" si="94"/>
        <v>1980586187.4842973</v>
      </c>
      <c r="BW148" s="38">
        <f t="shared" si="95"/>
        <v>1983020087.3315029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7"/>
        <v>19</v>
      </c>
      <c r="CK148" s="41">
        <f t="shared" si="98"/>
        <v>19</v>
      </c>
      <c r="CL148" s="66">
        <f t="shared" si="99"/>
        <v>0.2</v>
      </c>
      <c r="CM148" s="39">
        <f t="shared" si="100"/>
        <v>0.2</v>
      </c>
      <c r="CN148" s="39">
        <f t="shared" si="101"/>
        <v>0.2</v>
      </c>
      <c r="CO148" s="42">
        <f t="shared" si="102"/>
        <v>0</v>
      </c>
      <c r="CP148" s="42">
        <f t="shared" si="103"/>
        <v>0</v>
      </c>
      <c r="CQ148" s="42">
        <f t="shared" si="104"/>
        <v>9</v>
      </c>
      <c r="CR148" s="42">
        <f t="shared" si="105"/>
        <v>9</v>
      </c>
      <c r="CS148" s="42">
        <f t="shared" si="106"/>
        <v>0</v>
      </c>
      <c r="CT148" s="42">
        <f t="shared" si="107"/>
        <v>0</v>
      </c>
      <c r="CU148" s="43">
        <f t="shared" si="108"/>
        <v>0</v>
      </c>
      <c r="CV148" s="43">
        <f t="shared" si="109"/>
        <v>9</v>
      </c>
      <c r="CW148" s="43">
        <f t="shared" si="110"/>
        <v>0</v>
      </c>
      <c r="CX148" s="13" t="s">
        <v>422</v>
      </c>
    </row>
    <row r="149" spans="1:102" x14ac:dyDescent="0.25">
      <c r="A149" s="31" t="s">
        <v>152</v>
      </c>
      <c r="B149" s="13">
        <v>778</v>
      </c>
      <c r="C149" s="13">
        <v>305</v>
      </c>
      <c r="D149" s="13">
        <v>25</v>
      </c>
      <c r="E149" s="32" t="s">
        <v>2</v>
      </c>
      <c r="F149" s="32"/>
      <c r="G149" s="32"/>
      <c r="H149" s="32">
        <v>1</v>
      </c>
      <c r="I149" s="32" t="s">
        <v>2</v>
      </c>
      <c r="J149" s="13"/>
      <c r="K149" s="33"/>
      <c r="L149" s="34">
        <f>IFERROR(INDEX('Pokemon Data'!A:A,MATCH($A149,'Pokemon Data'!$B:$B,0)),"")</f>
        <v>113</v>
      </c>
      <c r="M149" s="34">
        <f>IFERROR(INDEX('Pokemon Data'!I:I,MATCH($A149,'Pokemon Data'!$B:$B,0)),"")</f>
        <v>500</v>
      </c>
      <c r="N149" s="34">
        <f>IFERROR(INDEX('Pokemon Data'!J:J,MATCH($A149,'Pokemon Data'!$B:$B,0)),"")</f>
        <v>60</v>
      </c>
      <c r="O149" s="34">
        <f>IFERROR(INDEX('Pokemon Data'!K:K,MATCH($A149,'Pokemon Data'!$B:$B,0)),"")</f>
        <v>176</v>
      </c>
      <c r="P149" s="35">
        <f>IFERROR(INDEX('Level Multipliers'!$A:$A,MATCH($D149,'Level Multipliers'!$B:$B,0)),"")</f>
        <v>19</v>
      </c>
      <c r="Q149" s="36">
        <f>IFERROR(INDEX('Level Multipliers'!$D:$D,MATCH(P149,'Level Multipliers'!$A:$A,0)),"")</f>
        <v>1.7173900470456649</v>
      </c>
      <c r="R149" s="37">
        <f t="shared" si="74"/>
        <v>24</v>
      </c>
      <c r="S149" s="37">
        <f t="shared" si="75"/>
        <v>15</v>
      </c>
      <c r="T149" s="38">
        <f t="shared" si="76"/>
        <v>526544354.39521158</v>
      </c>
      <c r="U149" s="38">
        <f t="shared" si="77"/>
        <v>527898808.76670223</v>
      </c>
      <c r="V149" s="38" t="b">
        <f t="shared" si="78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9"/>
        <v>19.5</v>
      </c>
      <c r="AI149" s="36">
        <f>IFERROR(INDEX('Level Multipliers'!$D:$D,MATCH(AH149,'Level Multipliers'!$A:$A,0)),"")</f>
        <v>1.6952373266621776</v>
      </c>
      <c r="AJ149" s="37">
        <f t="shared" si="80"/>
        <v>18</v>
      </c>
      <c r="AK149" s="37">
        <f t="shared" si="81"/>
        <v>15</v>
      </c>
      <c r="AL149" s="38">
        <f t="shared" si="82"/>
        <v>499897792.9489584</v>
      </c>
      <c r="AM149" s="38">
        <f t="shared" si="83"/>
        <v>501183703.13925171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20</v>
      </c>
      <c r="BA149" s="36">
        <f>IFERROR(INDEX('Level Multipliers'!$D:$D,MATCH(AZ149,'Level Multipliers'!$A:$A,0)),"")</f>
        <v>1.6739202944034379</v>
      </c>
      <c r="BB149" s="37">
        <f t="shared" si="86"/>
        <v>11</v>
      </c>
      <c r="BC149" s="37">
        <f t="shared" si="87"/>
        <v>12</v>
      </c>
      <c r="BD149" s="38">
        <f t="shared" si="88"/>
        <v>475223920.57295048</v>
      </c>
      <c r="BE149" s="38">
        <f t="shared" si="89"/>
        <v>476446361.02128893</v>
      </c>
      <c r="BF149" s="38" t="b">
        <f t="shared" si="90"/>
        <v>0</v>
      </c>
      <c r="BG149" s="37">
        <f t="array" ref="BG149:BQ149">IF(BF149,"",IVSolution($M149,$N149,$O149,BB149,BC149,BD149,BE149,$E149,$F149,$G149,$H149,$I149))</f>
        <v>1</v>
      </c>
      <c r="BH149" s="37">
        <v>35</v>
      </c>
      <c r="BI149" s="37">
        <v>35</v>
      </c>
      <c r="BJ149" s="39">
        <v>0.77777777777777779</v>
      </c>
      <c r="BK149" s="39">
        <v>0.77777777777777779</v>
      </c>
      <c r="BL149" s="37">
        <v>11</v>
      </c>
      <c r="BM149" s="37">
        <v>11</v>
      </c>
      <c r="BN149" s="37">
        <v>10</v>
      </c>
      <c r="BO149" s="37">
        <v>10</v>
      </c>
      <c r="BP149" s="37">
        <v>14</v>
      </c>
      <c r="BQ149" s="37">
        <v>14</v>
      </c>
      <c r="BR149" s="40">
        <f t="shared" si="91"/>
        <v>20.5</v>
      </c>
      <c r="BS149" s="36">
        <f>IFERROR(INDEX('Level Multipliers'!$D:$D,MATCH(BR149,'Level Multipliers'!$A:$A,0)),"")</f>
        <v>1.6533745038028393</v>
      </c>
      <c r="BT149" s="37">
        <f t="shared" si="92"/>
        <v>5</v>
      </c>
      <c r="BU149" s="37">
        <f t="shared" si="93"/>
        <v>5</v>
      </c>
      <c r="BV149" s="38">
        <f t="shared" si="94"/>
        <v>452318279.12681532</v>
      </c>
      <c r="BW149" s="38">
        <f t="shared" si="95"/>
        <v>453481798.33531988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7"/>
        <v>20</v>
      </c>
      <c r="CK149" s="41">
        <f t="shared" si="98"/>
        <v>20</v>
      </c>
      <c r="CL149" s="66">
        <f t="shared" si="99"/>
        <v>0.77777777777777779</v>
      </c>
      <c r="CM149" s="39">
        <f t="shared" si="100"/>
        <v>0.77777777777777779</v>
      </c>
      <c r="CN149" s="39">
        <f t="shared" si="101"/>
        <v>0.77777777777777779</v>
      </c>
      <c r="CO149" s="42">
        <f t="shared" si="102"/>
        <v>11</v>
      </c>
      <c r="CP149" s="42">
        <f t="shared" si="103"/>
        <v>11</v>
      </c>
      <c r="CQ149" s="42">
        <f t="shared" si="104"/>
        <v>10</v>
      </c>
      <c r="CR149" s="42">
        <f t="shared" si="105"/>
        <v>10</v>
      </c>
      <c r="CS149" s="42">
        <f t="shared" si="106"/>
        <v>14</v>
      </c>
      <c r="CT149" s="42">
        <f t="shared" si="107"/>
        <v>14</v>
      </c>
      <c r="CU149" s="43">
        <f t="shared" si="108"/>
        <v>11</v>
      </c>
      <c r="CV149" s="43">
        <f t="shared" si="109"/>
        <v>10</v>
      </c>
      <c r="CW149" s="43">
        <f t="shared" si="110"/>
        <v>14</v>
      </c>
      <c r="CX149" s="13"/>
    </row>
    <row r="150" spans="1:102" x14ac:dyDescent="0.25">
      <c r="A150" s="31" t="s">
        <v>154</v>
      </c>
      <c r="B150" s="13">
        <v>1244</v>
      </c>
      <c r="C150" s="13">
        <v>86</v>
      </c>
      <c r="D150" s="13">
        <v>25</v>
      </c>
      <c r="E150" s="32" t="s">
        <v>0</v>
      </c>
      <c r="F150" s="32">
        <v>1</v>
      </c>
      <c r="G150" s="32"/>
      <c r="H150" s="32"/>
      <c r="I150" s="32" t="s">
        <v>0</v>
      </c>
      <c r="J150" s="13"/>
      <c r="K150" s="33"/>
      <c r="L150" s="34">
        <f>IFERROR(INDEX('Pokemon Data'!A:A,MATCH($A150,'Pokemon Data'!$B:$B,0)),"")</f>
        <v>114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183</v>
      </c>
      <c r="O150" s="34">
        <f>IFERROR(INDEX('Pokemon Data'!K:K,MATCH($A150,'Pokemon Data'!$B:$B,0)),"")</f>
        <v>205</v>
      </c>
      <c r="P150" s="35">
        <f>IFERROR(INDEX('Level Multipliers'!$A:$A,MATCH($D150,'Level Multipliers'!$B:$B,0)),"")</f>
        <v>19</v>
      </c>
      <c r="Q150" s="36">
        <f>IFERROR(INDEX('Level Multipliers'!$D:$D,MATCH(P150,'Level Multipliers'!$A:$A,0)),"")</f>
        <v>1.7173900470456649</v>
      </c>
      <c r="R150" s="37">
        <f t="shared" si="74"/>
        <v>18</v>
      </c>
      <c r="S150" s="37">
        <f t="shared" si="75"/>
        <v>15</v>
      </c>
      <c r="T150" s="38">
        <f t="shared" si="76"/>
        <v>1346221515.8889847</v>
      </c>
      <c r="U150" s="38">
        <f t="shared" si="77"/>
        <v>1348386729.0750091</v>
      </c>
      <c r="V150" s="38" t="b">
        <f t="shared" si="78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9"/>
        <v>19.5</v>
      </c>
      <c r="AI150" s="36">
        <f>IFERROR(INDEX('Level Multipliers'!$D:$D,MATCH(AH150,'Level Multipliers'!$A:$A,0)),"")</f>
        <v>1.6952373266621776</v>
      </c>
      <c r="AJ150" s="37">
        <f t="shared" si="80"/>
        <v>16</v>
      </c>
      <c r="AK150" s="37">
        <f t="shared" si="81"/>
        <v>15</v>
      </c>
      <c r="AL150" s="38">
        <f t="shared" si="82"/>
        <v>1278093970.6138923</v>
      </c>
      <c r="AM150" s="38">
        <f t="shared" si="83"/>
        <v>1280149609.9611244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20</v>
      </c>
      <c r="BA150" s="36">
        <f>IFERROR(INDEX('Level Multipliers'!$D:$D,MATCH(AZ150,'Level Multipliers'!$A:$A,0)),"")</f>
        <v>1.6739202944034379</v>
      </c>
      <c r="BB150" s="37">
        <f t="shared" si="86"/>
        <v>14</v>
      </c>
      <c r="BC150" s="37">
        <f t="shared" si="87"/>
        <v>15</v>
      </c>
      <c r="BD150" s="38">
        <f t="shared" si="88"/>
        <v>1215010020.3338952</v>
      </c>
      <c r="BE150" s="38">
        <f t="shared" si="89"/>
        <v>1216964197.7750735</v>
      </c>
      <c r="BF150" s="38" t="b">
        <f t="shared" si="90"/>
        <v>0</v>
      </c>
      <c r="BG150" s="37">
        <f t="array" ref="BG150:BQ150">IF(BF150,"",IVSolution($M150,$N150,$O150,BB150,BC150,BD150,BE150,$E150,$F150,$G150,$H150,$I150))</f>
        <v>1</v>
      </c>
      <c r="BH150" s="37">
        <v>40</v>
      </c>
      <c r="BI150" s="37">
        <v>40</v>
      </c>
      <c r="BJ150" s="39">
        <v>0.88888888888888884</v>
      </c>
      <c r="BK150" s="39">
        <v>0.88888888888888884</v>
      </c>
      <c r="BL150" s="37">
        <v>15</v>
      </c>
      <c r="BM150" s="37">
        <v>15</v>
      </c>
      <c r="BN150" s="37">
        <v>14</v>
      </c>
      <c r="BO150" s="37">
        <v>14</v>
      </c>
      <c r="BP150" s="37">
        <v>11</v>
      </c>
      <c r="BQ150" s="37">
        <v>11</v>
      </c>
      <c r="BR150" s="40">
        <f t="shared" si="91"/>
        <v>20.5</v>
      </c>
      <c r="BS150" s="36">
        <f>IFERROR(INDEX('Level Multipliers'!$D:$D,MATCH(BR150,'Level Multipliers'!$A:$A,0)),"")</f>
        <v>1.6533745038028393</v>
      </c>
      <c r="BT150" s="37">
        <f t="shared" si="92"/>
        <v>13</v>
      </c>
      <c r="BU150" s="37">
        <f t="shared" si="93"/>
        <v>13</v>
      </c>
      <c r="BV150" s="38">
        <f t="shared" si="94"/>
        <v>1156446924.7606006</v>
      </c>
      <c r="BW150" s="38">
        <f t="shared" si="95"/>
        <v>1158306911.4722047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7"/>
        <v>20</v>
      </c>
      <c r="CK150" s="41">
        <f t="shared" si="98"/>
        <v>20</v>
      </c>
      <c r="CL150" s="66">
        <f t="shared" si="99"/>
        <v>0.88888888888888884</v>
      </c>
      <c r="CM150" s="39">
        <f t="shared" si="100"/>
        <v>0.88888888888888884</v>
      </c>
      <c r="CN150" s="39">
        <f t="shared" si="101"/>
        <v>0.88888888888888884</v>
      </c>
      <c r="CO150" s="42">
        <f t="shared" si="102"/>
        <v>15</v>
      </c>
      <c r="CP150" s="42">
        <f t="shared" si="103"/>
        <v>15</v>
      </c>
      <c r="CQ150" s="42">
        <f t="shared" si="104"/>
        <v>14</v>
      </c>
      <c r="CR150" s="42">
        <f t="shared" si="105"/>
        <v>14</v>
      </c>
      <c r="CS150" s="42">
        <f t="shared" si="106"/>
        <v>11</v>
      </c>
      <c r="CT150" s="42">
        <f t="shared" si="107"/>
        <v>11</v>
      </c>
      <c r="CU150" s="43">
        <f t="shared" si="108"/>
        <v>15</v>
      </c>
      <c r="CV150" s="43">
        <f t="shared" si="109"/>
        <v>14</v>
      </c>
      <c r="CW150" s="43">
        <f t="shared" si="110"/>
        <v>11</v>
      </c>
      <c r="CX150" s="13" t="s">
        <v>425</v>
      </c>
    </row>
    <row r="151" spans="1:102" x14ac:dyDescent="0.25">
      <c r="A151" s="31" t="s">
        <v>156</v>
      </c>
      <c r="B151" s="13">
        <v>222</v>
      </c>
      <c r="C151" s="13">
        <v>27</v>
      </c>
      <c r="D151" s="13">
        <v>10</v>
      </c>
      <c r="E151" s="32" t="s">
        <v>0</v>
      </c>
      <c r="F151" s="32"/>
      <c r="G151" s="32"/>
      <c r="H151" s="32">
        <v>1</v>
      </c>
      <c r="I151" s="32" t="s">
        <v>0</v>
      </c>
      <c r="J151" s="13"/>
      <c r="K151" s="33">
        <v>9</v>
      </c>
      <c r="L151" s="34">
        <f>IFERROR(INDEX('Pokemon Data'!A:A,MATCH($A151,'Pokemon Data'!$B:$B,0)),"")</f>
        <v>116</v>
      </c>
      <c r="M151" s="34">
        <f>IFERROR(INDEX('Pokemon Data'!I:I,MATCH($A151,'Pokemon Data'!$B:$B,0)),"")</f>
        <v>60</v>
      </c>
      <c r="N151" s="34">
        <f>IFERROR(INDEX('Pokemon Data'!J:J,MATCH($A151,'Pokemon Data'!$B:$B,0)),"")</f>
        <v>129</v>
      </c>
      <c r="O151" s="34">
        <f>IFERROR(INDEX('Pokemon Data'!K:K,MATCH($A151,'Pokemon Data'!$B:$B,0)),"")</f>
        <v>125</v>
      </c>
      <c r="P151" s="35">
        <f>IFERROR(INDEX('Level Multipliers'!$A:$A,MATCH($D151,'Level Multipliers'!$B:$B,0)),"")</f>
        <v>9</v>
      </c>
      <c r="Q151" s="36">
        <f>IFERROR(INDEX('Level Multipliers'!$D:$D,MATCH(P151,'Level Multipliers'!$A:$A,0)),"")</f>
        <v>2.5027074524512973</v>
      </c>
      <c r="R151" s="37">
        <f t="shared" si="74"/>
        <v>8</v>
      </c>
      <c r="S151" s="37">
        <f t="shared" si="75"/>
        <v>10</v>
      </c>
      <c r="T151" s="38">
        <f t="shared" si="76"/>
        <v>193350943.76885572</v>
      </c>
      <c r="U151" s="38">
        <f t="shared" si="77"/>
        <v>195096767.36225602</v>
      </c>
      <c r="V151" s="38" t="b">
        <f t="shared" si="78"/>
        <v>0</v>
      </c>
      <c r="W151" s="37">
        <f t="array" ref="W151:AG151">IF(V151,"",IVSolution($M151,$N151,$O151,R151,S151,T151,U151,$E151,$F151,$G151,$H151,$I151))</f>
        <v>3</v>
      </c>
      <c r="X151" s="37">
        <v>37</v>
      </c>
      <c r="Y151" s="37">
        <v>37</v>
      </c>
      <c r="Z151" s="39">
        <v>0.82222222222222219</v>
      </c>
      <c r="AA151" s="39">
        <v>0.82222222222222219</v>
      </c>
      <c r="AB151" s="37">
        <v>8</v>
      </c>
      <c r="AC151" s="37">
        <v>10</v>
      </c>
      <c r="AD151" s="37">
        <v>12</v>
      </c>
      <c r="AE151" s="37">
        <v>14</v>
      </c>
      <c r="AF151" s="37">
        <v>15</v>
      </c>
      <c r="AG151" s="37">
        <v>15</v>
      </c>
      <c r="AH151" s="40">
        <f t="shared" si="79"/>
        <v>9.5</v>
      </c>
      <c r="AI151" s="36">
        <f>IFERROR(INDEX('Level Multipliers'!$D:$D,MATCH(AH151,'Level Multipliers'!$A:$A,0)),"")</f>
        <v>2.4319447427583007</v>
      </c>
      <c r="AJ151" s="37">
        <f t="shared" si="80"/>
        <v>6</v>
      </c>
      <c r="AK151" s="37">
        <f t="shared" si="81"/>
        <v>8</v>
      </c>
      <c r="AL151" s="38">
        <f t="shared" si="82"/>
        <v>172393449.83828667</v>
      </c>
      <c r="AM151" s="38">
        <f t="shared" si="83"/>
        <v>173950041.94075474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10</v>
      </c>
      <c r="BA151" s="36">
        <f>IFERROR(INDEX('Level Multipliers'!$D:$D,MATCH(AZ151,'Level Multipliers'!$A:$A,0)),"")</f>
        <v>2.366863825187552</v>
      </c>
      <c r="BB151" s="37">
        <f t="shared" si="86"/>
        <v>4</v>
      </c>
      <c r="BC151" s="37">
        <f t="shared" si="87"/>
        <v>6</v>
      </c>
      <c r="BD151" s="38">
        <f t="shared" si="88"/>
        <v>154667489.73012561</v>
      </c>
      <c r="BE151" s="38">
        <f t="shared" si="89"/>
        <v>156064028.82861409</v>
      </c>
      <c r="BF151" s="38" t="b">
        <f t="shared" si="90"/>
        <v>1</v>
      </c>
      <c r="BG151" s="37" t="str">
        <f t="array" ref="BG151:BQ151">IF(BF151,"",IVSolution($M151,$N151,$O151,BB151,BC151,BD151,BE151,$E151,$F151,$G151,$H151,$I151))</f>
        <v/>
      </c>
      <c r="BH151" s="37" t="str">
        <v/>
      </c>
      <c r="BI151" s="37" t="str">
        <v/>
      </c>
      <c r="BJ151" s="39" t="str">
        <v/>
      </c>
      <c r="BK151" s="39" t="str">
        <v/>
      </c>
      <c r="BL151" s="37" t="str">
        <v/>
      </c>
      <c r="BM151" s="37" t="str">
        <v/>
      </c>
      <c r="BN151" s="37" t="str">
        <v/>
      </c>
      <c r="BO151" s="37" t="str">
        <v/>
      </c>
      <c r="BP151" s="37" t="str">
        <v/>
      </c>
      <c r="BQ151" s="37" t="str">
        <v/>
      </c>
      <c r="BR151" s="40">
        <f t="shared" si="91"/>
        <v>10.5</v>
      </c>
      <c r="BS151" s="36">
        <f>IFERROR(INDEX('Level Multipliers'!$D:$D,MATCH(BR151,'Level Multipliers'!$A:$A,0)),"")</f>
        <v>2.3098613358274029</v>
      </c>
      <c r="BT151" s="37">
        <f t="shared" si="92"/>
        <v>3</v>
      </c>
      <c r="BU151" s="37">
        <f t="shared" si="93"/>
        <v>4</v>
      </c>
      <c r="BV151" s="38">
        <f t="shared" si="94"/>
        <v>140297388.26494992</v>
      </c>
      <c r="BW151" s="38">
        <f t="shared" si="95"/>
        <v>141564175.4124603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7"/>
        <v>9</v>
      </c>
      <c r="CK151" s="41">
        <f t="shared" si="98"/>
        <v>9</v>
      </c>
      <c r="CL151" s="66">
        <f t="shared" si="99"/>
        <v>0.82222222222222219</v>
      </c>
      <c r="CM151" s="39">
        <f t="shared" si="100"/>
        <v>0.82222222222222219</v>
      </c>
      <c r="CN151" s="39">
        <f t="shared" si="101"/>
        <v>0.82222222222222219</v>
      </c>
      <c r="CO151" s="42">
        <f t="shared" si="102"/>
        <v>8</v>
      </c>
      <c r="CP151" s="42">
        <f t="shared" si="103"/>
        <v>10</v>
      </c>
      <c r="CQ151" s="42">
        <f t="shared" si="104"/>
        <v>12</v>
      </c>
      <c r="CR151" s="42">
        <f t="shared" si="105"/>
        <v>14</v>
      </c>
      <c r="CS151" s="42">
        <f t="shared" si="106"/>
        <v>15</v>
      </c>
      <c r="CT151" s="42">
        <f t="shared" si="107"/>
        <v>15</v>
      </c>
      <c r="CU151" s="43" t="str">
        <f t="shared" si="108"/>
        <v>8-10</v>
      </c>
      <c r="CV151" s="43" t="str">
        <f t="shared" si="109"/>
        <v>12-14</v>
      </c>
      <c r="CW151" s="43">
        <f t="shared" si="110"/>
        <v>15</v>
      </c>
      <c r="CX151" s="13" t="s">
        <v>396</v>
      </c>
    </row>
    <row r="152" spans="1:102" x14ac:dyDescent="0.25">
      <c r="A152" s="31" t="s">
        <v>157</v>
      </c>
      <c r="B152" s="13">
        <v>1521</v>
      </c>
      <c r="C152" s="13">
        <v>88</v>
      </c>
      <c r="D152" s="13">
        <v>45</v>
      </c>
      <c r="E152" s="32" t="s">
        <v>2</v>
      </c>
      <c r="F152" s="32">
        <v>1</v>
      </c>
      <c r="G152" s="32"/>
      <c r="H152" s="32"/>
      <c r="I152" s="32" t="s">
        <v>0</v>
      </c>
      <c r="J152" s="13"/>
      <c r="K152" s="33"/>
      <c r="L152" s="34">
        <f>IFERROR(INDEX('Pokemon Data'!A:A,MATCH($A152,'Pokemon Data'!$B:$B,0)),"")</f>
        <v>117</v>
      </c>
      <c r="M152" s="34">
        <f>IFERROR(INDEX('Pokemon Data'!I:I,MATCH($A152,'Pokemon Data'!$B:$B,0)),"")</f>
        <v>110</v>
      </c>
      <c r="N152" s="34">
        <f>IFERROR(INDEX('Pokemon Data'!J:J,MATCH($A152,'Pokemon Data'!$B:$B,0)),"")</f>
        <v>187</v>
      </c>
      <c r="O152" s="34">
        <f>IFERROR(INDEX('Pokemon Data'!K:K,MATCH($A152,'Pokemon Data'!$B:$B,0)),"")</f>
        <v>182</v>
      </c>
      <c r="P152" s="35">
        <f>IFERROR(INDEX('Level Multipliers'!$A:$A,MATCH($D152,'Level Multipliers'!$B:$B,0)),"")</f>
        <v>27</v>
      </c>
      <c r="Q152" s="36">
        <f>IFERROR(INDEX('Level Multipliers'!$D:$D,MATCH(P152,'Level Multipliers'!$A:$A,0)),"")</f>
        <v>1.4406239915890684</v>
      </c>
      <c r="R152" s="37">
        <f t="shared" si="74"/>
        <v>17</v>
      </c>
      <c r="S152" s="37">
        <f t="shared" si="75"/>
        <v>15</v>
      </c>
      <c r="T152" s="38">
        <f t="shared" si="76"/>
        <v>996462593.85972369</v>
      </c>
      <c r="U152" s="38">
        <f t="shared" si="77"/>
        <v>997773297.55742562</v>
      </c>
      <c r="V152" s="38" t="b">
        <f t="shared" si="78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9"/>
        <v>27.5</v>
      </c>
      <c r="AI152" s="36">
        <f>IFERROR(INDEX('Level Multipliers'!$D:$D,MATCH(AH152,'Level Multipliers'!$A:$A,0)),"")</f>
        <v>1.4274643259182833</v>
      </c>
      <c r="AJ152" s="37">
        <f t="shared" si="80"/>
        <v>16</v>
      </c>
      <c r="AK152" s="37">
        <f t="shared" si="81"/>
        <v>15</v>
      </c>
      <c r="AL152" s="38">
        <f t="shared" si="82"/>
        <v>960548906.9046886</v>
      </c>
      <c r="AM152" s="38">
        <f t="shared" si="83"/>
        <v>961812371.29548609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28</v>
      </c>
      <c r="BA152" s="36">
        <f>IFERROR(INDEX('Level Multipliers'!$D:$D,MATCH(AZ152,'Level Multipliers'!$A:$A,0)),"")</f>
        <v>1.4146588542279308</v>
      </c>
      <c r="BB152" s="37">
        <f t="shared" si="86"/>
        <v>15</v>
      </c>
      <c r="BC152" s="37">
        <f t="shared" si="87"/>
        <v>15</v>
      </c>
      <c r="BD152" s="38">
        <f t="shared" si="88"/>
        <v>926542439.54008031</v>
      </c>
      <c r="BE152" s="38">
        <f t="shared" si="89"/>
        <v>927761173.29794168</v>
      </c>
      <c r="BF152" s="38" t="b">
        <f t="shared" si="90"/>
        <v>0</v>
      </c>
      <c r="BG152" s="37">
        <f t="array" ref="BG152:BQ152">IF(BF152,"",IVSolution($M152,$N152,$O152,BB152,BC152,BD152,BE152,$E152,$F152,$G152,$H152,$I152))</f>
        <v>3</v>
      </c>
      <c r="BH152" s="37">
        <v>34</v>
      </c>
      <c r="BI152" s="37">
        <v>36</v>
      </c>
      <c r="BJ152" s="39">
        <v>0.75555555555555554</v>
      </c>
      <c r="BK152" s="39">
        <v>0.8</v>
      </c>
      <c r="BL152" s="37">
        <v>15</v>
      </c>
      <c r="BM152" s="37">
        <v>15</v>
      </c>
      <c r="BN152" s="37">
        <v>8</v>
      </c>
      <c r="BO152" s="37">
        <v>10</v>
      </c>
      <c r="BP152" s="37">
        <v>9</v>
      </c>
      <c r="BQ152" s="37">
        <v>13</v>
      </c>
      <c r="BR152" s="40">
        <f t="shared" si="91"/>
        <v>28.5</v>
      </c>
      <c r="BS152" s="36">
        <f>IFERROR(INDEX('Level Multipliers'!$D:$D,MATCH(BR152,'Level Multipliers'!$A:$A,0)),"")</f>
        <v>1.4021920400529488</v>
      </c>
      <c r="BT152" s="37">
        <f t="shared" si="92"/>
        <v>14</v>
      </c>
      <c r="BU152" s="37">
        <f t="shared" si="93"/>
        <v>14</v>
      </c>
      <c r="BV152" s="38">
        <f t="shared" si="94"/>
        <v>894310680.92597759</v>
      </c>
      <c r="BW152" s="38">
        <f t="shared" si="95"/>
        <v>895487018.42585659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7"/>
        <v>28</v>
      </c>
      <c r="CK152" s="41">
        <f t="shared" si="98"/>
        <v>28</v>
      </c>
      <c r="CL152" s="66">
        <f t="shared" si="99"/>
        <v>0.77777777777777779</v>
      </c>
      <c r="CM152" s="39">
        <f t="shared" si="100"/>
        <v>0.75555555555555554</v>
      </c>
      <c r="CN152" s="39">
        <f t="shared" si="101"/>
        <v>0.8</v>
      </c>
      <c r="CO152" s="42">
        <f t="shared" si="102"/>
        <v>15</v>
      </c>
      <c r="CP152" s="42">
        <f t="shared" si="103"/>
        <v>15</v>
      </c>
      <c r="CQ152" s="42">
        <f t="shared" si="104"/>
        <v>8</v>
      </c>
      <c r="CR152" s="42">
        <f t="shared" si="105"/>
        <v>10</v>
      </c>
      <c r="CS152" s="42">
        <f t="shared" si="106"/>
        <v>9</v>
      </c>
      <c r="CT152" s="42">
        <f t="shared" si="107"/>
        <v>13</v>
      </c>
      <c r="CU152" s="43">
        <f t="shared" si="108"/>
        <v>15</v>
      </c>
      <c r="CV152" s="43" t="str">
        <f t="shared" si="109"/>
        <v>8-10</v>
      </c>
      <c r="CW152" s="43" t="str">
        <f t="shared" si="110"/>
        <v>9-13</v>
      </c>
      <c r="CX152" s="13" t="s">
        <v>394</v>
      </c>
    </row>
    <row r="153" spans="1:102" x14ac:dyDescent="0.25">
      <c r="A153" s="31" t="s">
        <v>158</v>
      </c>
      <c r="B153" s="13">
        <v>557</v>
      </c>
      <c r="C153" s="13">
        <v>61</v>
      </c>
      <c r="D153" s="13">
        <v>25</v>
      </c>
      <c r="E153" s="32" t="s">
        <v>0</v>
      </c>
      <c r="F153" s="32">
        <v>1</v>
      </c>
      <c r="G153" s="32">
        <v>1</v>
      </c>
      <c r="H153" s="32">
        <v>1</v>
      </c>
      <c r="I153" s="32" t="s">
        <v>2</v>
      </c>
      <c r="J153" s="13"/>
      <c r="K153" s="33"/>
      <c r="L153" s="34">
        <f>IFERROR(INDEX('Pokemon Data'!A:A,MATCH($A153,'Pokemon Data'!$B:$B,0)),"")</f>
        <v>118</v>
      </c>
      <c r="M153" s="34">
        <f>IFERROR(INDEX('Pokemon Data'!I:I,MATCH($A153,'Pokemon Data'!$B:$B,0)),"")</f>
        <v>90</v>
      </c>
      <c r="N153" s="34">
        <f>IFERROR(INDEX('Pokemon Data'!J:J,MATCH($A153,'Pokemon Data'!$B:$B,0)),"")</f>
        <v>123</v>
      </c>
      <c r="O153" s="34">
        <f>IFERROR(INDEX('Pokemon Data'!K:K,MATCH($A153,'Pokemon Data'!$B:$B,0)),"")</f>
        <v>115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74"/>
        <v>15</v>
      </c>
      <c r="S153" s="37">
        <f t="shared" si="75"/>
        <v>15</v>
      </c>
      <c r="T153" s="38">
        <f t="shared" si="76"/>
        <v>269889604.56043774</v>
      </c>
      <c r="U153" s="38">
        <f t="shared" si="77"/>
        <v>270859557.43404859</v>
      </c>
      <c r="V153" s="38" t="b">
        <f t="shared" si="78"/>
        <v>1</v>
      </c>
      <c r="W153" s="37" t="str">
        <f t="array" ref="W153:AG153">IF(V153,"",IVSolution($M153,$N153,$O153,R153,S153,T153,U153,$E153,$F153,$G153,$H153,$I153))</f>
        <v/>
      </c>
      <c r="X153" s="37" t="str">
        <v/>
      </c>
      <c r="Y153" s="37" t="str">
        <v/>
      </c>
      <c r="Z153" s="39" t="str">
        <v/>
      </c>
      <c r="AA153" s="39" t="str">
        <v/>
      </c>
      <c r="AB153" s="37" t="str">
        <v/>
      </c>
      <c r="AC153" s="37" t="str">
        <v/>
      </c>
      <c r="AD153" s="37" t="str">
        <v/>
      </c>
      <c r="AE153" s="37" t="str">
        <v/>
      </c>
      <c r="AF153" s="37" t="str">
        <v/>
      </c>
      <c r="AG153" s="37" t="str">
        <v/>
      </c>
      <c r="AH153" s="40">
        <f t="shared" si="79"/>
        <v>19.5</v>
      </c>
      <c r="AI153" s="36">
        <f>IFERROR(INDEX('Level Multipliers'!$D:$D,MATCH(AH153,'Level Multipliers'!$A:$A,0)),"")</f>
        <v>1.6952373266621776</v>
      </c>
      <c r="AJ153" s="37">
        <f t="shared" si="80"/>
        <v>14</v>
      </c>
      <c r="AK153" s="37">
        <f t="shared" si="81"/>
        <v>15</v>
      </c>
      <c r="AL153" s="38">
        <f t="shared" si="82"/>
        <v>256231439.06764656</v>
      </c>
      <c r="AM153" s="38">
        <f t="shared" si="83"/>
        <v>257152306.03115144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20</v>
      </c>
      <c r="BA153" s="36">
        <f>IFERROR(INDEX('Level Multipliers'!$D:$D,MATCH(AZ153,'Level Multipliers'!$A:$A,0)),"")</f>
        <v>1.6739202944034379</v>
      </c>
      <c r="BB153" s="37">
        <f t="shared" si="86"/>
        <v>13</v>
      </c>
      <c r="BC153" s="37">
        <f t="shared" si="87"/>
        <v>13</v>
      </c>
      <c r="BD153" s="38">
        <f t="shared" si="88"/>
        <v>243584410.18404138</v>
      </c>
      <c r="BE153" s="38">
        <f t="shared" si="89"/>
        <v>244459825.14865112</v>
      </c>
      <c r="BF153" s="38" t="b">
        <f t="shared" si="90"/>
        <v>0</v>
      </c>
      <c r="BG153" s="37">
        <f t="array" ref="BG153:BQ153">IF(BF153,"",IVSolution($M153,$N153,$O153,BB153,BC153,BD153,BE153,$E153,$F153,$G153,$H153,$I153))</f>
        <v>1</v>
      </c>
      <c r="BH153" s="37">
        <v>39</v>
      </c>
      <c r="BI153" s="37">
        <v>39</v>
      </c>
      <c r="BJ153" s="39">
        <v>0.8666666666666667</v>
      </c>
      <c r="BK153" s="39">
        <v>0.8666666666666667</v>
      </c>
      <c r="BL153" s="37">
        <v>13</v>
      </c>
      <c r="BM153" s="37">
        <v>13</v>
      </c>
      <c r="BN153" s="37">
        <v>13</v>
      </c>
      <c r="BO153" s="37">
        <v>13</v>
      </c>
      <c r="BP153" s="37">
        <v>13</v>
      </c>
      <c r="BQ153" s="37">
        <v>13</v>
      </c>
      <c r="BR153" s="40">
        <f t="shared" si="91"/>
        <v>20.5</v>
      </c>
      <c r="BS153" s="36">
        <f>IFERROR(INDEX('Level Multipliers'!$D:$D,MATCH(BR153,'Level Multipliers'!$A:$A,0)),"")</f>
        <v>1.6533745038028393</v>
      </c>
      <c r="BT153" s="37">
        <f t="shared" si="92"/>
        <v>11</v>
      </c>
      <c r="BU153" s="37">
        <f t="shared" si="93"/>
        <v>12</v>
      </c>
      <c r="BV153" s="38">
        <f t="shared" si="94"/>
        <v>231843719.280231</v>
      </c>
      <c r="BW153" s="38">
        <f t="shared" si="95"/>
        <v>232676939.52267322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7"/>
        <v>20</v>
      </c>
      <c r="CK153" s="41">
        <f t="shared" si="98"/>
        <v>20</v>
      </c>
      <c r="CL153" s="66">
        <f t="shared" si="99"/>
        <v>0.8666666666666667</v>
      </c>
      <c r="CM153" s="39">
        <f t="shared" si="100"/>
        <v>0.8666666666666667</v>
      </c>
      <c r="CN153" s="39">
        <f t="shared" si="101"/>
        <v>0.8666666666666667</v>
      </c>
      <c r="CO153" s="42">
        <f t="shared" si="102"/>
        <v>13</v>
      </c>
      <c r="CP153" s="42">
        <f t="shared" si="103"/>
        <v>13</v>
      </c>
      <c r="CQ153" s="42">
        <f t="shared" si="104"/>
        <v>13</v>
      </c>
      <c r="CR153" s="42">
        <f t="shared" si="105"/>
        <v>13</v>
      </c>
      <c r="CS153" s="42">
        <f t="shared" si="106"/>
        <v>13</v>
      </c>
      <c r="CT153" s="42">
        <f t="shared" si="107"/>
        <v>13</v>
      </c>
      <c r="CU153" s="43">
        <f t="shared" si="108"/>
        <v>13</v>
      </c>
      <c r="CV153" s="43">
        <f t="shared" si="109"/>
        <v>13</v>
      </c>
      <c r="CW153" s="43">
        <f t="shared" si="110"/>
        <v>13</v>
      </c>
      <c r="CX153" s="13"/>
    </row>
    <row r="154" spans="1:102" x14ac:dyDescent="0.25">
      <c r="A154" s="31" t="s">
        <v>158</v>
      </c>
      <c r="B154" s="13">
        <v>500</v>
      </c>
      <c r="C154" s="13">
        <v>59</v>
      </c>
      <c r="D154" s="13">
        <v>22</v>
      </c>
      <c r="E154" s="32" t="s">
        <v>0</v>
      </c>
      <c r="F154" s="32">
        <v>1</v>
      </c>
      <c r="G154" s="32"/>
      <c r="H154" s="32"/>
      <c r="I154" s="32" t="s">
        <v>0</v>
      </c>
      <c r="J154" s="13"/>
      <c r="K154" s="33"/>
      <c r="L154" s="34">
        <f>IFERROR(INDEX('Pokemon Data'!A:A,MATCH($A154,'Pokemon Data'!$B:$B,0)),"")</f>
        <v>118</v>
      </c>
      <c r="M154" s="34">
        <f>IFERROR(INDEX('Pokemon Data'!I:I,MATCH($A154,'Pokemon Data'!$B:$B,0)),"")</f>
        <v>90</v>
      </c>
      <c r="N154" s="34">
        <f>IFERROR(INDEX('Pokemon Data'!J:J,MATCH($A154,'Pokemon Data'!$B:$B,0)),"")</f>
        <v>123</v>
      </c>
      <c r="O154" s="34">
        <f>IFERROR(INDEX('Pokemon Data'!K:K,MATCH($A154,'Pokemon Data'!$B:$B,0)),"")</f>
        <v>115</v>
      </c>
      <c r="P154" s="35">
        <f>IFERROR(INDEX('Level Multipliers'!$A:$A,MATCH($D154,'Level Multipliers'!$B:$B,0)),"")</f>
        <v>17</v>
      </c>
      <c r="Q154" s="36">
        <f>IFERROR(INDEX('Level Multipliers'!$D:$D,MATCH(P154,'Level Multipliers'!$A:$A,0)),"")</f>
        <v>1.8155651132027117</v>
      </c>
      <c r="R154" s="37">
        <f t="shared" si="74"/>
        <v>18</v>
      </c>
      <c r="S154" s="37">
        <f t="shared" si="75"/>
        <v>15</v>
      </c>
      <c r="T154" s="38">
        <f t="shared" si="76"/>
        <v>271635998.82374156</v>
      </c>
      <c r="U154" s="38">
        <f t="shared" si="77"/>
        <v>272723629.3630318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17.5</v>
      </c>
      <c r="AI154" s="36">
        <f>IFERROR(INDEX('Level Multipliers'!$D:$D,MATCH(AH154,'Level Multipliers'!$A:$A,0)),"")</f>
        <v>1.7894510926096343</v>
      </c>
      <c r="AJ154" s="37">
        <f t="shared" si="80"/>
        <v>16</v>
      </c>
      <c r="AK154" s="37">
        <f t="shared" si="81"/>
        <v>15</v>
      </c>
      <c r="AL154" s="38">
        <f t="shared" si="82"/>
        <v>256341748.03303728</v>
      </c>
      <c r="AM154" s="38">
        <f t="shared" si="83"/>
        <v>257368140.39216155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18</v>
      </c>
      <c r="BA154" s="36">
        <f>IFERROR(INDEX('Level Multipliers'!$D:$D,MATCH(AZ154,'Level Multipliers'!$A:$A,0)),"")</f>
        <v>1.7644323332558229</v>
      </c>
      <c r="BB154" s="37">
        <f t="shared" si="86"/>
        <v>15</v>
      </c>
      <c r="BC154" s="37">
        <f t="shared" si="87"/>
        <v>15</v>
      </c>
      <c r="BD154" s="38">
        <f t="shared" si="88"/>
        <v>242303696.26319432</v>
      </c>
      <c r="BE154" s="38">
        <f t="shared" si="89"/>
        <v>243273880.26303217</v>
      </c>
      <c r="BF154" s="38" t="b">
        <f t="shared" si="90"/>
        <v>0</v>
      </c>
      <c r="BG154" s="37">
        <f t="array" ref="BG154:BQ154">IF(BF154,"",IVSolution($M154,$N154,$O154,BB154,BC154,BD154,BE154,$E154,$F154,$G154,$H154,$I154))</f>
        <v>4</v>
      </c>
      <c r="BH154" s="37">
        <v>37</v>
      </c>
      <c r="BI154" s="37">
        <v>40</v>
      </c>
      <c r="BJ154" s="39">
        <v>0.82222222222222219</v>
      </c>
      <c r="BK154" s="39">
        <v>0.88888888888888884</v>
      </c>
      <c r="BL154" s="37">
        <v>15</v>
      </c>
      <c r="BM154" s="37">
        <v>15</v>
      </c>
      <c r="BN154" s="37">
        <v>11</v>
      </c>
      <c r="BO154" s="37">
        <v>14</v>
      </c>
      <c r="BP154" s="37">
        <v>8</v>
      </c>
      <c r="BQ154" s="37">
        <v>14</v>
      </c>
      <c r="BR154" s="40">
        <f t="shared" si="91"/>
        <v>18.5</v>
      </c>
      <c r="BS154" s="36">
        <f>IFERROR(INDEX('Level Multipliers'!$D:$D,MATCH(BR154,'Level Multipliers'!$A:$A,0)),"")</f>
        <v>1.7404346161581328</v>
      </c>
      <c r="BT154" s="37">
        <f t="shared" si="92"/>
        <v>13</v>
      </c>
      <c r="BU154" s="37">
        <f t="shared" si="93"/>
        <v>14</v>
      </c>
      <c r="BV154" s="38">
        <f t="shared" si="94"/>
        <v>229388086.63252041</v>
      </c>
      <c r="BW154" s="38">
        <f t="shared" si="95"/>
        <v>230306556.53139701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7"/>
        <v>18</v>
      </c>
      <c r="CK154" s="41">
        <f t="shared" si="98"/>
        <v>18</v>
      </c>
      <c r="CL154" s="66">
        <f t="shared" si="99"/>
        <v>0.85555555555555551</v>
      </c>
      <c r="CM154" s="39">
        <f t="shared" si="100"/>
        <v>0.82222222222222219</v>
      </c>
      <c r="CN154" s="39">
        <f t="shared" si="101"/>
        <v>0.88888888888888884</v>
      </c>
      <c r="CO154" s="42">
        <f t="shared" si="102"/>
        <v>15</v>
      </c>
      <c r="CP154" s="42">
        <f t="shared" si="103"/>
        <v>15</v>
      </c>
      <c r="CQ154" s="42">
        <f t="shared" si="104"/>
        <v>11</v>
      </c>
      <c r="CR154" s="42">
        <f t="shared" si="105"/>
        <v>14</v>
      </c>
      <c r="CS154" s="42">
        <f t="shared" si="106"/>
        <v>8</v>
      </c>
      <c r="CT154" s="42">
        <f t="shared" si="107"/>
        <v>14</v>
      </c>
      <c r="CU154" s="43">
        <f t="shared" si="108"/>
        <v>15</v>
      </c>
      <c r="CV154" s="43" t="str">
        <f t="shared" si="109"/>
        <v>11-14</v>
      </c>
      <c r="CW154" s="43" t="str">
        <f t="shared" si="110"/>
        <v>8-14</v>
      </c>
      <c r="CX154" s="13"/>
    </row>
    <row r="155" spans="1:102" x14ac:dyDescent="0.25">
      <c r="A155" s="31" t="s">
        <v>159</v>
      </c>
      <c r="B155" s="13">
        <v>796</v>
      </c>
      <c r="C155" s="13">
        <v>85</v>
      </c>
      <c r="D155" s="13">
        <v>16</v>
      </c>
      <c r="E155" s="32" t="s">
        <v>0</v>
      </c>
      <c r="F155" s="32"/>
      <c r="G155" s="32">
        <v>1</v>
      </c>
      <c r="H155" s="32">
        <v>1</v>
      </c>
      <c r="I155" s="32" t="s">
        <v>2</v>
      </c>
      <c r="J155" s="13"/>
      <c r="K155" s="33"/>
      <c r="L155" s="34">
        <f>IFERROR(INDEX('Pokemon Data'!A:A,MATCH($A155,'Pokemon Data'!$B:$B,0)),"")</f>
        <v>119</v>
      </c>
      <c r="M155" s="34">
        <f>IFERROR(INDEX('Pokemon Data'!I:I,MATCH($A155,'Pokemon Data'!$B:$B,0)),"")</f>
        <v>160</v>
      </c>
      <c r="N155" s="34">
        <f>IFERROR(INDEX('Pokemon Data'!J:J,MATCH($A155,'Pokemon Data'!$B:$B,0)),"")</f>
        <v>175</v>
      </c>
      <c r="O155" s="34">
        <f>IFERROR(INDEX('Pokemon Data'!K:K,MATCH($A155,'Pokemon Data'!$B:$B,0)),"")</f>
        <v>154</v>
      </c>
      <c r="P155" s="35">
        <f>IFERROR(INDEX('Level Multipliers'!$A:$A,MATCH($D155,'Level Multipliers'!$B:$B,0)),"")</f>
        <v>13</v>
      </c>
      <c r="Q155" s="36">
        <f>IFERROR(INDEX('Level Multipliers'!$D:$D,MATCH(P155,'Level Multipliers'!$A:$A,0)),"")</f>
        <v>2.0760457511183974</v>
      </c>
      <c r="R155" s="37">
        <f t="shared" si="74"/>
        <v>17</v>
      </c>
      <c r="S155" s="37">
        <f t="shared" si="75"/>
        <v>15</v>
      </c>
      <c r="T155" s="38">
        <f t="shared" si="76"/>
        <v>1176992826.3710039</v>
      </c>
      <c r="U155" s="38">
        <f t="shared" si="77"/>
        <v>1179951952.3596294</v>
      </c>
      <c r="V155" s="38" t="b">
        <f t="shared" si="78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9"/>
        <v>13.5</v>
      </c>
      <c r="AI155" s="36">
        <f>IFERROR(INDEX('Level Multipliers'!$D:$D,MATCH(AH155,'Level Multipliers'!$A:$A,0)),"")</f>
        <v>2.0372581629338091</v>
      </c>
      <c r="AJ155" s="37">
        <f t="shared" si="80"/>
        <v>14</v>
      </c>
      <c r="AK155" s="37">
        <f t="shared" si="81"/>
        <v>15</v>
      </c>
      <c r="AL155" s="38">
        <f t="shared" si="82"/>
        <v>1091466478.2808821</v>
      </c>
      <c r="AM155" s="38">
        <f t="shared" si="83"/>
        <v>1094210578.9663153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14</v>
      </c>
      <c r="BA155" s="36">
        <f>IFERROR(INDEX('Level Multipliers'!$D:$D,MATCH(AZ155,'Level Multipliers'!$A:$A,0)),"")</f>
        <v>2.0005664044869746</v>
      </c>
      <c r="BB155" s="37">
        <f t="shared" si="86"/>
        <v>11</v>
      </c>
      <c r="BC155" s="37">
        <f t="shared" si="87"/>
        <v>12</v>
      </c>
      <c r="BD155" s="38">
        <f t="shared" si="88"/>
        <v>1014934513.3724403</v>
      </c>
      <c r="BE155" s="38">
        <f t="shared" si="89"/>
        <v>1017486201.902721</v>
      </c>
      <c r="BF155" s="38" t="b">
        <f t="shared" si="90"/>
        <v>0</v>
      </c>
      <c r="BG155" s="37">
        <f t="array" ref="BG155:BQ155">IF(BF155,"",IVSolution($M155,$N155,$O155,BB155,BC155,BD155,BE155,$E155,$F155,$G155,$H155,$I155))</f>
        <v>1</v>
      </c>
      <c r="BH155" s="37">
        <v>38</v>
      </c>
      <c r="BI155" s="37">
        <v>38</v>
      </c>
      <c r="BJ155" s="39">
        <v>0.84444444444444444</v>
      </c>
      <c r="BK155" s="39">
        <v>0.84444444444444444</v>
      </c>
      <c r="BL155" s="37">
        <v>12</v>
      </c>
      <c r="BM155" s="37">
        <v>12</v>
      </c>
      <c r="BN155" s="37">
        <v>13</v>
      </c>
      <c r="BO155" s="37">
        <v>13</v>
      </c>
      <c r="BP155" s="37">
        <v>13</v>
      </c>
      <c r="BQ155" s="37">
        <v>13</v>
      </c>
      <c r="BR155" s="40">
        <f t="shared" si="91"/>
        <v>14.5</v>
      </c>
      <c r="BS155" s="36">
        <f>IFERROR(INDEX('Level Multipliers'!$D:$D,MATCH(BR155,'Level Multipliers'!$A:$A,0)),"")</f>
        <v>1.9657884055662767</v>
      </c>
      <c r="BT155" s="37">
        <f t="shared" si="92"/>
        <v>8</v>
      </c>
      <c r="BU155" s="37">
        <f t="shared" si="93"/>
        <v>9</v>
      </c>
      <c r="BV155" s="38">
        <f t="shared" si="94"/>
        <v>946178798.49931157</v>
      </c>
      <c r="BW155" s="38">
        <f t="shared" si="95"/>
        <v>948557625.46392322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7"/>
        <v>14</v>
      </c>
      <c r="CK155" s="41">
        <f t="shared" si="98"/>
        <v>14</v>
      </c>
      <c r="CL155" s="66">
        <f t="shared" si="99"/>
        <v>0.84444444444444444</v>
      </c>
      <c r="CM155" s="39">
        <f t="shared" si="100"/>
        <v>0.84444444444444444</v>
      </c>
      <c r="CN155" s="39">
        <f t="shared" si="101"/>
        <v>0.84444444444444444</v>
      </c>
      <c r="CO155" s="42">
        <f t="shared" si="102"/>
        <v>12</v>
      </c>
      <c r="CP155" s="42">
        <f t="shared" si="103"/>
        <v>12</v>
      </c>
      <c r="CQ155" s="42">
        <f t="shared" si="104"/>
        <v>13</v>
      </c>
      <c r="CR155" s="42">
        <f t="shared" si="105"/>
        <v>13</v>
      </c>
      <c r="CS155" s="42">
        <f t="shared" si="106"/>
        <v>13</v>
      </c>
      <c r="CT155" s="42">
        <f t="shared" si="107"/>
        <v>13</v>
      </c>
      <c r="CU155" s="43">
        <f t="shared" si="108"/>
        <v>12</v>
      </c>
      <c r="CV155" s="43">
        <f t="shared" si="109"/>
        <v>13</v>
      </c>
      <c r="CW155" s="43">
        <f t="shared" si="110"/>
        <v>13</v>
      </c>
      <c r="CX155" s="13" t="s">
        <v>425</v>
      </c>
    </row>
    <row r="156" spans="1:102" x14ac:dyDescent="0.25">
      <c r="A156" s="31" t="s">
        <v>161</v>
      </c>
      <c r="B156" s="13">
        <v>1279</v>
      </c>
      <c r="C156" s="13">
        <v>80</v>
      </c>
      <c r="D156" s="13">
        <v>25</v>
      </c>
      <c r="E156" s="32" t="s">
        <v>0</v>
      </c>
      <c r="F156" s="32">
        <v>1</v>
      </c>
      <c r="G156" s="32"/>
      <c r="H156" s="32"/>
      <c r="I156" s="32" t="s">
        <v>0</v>
      </c>
      <c r="J156" s="13"/>
      <c r="K156" s="33"/>
      <c r="L156" s="34">
        <f>IFERROR(INDEX('Pokemon Data'!A:A,MATCH($A156,'Pokemon Data'!$B:$B,0)),"")</f>
        <v>121</v>
      </c>
      <c r="M156" s="34">
        <f>IFERROR(INDEX('Pokemon Data'!I:I,MATCH($A156,'Pokemon Data'!$B:$B,0)),"")</f>
        <v>120</v>
      </c>
      <c r="N156" s="34">
        <f>IFERROR(INDEX('Pokemon Data'!J:J,MATCH($A156,'Pokemon Data'!$B:$B,0)),"")</f>
        <v>210</v>
      </c>
      <c r="O156" s="34">
        <f>IFERROR(INDEX('Pokemon Data'!K:K,MATCH($A156,'Pokemon Data'!$B:$B,0)),"")</f>
        <v>184</v>
      </c>
      <c r="P156" s="35">
        <f>IFERROR(INDEX('Level Multipliers'!$A:$A,MATCH($D156,'Level Multipliers'!$B:$B,0)),"")</f>
        <v>19</v>
      </c>
      <c r="Q156" s="36">
        <f>IFERROR(INDEX('Level Multipliers'!$D:$D,MATCH(P156,'Level Multipliers'!$A:$A,0)),"")</f>
        <v>1.7173900470456649</v>
      </c>
      <c r="R156" s="37">
        <f t="shared" si="74"/>
        <v>18</v>
      </c>
      <c r="S156" s="37">
        <f t="shared" si="75"/>
        <v>15</v>
      </c>
      <c r="T156" s="38">
        <f t="shared" si="76"/>
        <v>1423039173.7402894</v>
      </c>
      <c r="U156" s="38">
        <f t="shared" si="77"/>
        <v>1425265280.8286932</v>
      </c>
      <c r="V156" s="38" t="b">
        <f t="shared" si="78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9"/>
        <v>19.5</v>
      </c>
      <c r="AI156" s="36">
        <f>IFERROR(INDEX('Level Multipliers'!$D:$D,MATCH(AH156,'Level Multipliers'!$A:$A,0)),"")</f>
        <v>1.6952373266621776</v>
      </c>
      <c r="AJ156" s="37">
        <f t="shared" si="80"/>
        <v>16</v>
      </c>
      <c r="AK156" s="37">
        <f t="shared" si="81"/>
        <v>15</v>
      </c>
      <c r="AL156" s="38">
        <f t="shared" si="82"/>
        <v>1351024156.4545188</v>
      </c>
      <c r="AM156" s="38">
        <f t="shared" si="83"/>
        <v>1353137608.0774865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20</v>
      </c>
      <c r="BA156" s="36">
        <f>IFERROR(INDEX('Level Multipliers'!$D:$D,MATCH(AZ156,'Level Multipliers'!$A:$A,0)),"")</f>
        <v>1.6739202944034379</v>
      </c>
      <c r="BB156" s="37">
        <f t="shared" si="86"/>
        <v>14</v>
      </c>
      <c r="BC156" s="37">
        <f t="shared" si="87"/>
        <v>15</v>
      </c>
      <c r="BD156" s="38">
        <f t="shared" si="88"/>
        <v>1284340530.1544001</v>
      </c>
      <c r="BE156" s="38">
        <f t="shared" si="89"/>
        <v>1286349666.3825941</v>
      </c>
      <c r="BF156" s="38" t="b">
        <f t="shared" si="90"/>
        <v>0</v>
      </c>
      <c r="BG156" s="37">
        <f t="array" ref="BG156:BQ156">IF(BF156,"",IVSolution($M156,$N156,$O156,BB156,BC156,BD156,BE156,$E156,$F156,$G156,$H156,$I156))</f>
        <v>1</v>
      </c>
      <c r="BH156" s="37">
        <v>37</v>
      </c>
      <c r="BI156" s="37">
        <v>37</v>
      </c>
      <c r="BJ156" s="39">
        <v>0.82222222222222219</v>
      </c>
      <c r="BK156" s="39">
        <v>0.82222222222222219</v>
      </c>
      <c r="BL156" s="37">
        <v>15</v>
      </c>
      <c r="BM156" s="37">
        <v>15</v>
      </c>
      <c r="BN156" s="37">
        <v>11</v>
      </c>
      <c r="BO156" s="37">
        <v>11</v>
      </c>
      <c r="BP156" s="37">
        <v>11</v>
      </c>
      <c r="BQ156" s="37">
        <v>11</v>
      </c>
      <c r="BR156" s="40">
        <f t="shared" si="91"/>
        <v>20.5</v>
      </c>
      <c r="BS156" s="36">
        <f>IFERROR(INDEX('Level Multipliers'!$D:$D,MATCH(BR156,'Level Multipliers'!$A:$A,0)),"")</f>
        <v>1.6533745038028393</v>
      </c>
      <c r="BT156" s="37">
        <f t="shared" si="92"/>
        <v>13</v>
      </c>
      <c r="BU156" s="37">
        <f t="shared" si="93"/>
        <v>13</v>
      </c>
      <c r="BV156" s="38">
        <f t="shared" si="94"/>
        <v>1222435726.1138387</v>
      </c>
      <c r="BW156" s="38">
        <f t="shared" si="95"/>
        <v>1224348022.6164482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7"/>
        <v>20</v>
      </c>
      <c r="CK156" s="41">
        <f t="shared" si="98"/>
        <v>20</v>
      </c>
      <c r="CL156" s="66">
        <f t="shared" si="99"/>
        <v>0.82222222222222219</v>
      </c>
      <c r="CM156" s="39">
        <f t="shared" si="100"/>
        <v>0.82222222222222219</v>
      </c>
      <c r="CN156" s="39">
        <f t="shared" si="101"/>
        <v>0.82222222222222219</v>
      </c>
      <c r="CO156" s="42">
        <f t="shared" si="102"/>
        <v>15</v>
      </c>
      <c r="CP156" s="42">
        <f t="shared" si="103"/>
        <v>15</v>
      </c>
      <c r="CQ156" s="42">
        <f t="shared" si="104"/>
        <v>11</v>
      </c>
      <c r="CR156" s="42">
        <f t="shared" si="105"/>
        <v>11</v>
      </c>
      <c r="CS156" s="42">
        <f t="shared" si="106"/>
        <v>11</v>
      </c>
      <c r="CT156" s="42">
        <f t="shared" si="107"/>
        <v>11</v>
      </c>
      <c r="CU156" s="43">
        <f t="shared" si="108"/>
        <v>15</v>
      </c>
      <c r="CV156" s="43">
        <f t="shared" si="109"/>
        <v>11</v>
      </c>
      <c r="CW156" s="43">
        <f t="shared" si="110"/>
        <v>11</v>
      </c>
      <c r="CX156" s="13" t="s">
        <v>422</v>
      </c>
    </row>
    <row r="157" spans="1:102" x14ac:dyDescent="0.25">
      <c r="A157" s="31" t="s">
        <v>163</v>
      </c>
      <c r="B157" s="13">
        <v>322</v>
      </c>
      <c r="C157" s="13">
        <v>43</v>
      </c>
      <c r="D157" s="13">
        <v>6</v>
      </c>
      <c r="E157" s="32" t="s">
        <v>2</v>
      </c>
      <c r="F157" s="32"/>
      <c r="G157" s="32">
        <v>1</v>
      </c>
      <c r="H157" s="32"/>
      <c r="I157" s="32" t="s">
        <v>2</v>
      </c>
      <c r="J157" s="13"/>
      <c r="K157" s="33"/>
      <c r="L157" s="34">
        <f>IFERROR(INDEX('Pokemon Data'!A:A,MATCH($A157,'Pokemon Data'!$B:$B,0)),"")</f>
        <v>123</v>
      </c>
      <c r="M157" s="34">
        <f>IFERROR(INDEX('Pokemon Data'!I:I,MATCH($A157,'Pokemon Data'!$B:$B,0)),"")</f>
        <v>140</v>
      </c>
      <c r="N157" s="34">
        <f>IFERROR(INDEX('Pokemon Data'!J:J,MATCH($A157,'Pokemon Data'!$B:$B,0)),"")</f>
        <v>218</v>
      </c>
      <c r="O157" s="34">
        <f>IFERROR(INDEX('Pokemon Data'!K:K,MATCH($A157,'Pokemon Data'!$B:$B,0)),"")</f>
        <v>170</v>
      </c>
      <c r="P157" s="35">
        <f>IFERROR(INDEX('Level Multipliers'!$A:$A,MATCH($D157,'Level Multipliers'!$B:$B,0)),"")</f>
        <v>5</v>
      </c>
      <c r="Q157" s="36">
        <f>IFERROR(INDEX('Level Multipliers'!$D:$D,MATCH(P157,'Level Multipliers'!$A:$A,0)),"")</f>
        <v>3.4453071462968556</v>
      </c>
      <c r="R157" s="37">
        <f t="shared" si="74"/>
        <v>9</v>
      </c>
      <c r="S157" s="37">
        <f t="shared" si="75"/>
        <v>11</v>
      </c>
      <c r="T157" s="38">
        <f t="shared" si="76"/>
        <v>1460910206.52737</v>
      </c>
      <c r="U157" s="38">
        <f t="shared" si="77"/>
        <v>1469998272.9909532</v>
      </c>
      <c r="V157" s="38" t="b">
        <f t="shared" si="78"/>
        <v>0</v>
      </c>
      <c r="W157" s="37">
        <f t="array" ref="W157:AG157">IF(V157,"",IVSolution($M157,$N157,$O157,R157,S157,T157,U157,$E157,$F157,$G157,$H157,$I157))</f>
        <v>5</v>
      </c>
      <c r="X157" s="37">
        <v>35</v>
      </c>
      <c r="Y157" s="37">
        <v>36</v>
      </c>
      <c r="Z157" s="39">
        <v>0.77777777777777779</v>
      </c>
      <c r="AA157" s="39">
        <v>0.8</v>
      </c>
      <c r="AB157" s="37">
        <v>9</v>
      </c>
      <c r="AC157" s="37">
        <v>11</v>
      </c>
      <c r="AD157" s="37">
        <v>13</v>
      </c>
      <c r="AE157" s="37">
        <v>14</v>
      </c>
      <c r="AF157" s="37">
        <v>10</v>
      </c>
      <c r="AG157" s="37">
        <v>13</v>
      </c>
      <c r="AH157" s="40">
        <f t="shared" si="79"/>
        <v>5.5</v>
      </c>
      <c r="AI157" s="36">
        <f>IFERROR(INDEX('Level Multipliers'!$D:$D,MATCH(AH157,'Level Multipliers'!$A:$A,0)),"")</f>
        <v>3.2673611577633439</v>
      </c>
      <c r="AJ157" s="37">
        <f t="shared" si="80"/>
        <v>1</v>
      </c>
      <c r="AK157" s="37">
        <f t="shared" si="81"/>
        <v>3</v>
      </c>
      <c r="AL157" s="38">
        <f t="shared" si="82"/>
        <v>1181681158.3909142</v>
      </c>
      <c r="AM157" s="38">
        <f t="shared" si="83"/>
        <v>1189032189.8631003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6</v>
      </c>
      <c r="BA157" s="36">
        <f>IFERROR(INDEX('Level Multipliers'!$D:$D,MATCH(AZ157,'Level Multipliers'!$A:$A,0)),"")</f>
        <v>3.1144148940514844</v>
      </c>
      <c r="BB157" s="37">
        <f t="shared" si="86"/>
        <v>0</v>
      </c>
      <c r="BC157" s="37">
        <f t="shared" si="87"/>
        <v>-3</v>
      </c>
      <c r="BD157" s="38">
        <f t="shared" si="88"/>
        <v>975478302.71430874</v>
      </c>
      <c r="BE157" s="38">
        <f t="shared" si="89"/>
        <v>981546582.34521353</v>
      </c>
      <c r="BF157" s="38" t="b">
        <f t="shared" si="90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91"/>
        <v>6.5</v>
      </c>
      <c r="BS157" s="36">
        <f>IFERROR(INDEX('Level Multipliers'!$D:$D,MATCH(BR157,'Level Multipliers'!$A:$A,0)),"")</f>
        <v>2.9811143544095775</v>
      </c>
      <c r="BT157" s="37">
        <f t="shared" si="92"/>
        <v>0</v>
      </c>
      <c r="BU157" s="37">
        <f t="shared" si="93"/>
        <v>-9</v>
      </c>
      <c r="BV157" s="38">
        <f t="shared" si="94"/>
        <v>818891354.94907725</v>
      </c>
      <c r="BW157" s="38">
        <f t="shared" si="95"/>
        <v>823985534.60979784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7"/>
        <v>5</v>
      </c>
      <c r="CK157" s="41">
        <f t="shared" si="98"/>
        <v>5</v>
      </c>
      <c r="CL157" s="66">
        <f t="shared" si="99"/>
        <v>0.78888888888888897</v>
      </c>
      <c r="CM157" s="39">
        <f t="shared" si="100"/>
        <v>0.77777777777777779</v>
      </c>
      <c r="CN157" s="39">
        <f t="shared" si="101"/>
        <v>0.8</v>
      </c>
      <c r="CO157" s="42">
        <f t="shared" si="102"/>
        <v>9</v>
      </c>
      <c r="CP157" s="42">
        <f t="shared" si="103"/>
        <v>11</v>
      </c>
      <c r="CQ157" s="42">
        <f t="shared" si="104"/>
        <v>13</v>
      </c>
      <c r="CR157" s="42">
        <f t="shared" si="105"/>
        <v>14</v>
      </c>
      <c r="CS157" s="42">
        <f t="shared" si="106"/>
        <v>10</v>
      </c>
      <c r="CT157" s="42">
        <f t="shared" si="107"/>
        <v>13</v>
      </c>
      <c r="CU157" s="43" t="str">
        <f t="shared" si="108"/>
        <v>9-11</v>
      </c>
      <c r="CV157" s="43" t="str">
        <f t="shared" si="109"/>
        <v>13-14</v>
      </c>
      <c r="CW157" s="43" t="str">
        <f t="shared" si="110"/>
        <v>10-13</v>
      </c>
      <c r="CX157" s="13"/>
    </row>
    <row r="158" spans="1:102" x14ac:dyDescent="0.25">
      <c r="A158" s="31" t="s">
        <v>165</v>
      </c>
      <c r="B158" s="13">
        <v>2099</v>
      </c>
      <c r="C158" s="13">
        <v>101</v>
      </c>
      <c r="D158" s="13">
        <v>50</v>
      </c>
      <c r="E158" s="32" t="s">
        <v>0</v>
      </c>
      <c r="F158" s="32"/>
      <c r="G158" s="32"/>
      <c r="H158" s="32">
        <v>1</v>
      </c>
      <c r="I158" s="32" t="s">
        <v>0</v>
      </c>
      <c r="J158" s="13"/>
      <c r="K158" s="33"/>
      <c r="L158" s="34">
        <f>IFERROR(INDEX('Pokemon Data'!A:A,MATCH($A158,'Pokemon Data'!$B:$B,0)),"")</f>
        <v>124</v>
      </c>
      <c r="M158" s="34">
        <f>IFERROR(INDEX('Pokemon Data'!I:I,MATCH($A158,'Pokemon Data'!$B:$B,0)),"")</f>
        <v>130</v>
      </c>
      <c r="N158" s="34">
        <f>IFERROR(INDEX('Pokemon Data'!J:J,MATCH($A158,'Pokemon Data'!$B:$B,0)),"")</f>
        <v>223</v>
      </c>
      <c r="O158" s="34">
        <f>IFERROR(INDEX('Pokemon Data'!K:K,MATCH($A158,'Pokemon Data'!$B:$B,0)),"")</f>
        <v>182</v>
      </c>
      <c r="P158" s="35">
        <f>IFERROR(INDEX('Level Multipliers'!$A:$A,MATCH($D158,'Level Multipliers'!$B:$B,0)),"")</f>
        <v>29</v>
      </c>
      <c r="Q158" s="36">
        <f>IFERROR(INDEX('Level Multipliers'!$D:$D,MATCH(P158,'Level Multipliers'!$A:$A,0)),"")</f>
        <v>1.3900490110869419</v>
      </c>
      <c r="R158" s="37">
        <f t="shared" si="74"/>
        <v>11</v>
      </c>
      <c r="S158" s="37">
        <f t="shared" si="75"/>
        <v>11</v>
      </c>
      <c r="T158" s="38">
        <f t="shared" si="76"/>
        <v>1644922077.6177001</v>
      </c>
      <c r="U158" s="38">
        <f t="shared" si="77"/>
        <v>1646489789.7780807</v>
      </c>
      <c r="V158" s="38" t="b">
        <f t="shared" si="78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9"/>
        <v>29.5</v>
      </c>
      <c r="AI158" s="36">
        <f>IFERROR(INDEX('Level Multipliers'!$D:$D,MATCH(AH158,'Level Multipliers'!$A:$A,0)),"")</f>
        <v>1.3782161611191808</v>
      </c>
      <c r="AJ158" s="37">
        <f t="shared" si="80"/>
        <v>10</v>
      </c>
      <c r="AK158" s="37">
        <f t="shared" si="81"/>
        <v>10</v>
      </c>
      <c r="AL158" s="38">
        <f t="shared" si="82"/>
        <v>1589623336.9625351</v>
      </c>
      <c r="AM158" s="38">
        <f t="shared" si="83"/>
        <v>1591138346.0135355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30</v>
      </c>
      <c r="BA158" s="36">
        <f>IFERROR(INDEX('Level Multipliers'!$D:$D,MATCH(AZ158,'Level Multipliers'!$A:$A,0)),"")</f>
        <v>1.3666803275917536</v>
      </c>
      <c r="BB158" s="37">
        <f t="shared" si="86"/>
        <v>9</v>
      </c>
      <c r="BC158" s="37">
        <f t="shared" si="87"/>
        <v>9</v>
      </c>
      <c r="BD158" s="38">
        <f t="shared" si="88"/>
        <v>1537066472.5230858</v>
      </c>
      <c r="BE158" s="38">
        <f t="shared" si="89"/>
        <v>1538531391.6417942</v>
      </c>
      <c r="BF158" s="38" t="b">
        <f t="shared" si="90"/>
        <v>0</v>
      </c>
      <c r="BG158" s="37">
        <f t="array" ref="BG158:BQ158">IF(BF158,"",IVSolution($M158,$N158,$O158,BB158,BC158,BD158,BE158,$E158,$F158,$G158,$H158,$I158))</f>
        <v>1</v>
      </c>
      <c r="BH158" s="37">
        <v>38</v>
      </c>
      <c r="BI158" s="37">
        <v>38</v>
      </c>
      <c r="BJ158" s="39">
        <v>0.84444444444444444</v>
      </c>
      <c r="BK158" s="39">
        <v>0.84444444444444444</v>
      </c>
      <c r="BL158" s="37">
        <v>9</v>
      </c>
      <c r="BM158" s="37">
        <v>9</v>
      </c>
      <c r="BN158" s="37">
        <v>14</v>
      </c>
      <c r="BO158" s="37">
        <v>14</v>
      </c>
      <c r="BP158" s="37">
        <v>15</v>
      </c>
      <c r="BQ158" s="37">
        <v>15</v>
      </c>
      <c r="BR158" s="40">
        <f t="shared" si="91"/>
        <v>30.5</v>
      </c>
      <c r="BS158" s="36">
        <f>IFERROR(INDEX('Level Multipliers'!$D:$D,MATCH(BR158,'Level Multipliers'!$A:$A,0)),"")</f>
        <v>1.3610237451455012</v>
      </c>
      <c r="BT158" s="37">
        <f t="shared" si="92"/>
        <v>8</v>
      </c>
      <c r="BU158" s="37">
        <f t="shared" si="93"/>
        <v>8</v>
      </c>
      <c r="BV158" s="38">
        <f t="shared" si="94"/>
        <v>1511776833.6937838</v>
      </c>
      <c r="BW158" s="38">
        <f t="shared" si="95"/>
        <v>1513217650.2274129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7"/>
        <v>30</v>
      </c>
      <c r="CK158" s="41">
        <f t="shared" si="98"/>
        <v>30</v>
      </c>
      <c r="CL158" s="66">
        <f t="shared" si="99"/>
        <v>0.84444444444444444</v>
      </c>
      <c r="CM158" s="39">
        <f t="shared" si="100"/>
        <v>0.84444444444444444</v>
      </c>
      <c r="CN158" s="39">
        <f t="shared" si="101"/>
        <v>0.84444444444444444</v>
      </c>
      <c r="CO158" s="42">
        <f t="shared" si="102"/>
        <v>9</v>
      </c>
      <c r="CP158" s="42">
        <f t="shared" si="103"/>
        <v>9</v>
      </c>
      <c r="CQ158" s="42">
        <f t="shared" si="104"/>
        <v>14</v>
      </c>
      <c r="CR158" s="42">
        <f t="shared" si="105"/>
        <v>14</v>
      </c>
      <c r="CS158" s="42">
        <f t="shared" si="106"/>
        <v>15</v>
      </c>
      <c r="CT158" s="42">
        <f t="shared" si="107"/>
        <v>15</v>
      </c>
      <c r="CU158" s="43">
        <f t="shared" si="108"/>
        <v>9</v>
      </c>
      <c r="CV158" s="43">
        <f t="shared" si="109"/>
        <v>14</v>
      </c>
      <c r="CW158" s="43">
        <f t="shared" si="110"/>
        <v>15</v>
      </c>
      <c r="CX158" s="13" t="s">
        <v>433</v>
      </c>
    </row>
    <row r="159" spans="1:102" x14ac:dyDescent="0.25">
      <c r="A159" s="31" t="s">
        <v>165</v>
      </c>
      <c r="B159" s="13">
        <v>1489</v>
      </c>
      <c r="C159" s="13">
        <v>87</v>
      </c>
      <c r="D159" s="13">
        <v>35</v>
      </c>
      <c r="E159" s="32" t="s">
        <v>1</v>
      </c>
      <c r="F159" s="32"/>
      <c r="G159" s="32"/>
      <c r="H159" s="32">
        <v>1</v>
      </c>
      <c r="I159" s="32" t="s">
        <v>3</v>
      </c>
      <c r="J159" s="13"/>
      <c r="K159" s="33"/>
      <c r="L159" s="34">
        <f>IFERROR(INDEX('Pokemon Data'!A:A,MATCH($A159,'Pokemon Data'!$B:$B,0)),"")</f>
        <v>124</v>
      </c>
      <c r="M159" s="34">
        <f>IFERROR(INDEX('Pokemon Data'!I:I,MATCH($A159,'Pokemon Data'!$B:$B,0)),"")</f>
        <v>130</v>
      </c>
      <c r="N159" s="34">
        <f>IFERROR(INDEX('Pokemon Data'!J:J,MATCH($A159,'Pokemon Data'!$B:$B,0)),"")</f>
        <v>223</v>
      </c>
      <c r="O159" s="34">
        <f>IFERROR(INDEX('Pokemon Data'!K:K,MATCH($A159,'Pokemon Data'!$B:$B,0)),"")</f>
        <v>182</v>
      </c>
      <c r="P159" s="35">
        <f>IFERROR(INDEX('Level Multipliers'!$A:$A,MATCH($D159,'Level Multipliers'!$B:$B,0)),"")</f>
        <v>23</v>
      </c>
      <c r="Q159" s="36">
        <f>IFERROR(INDEX('Level Multipliers'!$D:$D,MATCH(P159,'Level Multipliers'!$A:$A,0)),"")</f>
        <v>1.5609074973486676</v>
      </c>
      <c r="R159" s="37">
        <f t="shared" si="74"/>
        <v>6</v>
      </c>
      <c r="S159" s="37">
        <f t="shared" si="75"/>
        <v>7</v>
      </c>
      <c r="T159" s="38">
        <f t="shared" si="76"/>
        <v>1316127798.0640311</v>
      </c>
      <c r="U159" s="38">
        <f t="shared" si="77"/>
        <v>1317896192.6218529</v>
      </c>
      <c r="V159" s="38" t="b">
        <f t="shared" si="78"/>
        <v>0</v>
      </c>
      <c r="W159" s="37">
        <f t="array" ref="W159:AG159">IF(V159,"",IVSolution($M159,$N159,$O159,R159,S159,T159,U159,$E159,$F159,$G159,$H159,$I159))</f>
        <v>2</v>
      </c>
      <c r="X159" s="37">
        <v>17</v>
      </c>
      <c r="Y159" s="37">
        <v>18</v>
      </c>
      <c r="Z159" s="39">
        <v>0.37777777777777777</v>
      </c>
      <c r="AA159" s="39">
        <v>0.4</v>
      </c>
      <c r="AB159" s="37">
        <v>6</v>
      </c>
      <c r="AC159" s="37">
        <v>7</v>
      </c>
      <c r="AD159" s="37">
        <v>1</v>
      </c>
      <c r="AE159" s="37">
        <v>2</v>
      </c>
      <c r="AF159" s="37">
        <v>8</v>
      </c>
      <c r="AG159" s="37">
        <v>11</v>
      </c>
      <c r="AH159" s="40">
        <f t="shared" si="79"/>
        <v>23.5</v>
      </c>
      <c r="AI159" s="36">
        <f>IFERROR(INDEX('Level Multipliers'!$D:$D,MATCH(AH159,'Level Multipliers'!$A:$A,0)),"")</f>
        <v>1.5442084375315592</v>
      </c>
      <c r="AJ159" s="37">
        <f t="shared" si="80"/>
        <v>5</v>
      </c>
      <c r="AK159" s="37">
        <f t="shared" si="81"/>
        <v>5</v>
      </c>
      <c r="AL159" s="38">
        <f t="shared" si="82"/>
        <v>1260703852.3573446</v>
      </c>
      <c r="AM159" s="38">
        <f t="shared" si="83"/>
        <v>1262397777.3962452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24</v>
      </c>
      <c r="BA159" s="36">
        <f>IFERROR(INDEX('Level Multipliers'!$D:$D,MATCH(AZ159,'Level Multipliers'!$A:$A,0)),"")</f>
        <v>1.5280341520389438</v>
      </c>
      <c r="BB159" s="37">
        <f t="shared" si="86"/>
        <v>3</v>
      </c>
      <c r="BC159" s="37">
        <f t="shared" si="87"/>
        <v>4</v>
      </c>
      <c r="BD159" s="38">
        <f t="shared" si="88"/>
        <v>1208708675.7750769</v>
      </c>
      <c r="BE159" s="38">
        <f t="shared" si="89"/>
        <v>1210332738.3071327</v>
      </c>
      <c r="BF159" s="38" t="b">
        <f t="shared" si="90"/>
        <v>0</v>
      </c>
      <c r="BG159" s="37">
        <f t="array" ref="BG159:BQ159">IF(BF159,"",IVSolution($M159,$N159,$O159,BB159,BC159,BD159,BE159,$E159,$F159,$G159,$H159,$I159))</f>
        <v>0</v>
      </c>
      <c r="BH159" s="37" t="str">
        <v/>
      </c>
      <c r="BI159" s="37" t="str">
        <v/>
      </c>
      <c r="BJ159" s="39" t="str">
        <v/>
      </c>
      <c r="BK159" s="39" t="str">
        <v/>
      </c>
      <c r="BL159" s="37" t="str">
        <v/>
      </c>
      <c r="BM159" s="37" t="str">
        <v/>
      </c>
      <c r="BN159" s="37" t="str">
        <v/>
      </c>
      <c r="BO159" s="37" t="str">
        <v/>
      </c>
      <c r="BP159" s="37" t="str">
        <v/>
      </c>
      <c r="BQ159" s="37" t="str">
        <v/>
      </c>
      <c r="BR159" s="40">
        <f t="shared" si="91"/>
        <v>24.5</v>
      </c>
      <c r="BS159" s="36">
        <f>IFERROR(INDEX('Level Multipliers'!$D:$D,MATCH(BR159,'Level Multipliers'!$A:$A,0)),"")</f>
        <v>1.5123576273617088</v>
      </c>
      <c r="BT159" s="37">
        <f t="shared" si="92"/>
        <v>2</v>
      </c>
      <c r="BU159" s="37">
        <f t="shared" si="93"/>
        <v>3</v>
      </c>
      <c r="BV159" s="38">
        <f t="shared" si="94"/>
        <v>1159864882.4636345</v>
      </c>
      <c r="BW159" s="38">
        <f t="shared" si="95"/>
        <v>1161423316.7957523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7"/>
        <v>23</v>
      </c>
      <c r="CK159" s="41">
        <f t="shared" si="98"/>
        <v>23</v>
      </c>
      <c r="CL159" s="66">
        <f t="shared" si="99"/>
        <v>0.3888888888888889</v>
      </c>
      <c r="CM159" s="39">
        <f t="shared" si="100"/>
        <v>0.37777777777777777</v>
      </c>
      <c r="CN159" s="39">
        <f t="shared" si="101"/>
        <v>0.4</v>
      </c>
      <c r="CO159" s="42">
        <f t="shared" si="102"/>
        <v>6</v>
      </c>
      <c r="CP159" s="42">
        <f t="shared" si="103"/>
        <v>7</v>
      </c>
      <c r="CQ159" s="42">
        <f t="shared" si="104"/>
        <v>1</v>
      </c>
      <c r="CR159" s="42">
        <f t="shared" si="105"/>
        <v>2</v>
      </c>
      <c r="CS159" s="42">
        <f t="shared" si="106"/>
        <v>8</v>
      </c>
      <c r="CT159" s="42">
        <f t="shared" si="107"/>
        <v>11</v>
      </c>
      <c r="CU159" s="43" t="str">
        <f t="shared" si="108"/>
        <v>6-7</v>
      </c>
      <c r="CV159" s="43" t="str">
        <f t="shared" si="109"/>
        <v>1-2</v>
      </c>
      <c r="CW159" s="43" t="str">
        <f t="shared" si="110"/>
        <v>8-11</v>
      </c>
      <c r="CX159" s="13" t="s">
        <v>433</v>
      </c>
    </row>
    <row r="160" spans="1:102" x14ac:dyDescent="0.25">
      <c r="A160" s="31" t="s">
        <v>165</v>
      </c>
      <c r="B160" s="13">
        <v>1401</v>
      </c>
      <c r="C160" s="13">
        <v>86</v>
      </c>
      <c r="D160" s="13">
        <v>25</v>
      </c>
      <c r="E160" s="32" t="s">
        <v>0</v>
      </c>
      <c r="F160" s="32">
        <v>1</v>
      </c>
      <c r="G160" s="32"/>
      <c r="H160" s="32"/>
      <c r="I160" s="32" t="s">
        <v>2</v>
      </c>
      <c r="J160" s="13"/>
      <c r="K160" s="33"/>
      <c r="L160" s="34">
        <f>IFERROR(INDEX('Pokemon Data'!A:A,MATCH($A160,'Pokemon Data'!$B:$B,0)),"")</f>
        <v>124</v>
      </c>
      <c r="M160" s="34">
        <f>IFERROR(INDEX('Pokemon Data'!I:I,MATCH($A160,'Pokemon Data'!$B:$B,0)),"")</f>
        <v>130</v>
      </c>
      <c r="N160" s="34">
        <f>IFERROR(INDEX('Pokemon Data'!J:J,MATCH($A160,'Pokemon Data'!$B:$B,0)),"")</f>
        <v>223</v>
      </c>
      <c r="O160" s="34">
        <f>IFERROR(INDEX('Pokemon Data'!K:K,MATCH($A160,'Pokemon Data'!$B:$B,0)),"")</f>
        <v>182</v>
      </c>
      <c r="P160" s="35">
        <f>IFERROR(INDEX('Level Multipliers'!$A:$A,MATCH($D160,'Level Multipliers'!$B:$B,0)),"")</f>
        <v>19</v>
      </c>
      <c r="Q160" s="36">
        <f>IFERROR(INDEX('Level Multipliers'!$D:$D,MATCH(P160,'Level Multipliers'!$A:$A,0)),"")</f>
        <v>1.7173900470456649</v>
      </c>
      <c r="R160" s="37">
        <f t="shared" si="74"/>
        <v>18</v>
      </c>
      <c r="S160" s="37">
        <f t="shared" si="75"/>
        <v>15</v>
      </c>
      <c r="T160" s="38">
        <f t="shared" si="76"/>
        <v>1707465892.624414</v>
      </c>
      <c r="U160" s="38">
        <f t="shared" si="77"/>
        <v>1709904258.4582536</v>
      </c>
      <c r="V160" s="38" t="b">
        <f t="shared" si="78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9"/>
        <v>19.5</v>
      </c>
      <c r="AI160" s="36">
        <f>IFERROR(INDEX('Level Multipliers'!$D:$D,MATCH(AH160,'Level Multipliers'!$A:$A,0)),"")</f>
        <v>1.6952373266621776</v>
      </c>
      <c r="AJ160" s="37">
        <f t="shared" si="80"/>
        <v>16</v>
      </c>
      <c r="AK160" s="37">
        <f t="shared" si="81"/>
        <v>15</v>
      </c>
      <c r="AL160" s="38">
        <f t="shared" si="82"/>
        <v>1621057037.5195916</v>
      </c>
      <c r="AM160" s="38">
        <f t="shared" si="83"/>
        <v>1623372006.2179809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20</v>
      </c>
      <c r="BA160" s="36">
        <f>IFERROR(INDEX('Level Multipliers'!$D:$D,MATCH(AZ160,'Level Multipliers'!$A:$A,0)),"")</f>
        <v>1.6739202944034379</v>
      </c>
      <c r="BB160" s="37">
        <f t="shared" si="86"/>
        <v>14</v>
      </c>
      <c r="BC160" s="37">
        <f t="shared" si="87"/>
        <v>15</v>
      </c>
      <c r="BD160" s="38">
        <f t="shared" si="88"/>
        <v>1541045173.0501842</v>
      </c>
      <c r="BE160" s="38">
        <f t="shared" si="89"/>
        <v>1543245879.9074049</v>
      </c>
      <c r="BF160" s="38" t="b">
        <f t="shared" si="90"/>
        <v>0</v>
      </c>
      <c r="BG160" s="37">
        <f t="array" ref="BG160:BQ160">IF(BF160,"",IVSolution($M160,$N160,$O160,BB160,BC160,BD160,BE160,$E160,$F160,$G160,$H160,$I160))</f>
        <v>1</v>
      </c>
      <c r="BH160" s="37">
        <v>38</v>
      </c>
      <c r="BI160" s="37">
        <v>38</v>
      </c>
      <c r="BJ160" s="39">
        <v>0.84444444444444444</v>
      </c>
      <c r="BK160" s="39">
        <v>0.84444444444444444</v>
      </c>
      <c r="BL160" s="37">
        <v>14</v>
      </c>
      <c r="BM160" s="37">
        <v>14</v>
      </c>
      <c r="BN160" s="37">
        <v>12</v>
      </c>
      <c r="BO160" s="37">
        <v>12</v>
      </c>
      <c r="BP160" s="37">
        <v>12</v>
      </c>
      <c r="BQ160" s="37">
        <v>12</v>
      </c>
      <c r="BR160" s="40">
        <f t="shared" si="91"/>
        <v>20.5</v>
      </c>
      <c r="BS160" s="36">
        <f>IFERROR(INDEX('Level Multipliers'!$D:$D,MATCH(BR160,'Level Multipliers'!$A:$A,0)),"")</f>
        <v>1.6533745038028393</v>
      </c>
      <c r="BT160" s="37">
        <f t="shared" si="92"/>
        <v>13</v>
      </c>
      <c r="BU160" s="37">
        <f t="shared" si="93"/>
        <v>13</v>
      </c>
      <c r="BV160" s="38">
        <f t="shared" si="94"/>
        <v>1466767287.0725019</v>
      </c>
      <c r="BW160" s="38">
        <f t="shared" si="95"/>
        <v>1468861920.5609016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7"/>
        <v>20</v>
      </c>
      <c r="CK160" s="41">
        <f t="shared" si="98"/>
        <v>20</v>
      </c>
      <c r="CL160" s="66">
        <f t="shared" si="99"/>
        <v>0.84444444444444444</v>
      </c>
      <c r="CM160" s="39">
        <f t="shared" si="100"/>
        <v>0.84444444444444444</v>
      </c>
      <c r="CN160" s="39">
        <f t="shared" si="101"/>
        <v>0.84444444444444444</v>
      </c>
      <c r="CO160" s="42">
        <f t="shared" si="102"/>
        <v>14</v>
      </c>
      <c r="CP160" s="42">
        <f t="shared" si="103"/>
        <v>14</v>
      </c>
      <c r="CQ160" s="42">
        <f t="shared" si="104"/>
        <v>12</v>
      </c>
      <c r="CR160" s="42">
        <f t="shared" si="105"/>
        <v>12</v>
      </c>
      <c r="CS160" s="42">
        <f t="shared" si="106"/>
        <v>12</v>
      </c>
      <c r="CT160" s="42">
        <f t="shared" si="107"/>
        <v>12</v>
      </c>
      <c r="CU160" s="43">
        <f t="shared" si="108"/>
        <v>14</v>
      </c>
      <c r="CV160" s="43">
        <f t="shared" si="109"/>
        <v>12</v>
      </c>
      <c r="CW160" s="43">
        <f t="shared" si="110"/>
        <v>12</v>
      </c>
      <c r="CX160" s="13" t="s">
        <v>434</v>
      </c>
    </row>
    <row r="161" spans="1:102" x14ac:dyDescent="0.25">
      <c r="A161" s="31" t="s">
        <v>167</v>
      </c>
      <c r="B161" s="13">
        <v>1207</v>
      </c>
      <c r="C161" s="13">
        <v>84</v>
      </c>
      <c r="D161" s="13">
        <v>25</v>
      </c>
      <c r="E161" s="32" t="s">
        <v>2</v>
      </c>
      <c r="F161" s="32"/>
      <c r="G161" s="32">
        <v>1</v>
      </c>
      <c r="H161" s="32"/>
      <c r="I161" s="32" t="s">
        <v>3</v>
      </c>
      <c r="J161" s="13"/>
      <c r="K161" s="33"/>
      <c r="L161" s="34">
        <f>IFERROR(INDEX('Pokemon Data'!A:A,MATCH($A161,'Pokemon Data'!$B:$B,0)),"")</f>
        <v>125</v>
      </c>
      <c r="M161" s="34">
        <f>IFERROR(INDEX('Pokemon Data'!I:I,MATCH($A161,'Pokemon Data'!$B:$B,0)),"")</f>
        <v>130</v>
      </c>
      <c r="N161" s="34">
        <f>IFERROR(INDEX('Pokemon Data'!J:J,MATCH($A161,'Pokemon Data'!$B:$B,0)),"")</f>
        <v>198</v>
      </c>
      <c r="O161" s="34">
        <f>IFERROR(INDEX('Pokemon Data'!K:K,MATCH($A161,'Pokemon Data'!$B:$B,0)),"")</f>
        <v>173</v>
      </c>
      <c r="P161" s="35">
        <f>IFERROR(INDEX('Level Multipliers'!$A:$A,MATCH($D161,'Level Multipliers'!$B:$B,0)),"")</f>
        <v>19</v>
      </c>
      <c r="Q161" s="36">
        <f>IFERROR(INDEX('Level Multipliers'!$D:$D,MATCH(P161,'Level Multipliers'!$A:$A,0)),"")</f>
        <v>1.7173900470456649</v>
      </c>
      <c r="R161" s="37">
        <f t="shared" si="74"/>
        <v>15</v>
      </c>
      <c r="S161" s="37">
        <f t="shared" si="75"/>
        <v>15</v>
      </c>
      <c r="T161" s="38">
        <f t="shared" si="76"/>
        <v>1267331725.5310063</v>
      </c>
      <c r="U161" s="38">
        <f t="shared" si="77"/>
        <v>1269432565.1630871</v>
      </c>
      <c r="V161" s="38" t="b">
        <f t="shared" si="78"/>
        <v>1</v>
      </c>
      <c r="W161" s="37" t="str">
        <f t="array" ref="W161:AG161">IF(V161,"",IVSolution($M161,$N161,$O161,R161,S161,T161,U161,$E161,$F161,$G161,$H161,$I161))</f>
        <v/>
      </c>
      <c r="X161" s="37" t="str">
        <v/>
      </c>
      <c r="Y161" s="37" t="str">
        <v/>
      </c>
      <c r="Z161" s="39" t="str">
        <v/>
      </c>
      <c r="AA161" s="39" t="str">
        <v/>
      </c>
      <c r="AB161" s="37" t="str">
        <v/>
      </c>
      <c r="AC161" s="37" t="str">
        <v/>
      </c>
      <c r="AD161" s="37" t="str">
        <v/>
      </c>
      <c r="AE161" s="37" t="str">
        <v/>
      </c>
      <c r="AF161" s="37" t="str">
        <v/>
      </c>
      <c r="AG161" s="37" t="str">
        <v/>
      </c>
      <c r="AH161" s="40">
        <f t="shared" si="79"/>
        <v>19.5</v>
      </c>
      <c r="AI161" s="36">
        <f>IFERROR(INDEX('Level Multipliers'!$D:$D,MATCH(AH161,'Level Multipliers'!$A:$A,0)),"")</f>
        <v>1.6952373266621776</v>
      </c>
      <c r="AJ161" s="37">
        <f t="shared" si="80"/>
        <v>13</v>
      </c>
      <c r="AK161" s="37">
        <f t="shared" si="81"/>
        <v>14</v>
      </c>
      <c r="AL161" s="38">
        <f t="shared" si="82"/>
        <v>1203196515.6189442</v>
      </c>
      <c r="AM161" s="38">
        <f t="shared" si="83"/>
        <v>1205191039.1318271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20</v>
      </c>
      <c r="BA161" s="36">
        <f>IFERROR(INDEX('Level Multipliers'!$D:$D,MATCH(AZ161,'Level Multipliers'!$A:$A,0)),"")</f>
        <v>1.6739202944034379</v>
      </c>
      <c r="BB161" s="37">
        <f t="shared" si="86"/>
        <v>11</v>
      </c>
      <c r="BC161" s="37">
        <f t="shared" si="87"/>
        <v>12</v>
      </c>
      <c r="BD161" s="38">
        <f t="shared" si="88"/>
        <v>1143809341.5037937</v>
      </c>
      <c r="BE161" s="38">
        <f t="shared" si="89"/>
        <v>1145705419.6558409</v>
      </c>
      <c r="BF161" s="38" t="b">
        <f t="shared" si="90"/>
        <v>0</v>
      </c>
      <c r="BG161" s="37">
        <f t="array" ref="BG161:BQ161">IF(BF161,"",IVSolution($M161,$N161,$O161,BB161,BC161,BD161,BE161,$E161,$F161,$G161,$H161,$I161))</f>
        <v>1</v>
      </c>
      <c r="BH161" s="37">
        <v>34</v>
      </c>
      <c r="BI161" s="37">
        <v>34</v>
      </c>
      <c r="BJ161" s="39">
        <v>0.75555555555555554</v>
      </c>
      <c r="BK161" s="39">
        <v>0.75555555555555554</v>
      </c>
      <c r="BL161" s="37">
        <v>11</v>
      </c>
      <c r="BM161" s="37">
        <v>11</v>
      </c>
      <c r="BN161" s="37">
        <v>12</v>
      </c>
      <c r="BO161" s="37">
        <v>12</v>
      </c>
      <c r="BP161" s="37">
        <v>11</v>
      </c>
      <c r="BQ161" s="37">
        <v>11</v>
      </c>
      <c r="BR161" s="40">
        <f t="shared" si="91"/>
        <v>20.5</v>
      </c>
      <c r="BS161" s="36">
        <f>IFERROR(INDEX('Level Multipliers'!$D:$D,MATCH(BR161,'Level Multipliers'!$A:$A,0)),"")</f>
        <v>1.6533745038028393</v>
      </c>
      <c r="BT161" s="37">
        <f t="shared" si="92"/>
        <v>9</v>
      </c>
      <c r="BU161" s="37">
        <f t="shared" si="93"/>
        <v>10</v>
      </c>
      <c r="BV161" s="38">
        <f t="shared" si="94"/>
        <v>1088678095.9477234</v>
      </c>
      <c r="BW161" s="38">
        <f t="shared" si="95"/>
        <v>1090482783.7374077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7"/>
        <v>20</v>
      </c>
      <c r="CK161" s="41">
        <f t="shared" si="98"/>
        <v>20</v>
      </c>
      <c r="CL161" s="66">
        <f t="shared" si="99"/>
        <v>0.75555555555555554</v>
      </c>
      <c r="CM161" s="39">
        <f t="shared" si="100"/>
        <v>0.75555555555555554</v>
      </c>
      <c r="CN161" s="39">
        <f t="shared" si="101"/>
        <v>0.75555555555555554</v>
      </c>
      <c r="CO161" s="42">
        <f t="shared" si="102"/>
        <v>11</v>
      </c>
      <c r="CP161" s="42">
        <f t="shared" si="103"/>
        <v>11</v>
      </c>
      <c r="CQ161" s="42">
        <f t="shared" si="104"/>
        <v>12</v>
      </c>
      <c r="CR161" s="42">
        <f t="shared" si="105"/>
        <v>12</v>
      </c>
      <c r="CS161" s="42">
        <f t="shared" si="106"/>
        <v>11</v>
      </c>
      <c r="CT161" s="42">
        <f t="shared" si="107"/>
        <v>11</v>
      </c>
      <c r="CU161" s="43">
        <f t="shared" si="108"/>
        <v>11</v>
      </c>
      <c r="CV161" s="43">
        <f t="shared" si="109"/>
        <v>12</v>
      </c>
      <c r="CW161" s="43">
        <f t="shared" si="110"/>
        <v>11</v>
      </c>
      <c r="CX161" s="13" t="s">
        <v>427</v>
      </c>
    </row>
    <row r="162" spans="1:102" x14ac:dyDescent="0.25">
      <c r="A162" s="31" t="s">
        <v>167</v>
      </c>
      <c r="B162" s="13">
        <v>848</v>
      </c>
      <c r="C162" s="13">
        <v>69</v>
      </c>
      <c r="D162" s="13">
        <v>19</v>
      </c>
      <c r="E162" s="32" t="s">
        <v>1</v>
      </c>
      <c r="F162" s="32"/>
      <c r="G162" s="32">
        <v>1</v>
      </c>
      <c r="H162" s="32">
        <v>1</v>
      </c>
      <c r="I162" s="32" t="s">
        <v>1</v>
      </c>
      <c r="J162" s="13"/>
      <c r="K162" s="33"/>
      <c r="L162" s="34">
        <f>IFERROR(INDEX('Pokemon Data'!A:A,MATCH($A162,'Pokemon Data'!$B:$B,0)),"")</f>
        <v>125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198</v>
      </c>
      <c r="O162" s="34">
        <f>IFERROR(INDEX('Pokemon Data'!K:K,MATCH($A162,'Pokemon Data'!$B:$B,0)),"")</f>
        <v>173</v>
      </c>
      <c r="P162" s="35">
        <f>IFERROR(INDEX('Level Multipliers'!$A:$A,MATCH($D162,'Level Multipliers'!$B:$B,0)),"")</f>
        <v>15</v>
      </c>
      <c r="Q162" s="36">
        <f>IFERROR(INDEX('Level Multipliers'!$D:$D,MATCH(P162,'Level Multipliers'!$A:$A,0)),"")</f>
        <v>1.9327632386874845</v>
      </c>
      <c r="R162" s="37">
        <f t="shared" si="74"/>
        <v>4</v>
      </c>
      <c r="S162" s="37">
        <f t="shared" si="75"/>
        <v>5</v>
      </c>
      <c r="T162" s="38">
        <f t="shared" si="76"/>
        <v>1003474478.1142914</v>
      </c>
      <c r="U162" s="38">
        <f t="shared" si="77"/>
        <v>1005842558.6552979</v>
      </c>
      <c r="V162" s="38" t="b">
        <f t="shared" si="78"/>
        <v>0</v>
      </c>
      <c r="W162" s="37">
        <f t="array" ref="W162:AG162">IF(V162,"",IVSolution($M162,$N162,$O162,R162,S162,T162,U162,$E162,$F162,$G162,$H162,$I162))</f>
        <v>1</v>
      </c>
      <c r="X162" s="37">
        <v>17</v>
      </c>
      <c r="Y162" s="37">
        <v>17</v>
      </c>
      <c r="Z162" s="39">
        <v>0.37777777777777777</v>
      </c>
      <c r="AA162" s="39">
        <v>0.37777777777777777</v>
      </c>
      <c r="AB162" s="37">
        <v>5</v>
      </c>
      <c r="AC162" s="37">
        <v>5</v>
      </c>
      <c r="AD162" s="37">
        <v>6</v>
      </c>
      <c r="AE162" s="37">
        <v>6</v>
      </c>
      <c r="AF162" s="37">
        <v>6</v>
      </c>
      <c r="AG162" s="37">
        <v>6</v>
      </c>
      <c r="AH162" s="40">
        <f t="shared" si="79"/>
        <v>15.5</v>
      </c>
      <c r="AI162" s="36">
        <f>IFERROR(INDEX('Level Multipliers'!$D:$D,MATCH(AH162,'Level Multipliers'!$A:$A,0)),"")</f>
        <v>1.9013484732050823</v>
      </c>
      <c r="AJ162" s="37">
        <f t="shared" si="80"/>
        <v>2</v>
      </c>
      <c r="AK162" s="37">
        <f t="shared" si="81"/>
        <v>3</v>
      </c>
      <c r="AL162" s="38">
        <f t="shared" si="82"/>
        <v>939806805.72752225</v>
      </c>
      <c r="AM162" s="38">
        <f t="shared" si="83"/>
        <v>942024638.12634027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16</v>
      </c>
      <c r="BA162" s="36">
        <f>IFERROR(INDEX('Level Multipliers'!$D:$D,MATCH(AZ162,'Level Multipliers'!$A:$A,0)),"")</f>
        <v>1.8714174200985207</v>
      </c>
      <c r="BB162" s="37">
        <f t="shared" si="86"/>
        <v>0</v>
      </c>
      <c r="BC162" s="37">
        <f t="shared" si="87"/>
        <v>0</v>
      </c>
      <c r="BD162" s="38">
        <f t="shared" si="88"/>
        <v>882011759.98996174</v>
      </c>
      <c r="BE162" s="38">
        <f t="shared" si="89"/>
        <v>884093202.94773006</v>
      </c>
      <c r="BF162" s="38" t="b">
        <f t="shared" si="90"/>
        <v>0</v>
      </c>
      <c r="BG162" s="37">
        <f t="array" ref="BG162:BQ162">IF(BF162,"",IVSolution($M162,$N162,$O162,BB162,BC162,BD162,BE162,$E162,$F162,$G162,$H162,$I162))</f>
        <v>0</v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91"/>
        <v>16.5</v>
      </c>
      <c r="BS162" s="36">
        <f>IFERROR(INDEX('Level Multipliers'!$D:$D,MATCH(BR162,'Level Multipliers'!$A:$A,0)),"")</f>
        <v>1.8428568206029767</v>
      </c>
      <c r="BT162" s="37">
        <f t="shared" si="92"/>
        <v>0</v>
      </c>
      <c r="BU162" s="37">
        <f t="shared" si="93"/>
        <v>-2</v>
      </c>
      <c r="BV162" s="38">
        <f t="shared" si="94"/>
        <v>829388638.6067152</v>
      </c>
      <c r="BW162" s="38">
        <f t="shared" si="95"/>
        <v>831345897.2504102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7"/>
        <v>15</v>
      </c>
      <c r="CK162" s="41">
        <f t="shared" si="98"/>
        <v>15</v>
      </c>
      <c r="CL162" s="66">
        <f t="shared" si="99"/>
        <v>0.37777777777777777</v>
      </c>
      <c r="CM162" s="39">
        <f t="shared" si="100"/>
        <v>0.37777777777777777</v>
      </c>
      <c r="CN162" s="39">
        <f t="shared" si="101"/>
        <v>0.37777777777777777</v>
      </c>
      <c r="CO162" s="42">
        <f t="shared" si="102"/>
        <v>5</v>
      </c>
      <c r="CP162" s="42">
        <f t="shared" si="103"/>
        <v>5</v>
      </c>
      <c r="CQ162" s="42">
        <f t="shared" si="104"/>
        <v>6</v>
      </c>
      <c r="CR162" s="42">
        <f t="shared" si="105"/>
        <v>6</v>
      </c>
      <c r="CS162" s="42">
        <f t="shared" si="106"/>
        <v>6</v>
      </c>
      <c r="CT162" s="42">
        <f t="shared" si="107"/>
        <v>6</v>
      </c>
      <c r="CU162" s="43">
        <f t="shared" si="108"/>
        <v>5</v>
      </c>
      <c r="CV162" s="43">
        <f t="shared" si="109"/>
        <v>6</v>
      </c>
      <c r="CW162" s="43">
        <f t="shared" si="110"/>
        <v>6</v>
      </c>
      <c r="CX162" s="13" t="s">
        <v>434</v>
      </c>
    </row>
    <row r="163" spans="1:102" x14ac:dyDescent="0.25">
      <c r="A163" s="31" t="s">
        <v>169</v>
      </c>
      <c r="B163" s="13">
        <v>1250</v>
      </c>
      <c r="C163" s="13">
        <v>85</v>
      </c>
      <c r="D163" s="13">
        <v>25</v>
      </c>
      <c r="E163" s="32" t="s">
        <v>0</v>
      </c>
      <c r="F163" s="32"/>
      <c r="G163" s="32"/>
      <c r="H163" s="32">
        <v>1</v>
      </c>
      <c r="I163" s="32" t="s">
        <v>0</v>
      </c>
      <c r="J163" s="13"/>
      <c r="K163" s="33"/>
      <c r="L163" s="34">
        <f>IFERROR(INDEX('Pokemon Data'!A:A,MATCH($A163,'Pokemon Data'!$B:$B,0)),"")</f>
        <v>126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206</v>
      </c>
      <c r="O163" s="34">
        <f>IFERROR(INDEX('Pokemon Data'!K:K,MATCH($A163,'Pokemon Data'!$B:$B,0)),"")</f>
        <v>169</v>
      </c>
      <c r="P163" s="35">
        <f>IFERROR(INDEX('Level Multipliers'!$A:$A,MATCH($D163,'Level Multipliers'!$B:$B,0)),"")</f>
        <v>19</v>
      </c>
      <c r="Q163" s="36">
        <f>IFERROR(INDEX('Level Multipliers'!$D:$D,MATCH(P163,'Level Multipliers'!$A:$A,0)),"")</f>
        <v>1.7173900470456649</v>
      </c>
      <c r="R163" s="37">
        <f t="shared" si="74"/>
        <v>16</v>
      </c>
      <c r="S163" s="37">
        <f t="shared" si="75"/>
        <v>15</v>
      </c>
      <c r="T163" s="38">
        <f t="shared" si="76"/>
        <v>1359238892.391866</v>
      </c>
      <c r="U163" s="38">
        <f t="shared" si="77"/>
        <v>1361414544.532584</v>
      </c>
      <c r="V163" s="38" t="b">
        <f t="shared" si="78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9"/>
        <v>19.5</v>
      </c>
      <c r="AI163" s="36">
        <f>IFERROR(INDEX('Level Multipliers'!$D:$D,MATCH(AH163,'Level Multipliers'!$A:$A,0)),"")</f>
        <v>1.6952373266621776</v>
      </c>
      <c r="AJ163" s="37">
        <f t="shared" si="80"/>
        <v>15</v>
      </c>
      <c r="AK163" s="37">
        <f t="shared" si="81"/>
        <v>15</v>
      </c>
      <c r="AL163" s="38">
        <f t="shared" si="82"/>
        <v>1290452583.3868852</v>
      </c>
      <c r="AM163" s="38">
        <f t="shared" si="83"/>
        <v>1292518133.4099576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20</v>
      </c>
      <c r="BA163" s="36">
        <f>IFERROR(INDEX('Level Multipliers'!$D:$D,MATCH(AZ163,'Level Multipliers'!$A:$A,0)),"")</f>
        <v>1.6739202944034379</v>
      </c>
      <c r="BB163" s="37">
        <f t="shared" si="86"/>
        <v>13</v>
      </c>
      <c r="BC163" s="37">
        <f t="shared" si="87"/>
        <v>13</v>
      </c>
      <c r="BD163" s="38">
        <f t="shared" si="88"/>
        <v>1226758638.7468281</v>
      </c>
      <c r="BE163" s="38">
        <f t="shared" si="89"/>
        <v>1228722237.6943519</v>
      </c>
      <c r="BF163" s="38" t="b">
        <f t="shared" si="90"/>
        <v>0</v>
      </c>
      <c r="BG163" s="37">
        <f t="array" ref="BG163:BQ163">IF(BF163,"",IVSolution($M163,$N163,$O163,BB163,BC163,BD163,BE163,$E163,$F163,$G163,$H163,$I163))</f>
        <v>1</v>
      </c>
      <c r="BH163" s="37">
        <v>38</v>
      </c>
      <c r="BI163" s="37">
        <v>38</v>
      </c>
      <c r="BJ163" s="39">
        <v>0.84444444444444444</v>
      </c>
      <c r="BK163" s="39">
        <v>0.84444444444444444</v>
      </c>
      <c r="BL163" s="37">
        <v>13</v>
      </c>
      <c r="BM163" s="37">
        <v>13</v>
      </c>
      <c r="BN163" s="37">
        <v>10</v>
      </c>
      <c r="BO163" s="37">
        <v>10</v>
      </c>
      <c r="BP163" s="37">
        <v>15</v>
      </c>
      <c r="BQ163" s="37">
        <v>15</v>
      </c>
      <c r="BR163" s="40">
        <f t="shared" si="91"/>
        <v>20.5</v>
      </c>
      <c r="BS163" s="36">
        <f>IFERROR(INDEX('Level Multipliers'!$D:$D,MATCH(BR163,'Level Multipliers'!$A:$A,0)),"")</f>
        <v>1.6533745038028393</v>
      </c>
      <c r="BT163" s="37">
        <f t="shared" si="92"/>
        <v>11</v>
      </c>
      <c r="BU163" s="37">
        <f t="shared" si="93"/>
        <v>12</v>
      </c>
      <c r="BV163" s="38">
        <f t="shared" si="94"/>
        <v>1167629263.5120852</v>
      </c>
      <c r="BW163" s="38">
        <f t="shared" si="95"/>
        <v>1169498217.6164331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7"/>
        <v>20</v>
      </c>
      <c r="CK163" s="41">
        <f t="shared" si="98"/>
        <v>20</v>
      </c>
      <c r="CL163" s="66">
        <f t="shared" si="99"/>
        <v>0.84444444444444444</v>
      </c>
      <c r="CM163" s="39">
        <f t="shared" si="100"/>
        <v>0.84444444444444444</v>
      </c>
      <c r="CN163" s="39">
        <f t="shared" si="101"/>
        <v>0.84444444444444444</v>
      </c>
      <c r="CO163" s="42">
        <f t="shared" si="102"/>
        <v>13</v>
      </c>
      <c r="CP163" s="42">
        <f t="shared" si="103"/>
        <v>13</v>
      </c>
      <c r="CQ163" s="42">
        <f t="shared" si="104"/>
        <v>10</v>
      </c>
      <c r="CR163" s="42">
        <f t="shared" si="105"/>
        <v>10</v>
      </c>
      <c r="CS163" s="42">
        <f t="shared" si="106"/>
        <v>15</v>
      </c>
      <c r="CT163" s="42">
        <f t="shared" si="107"/>
        <v>15</v>
      </c>
      <c r="CU163" s="43">
        <f t="shared" si="108"/>
        <v>13</v>
      </c>
      <c r="CV163" s="43">
        <f t="shared" si="109"/>
        <v>10</v>
      </c>
      <c r="CW163" s="43">
        <f t="shared" si="110"/>
        <v>15</v>
      </c>
      <c r="CX163" s="13" t="s">
        <v>425</v>
      </c>
    </row>
    <row r="164" spans="1:102" x14ac:dyDescent="0.25">
      <c r="A164" s="31" t="s">
        <v>171</v>
      </c>
      <c r="B164" s="13">
        <v>2273</v>
      </c>
      <c r="C164" s="13">
        <v>104</v>
      </c>
      <c r="D164" s="13">
        <v>50</v>
      </c>
      <c r="E164" s="32" t="s">
        <v>2</v>
      </c>
      <c r="F164" s="32">
        <v>1</v>
      </c>
      <c r="G164" s="32"/>
      <c r="H164" s="32">
        <v>1</v>
      </c>
      <c r="I164" s="32" t="s">
        <v>2</v>
      </c>
      <c r="J164" s="13"/>
      <c r="K164" s="33"/>
      <c r="L164" s="34">
        <f>IFERROR(INDEX('Pokemon Data'!A:A,MATCH($A164,'Pokemon Data'!$B:$B,0)),"")</f>
        <v>127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238</v>
      </c>
      <c r="O164" s="34">
        <f>IFERROR(INDEX('Pokemon Data'!K:K,MATCH($A164,'Pokemon Data'!$B:$B,0)),"")</f>
        <v>197</v>
      </c>
      <c r="P164" s="35">
        <f>IFERROR(INDEX('Level Multipliers'!$A:$A,MATCH($D164,'Level Multipliers'!$B:$B,0)),"")</f>
        <v>29</v>
      </c>
      <c r="Q164" s="36">
        <f>IFERROR(INDEX('Level Multipliers'!$D:$D,MATCH(P164,'Level Multipliers'!$A:$A,0)),"")</f>
        <v>1.3900490110869419</v>
      </c>
      <c r="R164" s="37">
        <f t="shared" si="74"/>
        <v>15</v>
      </c>
      <c r="S164" s="37">
        <f t="shared" si="75"/>
        <v>15</v>
      </c>
      <c r="T164" s="38">
        <f t="shared" si="76"/>
        <v>1928942686.4155004</v>
      </c>
      <c r="U164" s="38">
        <f t="shared" si="77"/>
        <v>1930640325.6613328</v>
      </c>
      <c r="V164" s="38" t="b">
        <f t="shared" si="78"/>
        <v>0</v>
      </c>
      <c r="W164" s="37">
        <f t="array" ref="W164:AG164">IF(V164,"",IVSolution($M164,$N164,$O164,R164,S164,T164,U164,$E164,$F164,$G164,$H164,$I164))</f>
        <v>0</v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9"/>
        <v>29.5</v>
      </c>
      <c r="AI164" s="36">
        <f>IFERROR(INDEX('Level Multipliers'!$D:$D,MATCH(AH164,'Level Multipliers'!$A:$A,0)),"")</f>
        <v>1.3782161611191808</v>
      </c>
      <c r="AJ164" s="37">
        <f t="shared" si="80"/>
        <v>14</v>
      </c>
      <c r="AK164" s="37">
        <f t="shared" si="81"/>
        <v>14</v>
      </c>
      <c r="AL164" s="38">
        <f t="shared" si="82"/>
        <v>1864095784.0569081</v>
      </c>
      <c r="AM164" s="38">
        <f t="shared" si="83"/>
        <v>1865736352.3243284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30</v>
      </c>
      <c r="BA164" s="36">
        <f>IFERROR(INDEX('Level Multipliers'!$D:$D,MATCH(AZ164,'Level Multipliers'!$A:$A,0)),"")</f>
        <v>1.3666803275917536</v>
      </c>
      <c r="BB164" s="37">
        <f t="shared" si="86"/>
        <v>13</v>
      </c>
      <c r="BC164" s="37">
        <f t="shared" si="87"/>
        <v>13</v>
      </c>
      <c r="BD164" s="38">
        <f t="shared" si="88"/>
        <v>1802464184.2012897</v>
      </c>
      <c r="BE164" s="38">
        <f t="shared" si="89"/>
        <v>1804050511.2393384</v>
      </c>
      <c r="BF164" s="38" t="b">
        <f t="shared" si="90"/>
        <v>0</v>
      </c>
      <c r="BG164" s="37">
        <f t="array" ref="BG164:BQ164">IF(BF164,"",IVSolution($M164,$N164,$O164,BB164,BC164,BD164,BE164,$E164,$F164,$G164,$H164,$I164))</f>
        <v>1</v>
      </c>
      <c r="BH164" s="37">
        <v>33</v>
      </c>
      <c r="BI164" s="37">
        <v>33</v>
      </c>
      <c r="BJ164" s="39">
        <v>0.73333333333333328</v>
      </c>
      <c r="BK164" s="39">
        <v>0.73333333333333328</v>
      </c>
      <c r="BL164" s="37">
        <v>13</v>
      </c>
      <c r="BM164" s="37">
        <v>13</v>
      </c>
      <c r="BN164" s="37">
        <v>7</v>
      </c>
      <c r="BO164" s="37">
        <v>7</v>
      </c>
      <c r="BP164" s="37">
        <v>13</v>
      </c>
      <c r="BQ164" s="37">
        <v>13</v>
      </c>
      <c r="BR164" s="40">
        <f t="shared" si="91"/>
        <v>30.5</v>
      </c>
      <c r="BS164" s="36">
        <f>IFERROR(INDEX('Level Multipliers'!$D:$D,MATCH(BR164,'Level Multipliers'!$A:$A,0)),"")</f>
        <v>1.3610237451455012</v>
      </c>
      <c r="BT164" s="37">
        <f t="shared" si="92"/>
        <v>12</v>
      </c>
      <c r="BU164" s="37">
        <f t="shared" si="93"/>
        <v>12</v>
      </c>
      <c r="BV164" s="38">
        <f t="shared" si="94"/>
        <v>1772807907.7577746</v>
      </c>
      <c r="BW164" s="38">
        <f t="shared" si="95"/>
        <v>1774368134.6638026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7"/>
        <v>30</v>
      </c>
      <c r="CK164" s="41">
        <f t="shared" si="98"/>
        <v>30</v>
      </c>
      <c r="CL164" s="66">
        <f t="shared" si="99"/>
        <v>0.73333333333333328</v>
      </c>
      <c r="CM164" s="39">
        <f t="shared" si="100"/>
        <v>0.73333333333333328</v>
      </c>
      <c r="CN164" s="39">
        <f t="shared" si="101"/>
        <v>0.73333333333333328</v>
      </c>
      <c r="CO164" s="42">
        <f t="shared" si="102"/>
        <v>13</v>
      </c>
      <c r="CP164" s="42">
        <f t="shared" si="103"/>
        <v>13</v>
      </c>
      <c r="CQ164" s="42">
        <f t="shared" si="104"/>
        <v>7</v>
      </c>
      <c r="CR164" s="42">
        <f t="shared" si="105"/>
        <v>7</v>
      </c>
      <c r="CS164" s="42">
        <f t="shared" si="106"/>
        <v>13</v>
      </c>
      <c r="CT164" s="42">
        <f t="shared" si="107"/>
        <v>13</v>
      </c>
      <c r="CU164" s="43">
        <f t="shared" si="108"/>
        <v>13</v>
      </c>
      <c r="CV164" s="43">
        <f t="shared" si="109"/>
        <v>7</v>
      </c>
      <c r="CW164" s="43">
        <f t="shared" si="110"/>
        <v>13</v>
      </c>
      <c r="CX164" s="13" t="s">
        <v>433</v>
      </c>
    </row>
    <row r="165" spans="1:102" x14ac:dyDescent="0.25">
      <c r="A165" s="31" t="s">
        <v>171</v>
      </c>
      <c r="B165" s="13">
        <v>1444</v>
      </c>
      <c r="C165" s="13">
        <v>78</v>
      </c>
      <c r="D165" s="13">
        <v>25</v>
      </c>
      <c r="E165" s="32" t="s">
        <v>2</v>
      </c>
      <c r="F165" s="32"/>
      <c r="G165" s="32">
        <v>1</v>
      </c>
      <c r="H165" s="32"/>
      <c r="I165" s="32" t="s">
        <v>0</v>
      </c>
      <c r="J165" s="13"/>
      <c r="K165" s="33">
        <v>19</v>
      </c>
      <c r="L165" s="34">
        <f>IFERROR(INDEX('Pokemon Data'!A:A,MATCH($A165,'Pokemon Data'!$B:$B,0)),"")</f>
        <v>127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238</v>
      </c>
      <c r="O165" s="34">
        <f>IFERROR(INDEX('Pokemon Data'!K:K,MATCH($A165,'Pokemon Data'!$B:$B,0)),"")</f>
        <v>197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4"/>
        <v>4</v>
      </c>
      <c r="S165" s="37">
        <f t="shared" si="75"/>
        <v>5</v>
      </c>
      <c r="T165" s="38">
        <f t="shared" si="76"/>
        <v>1813886686.1608996</v>
      </c>
      <c r="U165" s="38">
        <f t="shared" si="77"/>
        <v>1816399864.5033765</v>
      </c>
      <c r="V165" s="38" t="b">
        <f t="shared" si="78"/>
        <v>0</v>
      </c>
      <c r="W165" s="37">
        <f t="array" ref="W165:AG165">IF(V165,"",IVSolution($M165,$N165,$O165,R165,S165,T165,U165,$E165,$F165,$G165,$H165,$I165))</f>
        <v>1</v>
      </c>
      <c r="X165" s="37">
        <v>33</v>
      </c>
      <c r="Y165" s="37">
        <v>33</v>
      </c>
      <c r="Z165" s="39">
        <v>0.73333333333333328</v>
      </c>
      <c r="AA165" s="39">
        <v>0.73333333333333328</v>
      </c>
      <c r="AB165" s="37">
        <v>5</v>
      </c>
      <c r="AC165" s="37">
        <v>5</v>
      </c>
      <c r="AD165" s="37">
        <v>15</v>
      </c>
      <c r="AE165" s="37">
        <v>15</v>
      </c>
      <c r="AF165" s="37">
        <v>13</v>
      </c>
      <c r="AG165" s="37">
        <v>13</v>
      </c>
      <c r="AH165" s="40">
        <f t="shared" si="79"/>
        <v>19.5</v>
      </c>
      <c r="AI165" s="36">
        <f>IFERROR(INDEX('Level Multipliers'!$D:$D,MATCH(AH165,'Level Multipliers'!$A:$A,0)),"")</f>
        <v>1.6952373266621776</v>
      </c>
      <c r="AJ165" s="37">
        <f t="shared" si="80"/>
        <v>3</v>
      </c>
      <c r="AK165" s="37">
        <f t="shared" si="81"/>
        <v>3</v>
      </c>
      <c r="AL165" s="38">
        <f t="shared" si="82"/>
        <v>1722092248.2643178</v>
      </c>
      <c r="AM165" s="38">
        <f t="shared" si="83"/>
        <v>1724478243.4728968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20</v>
      </c>
      <c r="BA165" s="36">
        <f>IFERROR(INDEX('Level Multipliers'!$D:$D,MATCH(AZ165,'Level Multipliers'!$A:$A,0)),"")</f>
        <v>1.6739202944034379</v>
      </c>
      <c r="BB165" s="37">
        <f t="shared" si="86"/>
        <v>1</v>
      </c>
      <c r="BC165" s="37">
        <f t="shared" si="87"/>
        <v>2</v>
      </c>
      <c r="BD165" s="38">
        <f t="shared" si="88"/>
        <v>1637093504.615684</v>
      </c>
      <c r="BE165" s="38">
        <f t="shared" si="89"/>
        <v>1639361732.2683814</v>
      </c>
      <c r="BF165" s="38" t="b">
        <f t="shared" si="90"/>
        <v>1</v>
      </c>
      <c r="BG165" s="37" t="str">
        <f t="array" ref="BG165:BQ165">IF(BF165,"",IVSolution($M165,$N165,$O165,BB165,BC165,BD165,BE165,$E165,$F165,$G165,$H165,$I165))</f>
        <v/>
      </c>
      <c r="BH165" s="37" t="str">
        <v/>
      </c>
      <c r="BI165" s="37" t="str">
        <v/>
      </c>
      <c r="BJ165" s="39" t="str">
        <v/>
      </c>
      <c r="BK165" s="39" t="str">
        <v/>
      </c>
      <c r="BL165" s="37" t="str">
        <v/>
      </c>
      <c r="BM165" s="37" t="str">
        <v/>
      </c>
      <c r="BN165" s="37" t="str">
        <v/>
      </c>
      <c r="BO165" s="37" t="str">
        <v/>
      </c>
      <c r="BP165" s="37" t="str">
        <v/>
      </c>
      <c r="BQ165" s="37" t="str">
        <v/>
      </c>
      <c r="BR165" s="40">
        <f t="shared" si="91"/>
        <v>20.5</v>
      </c>
      <c r="BS165" s="36">
        <f>IFERROR(INDEX('Level Multipliers'!$D:$D,MATCH(BR165,'Level Multipliers'!$A:$A,0)),"")</f>
        <v>1.6533745038028393</v>
      </c>
      <c r="BT165" s="37">
        <f t="shared" si="92"/>
        <v>0</v>
      </c>
      <c r="BU165" s="37">
        <f t="shared" si="93"/>
        <v>0</v>
      </c>
      <c r="BV165" s="38">
        <f t="shared" si="94"/>
        <v>1558186119.6816225</v>
      </c>
      <c r="BW165" s="38">
        <f t="shared" si="95"/>
        <v>1560345019.4846859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7"/>
        <v>19</v>
      </c>
      <c r="CK165" s="41">
        <f t="shared" si="98"/>
        <v>19</v>
      </c>
      <c r="CL165" s="66">
        <f t="shared" si="99"/>
        <v>0.73333333333333328</v>
      </c>
      <c r="CM165" s="39">
        <f t="shared" si="100"/>
        <v>0.73333333333333328</v>
      </c>
      <c r="CN165" s="39">
        <f t="shared" si="101"/>
        <v>0.73333333333333328</v>
      </c>
      <c r="CO165" s="42">
        <f t="shared" si="102"/>
        <v>5</v>
      </c>
      <c r="CP165" s="42">
        <f t="shared" si="103"/>
        <v>5</v>
      </c>
      <c r="CQ165" s="42">
        <f t="shared" si="104"/>
        <v>15</v>
      </c>
      <c r="CR165" s="42">
        <f t="shared" si="105"/>
        <v>15</v>
      </c>
      <c r="CS165" s="42">
        <f t="shared" si="106"/>
        <v>13</v>
      </c>
      <c r="CT165" s="42">
        <f t="shared" si="107"/>
        <v>13</v>
      </c>
      <c r="CU165" s="43">
        <f t="shared" si="108"/>
        <v>5</v>
      </c>
      <c r="CV165" s="43">
        <f t="shared" si="109"/>
        <v>15</v>
      </c>
      <c r="CW165" s="43">
        <f t="shared" si="110"/>
        <v>13</v>
      </c>
      <c r="CX165" s="13" t="s">
        <v>433</v>
      </c>
    </row>
    <row r="166" spans="1:102" x14ac:dyDescent="0.25">
      <c r="A166" s="31" t="s">
        <v>171</v>
      </c>
      <c r="B166" s="13">
        <v>855</v>
      </c>
      <c r="C166" s="13">
        <v>62</v>
      </c>
      <c r="D166" s="13">
        <v>13</v>
      </c>
      <c r="E166" s="32" t="s">
        <v>0</v>
      </c>
      <c r="F166" s="32"/>
      <c r="G166" s="32">
        <v>1</v>
      </c>
      <c r="H166" s="32"/>
      <c r="I166" s="32" t="s">
        <v>0</v>
      </c>
      <c r="J166" s="13"/>
      <c r="K166" s="33">
        <v>11</v>
      </c>
      <c r="L166" s="34">
        <f>IFERROR(INDEX('Pokemon Data'!A:A,MATCH($A166,'Pokemon Data'!$B:$B,0)),"")</f>
        <v>127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238</v>
      </c>
      <c r="O166" s="34">
        <f>IFERROR(INDEX('Pokemon Data'!K:K,MATCH($A166,'Pokemon Data'!$B:$B,0)),"")</f>
        <v>197</v>
      </c>
      <c r="P166" s="35">
        <f>IFERROR(INDEX('Level Multipliers'!$A:$A,MATCH($D166,'Level Multipliers'!$B:$B,0)),"")</f>
        <v>11</v>
      </c>
      <c r="Q166" s="36">
        <f>IFERROR(INDEX('Level Multipliers'!$D:$D,MATCH(P166,'Level Multipliers'!$A:$A,0)),"")</f>
        <v>2.2567884714123854</v>
      </c>
      <c r="R166" s="37">
        <f t="shared" si="74"/>
        <v>10</v>
      </c>
      <c r="S166" s="37">
        <f t="shared" si="75"/>
        <v>12</v>
      </c>
      <c r="T166" s="38">
        <f t="shared" si="76"/>
        <v>1896250236.0693855</v>
      </c>
      <c r="U166" s="38">
        <f t="shared" si="77"/>
        <v>1900688503.0970724</v>
      </c>
      <c r="V166" s="38" t="b">
        <f t="shared" si="78"/>
        <v>0</v>
      </c>
      <c r="W166" s="37">
        <f t="array" ref="W166:AG166">IF(V166,"",IVSolution($M166,$N166,$O166,R166,S166,T166,U166,$E166,$F166,$G166,$H166,$I166))</f>
        <v>1</v>
      </c>
      <c r="X166" s="37">
        <v>39</v>
      </c>
      <c r="Y166" s="37">
        <v>39</v>
      </c>
      <c r="Z166" s="39">
        <v>0.8666666666666667</v>
      </c>
      <c r="AA166" s="39">
        <v>0.8666666666666667</v>
      </c>
      <c r="AB166" s="37">
        <v>12</v>
      </c>
      <c r="AC166" s="37">
        <v>12</v>
      </c>
      <c r="AD166" s="37">
        <v>15</v>
      </c>
      <c r="AE166" s="37">
        <v>15</v>
      </c>
      <c r="AF166" s="37">
        <v>12</v>
      </c>
      <c r="AG166" s="37">
        <v>12</v>
      </c>
      <c r="AH166" s="40">
        <f t="shared" si="79"/>
        <v>11.5</v>
      </c>
      <c r="AI166" s="36">
        <f>IFERROR(INDEX('Level Multipliers'!$D:$D,MATCH(AH166,'Level Multipliers'!$A:$A,0)),"")</f>
        <v>2.2072134251772386</v>
      </c>
      <c r="AJ166" s="37">
        <f t="shared" si="80"/>
        <v>7</v>
      </c>
      <c r="AK166" s="37">
        <f t="shared" si="81"/>
        <v>9</v>
      </c>
      <c r="AL166" s="38">
        <f t="shared" si="82"/>
        <v>1735040215.8828092</v>
      </c>
      <c r="AM166" s="38">
        <f t="shared" si="83"/>
        <v>1739101162.9220698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12</v>
      </c>
      <c r="BA166" s="36">
        <f>IFERROR(INDEX('Level Multipliers'!$D:$D,MATCH(AZ166,'Level Multipliers'!$A:$A,0)),"")</f>
        <v>2.1607681195435338</v>
      </c>
      <c r="BB166" s="37">
        <f t="shared" si="86"/>
        <v>4</v>
      </c>
      <c r="BC166" s="37">
        <f t="shared" si="87"/>
        <v>6</v>
      </c>
      <c r="BD166" s="38">
        <f t="shared" si="88"/>
        <v>1593547024.1858118</v>
      </c>
      <c r="BE166" s="38">
        <f t="shared" si="89"/>
        <v>1597276799.4443624</v>
      </c>
      <c r="BF166" s="38" t="b">
        <f t="shared" si="90"/>
        <v>1</v>
      </c>
      <c r="BG166" s="37" t="str">
        <f t="array" ref="BG166:BQ166">IF(BF166,"",IVSolution($M166,$N166,$O166,BB166,BC166,BD166,BE166,$E166,$F166,$G166,$H166,$I166))</f>
        <v/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91"/>
        <v>12.5</v>
      </c>
      <c r="BS166" s="36">
        <f>IFERROR(INDEX('Level Multipliers'!$D:$D,MATCH(BR166,'Level Multipliers'!$A:$A,0)),"")</f>
        <v>2.1171365709672214</v>
      </c>
      <c r="BT166" s="37">
        <f t="shared" si="92"/>
        <v>2</v>
      </c>
      <c r="BU166" s="37">
        <f t="shared" si="93"/>
        <v>3</v>
      </c>
      <c r="BV166" s="38">
        <f t="shared" si="94"/>
        <v>1468681843.5365644</v>
      </c>
      <c r="BW166" s="38">
        <f t="shared" si="95"/>
        <v>1472119365.6928394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7"/>
        <v>11</v>
      </c>
      <c r="CK166" s="41">
        <f t="shared" si="98"/>
        <v>11</v>
      </c>
      <c r="CL166" s="66">
        <f t="shared" si="99"/>
        <v>0.8666666666666667</v>
      </c>
      <c r="CM166" s="39">
        <f t="shared" si="100"/>
        <v>0.8666666666666667</v>
      </c>
      <c r="CN166" s="39">
        <f t="shared" si="101"/>
        <v>0.8666666666666667</v>
      </c>
      <c r="CO166" s="42">
        <f t="shared" si="102"/>
        <v>12</v>
      </c>
      <c r="CP166" s="42">
        <f t="shared" si="103"/>
        <v>12</v>
      </c>
      <c r="CQ166" s="42">
        <f t="shared" si="104"/>
        <v>15</v>
      </c>
      <c r="CR166" s="42">
        <f t="shared" si="105"/>
        <v>15</v>
      </c>
      <c r="CS166" s="42">
        <f t="shared" si="106"/>
        <v>12</v>
      </c>
      <c r="CT166" s="42">
        <f t="shared" si="107"/>
        <v>12</v>
      </c>
      <c r="CU166" s="43">
        <f t="shared" si="108"/>
        <v>12</v>
      </c>
      <c r="CV166" s="43">
        <f t="shared" si="109"/>
        <v>15</v>
      </c>
      <c r="CW166" s="43">
        <f t="shared" si="110"/>
        <v>12</v>
      </c>
      <c r="CX166" s="13" t="s">
        <v>433</v>
      </c>
    </row>
    <row r="167" spans="1:102" x14ac:dyDescent="0.25">
      <c r="A167" s="31" t="s">
        <v>172</v>
      </c>
      <c r="B167" s="13">
        <v>2087</v>
      </c>
      <c r="C167" s="13">
        <v>120</v>
      </c>
      <c r="D167" s="13">
        <v>50</v>
      </c>
      <c r="E167" s="32" t="s">
        <v>0</v>
      </c>
      <c r="F167" s="32">
        <v>1</v>
      </c>
      <c r="G167" s="32"/>
      <c r="H167" s="32"/>
      <c r="I167" s="32" t="s">
        <v>0</v>
      </c>
      <c r="J167" s="13"/>
      <c r="K167" s="33"/>
      <c r="L167" s="34">
        <f>IFERROR(INDEX('Pokemon Data'!A:A,MATCH($A167,'Pokemon Data'!$B:$B,0)),"")</f>
        <v>128</v>
      </c>
      <c r="M167" s="34">
        <f>IFERROR(INDEX('Pokemon Data'!I:I,MATCH($A167,'Pokemon Data'!$B:$B,0)),"")</f>
        <v>150</v>
      </c>
      <c r="N167" s="34">
        <f>IFERROR(INDEX('Pokemon Data'!J:J,MATCH($A167,'Pokemon Data'!$B:$B,0)),"")</f>
        <v>198</v>
      </c>
      <c r="O167" s="34">
        <f>IFERROR(INDEX('Pokemon Data'!K:K,MATCH($A167,'Pokemon Data'!$B:$B,0)),"")</f>
        <v>197</v>
      </c>
      <c r="P167" s="35">
        <f>IFERROR(INDEX('Level Multipliers'!$A:$A,MATCH($D167,'Level Multipliers'!$B:$B,0)),"")</f>
        <v>29</v>
      </c>
      <c r="Q167" s="36">
        <f>IFERROR(INDEX('Level Multipliers'!$D:$D,MATCH(P167,'Level Multipliers'!$A:$A,0)),"")</f>
        <v>1.3900490110869419</v>
      </c>
      <c r="R167" s="37">
        <f t="shared" si="74"/>
        <v>17</v>
      </c>
      <c r="S167" s="37">
        <f t="shared" si="75"/>
        <v>15</v>
      </c>
      <c r="T167" s="38">
        <f t="shared" si="76"/>
        <v>1626167774.8693707</v>
      </c>
      <c r="U167" s="38">
        <f t="shared" si="77"/>
        <v>1627726526.5410993</v>
      </c>
      <c r="V167" s="38" t="b">
        <f t="shared" si="78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9"/>
        <v>29.5</v>
      </c>
      <c r="AI167" s="36">
        <f>IFERROR(INDEX('Level Multipliers'!$D:$D,MATCH(AH167,'Level Multipliers'!$A:$A,0)),"")</f>
        <v>1.3782161611191808</v>
      </c>
      <c r="AJ167" s="37">
        <f t="shared" si="80"/>
        <v>16</v>
      </c>
      <c r="AK167" s="37">
        <f t="shared" si="81"/>
        <v>15</v>
      </c>
      <c r="AL167" s="38">
        <f t="shared" si="82"/>
        <v>1571499513.5165143</v>
      </c>
      <c r="AM167" s="38">
        <f t="shared" si="83"/>
        <v>1573005863.3112097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30</v>
      </c>
      <c r="BA167" s="36">
        <f>IFERROR(INDEX('Level Multipliers'!$D:$D,MATCH(AZ167,'Level Multipliers'!$A:$A,0)),"")</f>
        <v>1.3666803275917536</v>
      </c>
      <c r="BB167" s="37">
        <f t="shared" si="86"/>
        <v>15</v>
      </c>
      <c r="BC167" s="37">
        <f t="shared" si="87"/>
        <v>15</v>
      </c>
      <c r="BD167" s="38">
        <f t="shared" si="88"/>
        <v>1519541867.3382897</v>
      </c>
      <c r="BE167" s="38">
        <f t="shared" si="89"/>
        <v>1520998413.4970436</v>
      </c>
      <c r="BF167" s="38" t="b">
        <f t="shared" si="90"/>
        <v>0</v>
      </c>
      <c r="BG167" s="37">
        <f t="array" ref="BG167:BQ167">IF(BF167,"",IVSolution($M167,$N167,$O167,BB167,BC167,BD167,BE167,$E167,$F167,$G167,$H167,$I167))</f>
        <v>4</v>
      </c>
      <c r="BH167" s="37">
        <v>37</v>
      </c>
      <c r="BI167" s="37">
        <v>40</v>
      </c>
      <c r="BJ167" s="39">
        <v>0.82222222222222219</v>
      </c>
      <c r="BK167" s="39">
        <v>0.88888888888888884</v>
      </c>
      <c r="BL167" s="37">
        <v>15</v>
      </c>
      <c r="BM167" s="37">
        <v>15</v>
      </c>
      <c r="BN167" s="37">
        <v>11</v>
      </c>
      <c r="BO167" s="37">
        <v>14</v>
      </c>
      <c r="BP167" s="37">
        <v>8</v>
      </c>
      <c r="BQ167" s="37">
        <v>14</v>
      </c>
      <c r="BR167" s="40">
        <f t="shared" si="91"/>
        <v>30.5</v>
      </c>
      <c r="BS167" s="36">
        <f>IFERROR(INDEX('Level Multipliers'!$D:$D,MATCH(BR167,'Level Multipliers'!$A:$A,0)),"")</f>
        <v>1.3610237451455012</v>
      </c>
      <c r="BT167" s="37">
        <f t="shared" si="92"/>
        <v>14</v>
      </c>
      <c r="BU167" s="37">
        <f t="shared" si="93"/>
        <v>14</v>
      </c>
      <c r="BV167" s="38">
        <f t="shared" si="94"/>
        <v>1494540564.0778601</v>
      </c>
      <c r="BW167" s="38">
        <f t="shared" si="95"/>
        <v>1495973145.4133928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7"/>
        <v>30</v>
      </c>
      <c r="CK167" s="41">
        <f t="shared" si="98"/>
        <v>30</v>
      </c>
      <c r="CL167" s="66">
        <f t="shared" si="99"/>
        <v>0.85555555555555551</v>
      </c>
      <c r="CM167" s="39">
        <f t="shared" si="100"/>
        <v>0.82222222222222219</v>
      </c>
      <c r="CN167" s="39">
        <f t="shared" si="101"/>
        <v>0.88888888888888884</v>
      </c>
      <c r="CO167" s="42">
        <f t="shared" si="102"/>
        <v>15</v>
      </c>
      <c r="CP167" s="42">
        <f t="shared" si="103"/>
        <v>15</v>
      </c>
      <c r="CQ167" s="42">
        <f t="shared" si="104"/>
        <v>11</v>
      </c>
      <c r="CR167" s="42">
        <f t="shared" si="105"/>
        <v>14</v>
      </c>
      <c r="CS167" s="42">
        <f t="shared" si="106"/>
        <v>8</v>
      </c>
      <c r="CT167" s="42">
        <f t="shared" si="107"/>
        <v>14</v>
      </c>
      <c r="CU167" s="43">
        <f t="shared" si="108"/>
        <v>15</v>
      </c>
      <c r="CV167" s="43" t="str">
        <f t="shared" si="109"/>
        <v>11-14</v>
      </c>
      <c r="CW167" s="43" t="str">
        <f t="shared" si="110"/>
        <v>8-14</v>
      </c>
      <c r="CX167" s="13" t="s">
        <v>422</v>
      </c>
    </row>
    <row r="168" spans="1:102" x14ac:dyDescent="0.25">
      <c r="A168" s="31" t="s">
        <v>173</v>
      </c>
      <c r="B168" s="13">
        <v>124</v>
      </c>
      <c r="C168" s="13">
        <v>32</v>
      </c>
      <c r="D168" s="13">
        <v>25</v>
      </c>
      <c r="E168" s="32" t="s">
        <v>0</v>
      </c>
      <c r="F168" s="32">
        <v>1</v>
      </c>
      <c r="G168" s="32">
        <v>1</v>
      </c>
      <c r="H168" s="32"/>
      <c r="I168" s="32" t="s">
        <v>0</v>
      </c>
      <c r="J168" s="13"/>
      <c r="K168" s="33"/>
      <c r="L168" s="34">
        <f>IFERROR(INDEX('Pokemon Data'!A:A,MATCH($A168,'Pokemon Data'!$B:$B,0)),"")</f>
        <v>129</v>
      </c>
      <c r="M168" s="34">
        <f>IFERROR(INDEX('Pokemon Data'!I:I,MATCH($A168,'Pokemon Data'!$B:$B,0)),"")</f>
        <v>40</v>
      </c>
      <c r="N168" s="34">
        <f>IFERROR(INDEX('Pokemon Data'!J:J,MATCH($A168,'Pokemon Data'!$B:$B,0)),"")</f>
        <v>29</v>
      </c>
      <c r="O168" s="34">
        <f>IFERROR(INDEX('Pokemon Data'!K:K,MATCH($A168,'Pokemon Data'!$B:$B,0)),"")</f>
        <v>102</v>
      </c>
      <c r="P168" s="35">
        <f>IFERROR(INDEX('Level Multipliers'!$A:$A,MATCH($D168,'Level Multipliers'!$B:$B,0)),"")</f>
        <v>19</v>
      </c>
      <c r="Q168" s="36">
        <f>IFERROR(INDEX('Level Multipliers'!$D:$D,MATCH(P168,'Level Multipliers'!$A:$A,0)),"")</f>
        <v>1.7173900470456649</v>
      </c>
      <c r="R168" s="37">
        <f t="shared" si="74"/>
        <v>15</v>
      </c>
      <c r="S168" s="37">
        <f t="shared" si="75"/>
        <v>15</v>
      </c>
      <c r="T168" s="38">
        <f t="shared" si="76"/>
        <v>13375780.61402709</v>
      </c>
      <c r="U168" s="38">
        <f t="shared" si="77"/>
        <v>13592388.923918659</v>
      </c>
      <c r="V168" s="38" t="b">
        <f t="shared" si="78"/>
        <v>1</v>
      </c>
      <c r="W168" s="37" t="str">
        <f t="array" ref="W168:AG168">IF(V168,"",IVSolution($M168,$N168,$O168,R168,S168,T168,U168,$E168,$F168,$G168,$H168,$I168))</f>
        <v/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19.5</v>
      </c>
      <c r="AI168" s="36">
        <f>IFERROR(INDEX('Level Multipliers'!$D:$D,MATCH(AH168,'Level Multipliers'!$A:$A,0)),"")</f>
        <v>1.6952373266621776</v>
      </c>
      <c r="AJ168" s="37">
        <f t="shared" si="80"/>
        <v>15</v>
      </c>
      <c r="AK168" s="37">
        <f t="shared" si="81"/>
        <v>15</v>
      </c>
      <c r="AL168" s="38">
        <f t="shared" si="82"/>
        <v>12698879.310180319</v>
      </c>
      <c r="AM168" s="38">
        <f t="shared" si="83"/>
        <v>12904525.833868852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20</v>
      </c>
      <c r="BA168" s="36">
        <f>IFERROR(INDEX('Level Multipliers'!$D:$D,MATCH(AZ168,'Level Multipliers'!$A:$A,0)),"")</f>
        <v>1.6739202944034379</v>
      </c>
      <c r="BB168" s="37">
        <f t="shared" si="86"/>
        <v>14</v>
      </c>
      <c r="BC168" s="37">
        <f t="shared" si="87"/>
        <v>15</v>
      </c>
      <c r="BD168" s="38">
        <f t="shared" si="88"/>
        <v>12072090.130797587</v>
      </c>
      <c r="BE168" s="38">
        <f t="shared" si="89"/>
        <v>12267586.38746828</v>
      </c>
      <c r="BF168" s="38" t="b">
        <f t="shared" si="90"/>
        <v>0</v>
      </c>
      <c r="BG168" s="37">
        <f t="array" ref="BG168:BQ168">IF(BF168,"",IVSolution($M168,$N168,$O168,BB168,BC168,BD168,BE168,$E168,$F168,$G168,$H168,$I168))</f>
        <v>2</v>
      </c>
      <c r="BH168" s="37">
        <v>42</v>
      </c>
      <c r="BI168" s="37">
        <v>43</v>
      </c>
      <c r="BJ168" s="39">
        <v>0.93333333333333335</v>
      </c>
      <c r="BK168" s="39">
        <v>0.9555555555555556</v>
      </c>
      <c r="BL168" s="37">
        <v>15</v>
      </c>
      <c r="BM168" s="37">
        <v>15</v>
      </c>
      <c r="BN168" s="37">
        <v>15</v>
      </c>
      <c r="BO168" s="37">
        <v>15</v>
      </c>
      <c r="BP168" s="37">
        <v>12</v>
      </c>
      <c r="BQ168" s="37">
        <v>13</v>
      </c>
      <c r="BR168" s="40">
        <f t="shared" si="91"/>
        <v>20.5</v>
      </c>
      <c r="BS168" s="36">
        <f>IFERROR(INDEX('Level Multipliers'!$D:$D,MATCH(BR168,'Level Multipliers'!$A:$A,0)),"")</f>
        <v>1.6533745038028393</v>
      </c>
      <c r="BT168" s="37">
        <f t="shared" si="92"/>
        <v>13</v>
      </c>
      <c r="BU168" s="37">
        <f t="shared" si="93"/>
        <v>14</v>
      </c>
      <c r="BV168" s="38">
        <f t="shared" si="94"/>
        <v>11490219.235687567</v>
      </c>
      <c r="BW168" s="38">
        <f t="shared" si="95"/>
        <v>11676292.635120852</v>
      </c>
      <c r="BX168" s="38" t="b">
        <f t="shared" si="96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7"/>
        <v>20</v>
      </c>
      <c r="CK168" s="41">
        <f t="shared" si="98"/>
        <v>20</v>
      </c>
      <c r="CL168" s="66">
        <f t="shared" si="99"/>
        <v>0.94444444444444442</v>
      </c>
      <c r="CM168" s="39">
        <f t="shared" si="100"/>
        <v>0.93333333333333335</v>
      </c>
      <c r="CN168" s="39">
        <f t="shared" si="101"/>
        <v>0.9555555555555556</v>
      </c>
      <c r="CO168" s="42">
        <f t="shared" si="102"/>
        <v>15</v>
      </c>
      <c r="CP168" s="42">
        <f t="shared" si="103"/>
        <v>15</v>
      </c>
      <c r="CQ168" s="42">
        <f t="shared" si="104"/>
        <v>15</v>
      </c>
      <c r="CR168" s="42">
        <f t="shared" si="105"/>
        <v>15</v>
      </c>
      <c r="CS168" s="42">
        <f t="shared" si="106"/>
        <v>12</v>
      </c>
      <c r="CT168" s="42">
        <f t="shared" si="107"/>
        <v>13</v>
      </c>
      <c r="CU168" s="43">
        <f t="shared" si="108"/>
        <v>15</v>
      </c>
      <c r="CV168" s="43">
        <f t="shared" si="109"/>
        <v>15</v>
      </c>
      <c r="CW168" s="43" t="str">
        <f t="shared" si="110"/>
        <v>12-13</v>
      </c>
      <c r="CX168" s="13"/>
    </row>
    <row r="169" spans="1:102" x14ac:dyDescent="0.25">
      <c r="A169" s="31" t="s">
        <v>174</v>
      </c>
      <c r="B169" s="13">
        <v>2805</v>
      </c>
      <c r="C169" s="13">
        <v>149</v>
      </c>
      <c r="D169" s="13">
        <v>50</v>
      </c>
      <c r="E169" s="32" t="s">
        <v>0</v>
      </c>
      <c r="F169" s="32">
        <v>1</v>
      </c>
      <c r="G169" s="32">
        <v>1</v>
      </c>
      <c r="H169" s="32"/>
      <c r="I169" s="32" t="s">
        <v>0</v>
      </c>
      <c r="J169" s="13">
        <v>1</v>
      </c>
      <c r="K169" s="33"/>
      <c r="L169" s="34">
        <f>IFERROR(INDEX('Pokemon Data'!A:A,MATCH($A169,'Pokemon Data'!$B:$B,0)),"")</f>
        <v>130</v>
      </c>
      <c r="M169" s="34">
        <f>IFERROR(INDEX('Pokemon Data'!I:I,MATCH($A169,'Pokemon Data'!$B:$B,0)),"")</f>
        <v>190</v>
      </c>
      <c r="N169" s="34">
        <f>IFERROR(INDEX('Pokemon Data'!J:J,MATCH($A169,'Pokemon Data'!$B:$B,0)),"")</f>
        <v>237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29</v>
      </c>
      <c r="Q169" s="36">
        <f>IFERROR(INDEX('Level Multipliers'!$D:$D,MATCH(P169,'Level Multipliers'!$A:$A,0)),"")</f>
        <v>1.3900490110869419</v>
      </c>
      <c r="R169" s="37">
        <f t="shared" si="74"/>
        <v>18</v>
      </c>
      <c r="S169" s="37">
        <f t="shared" si="75"/>
        <v>15</v>
      </c>
      <c r="T169" s="38">
        <f t="shared" si="76"/>
        <v>2937556196.8749847</v>
      </c>
      <c r="U169" s="38">
        <f t="shared" si="77"/>
        <v>2939651084.4510493</v>
      </c>
      <c r="V169" s="38" t="b">
        <f t="shared" si="78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9"/>
        <v>29.5</v>
      </c>
      <c r="AI169" s="36">
        <f>IFERROR(INDEX('Level Multipliers'!$D:$D,MATCH(AH169,'Level Multipliers'!$A:$A,0)),"")</f>
        <v>1.3782161611191808</v>
      </c>
      <c r="AJ169" s="37">
        <f t="shared" si="80"/>
        <v>16</v>
      </c>
      <c r="AK169" s="37">
        <f t="shared" si="81"/>
        <v>15</v>
      </c>
      <c r="AL169" s="38">
        <f t="shared" si="82"/>
        <v>2838801878.6605778</v>
      </c>
      <c r="AM169" s="38">
        <f t="shared" si="83"/>
        <v>2840826340.6241789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30</v>
      </c>
      <c r="BA169" s="36">
        <f>IFERROR(INDEX('Level Multipliers'!$D:$D,MATCH(AZ169,'Level Multipliers'!$A:$A,0)),"")</f>
        <v>1.3666803275917536</v>
      </c>
      <c r="BB169" s="37">
        <f t="shared" si="86"/>
        <v>14</v>
      </c>
      <c r="BC169" s="37">
        <f t="shared" si="87"/>
        <v>15</v>
      </c>
      <c r="BD169" s="38">
        <f t="shared" si="88"/>
        <v>2744944093.587852</v>
      </c>
      <c r="BE169" s="38">
        <f t="shared" si="89"/>
        <v>2746901621.8505511</v>
      </c>
      <c r="BF169" s="38" t="b">
        <f t="shared" si="90"/>
        <v>0</v>
      </c>
      <c r="BG169" s="37">
        <f t="array" ref="BG169:BQ169">IF(BF169,"",IVSolution($M169,$N169,$O169,BB169,BC169,BD169,BE169,$E169,$F169,$G169,$H169,$I169))</f>
        <v>1</v>
      </c>
      <c r="BH169" s="37">
        <v>44</v>
      </c>
      <c r="BI169" s="37">
        <v>44</v>
      </c>
      <c r="BJ169" s="39">
        <v>0.97777777777777775</v>
      </c>
      <c r="BK169" s="39">
        <v>0.97777777777777775</v>
      </c>
      <c r="BL169" s="37">
        <v>15</v>
      </c>
      <c r="BM169" s="37">
        <v>15</v>
      </c>
      <c r="BN169" s="37">
        <v>15</v>
      </c>
      <c r="BO169" s="37">
        <v>15</v>
      </c>
      <c r="BP169" s="37">
        <v>14</v>
      </c>
      <c r="BQ169" s="37">
        <v>14</v>
      </c>
      <c r="BR169" s="40">
        <f t="shared" si="91"/>
        <v>30.5</v>
      </c>
      <c r="BS169" s="36">
        <f>IFERROR(INDEX('Level Multipliers'!$D:$D,MATCH(BR169,'Level Multipliers'!$A:$A,0)),"")</f>
        <v>1.3610237451455012</v>
      </c>
      <c r="BT169" s="37">
        <f t="shared" si="92"/>
        <v>13</v>
      </c>
      <c r="BU169" s="37">
        <f t="shared" si="93"/>
        <v>14</v>
      </c>
      <c r="BV169" s="38">
        <f t="shared" si="94"/>
        <v>2699781020.9593062</v>
      </c>
      <c r="BW169" s="38">
        <f t="shared" si="95"/>
        <v>2701706341.6476116</v>
      </c>
      <c r="BX169" s="38" t="b">
        <f t="shared" si="96"/>
        <v>0</v>
      </c>
      <c r="BY169" s="37">
        <f t="array" ref="BY169:CI169">IF(BX169,"",IVSolution($M169,$N169,$O169,BT169,BU169,BV169,BW169,$E169,$F169,$G169,$H169,$I169))</f>
        <v>0</v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7"/>
        <v>30</v>
      </c>
      <c r="CK169" s="41">
        <f t="shared" si="98"/>
        <v>30</v>
      </c>
      <c r="CL169" s="66">
        <f t="shared" si="99"/>
        <v>0.97777777777777775</v>
      </c>
      <c r="CM169" s="39">
        <f t="shared" si="100"/>
        <v>0.97777777777777775</v>
      </c>
      <c r="CN169" s="39">
        <f t="shared" si="101"/>
        <v>0.97777777777777775</v>
      </c>
      <c r="CO169" s="42">
        <f t="shared" si="102"/>
        <v>15</v>
      </c>
      <c r="CP169" s="42">
        <f t="shared" si="103"/>
        <v>15</v>
      </c>
      <c r="CQ169" s="42">
        <f t="shared" si="104"/>
        <v>15</v>
      </c>
      <c r="CR169" s="42">
        <f t="shared" si="105"/>
        <v>15</v>
      </c>
      <c r="CS169" s="42">
        <f t="shared" si="106"/>
        <v>14</v>
      </c>
      <c r="CT169" s="42">
        <f t="shared" si="107"/>
        <v>14</v>
      </c>
      <c r="CU169" s="43">
        <f t="shared" si="108"/>
        <v>15</v>
      </c>
      <c r="CV169" s="43">
        <f t="shared" si="109"/>
        <v>15</v>
      </c>
      <c r="CW169" s="43">
        <f t="shared" si="110"/>
        <v>14</v>
      </c>
      <c r="CX169" s="13" t="s">
        <v>426</v>
      </c>
    </row>
    <row r="170" spans="1:102" x14ac:dyDescent="0.25">
      <c r="A170" s="31" t="s">
        <v>175</v>
      </c>
      <c r="B170" s="13">
        <v>1447</v>
      </c>
      <c r="C170" s="13">
        <v>162</v>
      </c>
      <c r="D170" s="13">
        <v>25</v>
      </c>
      <c r="E170" s="32" t="s">
        <v>0</v>
      </c>
      <c r="F170" s="32"/>
      <c r="G170" s="32"/>
      <c r="H170" s="32">
        <v>1</v>
      </c>
      <c r="I170" s="32" t="s">
        <v>2</v>
      </c>
      <c r="J170" s="13"/>
      <c r="K170" s="33"/>
      <c r="L170" s="34">
        <f>IFERROR(INDEX('Pokemon Data'!A:A,MATCH($A170,'Pokemon Data'!$B:$B,0)),"")</f>
        <v>131</v>
      </c>
      <c r="M170" s="34">
        <f>IFERROR(INDEX('Pokemon Data'!I:I,MATCH($A170,'Pokemon Data'!$B:$B,0)),"")</f>
        <v>260</v>
      </c>
      <c r="N170" s="34">
        <f>IFERROR(INDEX('Pokemon Data'!J:J,MATCH($A170,'Pokemon Data'!$B:$B,0)),"")</f>
        <v>165</v>
      </c>
      <c r="O170" s="34">
        <f>IFERROR(INDEX('Pokemon Data'!K:K,MATCH($A170,'Pokemon Data'!$B:$B,0)),"")</f>
        <v>180</v>
      </c>
      <c r="P170" s="35">
        <f>IFERROR(INDEX('Level Multipliers'!$A:$A,MATCH($D170,'Level Multipliers'!$B:$B,0)),"")</f>
        <v>19</v>
      </c>
      <c r="Q170" s="36">
        <f>IFERROR(INDEX('Level Multipliers'!$D:$D,MATCH(P170,'Level Multipliers'!$A:$A,0)),"")</f>
        <v>1.7173900470456649</v>
      </c>
      <c r="R170" s="37">
        <f t="shared" si="74"/>
        <v>19</v>
      </c>
      <c r="S170" s="37">
        <f t="shared" si="75"/>
        <v>15</v>
      </c>
      <c r="T170" s="38">
        <f t="shared" si="76"/>
        <v>1821431440.6656771</v>
      </c>
      <c r="U170" s="38">
        <f t="shared" si="77"/>
        <v>1823949838.4855006</v>
      </c>
      <c r="V170" s="38" t="b">
        <f t="shared" si="78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9"/>
        <v>19.5</v>
      </c>
      <c r="AI170" s="36">
        <f>IFERROR(INDEX('Level Multipliers'!$D:$D,MATCH(AH170,'Level Multipliers'!$A:$A,0)),"")</f>
        <v>1.6952373266621776</v>
      </c>
      <c r="AJ170" s="37">
        <f t="shared" si="80"/>
        <v>15</v>
      </c>
      <c r="AK170" s="37">
        <f t="shared" si="81"/>
        <v>15</v>
      </c>
      <c r="AL170" s="38">
        <f t="shared" si="82"/>
        <v>1729255189.2279749</v>
      </c>
      <c r="AM170" s="38">
        <f t="shared" si="83"/>
        <v>1731646139.7744741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20</v>
      </c>
      <c r="BA170" s="36">
        <f>IFERROR(INDEX('Level Multipliers'!$D:$D,MATCH(AZ170,'Level Multipliers'!$A:$A,0)),"")</f>
        <v>1.6739202944034379</v>
      </c>
      <c r="BB170" s="37">
        <f t="shared" si="86"/>
        <v>12</v>
      </c>
      <c r="BC170" s="37">
        <f t="shared" si="87"/>
        <v>12</v>
      </c>
      <c r="BD170" s="38">
        <f t="shared" si="88"/>
        <v>1643902898.3269486</v>
      </c>
      <c r="BE170" s="38">
        <f t="shared" si="89"/>
        <v>1646175836.7328188</v>
      </c>
      <c r="BF170" s="38" t="b">
        <f t="shared" si="90"/>
        <v>0</v>
      </c>
      <c r="BG170" s="37">
        <f t="array" ref="BG170:BQ170">IF(BF170,"",IVSolution($M170,$N170,$O170,BB170,BC170,BD170,BE170,$E170,$F170,$G170,$H170,$I170))</f>
        <v>1</v>
      </c>
      <c r="BH170" s="37">
        <v>37</v>
      </c>
      <c r="BI170" s="37">
        <v>37</v>
      </c>
      <c r="BJ170" s="39">
        <v>0.82222222222222219</v>
      </c>
      <c r="BK170" s="39">
        <v>0.82222222222222219</v>
      </c>
      <c r="BL170" s="37">
        <v>12</v>
      </c>
      <c r="BM170" s="37">
        <v>12</v>
      </c>
      <c r="BN170" s="37">
        <v>12</v>
      </c>
      <c r="BO170" s="37">
        <v>12</v>
      </c>
      <c r="BP170" s="37">
        <v>13</v>
      </c>
      <c r="BQ170" s="37">
        <v>13</v>
      </c>
      <c r="BR170" s="40">
        <f t="shared" si="91"/>
        <v>20.5</v>
      </c>
      <c r="BS170" s="36">
        <f>IFERROR(INDEX('Level Multipliers'!$D:$D,MATCH(BR170,'Level Multipliers'!$A:$A,0)),"")</f>
        <v>1.6533745038028393</v>
      </c>
      <c r="BT170" s="37">
        <f t="shared" si="92"/>
        <v>8</v>
      </c>
      <c r="BU170" s="37">
        <f t="shared" si="93"/>
        <v>9</v>
      </c>
      <c r="BV170" s="38">
        <f t="shared" si="94"/>
        <v>1564667302.7871845</v>
      </c>
      <c r="BW170" s="38">
        <f t="shared" si="95"/>
        <v>1566830686.2866197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7"/>
        <v>20</v>
      </c>
      <c r="CK170" s="41">
        <f t="shared" si="98"/>
        <v>20</v>
      </c>
      <c r="CL170" s="66">
        <f t="shared" si="99"/>
        <v>0.82222222222222219</v>
      </c>
      <c r="CM170" s="39">
        <f t="shared" si="100"/>
        <v>0.82222222222222219</v>
      </c>
      <c r="CN170" s="39">
        <f t="shared" si="101"/>
        <v>0.82222222222222219</v>
      </c>
      <c r="CO170" s="42">
        <f t="shared" si="102"/>
        <v>12</v>
      </c>
      <c r="CP170" s="42">
        <f t="shared" si="103"/>
        <v>12</v>
      </c>
      <c r="CQ170" s="42">
        <f t="shared" si="104"/>
        <v>12</v>
      </c>
      <c r="CR170" s="42">
        <f t="shared" si="105"/>
        <v>12</v>
      </c>
      <c r="CS170" s="42">
        <f t="shared" si="106"/>
        <v>13</v>
      </c>
      <c r="CT170" s="42">
        <f t="shared" si="107"/>
        <v>13</v>
      </c>
      <c r="CU170" s="43">
        <f t="shared" si="108"/>
        <v>12</v>
      </c>
      <c r="CV170" s="43">
        <f t="shared" si="109"/>
        <v>12</v>
      </c>
      <c r="CW170" s="43">
        <f t="shared" si="110"/>
        <v>13</v>
      </c>
      <c r="CX170" s="13" t="s">
        <v>435</v>
      </c>
    </row>
    <row r="171" spans="1:102" x14ac:dyDescent="0.25">
      <c r="A171" s="31" t="s">
        <v>176</v>
      </c>
      <c r="B171" s="13">
        <v>179</v>
      </c>
      <c r="C171" s="13">
        <v>43</v>
      </c>
      <c r="D171" s="13">
        <v>10</v>
      </c>
      <c r="E171" s="32" t="s">
        <v>0</v>
      </c>
      <c r="F171" s="32">
        <v>1</v>
      </c>
      <c r="G171" s="32">
        <v>1</v>
      </c>
      <c r="H171" s="32"/>
      <c r="I171" s="32" t="s">
        <v>2</v>
      </c>
      <c r="J171" s="13"/>
      <c r="K171" s="33">
        <v>9</v>
      </c>
      <c r="L171" s="34">
        <f>IFERROR(INDEX('Pokemon Data'!A:A,MATCH($A171,'Pokemon Data'!$B:$B,0)),"")</f>
        <v>132</v>
      </c>
      <c r="M171" s="34">
        <f>IFERROR(INDEX('Pokemon Data'!I:I,MATCH($A171,'Pokemon Data'!$B:$B,0)),"")</f>
        <v>96</v>
      </c>
      <c r="N171" s="34">
        <f>IFERROR(INDEX('Pokemon Data'!J:J,MATCH($A171,'Pokemon Data'!$B:$B,0)),"")</f>
        <v>91</v>
      </c>
      <c r="O171" s="34">
        <f>IFERROR(INDEX('Pokemon Data'!K:K,MATCH($A171,'Pokemon Data'!$B:$B,0)),"")</f>
        <v>91</v>
      </c>
      <c r="P171" s="35">
        <f>IFERROR(INDEX('Level Multipliers'!$A:$A,MATCH($D171,'Level Multipliers'!$B:$B,0)),"")</f>
        <v>9</v>
      </c>
      <c r="Q171" s="36">
        <f>IFERROR(INDEX('Level Multipliers'!$D:$D,MATCH(P171,'Level Multipliers'!$A:$A,0)),"")</f>
        <v>2.5027074524512973</v>
      </c>
      <c r="R171" s="37">
        <f t="shared" si="74"/>
        <v>12</v>
      </c>
      <c r="S171" s="37">
        <f t="shared" si="75"/>
        <v>14</v>
      </c>
      <c r="T171" s="38">
        <f t="shared" si="76"/>
        <v>125703221.9239085</v>
      </c>
      <c r="U171" s="38">
        <f t="shared" si="77"/>
        <v>127111650.39588763</v>
      </c>
      <c r="V171" s="38" t="b">
        <f t="shared" si="78"/>
        <v>0</v>
      </c>
      <c r="W171" s="37">
        <f t="array" ref="W171:AG171">IF(V171,"",IVSolution($M171,$N171,$O171,R171,S171,T171,U171,$E171,$F171,$G171,$H171,$I171))</f>
        <v>1</v>
      </c>
      <c r="X171" s="37">
        <v>41</v>
      </c>
      <c r="Y171" s="37">
        <v>41</v>
      </c>
      <c r="Z171" s="39">
        <v>0.91111111111111109</v>
      </c>
      <c r="AA171" s="39">
        <v>0.91111111111111109</v>
      </c>
      <c r="AB171" s="37">
        <v>14</v>
      </c>
      <c r="AC171" s="37">
        <v>14</v>
      </c>
      <c r="AD171" s="37">
        <v>14</v>
      </c>
      <c r="AE171" s="37">
        <v>14</v>
      </c>
      <c r="AF171" s="37">
        <v>13</v>
      </c>
      <c r="AG171" s="37">
        <v>13</v>
      </c>
      <c r="AH171" s="40">
        <f t="shared" si="79"/>
        <v>9.5</v>
      </c>
      <c r="AI171" s="36">
        <f>IFERROR(INDEX('Level Multipliers'!$D:$D,MATCH(AH171,'Level Multipliers'!$A:$A,0)),"")</f>
        <v>2.4319447427583007</v>
      </c>
      <c r="AJ171" s="37">
        <f t="shared" si="80"/>
        <v>9</v>
      </c>
      <c r="AK171" s="37">
        <f t="shared" si="81"/>
        <v>11</v>
      </c>
      <c r="AL171" s="38">
        <f t="shared" si="82"/>
        <v>112078129.33748361</v>
      </c>
      <c r="AM171" s="38">
        <f t="shared" si="83"/>
        <v>113333896.89880058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10</v>
      </c>
      <c r="BA171" s="36">
        <f>IFERROR(INDEX('Level Multipliers'!$D:$D,MATCH(AZ171,'Level Multipliers'!$A:$A,0)),"")</f>
        <v>2.366863825187552</v>
      </c>
      <c r="BB171" s="37">
        <f t="shared" si="86"/>
        <v>6</v>
      </c>
      <c r="BC171" s="37">
        <f t="shared" si="87"/>
        <v>8</v>
      </c>
      <c r="BD171" s="38">
        <f t="shared" si="88"/>
        <v>100553953.38127901</v>
      </c>
      <c r="BE171" s="38">
        <f t="shared" si="89"/>
        <v>101680599.53039667</v>
      </c>
      <c r="BF171" s="38" t="b">
        <f t="shared" si="90"/>
        <v>1</v>
      </c>
      <c r="BG171" s="37" t="str">
        <f t="array" ref="BG171:BQ171">IF(BF171,"",IVSolution($M171,$N171,$O171,BB171,BC171,BD171,BE171,$E171,$F171,$G171,$H171,$I171))</f>
        <v/>
      </c>
      <c r="BH171" s="37" t="str">
        <v/>
      </c>
      <c r="BI171" s="37" t="str">
        <v/>
      </c>
      <c r="BJ171" s="39" t="str">
        <v/>
      </c>
      <c r="BK171" s="39" t="str">
        <v/>
      </c>
      <c r="BL171" s="37" t="str">
        <v/>
      </c>
      <c r="BM171" s="37" t="str">
        <v/>
      </c>
      <c r="BN171" s="37" t="str">
        <v/>
      </c>
      <c r="BO171" s="37" t="str">
        <v/>
      </c>
      <c r="BP171" s="37" t="str">
        <v/>
      </c>
      <c r="BQ171" s="37" t="str">
        <v/>
      </c>
      <c r="BR171" s="40">
        <f t="shared" si="91"/>
        <v>10.5</v>
      </c>
      <c r="BS171" s="36">
        <f>IFERROR(INDEX('Level Multipliers'!$D:$D,MATCH(BR171,'Level Multipliers'!$A:$A,0)),"")</f>
        <v>2.3098613358274029</v>
      </c>
      <c r="BT171" s="37">
        <f t="shared" si="92"/>
        <v>4</v>
      </c>
      <c r="BU171" s="37">
        <f t="shared" si="93"/>
        <v>5</v>
      </c>
      <c r="BV171" s="38">
        <f t="shared" si="94"/>
        <v>91211521.333440065</v>
      </c>
      <c r="BW171" s="38">
        <f t="shared" si="95"/>
        <v>92233491.189521492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7"/>
        <v>9</v>
      </c>
      <c r="CK171" s="41">
        <f t="shared" si="98"/>
        <v>9</v>
      </c>
      <c r="CL171" s="66">
        <f t="shared" si="99"/>
        <v>0.91111111111111109</v>
      </c>
      <c r="CM171" s="39">
        <f t="shared" si="100"/>
        <v>0.91111111111111109</v>
      </c>
      <c r="CN171" s="39">
        <f t="shared" si="101"/>
        <v>0.91111111111111109</v>
      </c>
      <c r="CO171" s="42">
        <f t="shared" si="102"/>
        <v>14</v>
      </c>
      <c r="CP171" s="42">
        <f t="shared" si="103"/>
        <v>14</v>
      </c>
      <c r="CQ171" s="42">
        <f t="shared" si="104"/>
        <v>14</v>
      </c>
      <c r="CR171" s="42">
        <f t="shared" si="105"/>
        <v>14</v>
      </c>
      <c r="CS171" s="42">
        <f t="shared" si="106"/>
        <v>13</v>
      </c>
      <c r="CT171" s="42">
        <f t="shared" si="107"/>
        <v>13</v>
      </c>
      <c r="CU171" s="43">
        <f t="shared" si="108"/>
        <v>14</v>
      </c>
      <c r="CV171" s="43">
        <f t="shared" si="109"/>
        <v>14</v>
      </c>
      <c r="CW171" s="43">
        <f t="shared" si="110"/>
        <v>13</v>
      </c>
      <c r="CX171" s="13" t="s">
        <v>400</v>
      </c>
    </row>
    <row r="172" spans="1:102" x14ac:dyDescent="0.25">
      <c r="A172" s="31" t="s">
        <v>178</v>
      </c>
      <c r="B172" s="13">
        <v>2909</v>
      </c>
      <c r="C172" s="13">
        <v>208</v>
      </c>
      <c r="D172" s="13">
        <v>70</v>
      </c>
      <c r="E172" s="32" t="s">
        <v>0</v>
      </c>
      <c r="F172" s="32">
        <v>1</v>
      </c>
      <c r="G172" s="32">
        <v>1</v>
      </c>
      <c r="H172" s="32">
        <v>1</v>
      </c>
      <c r="I172" s="32" t="s">
        <v>0</v>
      </c>
      <c r="J172" s="13">
        <v>1</v>
      </c>
      <c r="K172" s="33"/>
      <c r="L172" s="34">
        <f>IFERROR(INDEX('Pokemon Data'!A:A,MATCH($A172,'Pokemon Data'!$B:$B,0)),"")</f>
        <v>134</v>
      </c>
      <c r="M172" s="34">
        <f>IFERROR(INDEX('Pokemon Data'!I:I,MATCH($A172,'Pokemon Data'!$B:$B,0)),"")</f>
        <v>260</v>
      </c>
      <c r="N172" s="34">
        <f>IFERROR(INDEX('Pokemon Data'!J:J,MATCH($A172,'Pokemon Data'!$B:$B,0)),"")</f>
        <v>205</v>
      </c>
      <c r="O172" s="34">
        <f>IFERROR(INDEX('Pokemon Data'!K:K,MATCH($A172,'Pokemon Data'!$B:$B,0)),"")</f>
        <v>177</v>
      </c>
      <c r="P172" s="35">
        <f>IFERROR(INDEX('Level Multipliers'!$A:$A,MATCH($D172,'Level Multipliers'!$B:$B,0)),"")</f>
        <v>33</v>
      </c>
      <c r="Q172" s="36">
        <f>IFERROR(INDEX('Level Multipliers'!$D:$D,MATCH(P172,'Level Multipliers'!$A:$A,0)),"")</f>
        <v>1.3337582776494905</v>
      </c>
      <c r="R172" s="37">
        <f t="shared" si="74"/>
        <v>18</v>
      </c>
      <c r="S172" s="37">
        <f t="shared" si="75"/>
        <v>15</v>
      </c>
      <c r="T172" s="38">
        <f t="shared" si="76"/>
        <v>2677909855.7844639</v>
      </c>
      <c r="U172" s="38">
        <f t="shared" si="77"/>
        <v>2679751292.7978187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33.5</v>
      </c>
      <c r="AI172" s="36">
        <f>IFERROR(INDEX('Level Multipliers'!$D:$D,MATCH(AH172,'Level Multipliers'!$A:$A,0)),"")</f>
        <v>1.3284991909515182</v>
      </c>
      <c r="AJ172" s="37">
        <f t="shared" si="80"/>
        <v>17</v>
      </c>
      <c r="AK172" s="37">
        <f t="shared" si="81"/>
        <v>15</v>
      </c>
      <c r="AL172" s="38">
        <f t="shared" si="82"/>
        <v>2635922392.7847357</v>
      </c>
      <c r="AM172" s="38">
        <f t="shared" si="83"/>
        <v>2637734957.5534563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34</v>
      </c>
      <c r="BA172" s="36">
        <f>IFERROR(INDEX('Level Multipliers'!$D:$D,MATCH(AZ172,'Level Multipliers'!$A:$A,0)),"")</f>
        <v>1.3233018088625299</v>
      </c>
      <c r="BB172" s="37">
        <f t="shared" si="86"/>
        <v>16</v>
      </c>
      <c r="BC172" s="37">
        <f t="shared" si="87"/>
        <v>15</v>
      </c>
      <c r="BD172" s="38">
        <f t="shared" si="88"/>
        <v>2594914585.242713</v>
      </c>
      <c r="BE172" s="38">
        <f t="shared" si="89"/>
        <v>2596698951.4167418</v>
      </c>
      <c r="BF172" s="38" t="b">
        <f t="shared" si="90"/>
        <v>1</v>
      </c>
      <c r="BG172" s="37" t="str">
        <f t="array" ref="BG172:BQ172">IF(BF172,"",IVSolution($M172,$N172,$O172,BB172,BC172,BD172,BE172,$E172,$F172,$G172,$H172,$I172))</f>
        <v/>
      </c>
      <c r="BH172" s="37" t="str">
        <v/>
      </c>
      <c r="BI172" s="37" t="str">
        <v/>
      </c>
      <c r="BJ172" s="39" t="str">
        <v/>
      </c>
      <c r="BK172" s="39" t="str">
        <v/>
      </c>
      <c r="BL172" s="37" t="str">
        <v/>
      </c>
      <c r="BM172" s="37" t="str">
        <v/>
      </c>
      <c r="BN172" s="37" t="str">
        <v/>
      </c>
      <c r="BO172" s="37" t="str">
        <v/>
      </c>
      <c r="BP172" s="37" t="str">
        <v/>
      </c>
      <c r="BQ172" s="37" t="str">
        <v/>
      </c>
      <c r="BR172" s="40">
        <f t="shared" si="91"/>
        <v>34.5</v>
      </c>
      <c r="BS172" s="36">
        <f>IFERROR(INDEX('Level Multipliers'!$D:$D,MATCH(BR172,'Level Multipliers'!$A:$A,0)),"")</f>
        <v>1.3181649974326519</v>
      </c>
      <c r="BT172" s="37">
        <f t="shared" si="92"/>
        <v>15</v>
      </c>
      <c r="BU172" s="37">
        <f t="shared" si="93"/>
        <v>15</v>
      </c>
      <c r="BV172" s="38">
        <f t="shared" si="94"/>
        <v>2554856684.5906606</v>
      </c>
      <c r="BW172" s="38">
        <f t="shared" si="95"/>
        <v>2556613505.3636451</v>
      </c>
      <c r="BX172" s="38" t="b">
        <f t="shared" si="96"/>
        <v>0</v>
      </c>
      <c r="BY172" s="37">
        <f t="array" ref="BY172:CI172">IF(BX172,"",IVSolution($M172,$N172,$O172,BT172,BU172,BV172,BW172,$E172,$F172,$G172,$H172,$I172))</f>
        <v>1</v>
      </c>
      <c r="BZ172" s="37">
        <v>45</v>
      </c>
      <c r="CA172" s="37">
        <v>45</v>
      </c>
      <c r="CB172" s="39">
        <v>1</v>
      </c>
      <c r="CC172" s="39">
        <v>1</v>
      </c>
      <c r="CD172" s="37">
        <v>15</v>
      </c>
      <c r="CE172" s="37">
        <v>15</v>
      </c>
      <c r="CF172" s="37">
        <v>15</v>
      </c>
      <c r="CG172" s="37">
        <v>15</v>
      </c>
      <c r="CH172" s="37">
        <v>15</v>
      </c>
      <c r="CI172" s="37">
        <v>15</v>
      </c>
      <c r="CJ172" s="41">
        <f t="shared" si="97"/>
        <v>34.5</v>
      </c>
      <c r="CK172" s="41">
        <f t="shared" si="98"/>
        <v>34.5</v>
      </c>
      <c r="CL172" s="66">
        <f t="shared" si="99"/>
        <v>1</v>
      </c>
      <c r="CM172" s="39">
        <f t="shared" si="100"/>
        <v>1</v>
      </c>
      <c r="CN172" s="39">
        <f t="shared" si="101"/>
        <v>1</v>
      </c>
      <c r="CO172" s="42">
        <f t="shared" si="102"/>
        <v>15</v>
      </c>
      <c r="CP172" s="42">
        <f t="shared" si="103"/>
        <v>15</v>
      </c>
      <c r="CQ172" s="42">
        <f t="shared" si="104"/>
        <v>15</v>
      </c>
      <c r="CR172" s="42">
        <f t="shared" si="105"/>
        <v>15</v>
      </c>
      <c r="CS172" s="42">
        <f t="shared" si="106"/>
        <v>15</v>
      </c>
      <c r="CT172" s="42">
        <f t="shared" si="107"/>
        <v>15</v>
      </c>
      <c r="CU172" s="43">
        <f t="shared" si="108"/>
        <v>15</v>
      </c>
      <c r="CV172" s="43">
        <f t="shared" si="109"/>
        <v>15</v>
      </c>
      <c r="CW172" s="43">
        <f t="shared" si="110"/>
        <v>15</v>
      </c>
      <c r="CX172" s="13" t="s">
        <v>427</v>
      </c>
    </row>
    <row r="173" spans="1:102" x14ac:dyDescent="0.25">
      <c r="A173" s="31" t="s">
        <v>178</v>
      </c>
      <c r="B173" s="13">
        <v>2457</v>
      </c>
      <c r="C173" s="13">
        <v>190</v>
      </c>
      <c r="D173" s="13">
        <v>45</v>
      </c>
      <c r="E173" s="32" t="s">
        <v>2</v>
      </c>
      <c r="F173" s="32"/>
      <c r="G173" s="32"/>
      <c r="H173" s="32">
        <v>1</v>
      </c>
      <c r="I173" s="32" t="s">
        <v>2</v>
      </c>
      <c r="J173" s="13"/>
      <c r="K173" s="33"/>
      <c r="L173" s="34">
        <f>IFERROR(INDEX('Pokemon Data'!A:A,MATCH($A173,'Pokemon Data'!$B:$B,0)),"")</f>
        <v>134</v>
      </c>
      <c r="M173" s="34">
        <f>IFERROR(INDEX('Pokemon Data'!I:I,MATCH($A173,'Pokemon Data'!$B:$B,0)),"")</f>
        <v>260</v>
      </c>
      <c r="N173" s="34">
        <f>IFERROR(INDEX('Pokemon Data'!J:J,MATCH($A173,'Pokemon Data'!$B:$B,0)),"")</f>
        <v>205</v>
      </c>
      <c r="O173" s="34">
        <f>IFERROR(INDEX('Pokemon Data'!K:K,MATCH($A173,'Pokemon Data'!$B:$B,0)),"")</f>
        <v>177</v>
      </c>
      <c r="P173" s="35">
        <f>IFERROR(INDEX('Level Multipliers'!$A:$A,MATCH($D173,'Level Multipliers'!$B:$B,0)),"")</f>
        <v>27</v>
      </c>
      <c r="Q173" s="36">
        <f>IFERROR(INDEX('Level Multipliers'!$D:$D,MATCH(P173,'Level Multipliers'!$A:$A,0)),"")</f>
        <v>1.4406239915890684</v>
      </c>
      <c r="R173" s="37">
        <f t="shared" si="74"/>
        <v>14</v>
      </c>
      <c r="S173" s="37">
        <f t="shared" si="75"/>
        <v>15</v>
      </c>
      <c r="T173" s="38">
        <f t="shared" si="76"/>
        <v>2600236709.4209361</v>
      </c>
      <c r="U173" s="38">
        <f t="shared" si="77"/>
        <v>2602353734.9464717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27.5</v>
      </c>
      <c r="AI173" s="36">
        <f>IFERROR(INDEX('Level Multipliers'!$D:$D,MATCH(AH173,'Level Multipliers'!$A:$A,0)),"")</f>
        <v>1.4274643259182833</v>
      </c>
      <c r="AJ173" s="37">
        <f t="shared" si="80"/>
        <v>12</v>
      </c>
      <c r="AK173" s="37">
        <f t="shared" si="81"/>
        <v>12</v>
      </c>
      <c r="AL173" s="38">
        <f t="shared" si="82"/>
        <v>2506521112.1004004</v>
      </c>
      <c r="AM173" s="38">
        <f t="shared" si="83"/>
        <v>2508561837.5295067</v>
      </c>
      <c r="AN173" s="38" t="b">
        <f t="shared" si="84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5"/>
        <v>28</v>
      </c>
      <c r="BA173" s="36">
        <f>IFERROR(INDEX('Level Multipliers'!$D:$D,MATCH(AZ173,'Level Multipliers'!$A:$A,0)),"")</f>
        <v>1.4146588542279308</v>
      </c>
      <c r="BB173" s="37">
        <f t="shared" si="86"/>
        <v>9</v>
      </c>
      <c r="BC173" s="37">
        <f t="shared" si="87"/>
        <v>10</v>
      </c>
      <c r="BD173" s="38">
        <f t="shared" si="88"/>
        <v>2417782342.2318072</v>
      </c>
      <c r="BE173" s="38">
        <f t="shared" si="89"/>
        <v>2419750819.530489</v>
      </c>
      <c r="BF173" s="38" t="b">
        <f t="shared" si="90"/>
        <v>0</v>
      </c>
      <c r="BG173" s="37">
        <f t="array" ref="BG173:BQ173">IF(BF173,"",IVSolution($M173,$N173,$O173,BB173,BC173,BD173,BE173,$E173,$F173,$G173,$H173,$I173))</f>
        <v>1</v>
      </c>
      <c r="BH173" s="37">
        <v>35</v>
      </c>
      <c r="BI173" s="37">
        <v>35</v>
      </c>
      <c r="BJ173" s="39">
        <v>0.77777777777777779</v>
      </c>
      <c r="BK173" s="39">
        <v>0.77777777777777779</v>
      </c>
      <c r="BL173" s="37">
        <v>9</v>
      </c>
      <c r="BM173" s="37">
        <v>9</v>
      </c>
      <c r="BN173" s="37">
        <v>12</v>
      </c>
      <c r="BO173" s="37">
        <v>12</v>
      </c>
      <c r="BP173" s="37">
        <v>14</v>
      </c>
      <c r="BQ173" s="37">
        <v>14</v>
      </c>
      <c r="BR173" s="40">
        <f t="shared" si="91"/>
        <v>28.5</v>
      </c>
      <c r="BS173" s="36">
        <f>IFERROR(INDEX('Level Multipliers'!$D:$D,MATCH(BR173,'Level Multipliers'!$A:$A,0)),"")</f>
        <v>1.4021920400529488</v>
      </c>
      <c r="BT173" s="37">
        <f t="shared" si="92"/>
        <v>7</v>
      </c>
      <c r="BU173" s="37">
        <f t="shared" si="93"/>
        <v>7</v>
      </c>
      <c r="BV173" s="38">
        <f t="shared" si="94"/>
        <v>2333674617.0908647</v>
      </c>
      <c r="BW173" s="38">
        <f t="shared" si="95"/>
        <v>2335574616.7004294</v>
      </c>
      <c r="BX173" s="38" t="b">
        <f t="shared" si="96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7"/>
        <v>28</v>
      </c>
      <c r="CK173" s="41">
        <f t="shared" si="98"/>
        <v>28</v>
      </c>
      <c r="CL173" s="66">
        <f t="shared" si="99"/>
        <v>0.77777777777777779</v>
      </c>
      <c r="CM173" s="39">
        <f t="shared" si="100"/>
        <v>0.77777777777777779</v>
      </c>
      <c r="CN173" s="39">
        <f t="shared" si="101"/>
        <v>0.77777777777777779</v>
      </c>
      <c r="CO173" s="42">
        <f t="shared" si="102"/>
        <v>9</v>
      </c>
      <c r="CP173" s="42">
        <f t="shared" si="103"/>
        <v>9</v>
      </c>
      <c r="CQ173" s="42">
        <f t="shared" si="104"/>
        <v>12</v>
      </c>
      <c r="CR173" s="42">
        <f t="shared" si="105"/>
        <v>12</v>
      </c>
      <c r="CS173" s="42">
        <f t="shared" si="106"/>
        <v>14</v>
      </c>
      <c r="CT173" s="42">
        <f t="shared" si="107"/>
        <v>14</v>
      </c>
      <c r="CU173" s="43">
        <f t="shared" si="108"/>
        <v>9</v>
      </c>
      <c r="CV173" s="43">
        <f t="shared" si="109"/>
        <v>12</v>
      </c>
      <c r="CW173" s="43">
        <f t="shared" si="110"/>
        <v>14</v>
      </c>
      <c r="CX173" s="13" t="s">
        <v>422</v>
      </c>
    </row>
    <row r="174" spans="1:102" x14ac:dyDescent="0.25">
      <c r="A174" s="31" t="s">
        <v>178</v>
      </c>
      <c r="B174" s="13">
        <v>1569</v>
      </c>
      <c r="C174" s="13">
        <v>154</v>
      </c>
      <c r="D174" s="13">
        <v>22</v>
      </c>
      <c r="E174" s="32" t="s">
        <v>2</v>
      </c>
      <c r="F174" s="32">
        <v>1</v>
      </c>
      <c r="G174" s="32">
        <v>1</v>
      </c>
      <c r="H174" s="32"/>
      <c r="I174" s="32" t="s">
        <v>2</v>
      </c>
      <c r="J174" s="13"/>
      <c r="K174" s="33"/>
      <c r="L174" s="34">
        <f>IFERROR(INDEX('Pokemon Data'!A:A,MATCH($A174,'Pokemon Data'!$B:$B,0)),"")</f>
        <v>134</v>
      </c>
      <c r="M174" s="34">
        <f>IFERROR(INDEX('Pokemon Data'!I:I,MATCH($A174,'Pokemon Data'!$B:$B,0)),"")</f>
        <v>260</v>
      </c>
      <c r="N174" s="34">
        <f>IFERROR(INDEX('Pokemon Data'!J:J,MATCH($A174,'Pokemon Data'!$B:$B,0)),"")</f>
        <v>205</v>
      </c>
      <c r="O174" s="34">
        <f>IFERROR(INDEX('Pokemon Data'!K:K,MATCH($A174,'Pokemon Data'!$B:$B,0)),"")</f>
        <v>177</v>
      </c>
      <c r="P174" s="35">
        <f>IFERROR(INDEX('Level Multipliers'!$A:$A,MATCH($D174,'Level Multipliers'!$B:$B,0)),"")</f>
        <v>17</v>
      </c>
      <c r="Q174" s="36">
        <f>IFERROR(INDEX('Level Multipliers'!$D:$D,MATCH(P174,'Level Multipliers'!$A:$A,0)),"")</f>
        <v>1.8155651132027117</v>
      </c>
      <c r="R174" s="37">
        <f t="shared" si="74"/>
        <v>20</v>
      </c>
      <c r="S174" s="37">
        <f t="shared" si="75"/>
        <v>15</v>
      </c>
      <c r="T174" s="38">
        <f t="shared" si="76"/>
        <v>2674811632.4013314</v>
      </c>
      <c r="U174" s="38">
        <f t="shared" si="77"/>
        <v>2678222294.002562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17.5</v>
      </c>
      <c r="AI174" s="36">
        <f>IFERROR(INDEX('Level Multipliers'!$D:$D,MATCH(AH174,'Level Multipliers'!$A:$A,0)),"")</f>
        <v>1.7894510926096343</v>
      </c>
      <c r="AJ174" s="37">
        <f t="shared" si="80"/>
        <v>16</v>
      </c>
      <c r="AK174" s="37">
        <f t="shared" si="81"/>
        <v>15</v>
      </c>
      <c r="AL174" s="38">
        <f t="shared" si="82"/>
        <v>2524208471.9182315</v>
      </c>
      <c r="AM174" s="38">
        <f t="shared" si="83"/>
        <v>2527427098.9065342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18</v>
      </c>
      <c r="BA174" s="36">
        <f>IFERROR(INDEX('Level Multipliers'!$D:$D,MATCH(AZ174,'Level Multipliers'!$A:$A,0)),"")</f>
        <v>1.7644323332558229</v>
      </c>
      <c r="BB174" s="37">
        <f t="shared" si="86"/>
        <v>12</v>
      </c>
      <c r="BC174" s="37">
        <f t="shared" si="87"/>
        <v>13</v>
      </c>
      <c r="BD174" s="38">
        <f t="shared" si="88"/>
        <v>2385975158.46631</v>
      </c>
      <c r="BE174" s="38">
        <f t="shared" si="89"/>
        <v>2389017523.6765909</v>
      </c>
      <c r="BF174" s="38" t="b">
        <f t="shared" si="90"/>
        <v>0</v>
      </c>
      <c r="BG174" s="37">
        <f t="array" ref="BG174:BQ174">IF(BF174,"",IVSolution($M174,$N174,$O174,BB174,BC174,BD174,BE174,$E174,$F174,$G174,$H174,$I174))</f>
        <v>1</v>
      </c>
      <c r="BH174" s="37">
        <v>33</v>
      </c>
      <c r="BI174" s="37">
        <v>33</v>
      </c>
      <c r="BJ174" s="39">
        <v>0.73333333333333328</v>
      </c>
      <c r="BK174" s="39">
        <v>0.73333333333333328</v>
      </c>
      <c r="BL174" s="37">
        <v>13</v>
      </c>
      <c r="BM174" s="37">
        <v>13</v>
      </c>
      <c r="BN174" s="37">
        <v>13</v>
      </c>
      <c r="BO174" s="37">
        <v>13</v>
      </c>
      <c r="BP174" s="37">
        <v>7</v>
      </c>
      <c r="BQ174" s="37">
        <v>7</v>
      </c>
      <c r="BR174" s="40">
        <f t="shared" si="91"/>
        <v>18.5</v>
      </c>
      <c r="BS174" s="36">
        <f>IFERROR(INDEX('Level Multipliers'!$D:$D,MATCH(BR174,'Level Multipliers'!$A:$A,0)),"")</f>
        <v>1.7404346161581328</v>
      </c>
      <c r="BT174" s="37">
        <f t="shared" si="92"/>
        <v>9</v>
      </c>
      <c r="BU174" s="37">
        <f t="shared" si="93"/>
        <v>9</v>
      </c>
      <c r="BV174" s="38">
        <f t="shared" si="94"/>
        <v>2258794582.1462402</v>
      </c>
      <c r="BW174" s="38">
        <f t="shared" si="95"/>
        <v>2261674778.9619985</v>
      </c>
      <c r="BX174" s="38" t="b">
        <f t="shared" si="96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7"/>
        <v>18</v>
      </c>
      <c r="CK174" s="41">
        <f t="shared" si="98"/>
        <v>18</v>
      </c>
      <c r="CL174" s="66">
        <f t="shared" si="99"/>
        <v>0.73333333333333328</v>
      </c>
      <c r="CM174" s="39">
        <f t="shared" si="100"/>
        <v>0.73333333333333328</v>
      </c>
      <c r="CN174" s="39">
        <f t="shared" si="101"/>
        <v>0.73333333333333328</v>
      </c>
      <c r="CO174" s="42">
        <f t="shared" si="102"/>
        <v>13</v>
      </c>
      <c r="CP174" s="42">
        <f t="shared" si="103"/>
        <v>13</v>
      </c>
      <c r="CQ174" s="42">
        <f t="shared" si="104"/>
        <v>13</v>
      </c>
      <c r="CR174" s="42">
        <f t="shared" si="105"/>
        <v>13</v>
      </c>
      <c r="CS174" s="42">
        <f t="shared" si="106"/>
        <v>7</v>
      </c>
      <c r="CT174" s="42">
        <f t="shared" si="107"/>
        <v>7</v>
      </c>
      <c r="CU174" s="43">
        <f t="shared" si="108"/>
        <v>13</v>
      </c>
      <c r="CV174" s="43">
        <f t="shared" si="109"/>
        <v>13</v>
      </c>
      <c r="CW174" s="43">
        <f t="shared" si="110"/>
        <v>7</v>
      </c>
      <c r="CX174" s="13" t="s">
        <v>422</v>
      </c>
    </row>
    <row r="175" spans="1:102" x14ac:dyDescent="0.25">
      <c r="A175" s="31" t="s">
        <v>178</v>
      </c>
      <c r="B175" s="13">
        <v>1328</v>
      </c>
      <c r="C175" s="13">
        <v>141</v>
      </c>
      <c r="D175" s="13">
        <v>19</v>
      </c>
      <c r="E175" s="32" t="s">
        <v>0</v>
      </c>
      <c r="F175" s="32">
        <v>1</v>
      </c>
      <c r="G175" s="32"/>
      <c r="H175" s="32"/>
      <c r="I175" s="32" t="s">
        <v>2</v>
      </c>
      <c r="J175" s="13"/>
      <c r="K175" s="33">
        <v>15</v>
      </c>
      <c r="L175" s="34">
        <f>IFERROR(INDEX('Pokemon Data'!A:A,MATCH($A175,'Pokemon Data'!$B:$B,0)),"")</f>
        <v>134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205</v>
      </c>
      <c r="O175" s="34">
        <f>IFERROR(INDEX('Pokemon Data'!K:K,MATCH($A175,'Pokemon Data'!$B:$B,0)),"")</f>
        <v>177</v>
      </c>
      <c r="P175" s="35">
        <f>IFERROR(INDEX('Level Multipliers'!$A:$A,MATCH($D175,'Level Multipliers'!$B:$B,0)),"")</f>
        <v>15</v>
      </c>
      <c r="Q175" s="36">
        <f>IFERROR(INDEX('Level Multipliers'!$D:$D,MATCH(P175,'Level Multipliers'!$A:$A,0)),"")</f>
        <v>1.9327632386874845</v>
      </c>
      <c r="R175" s="37">
        <f t="shared" si="74"/>
        <v>13</v>
      </c>
      <c r="S175" s="37">
        <f t="shared" si="75"/>
        <v>14</v>
      </c>
      <c r="T175" s="38">
        <f t="shared" si="76"/>
        <v>2460995258.0026178</v>
      </c>
      <c r="U175" s="38">
        <f t="shared" si="77"/>
        <v>2464702971.6133747</v>
      </c>
      <c r="V175" s="38" t="b">
        <f t="shared" si="78"/>
        <v>0</v>
      </c>
      <c r="W175" s="37">
        <f t="array" ref="W175:AG175">IF(V175,"",IVSolution($M175,$N175,$O175,R175,S175,T175,U175,$E175,$F175,$G175,$H175,$I175))</f>
        <v>1</v>
      </c>
      <c r="X175" s="37">
        <v>39</v>
      </c>
      <c r="Y175" s="37">
        <v>39</v>
      </c>
      <c r="Z175" s="39">
        <v>0.8666666666666667</v>
      </c>
      <c r="AA175" s="39">
        <v>0.8666666666666667</v>
      </c>
      <c r="AB175" s="37">
        <v>14</v>
      </c>
      <c r="AC175" s="37">
        <v>14</v>
      </c>
      <c r="AD175" s="37">
        <v>13</v>
      </c>
      <c r="AE175" s="37">
        <v>13</v>
      </c>
      <c r="AF175" s="37">
        <v>12</v>
      </c>
      <c r="AG175" s="37">
        <v>12</v>
      </c>
      <c r="AH175" s="40">
        <f t="shared" si="79"/>
        <v>15.5</v>
      </c>
      <c r="AI175" s="36">
        <f>IFERROR(INDEX('Level Multipliers'!$D:$D,MATCH(AH175,'Level Multipliers'!$A:$A,0)),"")</f>
        <v>1.9013484732050823</v>
      </c>
      <c r="AJ175" s="37">
        <f t="shared" si="80"/>
        <v>9</v>
      </c>
      <c r="AK175" s="37">
        <f t="shared" si="81"/>
        <v>9</v>
      </c>
      <c r="AL175" s="38">
        <f t="shared" si="82"/>
        <v>2304851934.7301178</v>
      </c>
      <c r="AM175" s="38">
        <f t="shared" si="83"/>
        <v>2308324404.196034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16</v>
      </c>
      <c r="BA175" s="36">
        <f>IFERROR(INDEX('Level Multipliers'!$D:$D,MATCH(AZ175,'Level Multipliers'!$A:$A,0)),"")</f>
        <v>1.8714174200985207</v>
      </c>
      <c r="BB175" s="37">
        <f t="shared" si="86"/>
        <v>4</v>
      </c>
      <c r="BC175" s="37">
        <f t="shared" si="87"/>
        <v>5</v>
      </c>
      <c r="BD175" s="38">
        <f t="shared" si="88"/>
        <v>2163111076.7429147</v>
      </c>
      <c r="BE175" s="38">
        <f t="shared" si="89"/>
        <v>2166370000.6903453</v>
      </c>
      <c r="BF175" s="38" t="b">
        <f t="shared" si="90"/>
        <v>1</v>
      </c>
      <c r="BG175" s="37" t="str">
        <f t="array" ref="BG175:BQ175">IF(BF175,"",IVSolution($M175,$N175,$O175,BB175,BC175,BD175,BE175,$E175,$F175,$G175,$H175,$I175))</f>
        <v/>
      </c>
      <c r="BH175" s="37" t="str">
        <v/>
      </c>
      <c r="BI175" s="37" t="str">
        <v/>
      </c>
      <c r="BJ175" s="39" t="str">
        <v/>
      </c>
      <c r="BK175" s="39" t="str">
        <v/>
      </c>
      <c r="BL175" s="37" t="str">
        <v/>
      </c>
      <c r="BM175" s="37" t="str">
        <v/>
      </c>
      <c r="BN175" s="37" t="str">
        <v/>
      </c>
      <c r="BO175" s="37" t="str">
        <v/>
      </c>
      <c r="BP175" s="37" t="str">
        <v/>
      </c>
      <c r="BQ175" s="37" t="str">
        <v/>
      </c>
      <c r="BR175" s="40">
        <f t="shared" si="91"/>
        <v>16.5</v>
      </c>
      <c r="BS175" s="36">
        <f>IFERROR(INDEX('Level Multipliers'!$D:$D,MATCH(BR175,'Level Multipliers'!$A:$A,0)),"")</f>
        <v>1.8428568206029767</v>
      </c>
      <c r="BT175" s="37">
        <f t="shared" si="92"/>
        <v>0</v>
      </c>
      <c r="BU175" s="37">
        <f t="shared" si="93"/>
        <v>1</v>
      </c>
      <c r="BV175" s="38">
        <f t="shared" si="94"/>
        <v>2034054229.7478325</v>
      </c>
      <c r="BW175" s="38">
        <f t="shared" si="95"/>
        <v>2037118717.7951498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7"/>
        <v>15</v>
      </c>
      <c r="CK175" s="41">
        <f t="shared" si="98"/>
        <v>15</v>
      </c>
      <c r="CL175" s="66">
        <f t="shared" si="99"/>
        <v>0.8666666666666667</v>
      </c>
      <c r="CM175" s="39">
        <f t="shared" si="100"/>
        <v>0.8666666666666667</v>
      </c>
      <c r="CN175" s="39">
        <f t="shared" si="101"/>
        <v>0.8666666666666667</v>
      </c>
      <c r="CO175" s="42">
        <f t="shared" si="102"/>
        <v>14</v>
      </c>
      <c r="CP175" s="42">
        <f t="shared" si="103"/>
        <v>14</v>
      </c>
      <c r="CQ175" s="42">
        <f t="shared" si="104"/>
        <v>13</v>
      </c>
      <c r="CR175" s="42">
        <f t="shared" si="105"/>
        <v>13</v>
      </c>
      <c r="CS175" s="42">
        <f t="shared" si="106"/>
        <v>12</v>
      </c>
      <c r="CT175" s="42">
        <f t="shared" si="107"/>
        <v>12</v>
      </c>
      <c r="CU175" s="43">
        <f t="shared" si="108"/>
        <v>14</v>
      </c>
      <c r="CV175" s="43">
        <f t="shared" si="109"/>
        <v>13</v>
      </c>
      <c r="CW175" s="43">
        <f t="shared" si="110"/>
        <v>12</v>
      </c>
      <c r="CX175" s="13" t="s">
        <v>426</v>
      </c>
    </row>
    <row r="176" spans="1:102" x14ac:dyDescent="0.25">
      <c r="A176" s="31" t="s">
        <v>178</v>
      </c>
      <c r="B176" s="13">
        <v>1247</v>
      </c>
      <c r="C176" s="13">
        <v>135</v>
      </c>
      <c r="D176" s="13">
        <v>16</v>
      </c>
      <c r="E176" s="32" t="s">
        <v>0</v>
      </c>
      <c r="F176" s="32"/>
      <c r="G176" s="32">
        <v>1</v>
      </c>
      <c r="H176" s="32"/>
      <c r="I176" s="32" t="s">
        <v>0</v>
      </c>
      <c r="J176" s="13"/>
      <c r="K176" s="33"/>
      <c r="L176" s="34">
        <f>IFERROR(INDEX('Pokemon Data'!A:A,MATCH($A176,'Pokemon Data'!$B:$B,0)),"")</f>
        <v>134</v>
      </c>
      <c r="M176" s="34">
        <f>IFERROR(INDEX('Pokemon Data'!I:I,MATCH($A176,'Pokemon Data'!$B:$B,0)),"")</f>
        <v>260</v>
      </c>
      <c r="N176" s="34">
        <f>IFERROR(INDEX('Pokemon Data'!J:J,MATCH($A176,'Pokemon Data'!$B:$B,0)),"")</f>
        <v>205</v>
      </c>
      <c r="O176" s="34">
        <f>IFERROR(INDEX('Pokemon Data'!K:K,MATCH($A176,'Pokemon Data'!$B:$B,0)),"")</f>
        <v>177</v>
      </c>
      <c r="P176" s="35">
        <f>IFERROR(INDEX('Level Multipliers'!$A:$A,MATCH($D176,'Level Multipliers'!$B:$B,0)),"")</f>
        <v>13</v>
      </c>
      <c r="Q176" s="36">
        <f>IFERROR(INDEX('Level Multipliers'!$D:$D,MATCH(P176,'Level Multipliers'!$A:$A,0)),"")</f>
        <v>2.0760457511183974</v>
      </c>
      <c r="R176" s="37">
        <f t="shared" si="74"/>
        <v>21</v>
      </c>
      <c r="S176" s="37">
        <f t="shared" si="75"/>
        <v>15</v>
      </c>
      <c r="T176" s="38">
        <f t="shared" si="76"/>
        <v>2888554641.8372455</v>
      </c>
      <c r="U176" s="38">
        <f t="shared" si="77"/>
        <v>2893189305.5796318</v>
      </c>
      <c r="V176" s="38" t="b">
        <f t="shared" si="78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9"/>
        <v>13.5</v>
      </c>
      <c r="AI176" s="36">
        <f>IFERROR(INDEX('Level Multipliers'!$D:$D,MATCH(AH176,'Level Multipliers'!$A:$A,0)),"")</f>
        <v>2.0372581629338091</v>
      </c>
      <c r="AJ176" s="37">
        <f t="shared" si="80"/>
        <v>16</v>
      </c>
      <c r="AK176" s="37">
        <f t="shared" si="81"/>
        <v>15</v>
      </c>
      <c r="AL176" s="38">
        <f t="shared" si="82"/>
        <v>2678657415.4141879</v>
      </c>
      <c r="AM176" s="38">
        <f t="shared" si="83"/>
        <v>2682955300.6685233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14</v>
      </c>
      <c r="BA176" s="36">
        <f>IFERROR(INDEX('Level Multipliers'!$D:$D,MATCH(AZ176,'Level Multipliers'!$A:$A,0)),"")</f>
        <v>2.0005664044869746</v>
      </c>
      <c r="BB176" s="37">
        <f t="shared" si="86"/>
        <v>11</v>
      </c>
      <c r="BC176" s="37">
        <f t="shared" si="87"/>
        <v>12</v>
      </c>
      <c r="BD176" s="38">
        <f t="shared" si="88"/>
        <v>2490834042.5506382</v>
      </c>
      <c r="BE176" s="38">
        <f t="shared" si="89"/>
        <v>2494830566.6454592</v>
      </c>
      <c r="BF176" s="38" t="b">
        <f t="shared" si="90"/>
        <v>0</v>
      </c>
      <c r="BG176" s="37">
        <f t="array" ref="BG176:BQ176">IF(BF176,"",IVSolution($M176,$N176,$O176,BB176,BC176,BD176,BE176,$E176,$F176,$G176,$H176,$I176))</f>
        <v>1</v>
      </c>
      <c r="BH176" s="37">
        <v>39</v>
      </c>
      <c r="BI176" s="37">
        <v>39</v>
      </c>
      <c r="BJ176" s="39">
        <v>0.8666666666666667</v>
      </c>
      <c r="BK176" s="39">
        <v>0.8666666666666667</v>
      </c>
      <c r="BL176" s="37">
        <v>11</v>
      </c>
      <c r="BM176" s="37">
        <v>11</v>
      </c>
      <c r="BN176" s="37">
        <v>15</v>
      </c>
      <c r="BO176" s="37">
        <v>15</v>
      </c>
      <c r="BP176" s="37">
        <v>13</v>
      </c>
      <c r="BQ176" s="37">
        <v>13</v>
      </c>
      <c r="BR176" s="40">
        <f t="shared" si="91"/>
        <v>14.5</v>
      </c>
      <c r="BS176" s="36">
        <f>IFERROR(INDEX('Level Multipliers'!$D:$D,MATCH(BR176,'Level Multipliers'!$A:$A,0)),"")</f>
        <v>1.9657884055662767</v>
      </c>
      <c r="BT176" s="37">
        <f t="shared" si="92"/>
        <v>6</v>
      </c>
      <c r="BU176" s="37">
        <f t="shared" si="93"/>
        <v>7</v>
      </c>
      <c r="BV176" s="38">
        <f t="shared" si="94"/>
        <v>2322095002.7707887</v>
      </c>
      <c r="BW176" s="38">
        <f t="shared" si="95"/>
        <v>2325820786.371985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7"/>
        <v>14</v>
      </c>
      <c r="CK176" s="41">
        <f t="shared" si="98"/>
        <v>14</v>
      </c>
      <c r="CL176" s="66">
        <f t="shared" si="99"/>
        <v>0.8666666666666667</v>
      </c>
      <c r="CM176" s="39">
        <f t="shared" si="100"/>
        <v>0.8666666666666667</v>
      </c>
      <c r="CN176" s="39">
        <f t="shared" si="101"/>
        <v>0.8666666666666667</v>
      </c>
      <c r="CO176" s="42">
        <f t="shared" si="102"/>
        <v>11</v>
      </c>
      <c r="CP176" s="42">
        <f t="shared" si="103"/>
        <v>11</v>
      </c>
      <c r="CQ176" s="42">
        <f t="shared" si="104"/>
        <v>15</v>
      </c>
      <c r="CR176" s="42">
        <f t="shared" si="105"/>
        <v>15</v>
      </c>
      <c r="CS176" s="42">
        <f t="shared" si="106"/>
        <v>13</v>
      </c>
      <c r="CT176" s="42">
        <f t="shared" si="107"/>
        <v>13</v>
      </c>
      <c r="CU176" s="43">
        <f t="shared" si="108"/>
        <v>11</v>
      </c>
      <c r="CV176" s="43">
        <f t="shared" si="109"/>
        <v>15</v>
      </c>
      <c r="CW176" s="43">
        <f t="shared" si="110"/>
        <v>13</v>
      </c>
      <c r="CX176" s="13" t="s">
        <v>427</v>
      </c>
    </row>
    <row r="177" spans="1:102" x14ac:dyDescent="0.25">
      <c r="A177" s="31" t="s">
        <v>179</v>
      </c>
      <c r="B177" s="13">
        <v>1959</v>
      </c>
      <c r="C177" s="13">
        <v>98</v>
      </c>
      <c r="D177" s="13">
        <v>40</v>
      </c>
      <c r="E177" s="32" t="s">
        <v>2</v>
      </c>
      <c r="F177" s="32"/>
      <c r="G177" s="32">
        <v>1</v>
      </c>
      <c r="H177" s="32"/>
      <c r="I177" s="32" t="s">
        <v>0</v>
      </c>
      <c r="J177" s="13"/>
      <c r="K177" s="33"/>
      <c r="L177" s="34">
        <f>IFERROR(INDEX('Pokemon Data'!A:A,MATCH($A177,'Pokemon Data'!$B:$B,0)),"")</f>
        <v>135</v>
      </c>
      <c r="M177" s="34">
        <f>IFERROR(INDEX('Pokemon Data'!I:I,MATCH($A177,'Pokemon Data'!$B:$B,0)),"")</f>
        <v>130</v>
      </c>
      <c r="N177" s="34">
        <f>IFERROR(INDEX('Pokemon Data'!J:J,MATCH($A177,'Pokemon Data'!$B:$B,0)),"")</f>
        <v>232</v>
      </c>
      <c r="O177" s="34">
        <f>IFERROR(INDEX('Pokemon Data'!K:K,MATCH($A177,'Pokemon Data'!$B:$B,0)),"")</f>
        <v>201</v>
      </c>
      <c r="P177" s="35">
        <f>IFERROR(INDEX('Level Multipliers'!$A:$A,MATCH($D177,'Level Multipliers'!$B:$B,0)),"")</f>
        <v>25</v>
      </c>
      <c r="Q177" s="36">
        <f>IFERROR(INDEX('Level Multipliers'!$D:$D,MATCH(P177,'Level Multipliers'!$A:$A,0)),"")</f>
        <v>1.4971539093132804</v>
      </c>
      <c r="R177" s="37">
        <f t="shared" si="74"/>
        <v>17</v>
      </c>
      <c r="S177" s="37">
        <f t="shared" si="75"/>
        <v>15</v>
      </c>
      <c r="T177" s="38">
        <f t="shared" si="76"/>
        <v>1928122695.429424</v>
      </c>
      <c r="U177" s="38">
        <f t="shared" si="77"/>
        <v>1930091674.3110423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25.5</v>
      </c>
      <c r="AI177" s="36">
        <f>IFERROR(INDEX('Level Multipliers'!$D:$D,MATCH(AH177,'Level Multipliers'!$A:$A,0)),"")</f>
        <v>1.4823997223704843</v>
      </c>
      <c r="AJ177" s="37">
        <f t="shared" si="80"/>
        <v>16</v>
      </c>
      <c r="AK177" s="37">
        <f t="shared" si="81"/>
        <v>15</v>
      </c>
      <c r="AL177" s="38">
        <f t="shared" si="82"/>
        <v>1853233626.9733384</v>
      </c>
      <c r="AM177" s="38">
        <f t="shared" si="83"/>
        <v>1855126129.9156382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26</v>
      </c>
      <c r="BA177" s="36">
        <f>IFERROR(INDEX('Level Multipliers'!$D:$D,MATCH(AZ177,'Level Multipliers'!$A:$A,0)),"")</f>
        <v>1.4680732523857296</v>
      </c>
      <c r="BB177" s="37">
        <f t="shared" si="86"/>
        <v>14</v>
      </c>
      <c r="BC177" s="37">
        <f t="shared" si="87"/>
        <v>15</v>
      </c>
      <c r="BD177" s="38">
        <f t="shared" si="88"/>
        <v>1782624111.2311692</v>
      </c>
      <c r="BE177" s="38">
        <f t="shared" si="89"/>
        <v>1784444508.4689581</v>
      </c>
      <c r="BF177" s="38" t="b">
        <f t="shared" si="90"/>
        <v>0</v>
      </c>
      <c r="BG177" s="37">
        <f t="array" ref="BG177:BQ177">IF(BF177,"",IVSolution($M177,$N177,$O177,BB177,BC177,BD177,BE177,$E177,$F177,$G177,$H177,$I177))</f>
        <v>1</v>
      </c>
      <c r="BH177" s="37">
        <v>31</v>
      </c>
      <c r="BI177" s="37">
        <v>31</v>
      </c>
      <c r="BJ177" s="39">
        <v>0.68888888888888888</v>
      </c>
      <c r="BK177" s="39">
        <v>0.68888888888888888</v>
      </c>
      <c r="BL177" s="37">
        <v>14</v>
      </c>
      <c r="BM177" s="37">
        <v>14</v>
      </c>
      <c r="BN177" s="37">
        <v>15</v>
      </c>
      <c r="BO177" s="37">
        <v>15</v>
      </c>
      <c r="BP177" s="37">
        <v>2</v>
      </c>
      <c r="BQ177" s="37">
        <v>2</v>
      </c>
      <c r="BR177" s="40">
        <f t="shared" si="91"/>
        <v>26.5</v>
      </c>
      <c r="BS177" s="36">
        <f>IFERROR(INDEX('Level Multipliers'!$D:$D,MATCH(BR177,'Level Multipliers'!$A:$A,0)),"")</f>
        <v>1.4541543636838528</v>
      </c>
      <c r="BT177" s="37">
        <f t="shared" si="92"/>
        <v>13</v>
      </c>
      <c r="BU177" s="37">
        <f t="shared" si="93"/>
        <v>13</v>
      </c>
      <c r="BV177" s="38">
        <f t="shared" si="94"/>
        <v>1715974838.7301109</v>
      </c>
      <c r="BW177" s="38">
        <f t="shared" si="95"/>
        <v>1717727174.4226773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7"/>
        <v>26</v>
      </c>
      <c r="CK177" s="41">
        <f t="shared" si="98"/>
        <v>26</v>
      </c>
      <c r="CL177" s="66">
        <f t="shared" si="99"/>
        <v>0.68888888888888888</v>
      </c>
      <c r="CM177" s="39">
        <f t="shared" si="100"/>
        <v>0.68888888888888888</v>
      </c>
      <c r="CN177" s="39">
        <f t="shared" si="101"/>
        <v>0.68888888888888888</v>
      </c>
      <c r="CO177" s="42">
        <f t="shared" si="102"/>
        <v>14</v>
      </c>
      <c r="CP177" s="42">
        <f t="shared" si="103"/>
        <v>14</v>
      </c>
      <c r="CQ177" s="42">
        <f t="shared" si="104"/>
        <v>15</v>
      </c>
      <c r="CR177" s="42">
        <f t="shared" si="105"/>
        <v>15</v>
      </c>
      <c r="CS177" s="42">
        <f t="shared" si="106"/>
        <v>2</v>
      </c>
      <c r="CT177" s="42">
        <f t="shared" si="107"/>
        <v>2</v>
      </c>
      <c r="CU177" s="43">
        <f t="shared" si="108"/>
        <v>14</v>
      </c>
      <c r="CV177" s="43">
        <f t="shared" si="109"/>
        <v>15</v>
      </c>
      <c r="CW177" s="43">
        <f t="shared" si="110"/>
        <v>2</v>
      </c>
      <c r="CX177" s="13" t="s">
        <v>425</v>
      </c>
    </row>
    <row r="178" spans="1:102" x14ac:dyDescent="0.25">
      <c r="A178" s="31" t="s">
        <v>179</v>
      </c>
      <c r="B178" s="13">
        <v>1920</v>
      </c>
      <c r="C178" s="13">
        <v>96</v>
      </c>
      <c r="D178" s="13">
        <v>40</v>
      </c>
      <c r="E178" s="32" t="s">
        <v>0</v>
      </c>
      <c r="F178" s="32">
        <v>1</v>
      </c>
      <c r="G178" s="32"/>
      <c r="H178" s="32"/>
      <c r="I178" s="32" t="s">
        <v>0</v>
      </c>
      <c r="J178" s="13"/>
      <c r="K178" s="33">
        <v>25</v>
      </c>
      <c r="L178" s="34">
        <f>IFERROR(INDEX('Pokemon Data'!A:A,MATCH($A178,'Pokemon Data'!$B:$B,0)),"")</f>
        <v>135</v>
      </c>
      <c r="M178" s="34">
        <f>IFERROR(INDEX('Pokemon Data'!I:I,MATCH($A178,'Pokemon Data'!$B:$B,0)),"")</f>
        <v>130</v>
      </c>
      <c r="N178" s="34">
        <f>IFERROR(INDEX('Pokemon Data'!J:J,MATCH($A178,'Pokemon Data'!$B:$B,0)),"")</f>
        <v>232</v>
      </c>
      <c r="O178" s="34">
        <f>IFERROR(INDEX('Pokemon Data'!K:K,MATCH($A178,'Pokemon Data'!$B:$B,0)),"")</f>
        <v>201</v>
      </c>
      <c r="P178" s="35">
        <f>IFERROR(INDEX('Level Multipliers'!$A:$A,MATCH($D178,'Level Multipliers'!$B:$B,0)),"")</f>
        <v>25</v>
      </c>
      <c r="Q178" s="36">
        <f>IFERROR(INDEX('Level Multipliers'!$D:$D,MATCH(P178,'Level Multipliers'!$A:$A,0)),"")</f>
        <v>1.4971539093132804</v>
      </c>
      <c r="R178" s="37">
        <f t="shared" si="74"/>
        <v>14</v>
      </c>
      <c r="S178" s="37">
        <f t="shared" si="75"/>
        <v>15</v>
      </c>
      <c r="T178" s="38">
        <f t="shared" si="76"/>
        <v>1852116292.2168436</v>
      </c>
      <c r="U178" s="38">
        <f t="shared" si="77"/>
        <v>1854046082.4399352</v>
      </c>
      <c r="V178" s="38" t="b">
        <f t="shared" si="78"/>
        <v>0</v>
      </c>
      <c r="W178" s="37">
        <f t="array" ref="W178:AG178">IF(V178,"",IVSolution($M178,$N178,$O178,R178,S178,T178,U178,$E178,$F178,$G178,$H178,$I178))</f>
        <v>1</v>
      </c>
      <c r="X178" s="37">
        <v>40</v>
      </c>
      <c r="Y178" s="37">
        <v>40</v>
      </c>
      <c r="Z178" s="39">
        <v>0.88888888888888884</v>
      </c>
      <c r="AA178" s="39">
        <v>0.88888888888888884</v>
      </c>
      <c r="AB178" s="37">
        <v>15</v>
      </c>
      <c r="AC178" s="37">
        <v>15</v>
      </c>
      <c r="AD178" s="37">
        <v>13</v>
      </c>
      <c r="AE178" s="37">
        <v>13</v>
      </c>
      <c r="AF178" s="37">
        <v>12</v>
      </c>
      <c r="AG178" s="37">
        <v>12</v>
      </c>
      <c r="AH178" s="40">
        <f t="shared" si="79"/>
        <v>25.5</v>
      </c>
      <c r="AI178" s="36">
        <f>IFERROR(INDEX('Level Multipliers'!$D:$D,MATCH(AH178,'Level Multipliers'!$A:$A,0)),"")</f>
        <v>1.4823997223704843</v>
      </c>
      <c r="AJ178" s="37">
        <f t="shared" si="80"/>
        <v>13</v>
      </c>
      <c r="AK178" s="37">
        <f t="shared" si="81"/>
        <v>13</v>
      </c>
      <c r="AL178" s="38">
        <f t="shared" si="82"/>
        <v>1780179343.3259602</v>
      </c>
      <c r="AM178" s="38">
        <f t="shared" si="83"/>
        <v>1782034179.7131443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26</v>
      </c>
      <c r="BA178" s="36">
        <f>IFERROR(INDEX('Level Multipliers'!$D:$D,MATCH(AZ178,'Level Multipliers'!$A:$A,0)),"")</f>
        <v>1.4680732523857296</v>
      </c>
      <c r="BB178" s="37">
        <f t="shared" si="86"/>
        <v>11</v>
      </c>
      <c r="BC178" s="37">
        <f t="shared" si="87"/>
        <v>12</v>
      </c>
      <c r="BD178" s="38">
        <f t="shared" si="88"/>
        <v>1712353247.6103623</v>
      </c>
      <c r="BE178" s="38">
        <f t="shared" si="89"/>
        <v>1714137413.415503</v>
      </c>
      <c r="BF178" s="38" t="b">
        <f t="shared" si="90"/>
        <v>1</v>
      </c>
      <c r="BG178" s="37" t="str">
        <f t="array" ref="BG178:BQ178">IF(BF178,"",IVSolution($M178,$N178,$O178,BB178,BC178,BD178,BE178,$E178,$F178,$G178,$H178,$I178))</f>
        <v/>
      </c>
      <c r="BH178" s="37" t="str">
        <v/>
      </c>
      <c r="BI178" s="37" t="str">
        <v/>
      </c>
      <c r="BJ178" s="39" t="str">
        <v/>
      </c>
      <c r="BK178" s="39" t="str">
        <v/>
      </c>
      <c r="BL178" s="37" t="str">
        <v/>
      </c>
      <c r="BM178" s="37" t="str">
        <v/>
      </c>
      <c r="BN178" s="37" t="str">
        <v/>
      </c>
      <c r="BO178" s="37" t="str">
        <v/>
      </c>
      <c r="BP178" s="37" t="str">
        <v/>
      </c>
      <c r="BQ178" s="37" t="str">
        <v/>
      </c>
      <c r="BR178" s="40">
        <f t="shared" si="91"/>
        <v>26.5</v>
      </c>
      <c r="BS178" s="36">
        <f>IFERROR(INDEX('Level Multipliers'!$D:$D,MATCH(BR178,'Level Multipliers'!$A:$A,0)),"")</f>
        <v>1.4541543636838528</v>
      </c>
      <c r="BT178" s="37">
        <f t="shared" si="92"/>
        <v>10</v>
      </c>
      <c r="BU178" s="37">
        <f t="shared" si="93"/>
        <v>11</v>
      </c>
      <c r="BV178" s="38">
        <f t="shared" si="94"/>
        <v>1648331282.7446265</v>
      </c>
      <c r="BW178" s="38">
        <f t="shared" si="95"/>
        <v>1650048741.6359627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7"/>
        <v>25</v>
      </c>
      <c r="CK178" s="41">
        <f t="shared" si="98"/>
        <v>25</v>
      </c>
      <c r="CL178" s="66">
        <f t="shared" si="99"/>
        <v>0.88888888888888884</v>
      </c>
      <c r="CM178" s="39">
        <f t="shared" si="100"/>
        <v>0.88888888888888884</v>
      </c>
      <c r="CN178" s="39">
        <f t="shared" si="101"/>
        <v>0.88888888888888884</v>
      </c>
      <c r="CO178" s="42">
        <f t="shared" si="102"/>
        <v>15</v>
      </c>
      <c r="CP178" s="42">
        <f t="shared" si="103"/>
        <v>15</v>
      </c>
      <c r="CQ178" s="42">
        <f t="shared" si="104"/>
        <v>13</v>
      </c>
      <c r="CR178" s="42">
        <f t="shared" si="105"/>
        <v>13</v>
      </c>
      <c r="CS178" s="42">
        <f t="shared" si="106"/>
        <v>12</v>
      </c>
      <c r="CT178" s="42">
        <f t="shared" si="107"/>
        <v>12</v>
      </c>
      <c r="CU178" s="43">
        <f t="shared" si="108"/>
        <v>15</v>
      </c>
      <c r="CV178" s="43">
        <f t="shared" si="109"/>
        <v>13</v>
      </c>
      <c r="CW178" s="43">
        <f t="shared" si="110"/>
        <v>12</v>
      </c>
      <c r="CX178" s="13" t="s">
        <v>422</v>
      </c>
    </row>
    <row r="179" spans="1:102" x14ac:dyDescent="0.25">
      <c r="A179" s="31" t="s">
        <v>179</v>
      </c>
      <c r="B179" s="13">
        <v>1830</v>
      </c>
      <c r="C179" s="13">
        <v>92</v>
      </c>
      <c r="D179" s="13">
        <v>35</v>
      </c>
      <c r="E179" s="32" t="s">
        <v>0</v>
      </c>
      <c r="F179" s="32"/>
      <c r="G179" s="32">
        <v>1</v>
      </c>
      <c r="H179" s="32"/>
      <c r="I179" s="32" t="s">
        <v>2</v>
      </c>
      <c r="J179" s="13"/>
      <c r="K179" s="33"/>
      <c r="L179" s="34">
        <f>IFERROR(INDEX('Pokemon Data'!A:A,MATCH($A179,'Pokemon Data'!$B:$B,0)),"")</f>
        <v>135</v>
      </c>
      <c r="M179" s="34">
        <f>IFERROR(INDEX('Pokemon Data'!I:I,MATCH($A179,'Pokemon Data'!$B:$B,0)),"")</f>
        <v>130</v>
      </c>
      <c r="N179" s="34">
        <f>IFERROR(INDEX('Pokemon Data'!J:J,MATCH($A179,'Pokemon Data'!$B:$B,0)),"")</f>
        <v>232</v>
      </c>
      <c r="O179" s="34">
        <f>IFERROR(INDEX('Pokemon Data'!K:K,MATCH($A179,'Pokemon Data'!$B:$B,0)),"")</f>
        <v>201</v>
      </c>
      <c r="P179" s="35">
        <f>IFERROR(INDEX('Level Multipliers'!$A:$A,MATCH($D179,'Level Multipliers'!$B:$B,0)),"")</f>
        <v>23</v>
      </c>
      <c r="Q179" s="36">
        <f>IFERROR(INDEX('Level Multipliers'!$D:$D,MATCH(P179,'Level Multipliers'!$A:$A,0)),"")</f>
        <v>1.5609074973486676</v>
      </c>
      <c r="R179" s="37">
        <f t="shared" si="74"/>
        <v>14</v>
      </c>
      <c r="S179" s="37">
        <f t="shared" si="75"/>
        <v>15</v>
      </c>
      <c r="T179" s="38">
        <f t="shared" si="76"/>
        <v>1987974667.5696247</v>
      </c>
      <c r="U179" s="38">
        <f t="shared" si="77"/>
        <v>1990147911.0997307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23.5</v>
      </c>
      <c r="AI179" s="36">
        <f>IFERROR(INDEX('Level Multipliers'!$D:$D,MATCH(AH179,'Level Multipliers'!$A:$A,0)),"")</f>
        <v>1.5442084375315592</v>
      </c>
      <c r="AJ179" s="37">
        <f t="shared" si="80"/>
        <v>13</v>
      </c>
      <c r="AK179" s="37">
        <f t="shared" si="81"/>
        <v>13</v>
      </c>
      <c r="AL179" s="38">
        <f t="shared" si="82"/>
        <v>1904258329.2294428</v>
      </c>
      <c r="AM179" s="38">
        <f t="shared" si="83"/>
        <v>1906340054.4954433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24</v>
      </c>
      <c r="BA179" s="36">
        <f>IFERROR(INDEX('Level Multipliers'!$D:$D,MATCH(AZ179,'Level Multipliers'!$A:$A,0)),"")</f>
        <v>1.5280341520389438</v>
      </c>
      <c r="BB179" s="37">
        <f t="shared" si="86"/>
        <v>11</v>
      </c>
      <c r="BC179" s="37">
        <f t="shared" si="87"/>
        <v>12</v>
      </c>
      <c r="BD179" s="38">
        <f t="shared" si="88"/>
        <v>1825721051.8971024</v>
      </c>
      <c r="BE179" s="38">
        <f t="shared" si="89"/>
        <v>1827716920.6214581</v>
      </c>
      <c r="BF179" s="38" t="b">
        <f t="shared" si="90"/>
        <v>0</v>
      </c>
      <c r="BG179" s="37">
        <f t="array" ref="BG179:BQ179">IF(BF179,"",IVSolution($M179,$N179,$O179,BB179,BC179,BD179,BE179,$E179,$F179,$G179,$H179,$I179))</f>
        <v>1</v>
      </c>
      <c r="BH179" s="37">
        <v>38</v>
      </c>
      <c r="BI179" s="37">
        <v>38</v>
      </c>
      <c r="BJ179" s="39">
        <v>0.84444444444444444</v>
      </c>
      <c r="BK179" s="39">
        <v>0.84444444444444444</v>
      </c>
      <c r="BL179" s="37">
        <v>11</v>
      </c>
      <c r="BM179" s="37">
        <v>11</v>
      </c>
      <c r="BN179" s="37">
        <v>14</v>
      </c>
      <c r="BO179" s="37">
        <v>14</v>
      </c>
      <c r="BP179" s="37">
        <v>13</v>
      </c>
      <c r="BQ179" s="37">
        <v>13</v>
      </c>
      <c r="BR179" s="40">
        <f t="shared" si="91"/>
        <v>24.5</v>
      </c>
      <c r="BS179" s="36">
        <f>IFERROR(INDEX('Level Multipliers'!$D:$D,MATCH(BR179,'Level Multipliers'!$A:$A,0)),"")</f>
        <v>1.5123576273617088</v>
      </c>
      <c r="BT179" s="37">
        <f t="shared" si="92"/>
        <v>10</v>
      </c>
      <c r="BU179" s="37">
        <f t="shared" si="93"/>
        <v>10</v>
      </c>
      <c r="BV179" s="38">
        <f t="shared" si="94"/>
        <v>1751943851.9063532</v>
      </c>
      <c r="BW179" s="38">
        <f t="shared" si="95"/>
        <v>1753859067.7807684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7"/>
        <v>24</v>
      </c>
      <c r="CK179" s="41">
        <f t="shared" si="98"/>
        <v>24</v>
      </c>
      <c r="CL179" s="66">
        <f t="shared" si="99"/>
        <v>0.84444444444444444</v>
      </c>
      <c r="CM179" s="39">
        <f t="shared" si="100"/>
        <v>0.84444444444444444</v>
      </c>
      <c r="CN179" s="39">
        <f t="shared" si="101"/>
        <v>0.84444444444444444</v>
      </c>
      <c r="CO179" s="42">
        <f t="shared" si="102"/>
        <v>11</v>
      </c>
      <c r="CP179" s="42">
        <f t="shared" si="103"/>
        <v>11</v>
      </c>
      <c r="CQ179" s="42">
        <f t="shared" si="104"/>
        <v>14</v>
      </c>
      <c r="CR179" s="42">
        <f t="shared" si="105"/>
        <v>14</v>
      </c>
      <c r="CS179" s="42">
        <f t="shared" si="106"/>
        <v>13</v>
      </c>
      <c r="CT179" s="42">
        <f t="shared" si="107"/>
        <v>13</v>
      </c>
      <c r="CU179" s="43">
        <f t="shared" si="108"/>
        <v>11</v>
      </c>
      <c r="CV179" s="43">
        <f t="shared" si="109"/>
        <v>14</v>
      </c>
      <c r="CW179" s="43">
        <f t="shared" si="110"/>
        <v>13</v>
      </c>
      <c r="CX179" s="13" t="s">
        <v>425</v>
      </c>
    </row>
    <row r="180" spans="1:102" x14ac:dyDescent="0.25">
      <c r="A180" s="31" t="s">
        <v>180</v>
      </c>
      <c r="B180" s="13">
        <v>2404</v>
      </c>
      <c r="C180" s="13">
        <v>104</v>
      </c>
      <c r="D180" s="13">
        <v>50</v>
      </c>
      <c r="E180" s="32" t="s">
        <v>2</v>
      </c>
      <c r="F180" s="32">
        <v>1</v>
      </c>
      <c r="G180" s="32"/>
      <c r="H180" s="32">
        <v>1</v>
      </c>
      <c r="I180" s="32" t="s">
        <v>2</v>
      </c>
      <c r="J180" s="13"/>
      <c r="K180" s="33">
        <v>30</v>
      </c>
      <c r="L180" s="34">
        <f>IFERROR(INDEX('Pokemon Data'!A:A,MATCH($A180,'Pokemon Data'!$B:$B,0)),"")</f>
        <v>136</v>
      </c>
      <c r="M180" s="34">
        <f>IFERROR(INDEX('Pokemon Data'!I:I,MATCH($A180,'Pokemon Data'!$B:$B,0)),"")</f>
        <v>130</v>
      </c>
      <c r="N180" s="34">
        <f>IFERROR(INDEX('Pokemon Data'!J:J,MATCH($A180,'Pokemon Data'!$B:$B,0)),"")</f>
        <v>246</v>
      </c>
      <c r="O180" s="34">
        <f>IFERROR(INDEX('Pokemon Data'!K:K,MATCH($A180,'Pokemon Data'!$B:$B,0)),"")</f>
        <v>204</v>
      </c>
      <c r="P180" s="35">
        <f>IFERROR(INDEX('Level Multipliers'!$A:$A,MATCH($D180,'Level Multipliers'!$B:$B,0)),"")</f>
        <v>29</v>
      </c>
      <c r="Q180" s="36">
        <f>IFERROR(INDEX('Level Multipliers'!$D:$D,MATCH(P180,'Level Multipliers'!$A:$A,0)),"")</f>
        <v>1.3900490110869419</v>
      </c>
      <c r="R180" s="37">
        <f t="shared" si="74"/>
        <v>15</v>
      </c>
      <c r="S180" s="37">
        <f t="shared" si="75"/>
        <v>15</v>
      </c>
      <c r="T180" s="38">
        <f t="shared" si="76"/>
        <v>2157691641.025424</v>
      </c>
      <c r="U180" s="38">
        <f t="shared" si="77"/>
        <v>2159487098.9390392</v>
      </c>
      <c r="V180" s="38" t="b">
        <f t="shared" si="78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29.5</v>
      </c>
      <c r="AI180" s="36">
        <f>IFERROR(INDEX('Level Multipliers'!$D:$D,MATCH(AH180,'Level Multipliers'!$A:$A,0)),"")</f>
        <v>1.3782161611191808</v>
      </c>
      <c r="AJ180" s="37">
        <f t="shared" si="80"/>
        <v>14</v>
      </c>
      <c r="AK180" s="37">
        <f t="shared" si="81"/>
        <v>14</v>
      </c>
      <c r="AL180" s="38">
        <f t="shared" si="82"/>
        <v>2085154691.0419412</v>
      </c>
      <c r="AM180" s="38">
        <f t="shared" si="83"/>
        <v>2086889789.5240226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30</v>
      </c>
      <c r="BA180" s="36">
        <f>IFERROR(INDEX('Level Multipliers'!$D:$D,MATCH(AZ180,'Level Multipliers'!$A:$A,0)),"")</f>
        <v>1.3666803275917536</v>
      </c>
      <c r="BB180" s="37">
        <f t="shared" si="86"/>
        <v>13</v>
      </c>
      <c r="BC180" s="37">
        <f t="shared" si="87"/>
        <v>13</v>
      </c>
      <c r="BD180" s="38">
        <f t="shared" si="88"/>
        <v>2016214339.0200734</v>
      </c>
      <c r="BE180" s="38">
        <f t="shared" si="89"/>
        <v>2017892070.870959</v>
      </c>
      <c r="BF180" s="38" t="b">
        <f t="shared" si="90"/>
        <v>0</v>
      </c>
      <c r="BG180" s="37">
        <f t="array" ref="BG180:BQ180">IF(BF180,"",IVSolution($M180,$N180,$O180,BB180,BC180,BD180,BE180,$E180,$F180,$G180,$H180,$I180))</f>
        <v>1</v>
      </c>
      <c r="BH180" s="37">
        <v>35</v>
      </c>
      <c r="BI180" s="37">
        <v>35</v>
      </c>
      <c r="BJ180" s="39">
        <v>0.77777777777777779</v>
      </c>
      <c r="BK180" s="39">
        <v>0.77777777777777779</v>
      </c>
      <c r="BL180" s="37">
        <v>13</v>
      </c>
      <c r="BM180" s="37">
        <v>13</v>
      </c>
      <c r="BN180" s="37">
        <v>9</v>
      </c>
      <c r="BO180" s="37">
        <v>9</v>
      </c>
      <c r="BP180" s="37">
        <v>13</v>
      </c>
      <c r="BQ180" s="37">
        <v>13</v>
      </c>
      <c r="BR180" s="40">
        <f t="shared" si="91"/>
        <v>30.5</v>
      </c>
      <c r="BS180" s="36">
        <f>IFERROR(INDEX('Level Multipliers'!$D:$D,MATCH(BR180,'Level Multipliers'!$A:$A,0)),"")</f>
        <v>1.3610237451455012</v>
      </c>
      <c r="BT180" s="37">
        <f t="shared" si="92"/>
        <v>12</v>
      </c>
      <c r="BU180" s="37">
        <f t="shared" si="93"/>
        <v>12</v>
      </c>
      <c r="BV180" s="38">
        <f t="shared" si="94"/>
        <v>1983041191.763417</v>
      </c>
      <c r="BW180" s="38">
        <f t="shared" si="95"/>
        <v>1984691319.5819983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7"/>
        <v>30</v>
      </c>
      <c r="CK180" s="41">
        <f t="shared" si="98"/>
        <v>30</v>
      </c>
      <c r="CL180" s="66">
        <f t="shared" si="99"/>
        <v>0.77777777777777779</v>
      </c>
      <c r="CM180" s="39">
        <f t="shared" si="100"/>
        <v>0.77777777777777779</v>
      </c>
      <c r="CN180" s="39">
        <f t="shared" si="101"/>
        <v>0.77777777777777779</v>
      </c>
      <c r="CO180" s="42">
        <f t="shared" si="102"/>
        <v>13</v>
      </c>
      <c r="CP180" s="42">
        <f t="shared" si="103"/>
        <v>13</v>
      </c>
      <c r="CQ180" s="42">
        <f t="shared" si="104"/>
        <v>9</v>
      </c>
      <c r="CR180" s="42">
        <f t="shared" si="105"/>
        <v>9</v>
      </c>
      <c r="CS180" s="42">
        <f t="shared" si="106"/>
        <v>13</v>
      </c>
      <c r="CT180" s="42">
        <f t="shared" si="107"/>
        <v>13</v>
      </c>
      <c r="CU180" s="43">
        <f t="shared" si="108"/>
        <v>13</v>
      </c>
      <c r="CV180" s="43">
        <f t="shared" si="109"/>
        <v>9</v>
      </c>
      <c r="CW180" s="43">
        <f t="shared" si="110"/>
        <v>13</v>
      </c>
      <c r="CX180" s="13" t="s">
        <v>427</v>
      </c>
    </row>
    <row r="181" spans="1:102" x14ac:dyDescent="0.25">
      <c r="A181" s="31" t="s">
        <v>180</v>
      </c>
      <c r="B181" s="13">
        <v>1620</v>
      </c>
      <c r="C181" s="13">
        <v>84</v>
      </c>
      <c r="D181" s="13">
        <v>25</v>
      </c>
      <c r="E181" s="32" t="s">
        <v>0</v>
      </c>
      <c r="F181" s="32"/>
      <c r="G181" s="32"/>
      <c r="H181" s="32">
        <v>1</v>
      </c>
      <c r="I181" s="32" t="s">
        <v>2</v>
      </c>
      <c r="J181" s="13"/>
      <c r="K181" s="33"/>
      <c r="L181" s="34">
        <f>IFERROR(INDEX('Pokemon Data'!A:A,MATCH($A181,'Pokemon Data'!$B:$B,0)),"")</f>
        <v>136</v>
      </c>
      <c r="M181" s="34">
        <f>IFERROR(INDEX('Pokemon Data'!I:I,MATCH($A181,'Pokemon Data'!$B:$B,0)),"")</f>
        <v>130</v>
      </c>
      <c r="N181" s="34">
        <f>IFERROR(INDEX('Pokemon Data'!J:J,MATCH($A181,'Pokemon Data'!$B:$B,0)),"")</f>
        <v>246</v>
      </c>
      <c r="O181" s="34">
        <f>IFERROR(INDEX('Pokemon Data'!K:K,MATCH($A181,'Pokemon Data'!$B:$B,0)),"")</f>
        <v>204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15</v>
      </c>
      <c r="S181" s="37">
        <f t="shared" si="75"/>
        <v>15</v>
      </c>
      <c r="T181" s="38">
        <f t="shared" si="76"/>
        <v>2282999391.4836564</v>
      </c>
      <c r="U181" s="38">
        <f t="shared" si="77"/>
        <v>2285818779.1638112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13</v>
      </c>
      <c r="AK181" s="37">
        <f t="shared" si="81"/>
        <v>14</v>
      </c>
      <c r="AL181" s="38">
        <f t="shared" si="82"/>
        <v>2167464806.2979465</v>
      </c>
      <c r="AM181" s="38">
        <f t="shared" si="83"/>
        <v>2170141514.6645112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11</v>
      </c>
      <c r="BC181" s="37">
        <f t="shared" si="87"/>
        <v>12</v>
      </c>
      <c r="BD181" s="38">
        <f t="shared" si="88"/>
        <v>2060483437.7773924</v>
      </c>
      <c r="BE181" s="38">
        <f t="shared" si="89"/>
        <v>2063028029.6162267</v>
      </c>
      <c r="BF181" s="38" t="b">
        <f t="shared" si="90"/>
        <v>0</v>
      </c>
      <c r="BG181" s="37">
        <f t="array" ref="BG181:BQ181">IF(BF181,"",IVSolution($M181,$N181,$O181,BB181,BC181,BD181,BE181,$E181,$F181,$G181,$H181,$I181))</f>
        <v>2</v>
      </c>
      <c r="BH181" s="37">
        <v>38</v>
      </c>
      <c r="BI181" s="37">
        <v>38</v>
      </c>
      <c r="BJ181" s="39">
        <v>0.84444444444444444</v>
      </c>
      <c r="BK181" s="39">
        <v>0.84444444444444444</v>
      </c>
      <c r="BL181" s="37">
        <v>11</v>
      </c>
      <c r="BM181" s="37">
        <v>12</v>
      </c>
      <c r="BN181" s="37">
        <v>12</v>
      </c>
      <c r="BO181" s="37">
        <v>13</v>
      </c>
      <c r="BP181" s="37">
        <v>14</v>
      </c>
      <c r="BQ181" s="37">
        <v>14</v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9</v>
      </c>
      <c r="BU181" s="37">
        <f t="shared" si="93"/>
        <v>10</v>
      </c>
      <c r="BV181" s="38">
        <f t="shared" si="94"/>
        <v>1961168793.0631144</v>
      </c>
      <c r="BW181" s="38">
        <f t="shared" si="95"/>
        <v>1963590736.3866618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7"/>
        <v>20</v>
      </c>
      <c r="CK181" s="41">
        <f t="shared" si="98"/>
        <v>20</v>
      </c>
      <c r="CL181" s="66">
        <f t="shared" si="99"/>
        <v>0.84444444444444444</v>
      </c>
      <c r="CM181" s="39">
        <f t="shared" si="100"/>
        <v>0.84444444444444444</v>
      </c>
      <c r="CN181" s="39">
        <f t="shared" si="101"/>
        <v>0.84444444444444444</v>
      </c>
      <c r="CO181" s="42">
        <f t="shared" si="102"/>
        <v>11</v>
      </c>
      <c r="CP181" s="42">
        <f t="shared" si="103"/>
        <v>12</v>
      </c>
      <c r="CQ181" s="42">
        <f t="shared" si="104"/>
        <v>12</v>
      </c>
      <c r="CR181" s="42">
        <f t="shared" si="105"/>
        <v>13</v>
      </c>
      <c r="CS181" s="42">
        <f t="shared" si="106"/>
        <v>14</v>
      </c>
      <c r="CT181" s="42">
        <f t="shared" si="107"/>
        <v>14</v>
      </c>
      <c r="CU181" s="43" t="str">
        <f t="shared" si="108"/>
        <v>11-12</v>
      </c>
      <c r="CV181" s="43" t="str">
        <f t="shared" si="109"/>
        <v>12-13</v>
      </c>
      <c r="CW181" s="43">
        <f t="shared" si="110"/>
        <v>14</v>
      </c>
      <c r="CX181" s="13" t="s">
        <v>434</v>
      </c>
    </row>
    <row r="182" spans="1:102" x14ac:dyDescent="0.25">
      <c r="A182" s="31" t="s">
        <v>181</v>
      </c>
      <c r="B182" s="13">
        <v>1309</v>
      </c>
      <c r="C182" s="13">
        <v>103</v>
      </c>
      <c r="D182" s="13">
        <v>50</v>
      </c>
      <c r="E182" s="32" t="s">
        <v>0</v>
      </c>
      <c r="F182" s="32"/>
      <c r="G182" s="32"/>
      <c r="H182" s="32">
        <v>1</v>
      </c>
      <c r="I182" s="32" t="s">
        <v>0</v>
      </c>
      <c r="J182" s="13"/>
      <c r="K182" s="33"/>
      <c r="L182" s="34">
        <f>IFERROR(INDEX('Pokemon Data'!A:A,MATCH($A182,'Pokemon Data'!$B:$B,0)),"")</f>
        <v>137</v>
      </c>
      <c r="M182" s="34">
        <f>IFERROR(INDEX('Pokemon Data'!I:I,MATCH($A182,'Pokemon Data'!$B:$B,0)),"")</f>
        <v>130</v>
      </c>
      <c r="N182" s="34">
        <f>IFERROR(INDEX('Pokemon Data'!J:J,MATCH($A182,'Pokemon Data'!$B:$B,0)),"")</f>
        <v>153</v>
      </c>
      <c r="O182" s="34">
        <f>IFERROR(INDEX('Pokemon Data'!K:K,MATCH($A182,'Pokemon Data'!$B:$B,0)),"")</f>
        <v>139</v>
      </c>
      <c r="P182" s="35">
        <f>IFERROR(INDEX('Level Multipliers'!$A:$A,MATCH($D182,'Level Multipliers'!$B:$B,0)),"")</f>
        <v>29</v>
      </c>
      <c r="Q182" s="36">
        <f>IFERROR(INDEX('Level Multipliers'!$D:$D,MATCH(P182,'Level Multipliers'!$A:$A,0)),"")</f>
        <v>1.3900490110869419</v>
      </c>
      <c r="R182" s="37">
        <f t="shared" si="74"/>
        <v>14</v>
      </c>
      <c r="S182" s="37">
        <f t="shared" si="75"/>
        <v>14</v>
      </c>
      <c r="T182" s="38">
        <f t="shared" si="76"/>
        <v>639734460.65277445</v>
      </c>
      <c r="U182" s="38">
        <f t="shared" si="77"/>
        <v>640712273.97690797</v>
      </c>
      <c r="V182" s="38" t="b">
        <f t="shared" si="78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9"/>
        <v>29.5</v>
      </c>
      <c r="AI182" s="36">
        <f>IFERROR(INDEX('Level Multipliers'!$D:$D,MATCH(AH182,'Level Multipliers'!$A:$A,0)),"")</f>
        <v>1.3782161611191808</v>
      </c>
      <c r="AJ182" s="37">
        <f t="shared" si="80"/>
        <v>12</v>
      </c>
      <c r="AK182" s="37">
        <f t="shared" si="81"/>
        <v>13</v>
      </c>
      <c r="AL182" s="38">
        <f t="shared" si="82"/>
        <v>618227964.68608129</v>
      </c>
      <c r="AM182" s="38">
        <f t="shared" si="83"/>
        <v>619172906.03034651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30</v>
      </c>
      <c r="BA182" s="36">
        <f>IFERROR(INDEX('Level Multipliers'!$D:$D,MATCH(AZ182,'Level Multipliers'!$A:$A,0)),"")</f>
        <v>1.3666803275917536</v>
      </c>
      <c r="BB182" s="37">
        <f t="shared" si="86"/>
        <v>11</v>
      </c>
      <c r="BC182" s="37">
        <f t="shared" si="87"/>
        <v>12</v>
      </c>
      <c r="BD182" s="38">
        <f t="shared" si="88"/>
        <v>597787824.82579887</v>
      </c>
      <c r="BE182" s="38">
        <f t="shared" si="89"/>
        <v>598701524.08083522</v>
      </c>
      <c r="BF182" s="38" t="b">
        <f t="shared" si="90"/>
        <v>0</v>
      </c>
      <c r="BG182" s="37">
        <f t="array" ref="BG182:BQ182">IF(BF182,"",IVSolution($M182,$N182,$O182,BB182,BC182,BD182,BE182,$E182,$F182,$G182,$H182,$I182))</f>
        <v>1</v>
      </c>
      <c r="BH182" s="37">
        <v>39</v>
      </c>
      <c r="BI182" s="37">
        <v>39</v>
      </c>
      <c r="BJ182" s="39">
        <v>0.8666666666666667</v>
      </c>
      <c r="BK182" s="39">
        <v>0.8666666666666667</v>
      </c>
      <c r="BL182" s="37">
        <v>11</v>
      </c>
      <c r="BM182" s="37">
        <v>11</v>
      </c>
      <c r="BN182" s="37">
        <v>13</v>
      </c>
      <c r="BO182" s="37">
        <v>13</v>
      </c>
      <c r="BP182" s="37">
        <v>15</v>
      </c>
      <c r="BQ182" s="37">
        <v>15</v>
      </c>
      <c r="BR182" s="40">
        <f t="shared" si="91"/>
        <v>30.5</v>
      </c>
      <c r="BS182" s="36">
        <f>IFERROR(INDEX('Level Multipliers'!$D:$D,MATCH(BR182,'Level Multipliers'!$A:$A,0)),"")</f>
        <v>1.3610237451455012</v>
      </c>
      <c r="BT182" s="37">
        <f t="shared" si="92"/>
        <v>11</v>
      </c>
      <c r="BU182" s="37">
        <f t="shared" si="93"/>
        <v>11</v>
      </c>
      <c r="BV182" s="38">
        <f t="shared" si="94"/>
        <v>587952311.23113787</v>
      </c>
      <c r="BW182" s="38">
        <f t="shared" si="95"/>
        <v>588850977.22341573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7"/>
        <v>30</v>
      </c>
      <c r="CK182" s="41">
        <f t="shared" si="98"/>
        <v>30</v>
      </c>
      <c r="CL182" s="66">
        <f t="shared" si="99"/>
        <v>0.8666666666666667</v>
      </c>
      <c r="CM182" s="39">
        <f t="shared" si="100"/>
        <v>0.8666666666666667</v>
      </c>
      <c r="CN182" s="39">
        <f t="shared" si="101"/>
        <v>0.8666666666666667</v>
      </c>
      <c r="CO182" s="42">
        <f t="shared" si="102"/>
        <v>11</v>
      </c>
      <c r="CP182" s="42">
        <f t="shared" si="103"/>
        <v>11</v>
      </c>
      <c r="CQ182" s="42">
        <f t="shared" si="104"/>
        <v>13</v>
      </c>
      <c r="CR182" s="42">
        <f t="shared" si="105"/>
        <v>13</v>
      </c>
      <c r="CS182" s="42">
        <f t="shared" si="106"/>
        <v>15</v>
      </c>
      <c r="CT182" s="42">
        <f t="shared" si="107"/>
        <v>15</v>
      </c>
      <c r="CU182" s="43">
        <f t="shared" si="108"/>
        <v>11</v>
      </c>
      <c r="CV182" s="43">
        <f t="shared" si="109"/>
        <v>13</v>
      </c>
      <c r="CW182" s="43">
        <f t="shared" si="110"/>
        <v>15</v>
      </c>
      <c r="CX182" s="13"/>
    </row>
    <row r="183" spans="1:102" x14ac:dyDescent="0.25">
      <c r="A183" s="31" t="s">
        <v>181</v>
      </c>
      <c r="B183" s="13">
        <v>735</v>
      </c>
      <c r="C183" s="13">
        <v>75</v>
      </c>
      <c r="D183" s="13">
        <v>22</v>
      </c>
      <c r="E183" s="32" t="s">
        <v>2</v>
      </c>
      <c r="F183" s="32"/>
      <c r="G183" s="32"/>
      <c r="H183" s="32">
        <v>1</v>
      </c>
      <c r="I183" s="32" t="s">
        <v>0</v>
      </c>
      <c r="J183" s="13"/>
      <c r="K183" s="33"/>
      <c r="L183" s="34">
        <f>IFERROR(INDEX('Pokemon Data'!A:A,MATCH($A183,'Pokemon Data'!$B:$B,0)),"")</f>
        <v>137</v>
      </c>
      <c r="M183" s="34">
        <f>IFERROR(INDEX('Pokemon Data'!I:I,MATCH($A183,'Pokemon Data'!$B:$B,0)),"")</f>
        <v>130</v>
      </c>
      <c r="N183" s="34">
        <f>IFERROR(INDEX('Pokemon Data'!J:J,MATCH($A183,'Pokemon Data'!$B:$B,0)),"")</f>
        <v>153</v>
      </c>
      <c r="O183" s="34">
        <f>IFERROR(INDEX('Pokemon Data'!K:K,MATCH($A183,'Pokemon Data'!$B:$B,0)),"")</f>
        <v>139</v>
      </c>
      <c r="P183" s="35">
        <f>IFERROR(INDEX('Level Multipliers'!$A:$A,MATCH($D183,'Level Multipliers'!$B:$B,0)),"")</f>
        <v>17</v>
      </c>
      <c r="Q183" s="36">
        <f>IFERROR(INDEX('Level Multipliers'!$D:$D,MATCH(P183,'Level Multipliers'!$A:$A,0)),"")</f>
        <v>1.8155651132027117</v>
      </c>
      <c r="R183" s="37">
        <f t="shared" si="74"/>
        <v>7</v>
      </c>
      <c r="S183" s="37">
        <f t="shared" si="75"/>
        <v>7</v>
      </c>
      <c r="T183" s="38">
        <f t="shared" si="76"/>
        <v>586978229.85822308</v>
      </c>
      <c r="U183" s="38">
        <f t="shared" si="77"/>
        <v>588576536.075302</v>
      </c>
      <c r="V183" s="38" t="b">
        <f t="shared" si="78"/>
        <v>0</v>
      </c>
      <c r="W183" s="37">
        <f t="array" ref="W183:AG183">IF(V183,"",IVSolution($M183,$N183,$O183,R183,S183,T183,U183,$E183,$F183,$G183,$H183,$I183))</f>
        <v>1</v>
      </c>
      <c r="X183" s="37">
        <v>36</v>
      </c>
      <c r="Y183" s="37">
        <v>36</v>
      </c>
      <c r="Z183" s="39">
        <v>0.8</v>
      </c>
      <c r="AA183" s="39">
        <v>0.8</v>
      </c>
      <c r="AB183" s="37">
        <v>7</v>
      </c>
      <c r="AC183" s="37">
        <v>7</v>
      </c>
      <c r="AD183" s="37">
        <v>14</v>
      </c>
      <c r="AE183" s="37">
        <v>14</v>
      </c>
      <c r="AF183" s="37">
        <v>15</v>
      </c>
      <c r="AG183" s="37">
        <v>15</v>
      </c>
      <c r="AH183" s="40">
        <f t="shared" si="79"/>
        <v>17.5</v>
      </c>
      <c r="AI183" s="36">
        <f>IFERROR(INDEX('Level Multipliers'!$D:$D,MATCH(AH183,'Level Multipliers'!$A:$A,0)),"")</f>
        <v>1.7894510926096343</v>
      </c>
      <c r="AJ183" s="37">
        <f t="shared" si="80"/>
        <v>5</v>
      </c>
      <c r="AK183" s="37">
        <f t="shared" si="81"/>
        <v>5</v>
      </c>
      <c r="AL183" s="38">
        <f t="shared" si="82"/>
        <v>553928883.32459021</v>
      </c>
      <c r="AM183" s="38">
        <f t="shared" si="83"/>
        <v>555437198.17001665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18</v>
      </c>
      <c r="BA183" s="36">
        <f>IFERROR(INDEX('Level Multipliers'!$D:$D,MATCH(AZ183,'Level Multipliers'!$A:$A,0)),"")</f>
        <v>1.7644323332558229</v>
      </c>
      <c r="BB183" s="37">
        <f t="shared" si="86"/>
        <v>3</v>
      </c>
      <c r="BC183" s="37">
        <f t="shared" si="87"/>
        <v>4</v>
      </c>
      <c r="BD183" s="38">
        <f t="shared" si="88"/>
        <v>523594057.25513661</v>
      </c>
      <c r="BE183" s="38">
        <f t="shared" si="89"/>
        <v>525019772.20394927</v>
      </c>
      <c r="BF183" s="38" t="b">
        <f t="shared" si="90"/>
        <v>0</v>
      </c>
      <c r="BG183" s="37">
        <f t="array" ref="BG183:BQ183">IF(BF183,"",IVSolution($M183,$N183,$O183,BB183,BC183,BD183,BE183,$E183,$F183,$G183,$H183,$I183))</f>
        <v>0</v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91"/>
        <v>18.5</v>
      </c>
      <c r="BS183" s="36">
        <f>IFERROR(INDEX('Level Multipliers'!$D:$D,MATCH(BR183,'Level Multipliers'!$A:$A,0)),"")</f>
        <v>1.7404346161581328</v>
      </c>
      <c r="BT183" s="37">
        <f t="shared" si="92"/>
        <v>1</v>
      </c>
      <c r="BU183" s="37">
        <f t="shared" si="93"/>
        <v>2</v>
      </c>
      <c r="BV183" s="38">
        <f t="shared" si="94"/>
        <v>495684716.40421337</v>
      </c>
      <c r="BW183" s="38">
        <f t="shared" si="95"/>
        <v>497034435.90595913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7"/>
        <v>17</v>
      </c>
      <c r="CK183" s="41">
        <f t="shared" si="98"/>
        <v>17</v>
      </c>
      <c r="CL183" s="66">
        <f t="shared" si="99"/>
        <v>0.8</v>
      </c>
      <c r="CM183" s="39">
        <f t="shared" si="100"/>
        <v>0.8</v>
      </c>
      <c r="CN183" s="39">
        <f t="shared" si="101"/>
        <v>0.8</v>
      </c>
      <c r="CO183" s="42">
        <f t="shared" si="102"/>
        <v>7</v>
      </c>
      <c r="CP183" s="42">
        <f t="shared" si="103"/>
        <v>7</v>
      </c>
      <c r="CQ183" s="42">
        <f t="shared" si="104"/>
        <v>14</v>
      </c>
      <c r="CR183" s="42">
        <f t="shared" si="105"/>
        <v>14</v>
      </c>
      <c r="CS183" s="42">
        <f t="shared" si="106"/>
        <v>15</v>
      </c>
      <c r="CT183" s="42">
        <f t="shared" si="107"/>
        <v>15</v>
      </c>
      <c r="CU183" s="43">
        <f t="shared" si="108"/>
        <v>7</v>
      </c>
      <c r="CV183" s="43">
        <f t="shared" si="109"/>
        <v>14</v>
      </c>
      <c r="CW183" s="43">
        <f t="shared" si="110"/>
        <v>15</v>
      </c>
      <c r="CX183" s="13"/>
    </row>
    <row r="184" spans="1:102" x14ac:dyDescent="0.25">
      <c r="A184" s="31" t="s">
        <v>181</v>
      </c>
      <c r="B184" s="13">
        <v>733</v>
      </c>
      <c r="C184" s="13">
        <v>78</v>
      </c>
      <c r="D184" s="13">
        <v>22</v>
      </c>
      <c r="E184" s="32" t="s">
        <v>0</v>
      </c>
      <c r="F184" s="32">
        <v>1</v>
      </c>
      <c r="G184" s="32"/>
      <c r="H184" s="32">
        <v>1</v>
      </c>
      <c r="I184" s="32" t="s">
        <v>2</v>
      </c>
      <c r="J184" s="13"/>
      <c r="K184" s="33"/>
      <c r="L184" s="34">
        <f>IFERROR(INDEX('Pokemon Data'!A:A,MATCH($A184,'Pokemon Data'!$B:$B,0)),"")</f>
        <v>137</v>
      </c>
      <c r="M184" s="34">
        <f>IFERROR(INDEX('Pokemon Data'!I:I,MATCH($A184,'Pokemon Data'!$B:$B,0)),"")</f>
        <v>130</v>
      </c>
      <c r="N184" s="34">
        <f>IFERROR(INDEX('Pokemon Data'!J:J,MATCH($A184,'Pokemon Data'!$B:$B,0)),"")</f>
        <v>153</v>
      </c>
      <c r="O184" s="34">
        <f>IFERROR(INDEX('Pokemon Data'!K:K,MATCH($A184,'Pokemon Data'!$B:$B,0)),"")</f>
        <v>139</v>
      </c>
      <c r="P184" s="35">
        <f>IFERROR(INDEX('Level Multipliers'!$A:$A,MATCH($D184,'Level Multipliers'!$B:$B,0)),"")</f>
        <v>17</v>
      </c>
      <c r="Q184" s="36">
        <f>IFERROR(INDEX('Level Multipliers'!$D:$D,MATCH(P184,'Level Multipliers'!$A:$A,0)),"")</f>
        <v>1.8155651132027117</v>
      </c>
      <c r="R184" s="37">
        <f t="shared" si="74"/>
        <v>12</v>
      </c>
      <c r="S184" s="37">
        <f t="shared" si="75"/>
        <v>13</v>
      </c>
      <c r="T184" s="38">
        <f t="shared" si="76"/>
        <v>583788136.68803704</v>
      </c>
      <c r="U184" s="38">
        <f t="shared" si="77"/>
        <v>585382096.7291348</v>
      </c>
      <c r="V184" s="38" t="b">
        <f t="shared" si="78"/>
        <v>0</v>
      </c>
      <c r="W184" s="37">
        <f t="array" ref="W184:AG184">IF(V184,"",IVSolution($M184,$N184,$O184,R184,S184,T184,U184,$E184,$F184,$G184,$H184,$I184))</f>
        <v>1</v>
      </c>
      <c r="X184" s="37">
        <v>37</v>
      </c>
      <c r="Y184" s="37">
        <v>37</v>
      </c>
      <c r="Z184" s="39">
        <v>0.82222222222222219</v>
      </c>
      <c r="AA184" s="39">
        <v>0.82222222222222219</v>
      </c>
      <c r="AB184" s="37">
        <v>13</v>
      </c>
      <c r="AC184" s="37">
        <v>13</v>
      </c>
      <c r="AD184" s="37">
        <v>11</v>
      </c>
      <c r="AE184" s="37">
        <v>11</v>
      </c>
      <c r="AF184" s="37">
        <v>13</v>
      </c>
      <c r="AG184" s="37">
        <v>13</v>
      </c>
      <c r="AH184" s="40">
        <f t="shared" si="79"/>
        <v>17.5</v>
      </c>
      <c r="AI184" s="36">
        <f>IFERROR(INDEX('Level Multipliers'!$D:$D,MATCH(AH184,'Level Multipliers'!$A:$A,0)),"")</f>
        <v>1.7894510926096343</v>
      </c>
      <c r="AJ184" s="37">
        <f t="shared" si="80"/>
        <v>10</v>
      </c>
      <c r="AK184" s="37">
        <f t="shared" si="81"/>
        <v>11</v>
      </c>
      <c r="AL184" s="38">
        <f t="shared" si="82"/>
        <v>550918405.83569026</v>
      </c>
      <c r="AM184" s="38">
        <f t="shared" si="83"/>
        <v>552422619.21314812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18</v>
      </c>
      <c r="BA184" s="36">
        <f>IFERROR(INDEX('Level Multipliers'!$D:$D,MATCH(AZ184,'Level Multipliers'!$A:$A,0)),"")</f>
        <v>1.7644323332558229</v>
      </c>
      <c r="BB184" s="37">
        <f t="shared" si="86"/>
        <v>8</v>
      </c>
      <c r="BC184" s="37">
        <f t="shared" si="87"/>
        <v>9</v>
      </c>
      <c r="BD184" s="38">
        <f t="shared" si="88"/>
        <v>520748442.64622164</v>
      </c>
      <c r="BE184" s="38">
        <f t="shared" si="89"/>
        <v>522170280.73589408</v>
      </c>
      <c r="BF184" s="38" t="b">
        <f t="shared" si="90"/>
        <v>0</v>
      </c>
      <c r="BG184" s="37">
        <f t="array" ref="BG184:BQ184">IF(BF184,"",IVSolution($M184,$N184,$O184,BB184,BC184,BD184,BE184,$E184,$F184,$G184,$H184,$I184))</f>
        <v>0</v>
      </c>
      <c r="BH184" s="37" t="str">
        <v/>
      </c>
      <c r="BI184" s="37" t="str">
        <v/>
      </c>
      <c r="BJ184" s="39" t="str">
        <v/>
      </c>
      <c r="BK184" s="39" t="str">
        <v/>
      </c>
      <c r="BL184" s="37" t="str">
        <v/>
      </c>
      <c r="BM184" s="37" t="str">
        <v/>
      </c>
      <c r="BN184" s="37" t="str">
        <v/>
      </c>
      <c r="BO184" s="37" t="str">
        <v/>
      </c>
      <c r="BP184" s="37" t="str">
        <v/>
      </c>
      <c r="BQ184" s="37" t="str">
        <v/>
      </c>
      <c r="BR184" s="40">
        <f t="shared" si="91"/>
        <v>18.5</v>
      </c>
      <c r="BS184" s="36">
        <f>IFERROR(INDEX('Level Multipliers'!$D:$D,MATCH(BR184,'Level Multipliers'!$A:$A,0)),"")</f>
        <v>1.7404346161581328</v>
      </c>
      <c r="BT184" s="37">
        <f t="shared" si="92"/>
        <v>6</v>
      </c>
      <c r="BU184" s="37">
        <f t="shared" si="93"/>
        <v>7</v>
      </c>
      <c r="BV184" s="38">
        <f t="shared" si="94"/>
        <v>492990782.71480101</v>
      </c>
      <c r="BW184" s="38">
        <f t="shared" si="95"/>
        <v>494336832.00716066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7"/>
        <v>17</v>
      </c>
      <c r="CK184" s="41">
        <f t="shared" si="98"/>
        <v>17</v>
      </c>
      <c r="CL184" s="66">
        <f t="shared" si="99"/>
        <v>0.82222222222222219</v>
      </c>
      <c r="CM184" s="39">
        <f t="shared" si="100"/>
        <v>0.82222222222222219</v>
      </c>
      <c r="CN184" s="39">
        <f t="shared" si="101"/>
        <v>0.82222222222222219</v>
      </c>
      <c r="CO184" s="42">
        <f t="shared" si="102"/>
        <v>13</v>
      </c>
      <c r="CP184" s="42">
        <f t="shared" si="103"/>
        <v>13</v>
      </c>
      <c r="CQ184" s="42">
        <f t="shared" si="104"/>
        <v>11</v>
      </c>
      <c r="CR184" s="42">
        <f t="shared" si="105"/>
        <v>11</v>
      </c>
      <c r="CS184" s="42">
        <f t="shared" si="106"/>
        <v>13</v>
      </c>
      <c r="CT184" s="42">
        <f t="shared" si="107"/>
        <v>13</v>
      </c>
      <c r="CU184" s="43">
        <f t="shared" si="108"/>
        <v>13</v>
      </c>
      <c r="CV184" s="43">
        <f t="shared" si="109"/>
        <v>11</v>
      </c>
      <c r="CW184" s="43">
        <f t="shared" si="110"/>
        <v>13</v>
      </c>
      <c r="CX184" s="13"/>
    </row>
    <row r="185" spans="1:102" x14ac:dyDescent="0.25">
      <c r="A185" s="31" t="s">
        <v>183</v>
      </c>
      <c r="B185" s="13">
        <v>919</v>
      </c>
      <c r="C185" s="13">
        <v>54</v>
      </c>
      <c r="D185" s="13">
        <v>40</v>
      </c>
      <c r="E185" s="32" t="s">
        <v>3</v>
      </c>
      <c r="F185" s="32"/>
      <c r="G185" s="32">
        <v>1</v>
      </c>
      <c r="H185" s="32"/>
      <c r="I185" s="32" t="s">
        <v>3</v>
      </c>
      <c r="J185" s="13"/>
      <c r="K185" s="33"/>
      <c r="L185" s="34">
        <f>IFERROR(INDEX('Pokemon Data'!A:A,MATCH($A185,'Pokemon Data'!$B:$B,0)),"")</f>
        <v>138</v>
      </c>
      <c r="M185" s="34">
        <f>IFERROR(INDEX('Pokemon Data'!I:I,MATCH($A185,'Pokemon Data'!$B:$B,0)),"")</f>
        <v>70</v>
      </c>
      <c r="N185" s="34">
        <f>IFERROR(INDEX('Pokemon Data'!J:J,MATCH($A185,'Pokemon Data'!$B:$B,0)),"")</f>
        <v>155</v>
      </c>
      <c r="O185" s="34">
        <f>IFERROR(INDEX('Pokemon Data'!K:K,MATCH($A185,'Pokemon Data'!$B:$B,0)),"")</f>
        <v>174</v>
      </c>
      <c r="P185" s="35">
        <f>IFERROR(INDEX('Level Multipliers'!$A:$A,MATCH($D185,'Level Multipliers'!$B:$B,0)),"")</f>
        <v>25</v>
      </c>
      <c r="Q185" s="36">
        <f>IFERROR(INDEX('Level Multipliers'!$D:$D,MATCH(P185,'Level Multipliers'!$A:$A,0)),"")</f>
        <v>1.4971539093132804</v>
      </c>
      <c r="R185" s="37">
        <f t="shared" si="74"/>
        <v>11</v>
      </c>
      <c r="S185" s="37">
        <f t="shared" si="75"/>
        <v>12</v>
      </c>
      <c r="T185" s="38">
        <f t="shared" si="76"/>
        <v>424323238.89728451</v>
      </c>
      <c r="U185" s="38">
        <f t="shared" si="77"/>
        <v>425247186.88485688</v>
      </c>
      <c r="V185" s="38" t="b">
        <f t="shared" si="78"/>
        <v>0</v>
      </c>
      <c r="W185" s="37">
        <f t="array" ref="W185:AG185">IF(V185,"",IVSolution($M185,$N185,$O185,R185,S185,T185,U185,$E185,$F185,$G185,$H185,$I185))</f>
        <v>0</v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25.5</v>
      </c>
      <c r="AI185" s="36">
        <f>IFERROR(INDEX('Level Multipliers'!$D:$D,MATCH(AH185,'Level Multipliers'!$A:$A,0)),"")</f>
        <v>1.4823997223704843</v>
      </c>
      <c r="AJ185" s="37">
        <f t="shared" si="80"/>
        <v>11</v>
      </c>
      <c r="AK185" s="37">
        <f t="shared" si="81"/>
        <v>11</v>
      </c>
      <c r="AL185" s="38">
        <f t="shared" si="82"/>
        <v>407842351.99075419</v>
      </c>
      <c r="AM185" s="38">
        <f t="shared" si="83"/>
        <v>408730413.46329558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26</v>
      </c>
      <c r="BA185" s="36">
        <f>IFERROR(INDEX('Level Multipliers'!$D:$D,MATCH(AZ185,'Level Multipliers'!$A:$A,0)),"")</f>
        <v>1.4680732523857296</v>
      </c>
      <c r="BB185" s="37">
        <f t="shared" si="86"/>
        <v>10</v>
      </c>
      <c r="BC185" s="37">
        <f t="shared" si="87"/>
        <v>10</v>
      </c>
      <c r="BD185" s="38">
        <f t="shared" si="88"/>
        <v>392303269.08503014</v>
      </c>
      <c r="BE185" s="38">
        <f t="shared" si="89"/>
        <v>393157494.78553891</v>
      </c>
      <c r="BF185" s="38" t="b">
        <f t="shared" si="90"/>
        <v>0</v>
      </c>
      <c r="BG185" s="37">
        <f t="array" ref="BG185:BQ185">IF(BF185,"",IVSolution($M185,$N185,$O185,BB185,BC185,BD185,BE185,$E185,$F185,$G185,$H185,$I185))</f>
        <v>2</v>
      </c>
      <c r="BH185" s="37">
        <v>24</v>
      </c>
      <c r="BI185" s="37">
        <v>25</v>
      </c>
      <c r="BJ185" s="39">
        <v>0.53333333333333333</v>
      </c>
      <c r="BK185" s="39">
        <v>0.55555555555555558</v>
      </c>
      <c r="BL185" s="37">
        <v>10</v>
      </c>
      <c r="BM185" s="37">
        <v>10</v>
      </c>
      <c r="BN185" s="37">
        <v>11</v>
      </c>
      <c r="BO185" s="37">
        <v>12</v>
      </c>
      <c r="BP185" s="37">
        <v>2</v>
      </c>
      <c r="BQ185" s="37">
        <v>4</v>
      </c>
      <c r="BR185" s="40">
        <f t="shared" si="91"/>
        <v>26.5</v>
      </c>
      <c r="BS185" s="36">
        <f>IFERROR(INDEX('Level Multipliers'!$D:$D,MATCH(BR185,'Level Multipliers'!$A:$A,0)),"")</f>
        <v>1.4541543636838528</v>
      </c>
      <c r="BT185" s="37">
        <f t="shared" si="92"/>
        <v>9</v>
      </c>
      <c r="BU185" s="37">
        <f t="shared" si="93"/>
        <v>9</v>
      </c>
      <c r="BV185" s="38">
        <f t="shared" si="94"/>
        <v>377635719.53290051</v>
      </c>
      <c r="BW185" s="38">
        <f t="shared" si="95"/>
        <v>378458007.19266814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7"/>
        <v>26</v>
      </c>
      <c r="CK185" s="41">
        <f t="shared" si="98"/>
        <v>26</v>
      </c>
      <c r="CL185" s="66">
        <f t="shared" si="99"/>
        <v>0.54444444444444451</v>
      </c>
      <c r="CM185" s="39">
        <f t="shared" si="100"/>
        <v>0.53333333333333333</v>
      </c>
      <c r="CN185" s="39">
        <f t="shared" si="101"/>
        <v>0.55555555555555558</v>
      </c>
      <c r="CO185" s="42">
        <f t="shared" si="102"/>
        <v>10</v>
      </c>
      <c r="CP185" s="42">
        <f t="shared" si="103"/>
        <v>10</v>
      </c>
      <c r="CQ185" s="42">
        <f t="shared" si="104"/>
        <v>11</v>
      </c>
      <c r="CR185" s="42">
        <f t="shared" si="105"/>
        <v>12</v>
      </c>
      <c r="CS185" s="42">
        <f t="shared" si="106"/>
        <v>2</v>
      </c>
      <c r="CT185" s="42">
        <f t="shared" si="107"/>
        <v>4</v>
      </c>
      <c r="CU185" s="43">
        <f t="shared" si="108"/>
        <v>10</v>
      </c>
      <c r="CV185" s="43" t="str">
        <f t="shared" si="109"/>
        <v>11-12</v>
      </c>
      <c r="CW185" s="43" t="str">
        <f t="shared" si="110"/>
        <v>2-4</v>
      </c>
      <c r="CX185" s="13"/>
    </row>
    <row r="186" spans="1:102" x14ac:dyDescent="0.25">
      <c r="A186" s="31" t="s">
        <v>186</v>
      </c>
      <c r="B186" s="13">
        <v>823</v>
      </c>
      <c r="C186" s="13">
        <v>60</v>
      </c>
      <c r="D186" s="13">
        <v>13</v>
      </c>
      <c r="E186" s="32" t="s">
        <v>2</v>
      </c>
      <c r="F186" s="32"/>
      <c r="G186" s="32"/>
      <c r="H186" s="32">
        <v>1</v>
      </c>
      <c r="I186" s="32" t="s">
        <v>3</v>
      </c>
      <c r="J186" s="13"/>
      <c r="K186" s="33"/>
      <c r="L186" s="34">
        <f>IFERROR(INDEX('Pokemon Data'!A:A,MATCH($A186,'Pokemon Data'!$B:$B,0)),"")</f>
        <v>141</v>
      </c>
      <c r="M186" s="34">
        <f>IFERROR(INDEX('Pokemon Data'!I:I,MATCH($A186,'Pokemon Data'!$B:$B,0)),"")</f>
        <v>120</v>
      </c>
      <c r="N186" s="34">
        <f>IFERROR(INDEX('Pokemon Data'!J:J,MATCH($A186,'Pokemon Data'!$B:$B,0)),"")</f>
        <v>220</v>
      </c>
      <c r="O186" s="34">
        <f>IFERROR(INDEX('Pokemon Data'!K:K,MATCH($A186,'Pokemon Data'!$B:$B,0)),"")</f>
        <v>203</v>
      </c>
      <c r="P186" s="35">
        <f>IFERROR(INDEX('Level Multipliers'!$A:$A,MATCH($D186,'Level Multipliers'!$B:$B,0)),"")</f>
        <v>11</v>
      </c>
      <c r="Q186" s="36">
        <f>IFERROR(INDEX('Level Multipliers'!$D:$D,MATCH(P186,'Level Multipliers'!$A:$A,0)),"")</f>
        <v>2.2567884714123854</v>
      </c>
      <c r="R186" s="37">
        <f t="shared" si="74"/>
        <v>16</v>
      </c>
      <c r="S186" s="37">
        <f t="shared" si="75"/>
        <v>15</v>
      </c>
      <c r="T186" s="38">
        <f t="shared" si="76"/>
        <v>1756964913.8492403</v>
      </c>
      <c r="U186" s="38">
        <f t="shared" si="77"/>
        <v>1761237167.3820281</v>
      </c>
      <c r="V186" s="38" t="b">
        <f t="shared" si="78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9"/>
        <v>11.5</v>
      </c>
      <c r="AI186" s="36">
        <f>IFERROR(INDEX('Level Multipliers'!$D:$D,MATCH(AH186,'Level Multipliers'!$A:$A,0)),"")</f>
        <v>2.2072134251772386</v>
      </c>
      <c r="AJ186" s="37">
        <f t="shared" si="80"/>
        <v>13</v>
      </c>
      <c r="AK186" s="37">
        <f t="shared" si="81"/>
        <v>14</v>
      </c>
      <c r="AL186" s="38">
        <f t="shared" si="82"/>
        <v>1607596257.8348036</v>
      </c>
      <c r="AM186" s="38">
        <f t="shared" si="83"/>
        <v>1611505305.043256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12</v>
      </c>
      <c r="BA186" s="36">
        <f>IFERROR(INDEX('Level Multipliers'!$D:$D,MATCH(AZ186,'Level Multipliers'!$A:$A,0)),"")</f>
        <v>2.1607681195435338</v>
      </c>
      <c r="BB186" s="37">
        <f t="shared" si="86"/>
        <v>10</v>
      </c>
      <c r="BC186" s="37">
        <f t="shared" si="87"/>
        <v>11</v>
      </c>
      <c r="BD186" s="38">
        <f t="shared" si="88"/>
        <v>1476496169.5492654</v>
      </c>
      <c r="BE186" s="38">
        <f t="shared" si="89"/>
        <v>1480086432.4661753</v>
      </c>
      <c r="BF186" s="38" t="b">
        <f t="shared" si="90"/>
        <v>0</v>
      </c>
      <c r="BG186" s="37">
        <f t="array" ref="BG186:BQ186">IF(BF186,"",IVSolution($M186,$N186,$O186,BB186,BC186,BD186,BE186,$E186,$F186,$G186,$H186,$I186))</f>
        <v>2</v>
      </c>
      <c r="BH186" s="37">
        <v>32</v>
      </c>
      <c r="BI186" s="37">
        <v>32</v>
      </c>
      <c r="BJ186" s="39">
        <v>0.71111111111111114</v>
      </c>
      <c r="BK186" s="39">
        <v>0.71111111111111114</v>
      </c>
      <c r="BL186" s="37">
        <v>10</v>
      </c>
      <c r="BM186" s="37">
        <v>11</v>
      </c>
      <c r="BN186" s="37">
        <v>9</v>
      </c>
      <c r="BO186" s="37">
        <v>10</v>
      </c>
      <c r="BP186" s="37">
        <v>12</v>
      </c>
      <c r="BQ186" s="37">
        <v>12</v>
      </c>
      <c r="BR186" s="40">
        <f t="shared" si="91"/>
        <v>12.5</v>
      </c>
      <c r="BS186" s="36">
        <f>IFERROR(INDEX('Level Multipliers'!$D:$D,MATCH(BR186,'Level Multipliers'!$A:$A,0)),"")</f>
        <v>2.1171365709672214</v>
      </c>
      <c r="BT186" s="37">
        <f t="shared" si="92"/>
        <v>8</v>
      </c>
      <c r="BU186" s="37">
        <f t="shared" si="93"/>
        <v>9</v>
      </c>
      <c r="BV186" s="38">
        <f t="shared" si="94"/>
        <v>1360802714.5457098</v>
      </c>
      <c r="BW186" s="38">
        <f t="shared" si="95"/>
        <v>1364111656.0953214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7"/>
        <v>12</v>
      </c>
      <c r="CK186" s="41">
        <f t="shared" si="98"/>
        <v>12</v>
      </c>
      <c r="CL186" s="66">
        <f t="shared" si="99"/>
        <v>0.71111111111111114</v>
      </c>
      <c r="CM186" s="39">
        <f t="shared" si="100"/>
        <v>0.71111111111111114</v>
      </c>
      <c r="CN186" s="39">
        <f t="shared" si="101"/>
        <v>0.71111111111111114</v>
      </c>
      <c r="CO186" s="42">
        <f t="shared" si="102"/>
        <v>10</v>
      </c>
      <c r="CP186" s="42">
        <f t="shared" si="103"/>
        <v>11</v>
      </c>
      <c r="CQ186" s="42">
        <f t="shared" si="104"/>
        <v>9</v>
      </c>
      <c r="CR186" s="42">
        <f t="shared" si="105"/>
        <v>10</v>
      </c>
      <c r="CS186" s="42">
        <f t="shared" si="106"/>
        <v>12</v>
      </c>
      <c r="CT186" s="42">
        <f t="shared" si="107"/>
        <v>12</v>
      </c>
      <c r="CU186" s="43" t="str">
        <f t="shared" si="108"/>
        <v>10-11</v>
      </c>
      <c r="CV186" s="43" t="str">
        <f t="shared" si="109"/>
        <v>9-10</v>
      </c>
      <c r="CW186" s="43">
        <f t="shared" si="110"/>
        <v>12</v>
      </c>
      <c r="CX186" s="13" t="s">
        <v>427</v>
      </c>
    </row>
    <row r="187" spans="1:102" x14ac:dyDescent="0.25">
      <c r="A187" s="31" t="s">
        <v>187</v>
      </c>
      <c r="B187" s="13">
        <v>1448</v>
      </c>
      <c r="C187" s="13">
        <v>101</v>
      </c>
      <c r="D187" s="13">
        <v>25</v>
      </c>
      <c r="E187" s="32" t="s">
        <v>2</v>
      </c>
      <c r="F187" s="32"/>
      <c r="G187" s="32">
        <v>1</v>
      </c>
      <c r="H187" s="32"/>
      <c r="I187" s="32" t="s">
        <v>0</v>
      </c>
      <c r="J187" s="13"/>
      <c r="K187" s="33"/>
      <c r="L187" s="34">
        <f>IFERROR(INDEX('Pokemon Data'!A:A,MATCH($A187,'Pokemon Data'!$B:$B,0)),"")</f>
        <v>142</v>
      </c>
      <c r="M187" s="34">
        <f>IFERROR(INDEX('Pokemon Data'!I:I,MATCH($A187,'Pokemon Data'!$B:$B,0)),"")</f>
        <v>160</v>
      </c>
      <c r="N187" s="34">
        <f>IFERROR(INDEX('Pokemon Data'!J:J,MATCH($A187,'Pokemon Data'!$B:$B,0)),"")</f>
        <v>221</v>
      </c>
      <c r="O187" s="34">
        <f>IFERROR(INDEX('Pokemon Data'!K:K,MATCH($A187,'Pokemon Data'!$B:$B,0)),"")</f>
        <v>164</v>
      </c>
      <c r="P187" s="35">
        <f>IFERROR(INDEX('Level Multipliers'!$A:$A,MATCH($D187,'Level Multipliers'!$B:$B,0)),"")</f>
        <v>19</v>
      </c>
      <c r="Q187" s="36">
        <f>IFERROR(INDEX('Level Multipliers'!$D:$D,MATCH(P187,'Level Multipliers'!$A:$A,0)),"")</f>
        <v>1.7173900470456649</v>
      </c>
      <c r="R187" s="37">
        <f t="shared" si="74"/>
        <v>14</v>
      </c>
      <c r="S187" s="37">
        <f t="shared" si="75"/>
        <v>15</v>
      </c>
      <c r="T187" s="38">
        <f t="shared" si="76"/>
        <v>1823949838.4855006</v>
      </c>
      <c r="U187" s="38">
        <f t="shared" si="77"/>
        <v>1826469976.1311066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19.5</v>
      </c>
      <c r="AI187" s="36">
        <f>IFERROR(INDEX('Level Multipliers'!$D:$D,MATCH(AH187,'Level Multipliers'!$A:$A,0)),"")</f>
        <v>1.6952373266621776</v>
      </c>
      <c r="AJ187" s="37">
        <f t="shared" si="80"/>
        <v>12</v>
      </c>
      <c r="AK187" s="37">
        <f t="shared" si="81"/>
        <v>12</v>
      </c>
      <c r="AL187" s="38">
        <f t="shared" si="82"/>
        <v>1731646139.7744741</v>
      </c>
      <c r="AM187" s="38">
        <f t="shared" si="83"/>
        <v>1734038742.10028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20</v>
      </c>
      <c r="BA187" s="36">
        <f>IFERROR(INDEX('Level Multipliers'!$D:$D,MATCH(AZ187,'Level Multipliers'!$A:$A,0)),"")</f>
        <v>1.6739202944034379</v>
      </c>
      <c r="BB187" s="37">
        <f t="shared" si="86"/>
        <v>10</v>
      </c>
      <c r="BC187" s="37">
        <f t="shared" si="87"/>
        <v>10</v>
      </c>
      <c r="BD187" s="38">
        <f t="shared" si="88"/>
        <v>1646175836.7328188</v>
      </c>
      <c r="BE187" s="38">
        <f t="shared" si="89"/>
        <v>1648450345.3897467</v>
      </c>
      <c r="BF187" s="38" t="b">
        <f t="shared" si="90"/>
        <v>0</v>
      </c>
      <c r="BG187" s="37">
        <f t="array" ref="BG187:BQ187">IF(BF187,"",IVSolution($M187,$N187,$O187,BB187,BC187,BD187,BE187,$E187,$F187,$G187,$H187,$I187))</f>
        <v>1</v>
      </c>
      <c r="BH187" s="37">
        <v>35</v>
      </c>
      <c r="BI187" s="37">
        <v>35</v>
      </c>
      <c r="BJ187" s="39">
        <v>0.77777777777777779</v>
      </c>
      <c r="BK187" s="39">
        <v>0.77777777777777779</v>
      </c>
      <c r="BL187" s="37">
        <v>10</v>
      </c>
      <c r="BM187" s="37">
        <v>10</v>
      </c>
      <c r="BN187" s="37">
        <v>15</v>
      </c>
      <c r="BO187" s="37">
        <v>15</v>
      </c>
      <c r="BP187" s="37">
        <v>10</v>
      </c>
      <c r="BQ187" s="37">
        <v>10</v>
      </c>
      <c r="BR187" s="40">
        <f t="shared" si="91"/>
        <v>20.5</v>
      </c>
      <c r="BS187" s="36">
        <f>IFERROR(INDEX('Level Multipliers'!$D:$D,MATCH(BR187,'Level Multipliers'!$A:$A,0)),"")</f>
        <v>1.6533745038028393</v>
      </c>
      <c r="BT187" s="37">
        <f t="shared" si="92"/>
        <v>7</v>
      </c>
      <c r="BU187" s="37">
        <f t="shared" si="93"/>
        <v>8</v>
      </c>
      <c r="BV187" s="38">
        <f t="shared" si="94"/>
        <v>1566830686.2866197</v>
      </c>
      <c r="BW187" s="38">
        <f t="shared" si="95"/>
        <v>1568995564.351512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7"/>
        <v>20</v>
      </c>
      <c r="CK187" s="41">
        <f t="shared" si="98"/>
        <v>20</v>
      </c>
      <c r="CL187" s="66">
        <f t="shared" si="99"/>
        <v>0.77777777777777779</v>
      </c>
      <c r="CM187" s="39">
        <f t="shared" si="100"/>
        <v>0.77777777777777779</v>
      </c>
      <c r="CN187" s="39">
        <f t="shared" si="101"/>
        <v>0.77777777777777779</v>
      </c>
      <c r="CO187" s="42">
        <f t="shared" si="102"/>
        <v>10</v>
      </c>
      <c r="CP187" s="42">
        <f t="shared" si="103"/>
        <v>10</v>
      </c>
      <c r="CQ187" s="42">
        <f t="shared" si="104"/>
        <v>15</v>
      </c>
      <c r="CR187" s="42">
        <f t="shared" si="105"/>
        <v>15</v>
      </c>
      <c r="CS187" s="42">
        <f t="shared" si="106"/>
        <v>10</v>
      </c>
      <c r="CT187" s="42">
        <f t="shared" si="107"/>
        <v>10</v>
      </c>
      <c r="CU187" s="43">
        <f t="shared" si="108"/>
        <v>10</v>
      </c>
      <c r="CV187" s="43">
        <f t="shared" si="109"/>
        <v>15</v>
      </c>
      <c r="CW187" s="43">
        <f t="shared" si="110"/>
        <v>10</v>
      </c>
      <c r="CX187" s="13" t="s">
        <v>436</v>
      </c>
    </row>
    <row r="188" spans="1:102" x14ac:dyDescent="0.25">
      <c r="A188" s="31" t="s">
        <v>188</v>
      </c>
      <c r="B188" s="13">
        <v>2853</v>
      </c>
      <c r="C188" s="13">
        <v>243</v>
      </c>
      <c r="D188" s="13">
        <v>50</v>
      </c>
      <c r="E188" s="32" t="s">
        <v>0</v>
      </c>
      <c r="F188" s="32"/>
      <c r="G188" s="32"/>
      <c r="H188" s="32">
        <v>1</v>
      </c>
      <c r="I188" s="32" t="s">
        <v>0</v>
      </c>
      <c r="J188" s="13">
        <v>1</v>
      </c>
      <c r="K188" s="33"/>
      <c r="L188" s="34">
        <f>IFERROR(INDEX('Pokemon Data'!A:A,MATCH($A188,'Pokemon Data'!$B:$B,0)),"")</f>
        <v>143</v>
      </c>
      <c r="M188" s="34">
        <f>IFERROR(INDEX('Pokemon Data'!I:I,MATCH($A188,'Pokemon Data'!$B:$B,0)),"")</f>
        <v>320</v>
      </c>
      <c r="N188" s="34">
        <f>IFERROR(INDEX('Pokemon Data'!J:J,MATCH($A188,'Pokemon Data'!$B:$B,0)),"")</f>
        <v>190</v>
      </c>
      <c r="O188" s="34">
        <f>IFERROR(INDEX('Pokemon Data'!K:K,MATCH($A188,'Pokemon Data'!$B:$B,0)),"")</f>
        <v>190</v>
      </c>
      <c r="P188" s="35">
        <f>IFERROR(INDEX('Level Multipliers'!$A:$A,MATCH($D188,'Level Multipliers'!$B:$B,0)),"")</f>
        <v>29</v>
      </c>
      <c r="Q188" s="36">
        <f>IFERROR(INDEX('Level Multipliers'!$D:$D,MATCH(P188,'Level Multipliers'!$A:$A,0)),"")</f>
        <v>1.3900490110869419</v>
      </c>
      <c r="R188" s="37">
        <f t="shared" si="74"/>
        <v>18</v>
      </c>
      <c r="S188" s="37">
        <f t="shared" si="75"/>
        <v>15</v>
      </c>
      <c r="T188" s="38">
        <f t="shared" si="76"/>
        <v>3038953086.4593592</v>
      </c>
      <c r="U188" s="38">
        <f t="shared" si="77"/>
        <v>3041083815.9900308</v>
      </c>
      <c r="V188" s="38" t="b">
        <f t="shared" si="78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9"/>
        <v>29.5</v>
      </c>
      <c r="AI188" s="36">
        <f>IFERROR(INDEX('Level Multipliers'!$D:$D,MATCH(AH188,'Level Multipliers'!$A:$A,0)),"")</f>
        <v>1.3782161611191808</v>
      </c>
      <c r="AJ188" s="37">
        <f t="shared" si="80"/>
        <v>15</v>
      </c>
      <c r="AK188" s="37">
        <f t="shared" si="81"/>
        <v>15</v>
      </c>
      <c r="AL188" s="38">
        <f t="shared" si="82"/>
        <v>2936790023.0060968</v>
      </c>
      <c r="AM188" s="38">
        <f t="shared" si="83"/>
        <v>2938849121.9949174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30</v>
      </c>
      <c r="BA188" s="36">
        <f>IFERROR(INDEX('Level Multipliers'!$D:$D,MATCH(AZ188,'Level Multipliers'!$A:$A,0)),"")</f>
        <v>1.3666803275917536</v>
      </c>
      <c r="BB188" s="37">
        <f t="shared" si="86"/>
        <v>13</v>
      </c>
      <c r="BC188" s="37">
        <f t="shared" si="87"/>
        <v>13</v>
      </c>
      <c r="BD188" s="38">
        <f t="shared" si="88"/>
        <v>2839692508.4331231</v>
      </c>
      <c r="BE188" s="38">
        <f t="shared" si="89"/>
        <v>2841683528.5356402</v>
      </c>
      <c r="BF188" s="38" t="b">
        <f t="shared" si="90"/>
        <v>0</v>
      </c>
      <c r="BG188" s="37">
        <f t="array" ref="BG188:BQ188">IF(BF188,"",IVSolution($M188,$N188,$O188,BB188,BC188,BD188,BE188,$E188,$F188,$G188,$H188,$I188))</f>
        <v>1</v>
      </c>
      <c r="BH188" s="37">
        <v>42</v>
      </c>
      <c r="BI188" s="37">
        <v>42</v>
      </c>
      <c r="BJ188" s="39">
        <v>0.93333333333333335</v>
      </c>
      <c r="BK188" s="39">
        <v>0.93333333333333335</v>
      </c>
      <c r="BL188" s="37">
        <v>13</v>
      </c>
      <c r="BM188" s="37">
        <v>13</v>
      </c>
      <c r="BN188" s="37">
        <v>14</v>
      </c>
      <c r="BO188" s="37">
        <v>14</v>
      </c>
      <c r="BP188" s="37">
        <v>15</v>
      </c>
      <c r="BQ188" s="37">
        <v>15</v>
      </c>
      <c r="BR188" s="40">
        <f t="shared" si="91"/>
        <v>30.5</v>
      </c>
      <c r="BS188" s="36">
        <f>IFERROR(INDEX('Level Multipliers'!$D:$D,MATCH(BR188,'Level Multipliers'!$A:$A,0)),"")</f>
        <v>1.3610237451455012</v>
      </c>
      <c r="BT188" s="37">
        <f t="shared" si="92"/>
        <v>11</v>
      </c>
      <c r="BU188" s="37">
        <f t="shared" si="93"/>
        <v>12</v>
      </c>
      <c r="BV188" s="38">
        <f t="shared" si="94"/>
        <v>2792970522.6190257</v>
      </c>
      <c r="BW188" s="38">
        <f t="shared" si="95"/>
        <v>2794928784.0997167</v>
      </c>
      <c r="BX188" s="38" t="b">
        <f t="shared" si="96"/>
        <v>0</v>
      </c>
      <c r="BY188" s="37">
        <f t="array" ref="BY188:CI188">IF(BX188,"",IVSolution($M188,$N188,$O188,BT188,BU188,BV188,BW188,$E188,$F188,$G188,$H188,$I188))</f>
        <v>0</v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7"/>
        <v>30</v>
      </c>
      <c r="CK188" s="41">
        <f t="shared" si="98"/>
        <v>30</v>
      </c>
      <c r="CL188" s="66">
        <f t="shared" si="99"/>
        <v>0.93333333333333335</v>
      </c>
      <c r="CM188" s="39">
        <f t="shared" si="100"/>
        <v>0.93333333333333335</v>
      </c>
      <c r="CN188" s="39">
        <f t="shared" si="101"/>
        <v>0.93333333333333335</v>
      </c>
      <c r="CO188" s="42">
        <f t="shared" si="102"/>
        <v>13</v>
      </c>
      <c r="CP188" s="42">
        <f t="shared" si="103"/>
        <v>13</v>
      </c>
      <c r="CQ188" s="42">
        <f t="shared" si="104"/>
        <v>14</v>
      </c>
      <c r="CR188" s="42">
        <f t="shared" si="105"/>
        <v>14</v>
      </c>
      <c r="CS188" s="42">
        <f t="shared" si="106"/>
        <v>15</v>
      </c>
      <c r="CT188" s="42">
        <f t="shared" si="107"/>
        <v>15</v>
      </c>
      <c r="CU188" s="43">
        <f t="shared" si="108"/>
        <v>13</v>
      </c>
      <c r="CV188" s="43">
        <f t="shared" si="109"/>
        <v>14</v>
      </c>
      <c r="CW188" s="43">
        <f t="shared" si="110"/>
        <v>15</v>
      </c>
      <c r="CX188" s="13" t="s">
        <v>434</v>
      </c>
    </row>
    <row r="189" spans="1:102" x14ac:dyDescent="0.25">
      <c r="A189" s="31" t="s">
        <v>192</v>
      </c>
      <c r="B189" s="13">
        <v>637</v>
      </c>
      <c r="C189" s="13">
        <v>66</v>
      </c>
      <c r="D189" s="13">
        <v>45</v>
      </c>
      <c r="E189" s="32" t="s">
        <v>2</v>
      </c>
      <c r="F189" s="32">
        <v>1</v>
      </c>
      <c r="G189" s="32">
        <v>1</v>
      </c>
      <c r="H189" s="32"/>
      <c r="I189" s="32" t="s">
        <v>3</v>
      </c>
      <c r="J189" s="13"/>
      <c r="K189" s="33">
        <v>28</v>
      </c>
      <c r="L189" s="34">
        <f>IFERROR(INDEX('Pokemon Data'!A:A,MATCH($A189,'Pokemon Data'!$B:$B,0)),"")</f>
        <v>147</v>
      </c>
      <c r="M189" s="34">
        <f>IFERROR(INDEX('Pokemon Data'!I:I,MATCH($A189,'Pokemon Data'!$B:$B,0)),"")</f>
        <v>82</v>
      </c>
      <c r="N189" s="34">
        <f>IFERROR(INDEX('Pokemon Data'!J:J,MATCH($A189,'Pokemon Data'!$B:$B,0)),"")</f>
        <v>119</v>
      </c>
      <c r="O189" s="34">
        <f>IFERROR(INDEX('Pokemon Data'!K:K,MATCH($A189,'Pokemon Data'!$B:$B,0)),"")</f>
        <v>94</v>
      </c>
      <c r="P189" s="35">
        <f>IFERROR(INDEX('Level Multipliers'!$A:$A,MATCH($D189,'Level Multipliers'!$B:$B,0)),"")</f>
        <v>27</v>
      </c>
      <c r="Q189" s="36">
        <f>IFERROR(INDEX('Level Multipliers'!$D:$D,MATCH(P189,'Level Multipliers'!$A:$A,0)),"")</f>
        <v>1.4406239915890684</v>
      </c>
      <c r="R189" s="37">
        <f t="shared" si="74"/>
        <v>14</v>
      </c>
      <c r="S189" s="37">
        <f t="shared" si="75"/>
        <v>14</v>
      </c>
      <c r="T189" s="38">
        <f t="shared" si="76"/>
        <v>174775855.64009035</v>
      </c>
      <c r="U189" s="38">
        <f t="shared" si="77"/>
        <v>175325033.16706041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27.5</v>
      </c>
      <c r="AI189" s="36">
        <f>IFERROR(INDEX('Level Multipliers'!$D:$D,MATCH(AH189,'Level Multipliers'!$A:$A,0)),"")</f>
        <v>1.4274643259182833</v>
      </c>
      <c r="AJ189" s="37">
        <f t="shared" si="80"/>
        <v>13</v>
      </c>
      <c r="AK189" s="37">
        <f t="shared" si="81"/>
        <v>13</v>
      </c>
      <c r="AL189" s="38">
        <f t="shared" si="82"/>
        <v>168476727.69947821</v>
      </c>
      <c r="AM189" s="38">
        <f t="shared" si="83"/>
        <v>169006112.22076207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28</v>
      </c>
      <c r="BA189" s="36">
        <f>IFERROR(INDEX('Level Multipliers'!$D:$D,MATCH(AZ189,'Level Multipliers'!$A:$A,0)),"")</f>
        <v>1.4146588542279308</v>
      </c>
      <c r="BB189" s="37">
        <f t="shared" si="86"/>
        <v>12</v>
      </c>
      <c r="BC189" s="37">
        <f t="shared" si="87"/>
        <v>12</v>
      </c>
      <c r="BD189" s="38">
        <f t="shared" si="88"/>
        <v>162512119.0251832</v>
      </c>
      <c r="BE189" s="38">
        <f t="shared" si="89"/>
        <v>163022761.66115862</v>
      </c>
      <c r="BF189" s="38" t="b">
        <f t="shared" si="90"/>
        <v>0</v>
      </c>
      <c r="BG189" s="37">
        <f t="array" ref="BG189:BQ189">IF(BF189,"",IVSolution($M189,$N189,$O189,BB189,BC189,BD189,BE189,$E189,$F189,$G189,$H189,$I189))</f>
        <v>1</v>
      </c>
      <c r="BH189" s="37">
        <v>31</v>
      </c>
      <c r="BI189" s="37">
        <v>31</v>
      </c>
      <c r="BJ189" s="39">
        <v>0.68888888888888888</v>
      </c>
      <c r="BK189" s="39">
        <v>0.68888888888888888</v>
      </c>
      <c r="BL189" s="37">
        <v>12</v>
      </c>
      <c r="BM189" s="37">
        <v>12</v>
      </c>
      <c r="BN189" s="37">
        <v>12</v>
      </c>
      <c r="BO189" s="37">
        <v>12</v>
      </c>
      <c r="BP189" s="37">
        <v>7</v>
      </c>
      <c r="BQ189" s="37">
        <v>7</v>
      </c>
      <c r="BR189" s="40">
        <f t="shared" si="91"/>
        <v>28.5</v>
      </c>
      <c r="BS189" s="36">
        <f>IFERROR(INDEX('Level Multipliers'!$D:$D,MATCH(BR189,'Level Multipliers'!$A:$A,0)),"")</f>
        <v>1.4021920400529488</v>
      </c>
      <c r="BT189" s="37">
        <f t="shared" si="92"/>
        <v>11</v>
      </c>
      <c r="BU189" s="37">
        <f t="shared" si="93"/>
        <v>11</v>
      </c>
      <c r="BV189" s="38">
        <f t="shared" si="94"/>
        <v>156858787.70569596</v>
      </c>
      <c r="BW189" s="38">
        <f t="shared" si="95"/>
        <v>157351666.54642743</v>
      </c>
      <c r="BX189" s="38" t="b">
        <f t="shared" si="96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7"/>
        <v>28</v>
      </c>
      <c r="CK189" s="41">
        <f t="shared" si="98"/>
        <v>28</v>
      </c>
      <c r="CL189" s="66">
        <f t="shared" si="99"/>
        <v>0.68888888888888888</v>
      </c>
      <c r="CM189" s="39">
        <f t="shared" si="100"/>
        <v>0.68888888888888888</v>
      </c>
      <c r="CN189" s="39">
        <f t="shared" si="101"/>
        <v>0.68888888888888888</v>
      </c>
      <c r="CO189" s="42">
        <f t="shared" si="102"/>
        <v>12</v>
      </c>
      <c r="CP189" s="42">
        <f t="shared" si="103"/>
        <v>12</v>
      </c>
      <c r="CQ189" s="42">
        <f t="shared" si="104"/>
        <v>12</v>
      </c>
      <c r="CR189" s="42">
        <f t="shared" si="105"/>
        <v>12</v>
      </c>
      <c r="CS189" s="42">
        <f t="shared" si="106"/>
        <v>7</v>
      </c>
      <c r="CT189" s="42">
        <f t="shared" si="107"/>
        <v>7</v>
      </c>
      <c r="CU189" s="43">
        <f t="shared" si="108"/>
        <v>12</v>
      </c>
      <c r="CV189" s="43">
        <f t="shared" si="109"/>
        <v>12</v>
      </c>
      <c r="CW189" s="43">
        <f t="shared" si="110"/>
        <v>7</v>
      </c>
      <c r="CX189" s="13"/>
    </row>
    <row r="190" spans="1:102" x14ac:dyDescent="0.25">
      <c r="A190" s="31" t="s">
        <v>192</v>
      </c>
      <c r="B190" s="13">
        <v>421</v>
      </c>
      <c r="C190" s="13">
        <v>54</v>
      </c>
      <c r="D190" s="13">
        <v>22</v>
      </c>
      <c r="E190" s="32" t="s">
        <v>2</v>
      </c>
      <c r="F190" s="32"/>
      <c r="G190" s="32">
        <v>1</v>
      </c>
      <c r="H190" s="32"/>
      <c r="I190" s="32" t="s">
        <v>0</v>
      </c>
      <c r="J190" s="13"/>
      <c r="K190" s="33"/>
      <c r="L190" s="34">
        <f>IFERROR(INDEX('Pokemon Data'!A:A,MATCH($A190,'Pokemon Data'!$B:$B,0)),"")</f>
        <v>147</v>
      </c>
      <c r="M190" s="34">
        <f>IFERROR(INDEX('Pokemon Data'!I:I,MATCH($A190,'Pokemon Data'!$B:$B,0)),"")</f>
        <v>82</v>
      </c>
      <c r="N190" s="34">
        <f>IFERROR(INDEX('Pokemon Data'!J:J,MATCH($A190,'Pokemon Data'!$B:$B,0)),"")</f>
        <v>119</v>
      </c>
      <c r="O190" s="34">
        <f>IFERROR(INDEX('Pokemon Data'!K:K,MATCH($A190,'Pokemon Data'!$B:$B,0)),"")</f>
        <v>94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74"/>
        <v>17</v>
      </c>
      <c r="S190" s="37">
        <f t="shared" si="75"/>
        <v>15</v>
      </c>
      <c r="T190" s="38">
        <f t="shared" si="76"/>
        <v>192580144.27007511</v>
      </c>
      <c r="U190" s="38">
        <f t="shared" si="77"/>
        <v>193496100.85810876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17.5</v>
      </c>
      <c r="AI190" s="36">
        <f>IFERROR(INDEX('Level Multipliers'!$D:$D,MATCH(AH190,'Level Multipliers'!$A:$A,0)),"")</f>
        <v>1.7894510926096343</v>
      </c>
      <c r="AJ190" s="37">
        <f t="shared" si="80"/>
        <v>15</v>
      </c>
      <c r="AK190" s="37">
        <f t="shared" si="81"/>
        <v>15</v>
      </c>
      <c r="AL190" s="38">
        <f t="shared" si="82"/>
        <v>181737071.05249423</v>
      </c>
      <c r="AM190" s="38">
        <f t="shared" si="83"/>
        <v>182601455.42686164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18</v>
      </c>
      <c r="BA190" s="36">
        <f>IFERROR(INDEX('Level Multipliers'!$D:$D,MATCH(AZ190,'Level Multipliers'!$A:$A,0)),"")</f>
        <v>1.7644323332558229</v>
      </c>
      <c r="BB190" s="37">
        <f t="shared" si="86"/>
        <v>14</v>
      </c>
      <c r="BC190" s="37">
        <f t="shared" si="87"/>
        <v>15</v>
      </c>
      <c r="BD190" s="38">
        <f t="shared" si="88"/>
        <v>171784597.71753931</v>
      </c>
      <c r="BE190" s="38">
        <f t="shared" si="89"/>
        <v>172601645.78133878</v>
      </c>
      <c r="BF190" s="38" t="b">
        <f t="shared" si="90"/>
        <v>0</v>
      </c>
      <c r="BG190" s="37">
        <f t="array" ref="BG190:BQ190">IF(BF190,"",IVSolution($M190,$N190,$O190,BB190,BC190,BD190,BE190,$E190,$F190,$G190,$H190,$I190))</f>
        <v>1</v>
      </c>
      <c r="BH190" s="37">
        <v>35</v>
      </c>
      <c r="BI190" s="37">
        <v>35</v>
      </c>
      <c r="BJ190" s="39">
        <v>0.77777777777777779</v>
      </c>
      <c r="BK190" s="39">
        <v>0.77777777777777779</v>
      </c>
      <c r="BL190" s="37">
        <v>14</v>
      </c>
      <c r="BM190" s="37">
        <v>14</v>
      </c>
      <c r="BN190" s="37">
        <v>15</v>
      </c>
      <c r="BO190" s="37">
        <v>15</v>
      </c>
      <c r="BP190" s="37">
        <v>6</v>
      </c>
      <c r="BQ190" s="37">
        <v>6</v>
      </c>
      <c r="BR190" s="40">
        <f t="shared" si="91"/>
        <v>18.5</v>
      </c>
      <c r="BS190" s="36">
        <f>IFERROR(INDEX('Level Multipliers'!$D:$D,MATCH(BR190,'Level Multipliers'!$A:$A,0)),"")</f>
        <v>1.7404346161581328</v>
      </c>
      <c r="BT190" s="37">
        <f t="shared" si="92"/>
        <v>12</v>
      </c>
      <c r="BU190" s="37">
        <f t="shared" si="93"/>
        <v>13</v>
      </c>
      <c r="BV190" s="38">
        <f t="shared" si="94"/>
        <v>162627895.4513382</v>
      </c>
      <c r="BW190" s="38">
        <f t="shared" si="95"/>
        <v>163401392.07946306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7"/>
        <v>18</v>
      </c>
      <c r="CK190" s="41">
        <f t="shared" si="98"/>
        <v>18</v>
      </c>
      <c r="CL190" s="66">
        <f t="shared" si="99"/>
        <v>0.77777777777777779</v>
      </c>
      <c r="CM190" s="39">
        <f t="shared" si="100"/>
        <v>0.77777777777777779</v>
      </c>
      <c r="CN190" s="39">
        <f t="shared" si="101"/>
        <v>0.77777777777777779</v>
      </c>
      <c r="CO190" s="42">
        <f t="shared" si="102"/>
        <v>14</v>
      </c>
      <c r="CP190" s="42">
        <f t="shared" si="103"/>
        <v>14</v>
      </c>
      <c r="CQ190" s="42">
        <f t="shared" si="104"/>
        <v>15</v>
      </c>
      <c r="CR190" s="42">
        <f t="shared" si="105"/>
        <v>15</v>
      </c>
      <c r="CS190" s="42">
        <f t="shared" si="106"/>
        <v>6</v>
      </c>
      <c r="CT190" s="42">
        <f t="shared" si="107"/>
        <v>6</v>
      </c>
      <c r="CU190" s="43">
        <f t="shared" si="108"/>
        <v>14</v>
      </c>
      <c r="CV190" s="43">
        <f t="shared" si="109"/>
        <v>15</v>
      </c>
      <c r="CW190" s="43">
        <f t="shared" si="110"/>
        <v>6</v>
      </c>
      <c r="CX190" s="13"/>
    </row>
    <row r="191" spans="1:102" x14ac:dyDescent="0.25">
      <c r="A191" s="31" t="s">
        <v>207</v>
      </c>
      <c r="B191" s="13">
        <v>252</v>
      </c>
      <c r="C191" s="13">
        <v>45</v>
      </c>
      <c r="D191" s="13">
        <v>30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161</v>
      </c>
      <c r="M191" s="34">
        <f>IFERROR(INDEX('Pokemon Data'!I:I,MATCH($A191,'Pokemon Data'!$B:$B,0)),"")</f>
        <v>70</v>
      </c>
      <c r="N191" s="34">
        <f>IFERROR(INDEX('Pokemon Data'!J:J,MATCH($A191,'Pokemon Data'!$B:$B,0)),"")</f>
        <v>79</v>
      </c>
      <c r="O191" s="34">
        <f>IFERROR(INDEX('Pokemon Data'!K:K,MATCH($A191,'Pokemon Data'!$B:$B,0)),"")</f>
        <v>77</v>
      </c>
      <c r="P191" s="35">
        <f>IFERROR(INDEX('Level Multipliers'!$A:$A,MATCH($D191,'Level Multipliers'!$B:$B,0)),"")</f>
        <v>21</v>
      </c>
      <c r="Q191" s="36">
        <f>IFERROR(INDEX('Level Multipliers'!$D:$D,MATCH(P191,'Level Multipliers'!$A:$A,0)),"")</f>
        <v>1.6335670981213306</v>
      </c>
      <c r="R191" s="37">
        <f t="shared" si="74"/>
        <v>4</v>
      </c>
      <c r="S191" s="37">
        <f t="shared" si="75"/>
        <v>5</v>
      </c>
      <c r="T191" s="38">
        <f t="shared" si="76"/>
        <v>45221919.45890975</v>
      </c>
      <c r="U191" s="38">
        <f t="shared" si="77"/>
        <v>45581535.692954056</v>
      </c>
      <c r="V191" s="38" t="b">
        <f t="shared" si="78"/>
        <v>0</v>
      </c>
      <c r="W191" s="37">
        <f t="array" ref="W191:AG191">IF(V191,"",IVSolution($M191,$N191,$O191,R191,S191,T191,U191,$E191,$F191,$G191,$H191,$I191))</f>
        <v>15</v>
      </c>
      <c r="X191" s="37">
        <v>15</v>
      </c>
      <c r="Y191" s="37">
        <v>22</v>
      </c>
      <c r="Z191" s="39">
        <v>0.33333333333333331</v>
      </c>
      <c r="AA191" s="39">
        <v>0.48888888888888887</v>
      </c>
      <c r="AB191" s="37">
        <v>4</v>
      </c>
      <c r="AC191" s="37">
        <v>5</v>
      </c>
      <c r="AD191" s="37">
        <v>2</v>
      </c>
      <c r="AE191" s="37">
        <v>9</v>
      </c>
      <c r="AF191" s="37">
        <v>1</v>
      </c>
      <c r="AG191" s="37">
        <v>15</v>
      </c>
      <c r="AH191" s="40">
        <f t="shared" si="79"/>
        <v>21.5</v>
      </c>
      <c r="AI191" s="36">
        <f>IFERROR(INDEX('Level Multipliers'!$D:$D,MATCH(AH191,'Level Multipliers'!$A:$A,0)),"")</f>
        <v>1.6144549045635799</v>
      </c>
      <c r="AJ191" s="37">
        <f t="shared" si="80"/>
        <v>3</v>
      </c>
      <c r="AK191" s="37">
        <f t="shared" si="81"/>
        <v>4</v>
      </c>
      <c r="AL191" s="38">
        <f t="shared" si="82"/>
        <v>43142445.215011761</v>
      </c>
      <c r="AM191" s="38">
        <f t="shared" si="83"/>
        <v>43485524.939652428</v>
      </c>
      <c r="AN191" s="38" t="b">
        <f t="shared" si="84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5"/>
        <v>22</v>
      </c>
      <c r="BA191" s="36">
        <f>IFERROR(INDEX('Level Multipliers'!$D:$D,MATCH(AZ191,'Level Multipliers'!$A:$A,0)),"")</f>
        <v>1.5959981933118279</v>
      </c>
      <c r="BB191" s="37">
        <f t="shared" si="86"/>
        <v>2</v>
      </c>
      <c r="BC191" s="37">
        <f t="shared" si="87"/>
        <v>3</v>
      </c>
      <c r="BD191" s="38">
        <f t="shared" si="88"/>
        <v>41203173.130239904</v>
      </c>
      <c r="BE191" s="38">
        <f t="shared" si="89"/>
        <v>41530831.268794507</v>
      </c>
      <c r="BF191" s="38" t="b">
        <f t="shared" si="90"/>
        <v>0</v>
      </c>
      <c r="BG191" s="37">
        <f t="array" ref="BG191:BQ191">IF(BF191,"",IVSolution($M191,$N191,$O191,BB191,BC191,BD191,BE191,$E191,$F191,$G191,$H191,$I191))</f>
        <v>6</v>
      </c>
      <c r="BH191" s="37">
        <v>11</v>
      </c>
      <c r="BI191" s="37">
        <v>17</v>
      </c>
      <c r="BJ191" s="39">
        <v>0.24444444444444444</v>
      </c>
      <c r="BK191" s="39">
        <v>0.37777777777777777</v>
      </c>
      <c r="BL191" s="37">
        <v>2</v>
      </c>
      <c r="BM191" s="37">
        <v>3</v>
      </c>
      <c r="BN191" s="37">
        <v>0</v>
      </c>
      <c r="BO191" s="37">
        <v>5</v>
      </c>
      <c r="BP191" s="37">
        <v>3</v>
      </c>
      <c r="BQ191" s="37">
        <v>15</v>
      </c>
      <c r="BR191" s="40">
        <f t="shared" si="91"/>
        <v>22.5</v>
      </c>
      <c r="BS191" s="36">
        <f>IFERROR(INDEX('Level Multipliers'!$D:$D,MATCH(BR191,'Level Multipliers'!$A:$A,0)),"")</f>
        <v>1.578160334674382</v>
      </c>
      <c r="BT191" s="37">
        <f t="shared" si="92"/>
        <v>2</v>
      </c>
      <c r="BU191" s="37">
        <f t="shared" si="93"/>
        <v>2</v>
      </c>
      <c r="BV191" s="38">
        <f t="shared" si="94"/>
        <v>39391777.322506681</v>
      </c>
      <c r="BW191" s="38">
        <f t="shared" si="95"/>
        <v>39705030.77973561</v>
      </c>
      <c r="BX191" s="38" t="b">
        <f t="shared" si="96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7"/>
        <v>21</v>
      </c>
      <c r="CK191" s="41">
        <f t="shared" si="98"/>
        <v>22</v>
      </c>
      <c r="CL191" s="66">
        <f t="shared" si="99"/>
        <v>0.36666666666666664</v>
      </c>
      <c r="CM191" s="39">
        <f t="shared" si="100"/>
        <v>0.24444444444444444</v>
      </c>
      <c r="CN191" s="39">
        <f t="shared" si="101"/>
        <v>0.48888888888888887</v>
      </c>
      <c r="CO191" s="42">
        <f t="shared" si="102"/>
        <v>2</v>
      </c>
      <c r="CP191" s="42">
        <f t="shared" si="103"/>
        <v>5</v>
      </c>
      <c r="CQ191" s="42">
        <f t="shared" si="104"/>
        <v>0</v>
      </c>
      <c r="CR191" s="42">
        <f t="shared" si="105"/>
        <v>9</v>
      </c>
      <c r="CS191" s="42">
        <f t="shared" si="106"/>
        <v>1</v>
      </c>
      <c r="CT191" s="42">
        <f t="shared" si="107"/>
        <v>15</v>
      </c>
      <c r="CU191" s="43" t="str">
        <f t="shared" si="108"/>
        <v>2-5</v>
      </c>
      <c r="CV191" s="43" t="str">
        <f t="shared" si="109"/>
        <v>0-9</v>
      </c>
      <c r="CW191" s="43" t="str">
        <f t="shared" si="110"/>
        <v>1-15</v>
      </c>
      <c r="CX191" s="13"/>
    </row>
    <row r="192" spans="1:102" x14ac:dyDescent="0.25">
      <c r="A192" s="31" t="s">
        <v>208</v>
      </c>
      <c r="B192" s="13">
        <v>901</v>
      </c>
      <c r="C192" s="13">
        <v>108</v>
      </c>
      <c r="D192" s="13">
        <v>25</v>
      </c>
      <c r="E192" s="32" t="s">
        <v>2</v>
      </c>
      <c r="F192" s="32"/>
      <c r="G192" s="32"/>
      <c r="H192" s="32">
        <v>1</v>
      </c>
      <c r="I192" s="32" t="s">
        <v>2</v>
      </c>
      <c r="J192" s="13"/>
      <c r="K192" s="33"/>
      <c r="L192" s="34">
        <f>IFERROR(INDEX('Pokemon Data'!A:A,MATCH($A192,'Pokemon Data'!$B:$B,0)),"")</f>
        <v>162</v>
      </c>
      <c r="M192" s="34">
        <f>IFERROR(INDEX('Pokemon Data'!I:I,MATCH($A192,'Pokemon Data'!$B:$B,0)),"")</f>
        <v>170</v>
      </c>
      <c r="N192" s="34">
        <f>IFERROR(INDEX('Pokemon Data'!J:J,MATCH($A192,'Pokemon Data'!$B:$B,0)),"")</f>
        <v>148</v>
      </c>
      <c r="O192" s="34">
        <f>IFERROR(INDEX('Pokemon Data'!K:K,MATCH($A192,'Pokemon Data'!$B:$B,0)),"")</f>
        <v>130</v>
      </c>
      <c r="P192" s="35">
        <f>IFERROR(INDEX('Level Multipliers'!$A:$A,MATCH($D192,'Level Multipliers'!$B:$B,0)),"")</f>
        <v>19</v>
      </c>
      <c r="Q192" s="36">
        <f>IFERROR(INDEX('Level Multipliers'!$D:$D,MATCH(P192,'Level Multipliers'!$A:$A,0)),"")</f>
        <v>1.7173900470456649</v>
      </c>
      <c r="R192" s="37">
        <f t="shared" si="74"/>
        <v>16</v>
      </c>
      <c r="S192" s="37">
        <f t="shared" si="75"/>
        <v>15</v>
      </c>
      <c r="T192" s="38">
        <f t="shared" si="76"/>
        <v>706196154.93286979</v>
      </c>
      <c r="U192" s="38">
        <f t="shared" si="77"/>
        <v>707764607.87557864</v>
      </c>
      <c r="V192" s="38" t="b">
        <f t="shared" si="78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9"/>
        <v>19.5</v>
      </c>
      <c r="AI192" s="36">
        <f>IFERROR(INDEX('Level Multipliers'!$D:$D,MATCH(AH192,'Level Multipliers'!$A:$A,0)),"")</f>
        <v>1.6952373266621776</v>
      </c>
      <c r="AJ192" s="37">
        <f t="shared" si="80"/>
        <v>14</v>
      </c>
      <c r="AK192" s="37">
        <f t="shared" si="81"/>
        <v>14</v>
      </c>
      <c r="AL192" s="38">
        <f t="shared" si="82"/>
        <v>670458046.49347639</v>
      </c>
      <c r="AM192" s="38">
        <f t="shared" si="83"/>
        <v>671947125.53849816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20</v>
      </c>
      <c r="BA192" s="36">
        <f>IFERROR(INDEX('Level Multipliers'!$D:$D,MATCH(AZ192,'Level Multipliers'!$A:$A,0)),"")</f>
        <v>1.6739202944034379</v>
      </c>
      <c r="BB192" s="37">
        <f t="shared" si="86"/>
        <v>11</v>
      </c>
      <c r="BC192" s="37">
        <f t="shared" si="87"/>
        <v>12</v>
      </c>
      <c r="BD192" s="38">
        <f t="shared" si="88"/>
        <v>637365689.40372086</v>
      </c>
      <c r="BE192" s="38">
        <f t="shared" si="89"/>
        <v>638781270.73214352</v>
      </c>
      <c r="BF192" s="38" t="b">
        <f t="shared" si="90"/>
        <v>0</v>
      </c>
      <c r="BG192" s="37">
        <f t="array" ref="BG192:BQ192">IF(BF192,"",IVSolution($M192,$N192,$O192,BB192,BC192,BD192,BE192,$E192,$F192,$G192,$H192,$I192))</f>
        <v>2</v>
      </c>
      <c r="BH192" s="37">
        <v>33</v>
      </c>
      <c r="BI192" s="37">
        <v>34</v>
      </c>
      <c r="BJ192" s="39">
        <v>0.73333333333333328</v>
      </c>
      <c r="BK192" s="39">
        <v>0.75555555555555554</v>
      </c>
      <c r="BL192" s="37">
        <v>11</v>
      </c>
      <c r="BM192" s="37">
        <v>12</v>
      </c>
      <c r="BN192" s="37">
        <v>8</v>
      </c>
      <c r="BO192" s="37">
        <v>9</v>
      </c>
      <c r="BP192" s="37">
        <v>13</v>
      </c>
      <c r="BQ192" s="37">
        <v>14</v>
      </c>
      <c r="BR192" s="40">
        <f t="shared" si="91"/>
        <v>20.5</v>
      </c>
      <c r="BS192" s="36">
        <f>IFERROR(INDEX('Level Multipliers'!$D:$D,MATCH(BR192,'Level Multipliers'!$A:$A,0)),"")</f>
        <v>1.6533745038028393</v>
      </c>
      <c r="BT192" s="37">
        <f t="shared" si="92"/>
        <v>9</v>
      </c>
      <c r="BU192" s="37">
        <f t="shared" si="93"/>
        <v>10</v>
      </c>
      <c r="BV192" s="38">
        <f t="shared" si="94"/>
        <v>606644866.39895952</v>
      </c>
      <c r="BW192" s="38">
        <f t="shared" si="95"/>
        <v>607992217.15871143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7"/>
        <v>20</v>
      </c>
      <c r="CK192" s="41">
        <f t="shared" si="98"/>
        <v>20</v>
      </c>
      <c r="CL192" s="66">
        <f t="shared" si="99"/>
        <v>0.74444444444444446</v>
      </c>
      <c r="CM192" s="39">
        <f t="shared" si="100"/>
        <v>0.73333333333333328</v>
      </c>
      <c r="CN192" s="39">
        <f t="shared" si="101"/>
        <v>0.75555555555555554</v>
      </c>
      <c r="CO192" s="42">
        <f t="shared" si="102"/>
        <v>11</v>
      </c>
      <c r="CP192" s="42">
        <f t="shared" si="103"/>
        <v>12</v>
      </c>
      <c r="CQ192" s="42">
        <f t="shared" si="104"/>
        <v>8</v>
      </c>
      <c r="CR192" s="42">
        <f t="shared" si="105"/>
        <v>9</v>
      </c>
      <c r="CS192" s="42">
        <f t="shared" si="106"/>
        <v>13</v>
      </c>
      <c r="CT192" s="42">
        <f t="shared" si="107"/>
        <v>14</v>
      </c>
      <c r="CU192" s="43" t="str">
        <f t="shared" si="108"/>
        <v>11-12</v>
      </c>
      <c r="CV192" s="43" t="str">
        <f t="shared" si="109"/>
        <v>8-9</v>
      </c>
      <c r="CW192" s="43" t="str">
        <f t="shared" si="110"/>
        <v>13-14</v>
      </c>
      <c r="CX192" s="13" t="s">
        <v>422</v>
      </c>
    </row>
    <row r="193" spans="1:102" x14ac:dyDescent="0.25">
      <c r="A193" s="31" t="s">
        <v>209</v>
      </c>
      <c r="B193" s="13">
        <v>24</v>
      </c>
      <c r="C193" s="13">
        <v>21</v>
      </c>
      <c r="D193" s="13">
        <v>2</v>
      </c>
      <c r="E193" s="32" t="s">
        <v>2</v>
      </c>
      <c r="F193" s="32"/>
      <c r="G193" s="32"/>
      <c r="H193" s="32"/>
      <c r="I193" s="32"/>
      <c r="J193" s="13"/>
      <c r="K193" s="33"/>
      <c r="L193" s="34">
        <f>IFERROR(INDEX('Pokemon Data'!A:A,MATCH($A193,'Pokemon Data'!$B:$B,0)),"")</f>
        <v>163</v>
      </c>
      <c r="M193" s="34">
        <f>IFERROR(INDEX('Pokemon Data'!I:I,MATCH($A193,'Pokemon Data'!$B:$B,0)),"")</f>
        <v>120</v>
      </c>
      <c r="N193" s="34">
        <f>IFERROR(INDEX('Pokemon Data'!J:J,MATCH($A193,'Pokemon Data'!$B:$B,0)),"")</f>
        <v>67</v>
      </c>
      <c r="O193" s="34">
        <f>IFERROR(INDEX('Pokemon Data'!K:K,MATCH($A193,'Pokemon Data'!$B:$B,0)),"")</f>
        <v>101</v>
      </c>
      <c r="P193" s="35">
        <f>IFERROR(INDEX('Level Multipliers'!$A:$A,MATCH($D193,'Level Multipliers'!$B:$B,0)),"")</f>
        <v>1</v>
      </c>
      <c r="Q193" s="36">
        <f>IFERROR(INDEX('Level Multipliers'!$D:$D,MATCH(P193,'Level Multipliers'!$A:$A,0)),"")</f>
        <v>10.638298236606033</v>
      </c>
      <c r="R193" s="37">
        <f t="shared" si="74"/>
        <v>104</v>
      </c>
      <c r="S193" s="37">
        <f t="shared" si="75"/>
        <v>15</v>
      </c>
      <c r="T193" s="38">
        <f t="shared" si="76"/>
        <v>737753245.1547451</v>
      </c>
      <c r="U193" s="38">
        <f t="shared" si="77"/>
        <v>800513503.85714531</v>
      </c>
      <c r="V193" s="38" t="b">
        <f t="shared" si="78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9"/>
        <v>1.5</v>
      </c>
      <c r="AI193" s="36">
        <f>IFERROR(INDEX('Level Multipliers'!$D:$D,MATCH(AH193,'Level Multipliers'!$A:$A,0)),"")</f>
        <v>7.3998742209257209</v>
      </c>
      <c r="AJ193" s="37">
        <f t="shared" si="80"/>
        <v>36</v>
      </c>
      <c r="AK193" s="37">
        <f t="shared" si="81"/>
        <v>15</v>
      </c>
      <c r="AL193" s="38">
        <f t="shared" si="82"/>
        <v>172710934.87101126</v>
      </c>
      <c r="AM193" s="38">
        <f t="shared" si="83"/>
        <v>187403358.1499688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</v>
      </c>
      <c r="BA193" s="36">
        <f>IFERROR(INDEX('Level Multipliers'!$D:$D,MATCH(AZ193,'Level Multipliers'!$A:$A,0)),"")</f>
        <v>6.0096923264843083</v>
      </c>
      <c r="BB193" s="37">
        <f t="shared" si="86"/>
        <v>7</v>
      </c>
      <c r="BC193" s="37">
        <f t="shared" si="87"/>
        <v>12</v>
      </c>
      <c r="BD193" s="38">
        <f t="shared" si="88"/>
        <v>75133122.23468706</v>
      </c>
      <c r="BE193" s="38">
        <f t="shared" si="89"/>
        <v>81524655.202568427</v>
      </c>
      <c r="BF193" s="38" t="b">
        <f t="shared" si="90"/>
        <v>0</v>
      </c>
      <c r="BG193" s="37">
        <f t="array" ref="BG193:BQ193">IF(BF193,"",IVSolution($M193,$N193,$O193,BB193,BC193,BD193,BE193,$E193,$F193,$G193,$H193,$I193))</f>
        <v>23</v>
      </c>
      <c r="BH193" s="37">
        <v>30</v>
      </c>
      <c r="BI193" s="37">
        <v>32</v>
      </c>
      <c r="BJ193" s="39">
        <v>0.66666666666666663</v>
      </c>
      <c r="BK193" s="39">
        <v>0.71111111111111114</v>
      </c>
      <c r="BL193" s="37">
        <v>8</v>
      </c>
      <c r="BM193" s="37">
        <v>12</v>
      </c>
      <c r="BN193" s="37">
        <v>4</v>
      </c>
      <c r="BO193" s="37">
        <v>7</v>
      </c>
      <c r="BP193" s="37">
        <v>11</v>
      </c>
      <c r="BQ193" s="37">
        <v>15</v>
      </c>
      <c r="BR193" s="40">
        <f t="shared" si="91"/>
        <v>2.5</v>
      </c>
      <c r="BS193" s="36">
        <f>IFERROR(INDEX('Level Multipliers'!$D:$D,MATCH(BR193,'Level Multipliers'!$A:$A,0)),"")</f>
        <v>5.1907358424704109</v>
      </c>
      <c r="BT193" s="37">
        <f t="shared" si="92"/>
        <v>0</v>
      </c>
      <c r="BU193" s="37">
        <f t="shared" si="93"/>
        <v>-6</v>
      </c>
      <c r="BV193" s="38">
        <f t="shared" si="94"/>
        <v>41815586.822817542</v>
      </c>
      <c r="BW193" s="38">
        <f t="shared" si="95"/>
        <v>45372815.562953062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7"/>
        <v>2</v>
      </c>
      <c r="CK193" s="41">
        <f t="shared" si="98"/>
        <v>2</v>
      </c>
      <c r="CL193" s="66">
        <f t="shared" si="99"/>
        <v>0.68888888888888888</v>
      </c>
      <c r="CM193" s="39">
        <f t="shared" si="100"/>
        <v>0.66666666666666663</v>
      </c>
      <c r="CN193" s="39">
        <f t="shared" si="101"/>
        <v>0.71111111111111114</v>
      </c>
      <c r="CO193" s="42">
        <f t="shared" si="102"/>
        <v>8</v>
      </c>
      <c r="CP193" s="42">
        <f t="shared" si="103"/>
        <v>12</v>
      </c>
      <c r="CQ193" s="42">
        <f t="shared" si="104"/>
        <v>4</v>
      </c>
      <c r="CR193" s="42">
        <f t="shared" si="105"/>
        <v>7</v>
      </c>
      <c r="CS193" s="42">
        <f t="shared" si="106"/>
        <v>11</v>
      </c>
      <c r="CT193" s="42">
        <f t="shared" si="107"/>
        <v>15</v>
      </c>
      <c r="CU193" s="43" t="str">
        <f t="shared" si="108"/>
        <v>8-12</v>
      </c>
      <c r="CV193" s="43" t="str">
        <f t="shared" si="109"/>
        <v>4-7</v>
      </c>
      <c r="CW193" s="43" t="str">
        <f t="shared" si="110"/>
        <v>11-15</v>
      </c>
      <c r="CX193" s="13"/>
    </row>
    <row r="194" spans="1:102" x14ac:dyDescent="0.25">
      <c r="A194" s="31" t="s">
        <v>210</v>
      </c>
      <c r="B194" s="13">
        <v>827</v>
      </c>
      <c r="C194" s="13">
        <v>111</v>
      </c>
      <c r="D194" s="13">
        <v>19</v>
      </c>
      <c r="E194" s="32" t="s">
        <v>2</v>
      </c>
      <c r="F194" s="32">
        <v>1</v>
      </c>
      <c r="G194" s="32"/>
      <c r="H194" s="32"/>
      <c r="I194" s="32" t="s">
        <v>0</v>
      </c>
      <c r="J194" s="13"/>
      <c r="K194" s="33"/>
      <c r="L194" s="34">
        <f>IFERROR(INDEX('Pokemon Data'!A:A,MATCH($A194,'Pokemon Data'!$B:$B,0)),"")</f>
        <v>164</v>
      </c>
      <c r="M194" s="34">
        <f>IFERROR(INDEX('Pokemon Data'!I:I,MATCH($A194,'Pokemon Data'!$B:$B,0)),"")</f>
        <v>200</v>
      </c>
      <c r="N194" s="34">
        <f>IFERROR(INDEX('Pokemon Data'!J:J,MATCH($A194,'Pokemon Data'!$B:$B,0)),"")</f>
        <v>145</v>
      </c>
      <c r="O194" s="34">
        <f>IFERROR(INDEX('Pokemon Data'!K:K,MATCH($A194,'Pokemon Data'!$B:$B,0)),"")</f>
        <v>179</v>
      </c>
      <c r="P194" s="35">
        <f>IFERROR(INDEX('Level Multipliers'!$A:$A,MATCH($D194,'Level Multipliers'!$B:$B,0)),"")</f>
        <v>15</v>
      </c>
      <c r="Q194" s="36">
        <f>IFERROR(INDEX('Level Multipliers'!$D:$D,MATCH(P194,'Level Multipliers'!$A:$A,0)),"")</f>
        <v>1.9327632386874845</v>
      </c>
      <c r="R194" s="37">
        <f t="shared" si="74"/>
        <v>15</v>
      </c>
      <c r="S194" s="37">
        <f t="shared" si="75"/>
        <v>15</v>
      </c>
      <c r="T194" s="38">
        <f t="shared" si="76"/>
        <v>954389485.16797173</v>
      </c>
      <c r="U194" s="38">
        <f t="shared" si="77"/>
        <v>956698956.76217675</v>
      </c>
      <c r="V194" s="38" t="b">
        <f t="shared" si="78"/>
        <v>0</v>
      </c>
      <c r="W194" s="37">
        <f t="array" ref="W194:AG194">IF(V194,"",IVSolution($M194,$N194,$O194,R194,S194,T194,U194,$E194,$F194,$G194,$H194,$I194))</f>
        <v>2</v>
      </c>
      <c r="X194" s="37">
        <v>31</v>
      </c>
      <c r="Y194" s="37">
        <v>34</v>
      </c>
      <c r="Z194" s="39">
        <v>0.68888888888888888</v>
      </c>
      <c r="AA194" s="39">
        <v>0.75555555555555554</v>
      </c>
      <c r="AB194" s="37">
        <v>15</v>
      </c>
      <c r="AC194" s="37">
        <v>15</v>
      </c>
      <c r="AD194" s="37">
        <v>8</v>
      </c>
      <c r="AE194" s="37">
        <v>10</v>
      </c>
      <c r="AF194" s="37">
        <v>6</v>
      </c>
      <c r="AG194" s="37">
        <v>11</v>
      </c>
      <c r="AH194" s="40">
        <f t="shared" si="79"/>
        <v>15.5</v>
      </c>
      <c r="AI194" s="36">
        <f>IFERROR(INDEX('Level Multipliers'!$D:$D,MATCH(AH194,'Level Multipliers'!$A:$A,0)),"")</f>
        <v>1.9013484732050823</v>
      </c>
      <c r="AJ194" s="37">
        <f t="shared" si="80"/>
        <v>12</v>
      </c>
      <c r="AK194" s="37">
        <f t="shared" si="81"/>
        <v>12</v>
      </c>
      <c r="AL194" s="38">
        <f t="shared" si="82"/>
        <v>893836119.44088554</v>
      </c>
      <c r="AM194" s="38">
        <f t="shared" si="83"/>
        <v>895999061.46801805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16</v>
      </c>
      <c r="BA194" s="36">
        <f>IFERROR(INDEX('Level Multipliers'!$D:$D,MATCH(AZ194,'Level Multipliers'!$A:$A,0)),"")</f>
        <v>1.8714174200985207</v>
      </c>
      <c r="BB194" s="37">
        <f t="shared" si="86"/>
        <v>8</v>
      </c>
      <c r="BC194" s="37">
        <f t="shared" si="87"/>
        <v>9</v>
      </c>
      <c r="BD194" s="38">
        <f t="shared" si="88"/>
        <v>838868120.60310411</v>
      </c>
      <c r="BE194" s="38">
        <f t="shared" si="89"/>
        <v>840898048.76757455</v>
      </c>
      <c r="BF194" s="38" t="b">
        <f t="shared" si="90"/>
        <v>0</v>
      </c>
      <c r="BG194" s="37">
        <f t="array" ref="BG194:BQ194">IF(BF194,"",IVSolution($M194,$N194,$O194,BB194,BC194,BD194,BE194,$E194,$F194,$G194,$H194,$I194))</f>
        <v>0</v>
      </c>
      <c r="BH194" s="37" t="str">
        <v/>
      </c>
      <c r="BI194" s="37" t="str">
        <v/>
      </c>
      <c r="BJ194" s="39" t="str">
        <v/>
      </c>
      <c r="BK194" s="39" t="str">
        <v/>
      </c>
      <c r="BL194" s="37" t="str">
        <v/>
      </c>
      <c r="BM194" s="37" t="str">
        <v/>
      </c>
      <c r="BN194" s="37" t="str">
        <v/>
      </c>
      <c r="BO194" s="37" t="str">
        <v/>
      </c>
      <c r="BP194" s="37" t="str">
        <v/>
      </c>
      <c r="BQ194" s="37" t="str">
        <v/>
      </c>
      <c r="BR194" s="40">
        <f t="shared" si="91"/>
        <v>16.5</v>
      </c>
      <c r="BS194" s="36">
        <f>IFERROR(INDEX('Level Multipliers'!$D:$D,MATCH(BR194,'Level Multipliers'!$A:$A,0)),"")</f>
        <v>1.8428568206029767</v>
      </c>
      <c r="BT194" s="37">
        <f t="shared" si="92"/>
        <v>5</v>
      </c>
      <c r="BU194" s="37">
        <f t="shared" si="93"/>
        <v>6</v>
      </c>
      <c r="BV194" s="38">
        <f t="shared" si="94"/>
        <v>788819061.23961508</v>
      </c>
      <c r="BW194" s="38">
        <f t="shared" si="95"/>
        <v>790727878.59690154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7"/>
        <v>15</v>
      </c>
      <c r="CK194" s="41">
        <f t="shared" si="98"/>
        <v>15</v>
      </c>
      <c r="CL194" s="66">
        <f t="shared" si="99"/>
        <v>0.72222222222222221</v>
      </c>
      <c r="CM194" s="39">
        <f t="shared" si="100"/>
        <v>0.68888888888888888</v>
      </c>
      <c r="CN194" s="39">
        <f t="shared" si="101"/>
        <v>0.75555555555555554</v>
      </c>
      <c r="CO194" s="42">
        <f t="shared" si="102"/>
        <v>15</v>
      </c>
      <c r="CP194" s="42">
        <f t="shared" si="103"/>
        <v>15</v>
      </c>
      <c r="CQ194" s="42">
        <f t="shared" si="104"/>
        <v>8</v>
      </c>
      <c r="CR194" s="42">
        <f t="shared" si="105"/>
        <v>10</v>
      </c>
      <c r="CS194" s="42">
        <f t="shared" si="106"/>
        <v>6</v>
      </c>
      <c r="CT194" s="42">
        <f t="shared" si="107"/>
        <v>11</v>
      </c>
      <c r="CU194" s="43">
        <f t="shared" si="108"/>
        <v>15</v>
      </c>
      <c r="CV194" s="43" t="str">
        <f t="shared" si="109"/>
        <v>8-10</v>
      </c>
      <c r="CW194" s="43" t="str">
        <f t="shared" si="110"/>
        <v>6-11</v>
      </c>
      <c r="CX194" s="13" t="s">
        <v>422</v>
      </c>
    </row>
    <row r="195" spans="1:102" x14ac:dyDescent="0.25">
      <c r="A195" s="31" t="s">
        <v>74</v>
      </c>
      <c r="B195" s="13">
        <v>1381</v>
      </c>
      <c r="C195" s="13">
        <v>109</v>
      </c>
      <c r="D195" s="13">
        <v>25</v>
      </c>
      <c r="E195" s="32" t="s">
        <v>0</v>
      </c>
      <c r="F195" s="32">
        <v>1</v>
      </c>
      <c r="G195" s="32"/>
      <c r="H195" s="32"/>
      <c r="I195" s="32" t="s">
        <v>2</v>
      </c>
      <c r="J195" s="13"/>
      <c r="K195" s="33"/>
      <c r="L195" s="34">
        <f>IFERROR(INDEX('Pokemon Data'!A:A,MATCH($A195,'Pokemon Data'!$B:$B,0)),"")</f>
        <v>169</v>
      </c>
      <c r="M195" s="34">
        <f>IFERROR(INDEX('Pokemon Data'!I:I,MATCH($A195,'Pokemon Data'!$B:$B,0)),"")</f>
        <v>170</v>
      </c>
      <c r="N195" s="34">
        <f>IFERROR(INDEX('Pokemon Data'!J:J,MATCH($A195,'Pokemon Data'!$B:$B,0)),"")</f>
        <v>194</v>
      </c>
      <c r="O195" s="34">
        <f>IFERROR(INDEX('Pokemon Data'!K:K,MATCH($A195,'Pokemon Data'!$B:$B,0)),"")</f>
        <v>178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IF(P195="","",IF($C195&gt;10,MAX(0,ROUNDUP(Q195*$C195-$M195+1000,0)-1000),0))</f>
        <v>18</v>
      </c>
      <c r="S195" s="37">
        <f t="shared" ref="S195:S258" si="112">IF(P195="","",MIN(15,ROUNDDOWN(Q195*($C195+1)-$M195+1000,0)-1000))</f>
        <v>15</v>
      </c>
      <c r="T195" s="38">
        <f t="shared" ref="T195:T258" si="113">IFERROR(IF($B195&gt;10,100*Q195^4*$B195^2,$N195^2*$O195*($M195+R195)),"")</f>
        <v>1659063939.3618965</v>
      </c>
      <c r="U195" s="38">
        <f t="shared" ref="U195:U258" si="114">IFERROR(100*Q195^4*($B195+1)^2,"")</f>
        <v>1661467508.6800909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IF(AH195="","",IF($C195&gt;10,MAX(0,ROUNDUP(AI195*$C195-$M195+1000,0)-1000),0))</f>
        <v>15</v>
      </c>
      <c r="AK195" s="37">
        <f t="shared" ref="AK195:AK258" si="118">IF(AH195="","",MIN(15,ROUNDDOWN(AI195*($C195+1)-$M195+1000,0)-1000))</f>
        <v>15</v>
      </c>
      <c r="AL195" s="38">
        <f t="shared" ref="AL195:AL258" si="119">IFERROR(IF($B195&gt;10,100*AI195^4*$B195^2,$N195^2*$O195*($M195+AJ195)),"")</f>
        <v>1575104537.206218</v>
      </c>
      <c r="AM195" s="38">
        <f t="shared" ref="AM195:AM258" si="120">IFERROR(100*AI195^4*($B195+1)^2,"")</f>
        <v>1577386470.3184726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IF(AZ195="","",IF($C195&gt;10,MAX(0,ROUNDUP(BA195*$C195-$M195+1000,0)-1000),0))</f>
        <v>13</v>
      </c>
      <c r="BC195" s="37">
        <f t="shared" ref="BC195:BC258" si="124">IF(AZ195="","",MIN(15,ROUNDDOWN(BA195*($C195+1)-$M195+1000,0)-1000))</f>
        <v>14</v>
      </c>
      <c r="BD195" s="38">
        <f t="shared" ref="BD195:BD258" si="125">IFERROR(IF($B195&gt;10,100*BA195^4*$B195^2,$N195^2*$O195*($M195+BB195)),"")</f>
        <v>1497360788.6278653</v>
      </c>
      <c r="BE195" s="38">
        <f t="shared" ref="BE195:BE258" si="126">IFERROR(100*BA195^4*($B195+1)^2,"")</f>
        <v>1499530090.4639339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1</v>
      </c>
      <c r="BH195" s="37">
        <v>39</v>
      </c>
      <c r="BI195" s="37">
        <v>39</v>
      </c>
      <c r="BJ195" s="39">
        <v>0.8666666666666667</v>
      </c>
      <c r="BK195" s="39">
        <v>0.8666666666666667</v>
      </c>
      <c r="BL195" s="37">
        <v>14</v>
      </c>
      <c r="BM195" s="37">
        <v>14</v>
      </c>
      <c r="BN195" s="37">
        <v>13</v>
      </c>
      <c r="BO195" s="37">
        <v>13</v>
      </c>
      <c r="BP195" s="37">
        <v>12</v>
      </c>
      <c r="BQ195" s="37">
        <v>12</v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IF(BR195="","",IF($C195&gt;10,MAX(0,ROUNDUP(BS195*$C195-$M195+1000,0)-1000),0))</f>
        <v>11</v>
      </c>
      <c r="BU195" s="37">
        <f t="shared" ref="BU195:BU258" si="130">IF(BR195="","",MIN(15,ROUNDDOWN(BS195*($C195+1)-$M195+1000,0)-1000))</f>
        <v>11</v>
      </c>
      <c r="BV195" s="38">
        <f t="shared" ref="BV195:BV258" si="131">IFERROR(IF($B195&gt;10,100*BS195^4*$B195^2,$N195^2*$O195*($M195+BT195)),"")</f>
        <v>1425188476.0505421</v>
      </c>
      <c r="BW195" s="38">
        <f t="shared" ref="BW195:BW258" si="132">IFERROR(100*BS195^4*($B195+1)^2,"")</f>
        <v>1427253218.2297957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4">IF(IFERROR(W195*1,0)&gt;0,P195,IF(IFERROR(AO195*1,0)&gt;0,AH195,IF(IFERROR(BG195*1,0)&gt;0,AZ195,IF(IFERROR(BY195*1,0)&gt;0,BR195,""))))</f>
        <v>20</v>
      </c>
      <c r="CK195" s="41">
        <f t="shared" ref="CK195:CK258" si="135">IF(IFERROR(BY195*1,0)&gt;0,BR195,IF(IFERROR(BG195*1,0)&gt;0,AZ195,IF(IFERROR(AO195*1,0)&gt;0,AH195,IF(IFERROR(W195*1,0)&gt;0,P195,""))))</f>
        <v>20</v>
      </c>
      <c r="CL195" s="66">
        <f t="shared" ref="CL195:CL258" si="136">IF(OR(CJ195="",CK195=""),"",(CM195+CN195)/2)</f>
        <v>0.8666666666666667</v>
      </c>
      <c r="CM195" s="39">
        <f t="shared" ref="CM195:CM258" si="137">IF(OR(CJ195="",CK195=""),"",MIN(Z195,AR195,BJ195,CB195))</f>
        <v>0.8666666666666667</v>
      </c>
      <c r="CN195" s="39">
        <f t="shared" ref="CN195:CN258" si="138">IF(OR(CJ195="",CK195=""),"",MAX(AA195,AS195,BK195,CC195))</f>
        <v>0.8666666666666667</v>
      </c>
      <c r="CO195" s="42">
        <f t="shared" ref="CO195:CO258" si="139">IF(OR(CJ195="",CK195=""),"",MIN(AB195,AT195,BL195,CD195))</f>
        <v>14</v>
      </c>
      <c r="CP195" s="42">
        <f t="shared" ref="CP195:CP258" si="140">IF(OR(CJ195="",CK195=""),"",MAX(AC195,AU195,BM195,CE195))</f>
        <v>14</v>
      </c>
      <c r="CQ195" s="42">
        <f t="shared" ref="CQ195:CQ258" si="141">IF(OR(CJ195="",CK195=""),"",MIN(AD195,AV195,BN195,CF195))</f>
        <v>13</v>
      </c>
      <c r="CR195" s="42">
        <f t="shared" ref="CR195:CR258" si="142">IF(OR(CJ195="",CK195=""),"",MAX(AE195,AW195,BO195,CG195))</f>
        <v>13</v>
      </c>
      <c r="CS195" s="42">
        <f t="shared" ref="CS195:CS258" si="143">IF(OR(CJ195="",CK195=""),"",MIN(AF195,AX195,BP195,CH195))</f>
        <v>12</v>
      </c>
      <c r="CT195" s="42">
        <f t="shared" ref="CT195:CT258" si="144">IF(OR(CJ195="",CK195=""),"",MAX(AG195,AY195,BQ195,CI195))</f>
        <v>12</v>
      </c>
      <c r="CU195" s="43">
        <f t="shared" ref="CU195:CU258" si="145">IF(CO195=CP195,CP195,CO195&amp;"-"&amp;CP195)</f>
        <v>14</v>
      </c>
      <c r="CV195" s="43">
        <f t="shared" ref="CV195:CV258" si="146">IF(CQ195=CR195,CR195,CQ195&amp;"-"&amp;CR195)</f>
        <v>13</v>
      </c>
      <c r="CW195" s="43">
        <f t="shared" ref="CW195:CW258" si="147">IF(CS195=CT195,CT195,CS195&amp;"-"&amp;CT195)</f>
        <v>12</v>
      </c>
      <c r="CX195" s="13" t="s">
        <v>422</v>
      </c>
    </row>
    <row r="196" spans="1:102" x14ac:dyDescent="0.25">
      <c r="A196" s="31" t="s">
        <v>219</v>
      </c>
      <c r="B196" s="13">
        <v>517</v>
      </c>
      <c r="C196" s="13">
        <v>56</v>
      </c>
      <c r="D196" s="13">
        <v>30</v>
      </c>
      <c r="E196" s="32" t="s">
        <v>2</v>
      </c>
      <c r="F196" s="32"/>
      <c r="G196" s="32">
        <v>1</v>
      </c>
      <c r="H196" s="32"/>
      <c r="I196" s="32" t="s">
        <v>2</v>
      </c>
      <c r="J196" s="13"/>
      <c r="K196" s="33"/>
      <c r="L196" s="34">
        <f>IFERROR(INDEX('Pokemon Data'!A:A,MATCH($A196,'Pokemon Data'!$B:$B,0)),"")</f>
        <v>177</v>
      </c>
      <c r="M196" s="34">
        <f>IFERROR(INDEX('Pokemon Data'!I:I,MATCH($A196,'Pokemon Data'!$B:$B,0)),"")</f>
        <v>80</v>
      </c>
      <c r="N196" s="34">
        <f>IFERROR(INDEX('Pokemon Data'!J:J,MATCH($A196,'Pokemon Data'!$B:$B,0)),"")</f>
        <v>134</v>
      </c>
      <c r="O196" s="34">
        <f>IFERROR(INDEX('Pokemon Data'!K:K,MATCH($A196,'Pokemon Data'!$B:$B,0)),"")</f>
        <v>89</v>
      </c>
      <c r="P196" s="35">
        <f>IFERROR(INDEX('Level Multipliers'!$A:$A,MATCH($D196,'Level Multipliers'!$B:$B,0)),"")</f>
        <v>21</v>
      </c>
      <c r="Q196" s="36">
        <f>IFERROR(INDEX('Level Multipliers'!$D:$D,MATCH(P196,'Level Multipliers'!$A:$A,0)),"")</f>
        <v>1.6335670981213306</v>
      </c>
      <c r="R196" s="37">
        <f t="shared" si="111"/>
        <v>12</v>
      </c>
      <c r="S196" s="37">
        <f t="shared" si="112"/>
        <v>13</v>
      </c>
      <c r="T196" s="38">
        <f t="shared" si="113"/>
        <v>190339531.84449056</v>
      </c>
      <c r="U196" s="38">
        <f t="shared" si="114"/>
        <v>191076567.09644273</v>
      </c>
      <c r="V196" s="38" t="b">
        <f t="shared" si="115"/>
        <v>0</v>
      </c>
      <c r="W196" s="37">
        <f t="array" ref="W196:AG196">IF(V196,"",IVSolution($M196,$N196,$O196,R196,S196,T196,U196,$E196,$F196,$G196,$H196,$I196))</f>
        <v>1</v>
      </c>
      <c r="X196" s="37">
        <v>32</v>
      </c>
      <c r="Y196" s="37">
        <v>32</v>
      </c>
      <c r="Z196" s="39">
        <v>0.71111111111111114</v>
      </c>
      <c r="AA196" s="39">
        <v>0.71111111111111114</v>
      </c>
      <c r="AB196" s="37">
        <v>12</v>
      </c>
      <c r="AC196" s="37">
        <v>12</v>
      </c>
      <c r="AD196" s="37">
        <v>13</v>
      </c>
      <c r="AE196" s="37">
        <v>13</v>
      </c>
      <c r="AF196" s="37">
        <v>7</v>
      </c>
      <c r="AG196" s="37">
        <v>7</v>
      </c>
      <c r="AH196" s="40">
        <f t="shared" si="116"/>
        <v>21.5</v>
      </c>
      <c r="AI196" s="36">
        <f>IFERROR(INDEX('Level Multipliers'!$D:$D,MATCH(AH196,'Level Multipliers'!$A:$A,0)),"")</f>
        <v>1.6144549045635799</v>
      </c>
      <c r="AJ196" s="37">
        <f t="shared" si="117"/>
        <v>11</v>
      </c>
      <c r="AK196" s="37">
        <f t="shared" si="118"/>
        <v>12</v>
      </c>
      <c r="AL196" s="38">
        <f t="shared" si="119"/>
        <v>181587003.00886995</v>
      </c>
      <c r="AM196" s="38">
        <f t="shared" si="120"/>
        <v>182290146.60293549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22</v>
      </c>
      <c r="BA196" s="36">
        <f>IFERROR(INDEX('Level Multipliers'!$D:$D,MATCH(AZ196,'Level Multipliers'!$A:$A,0)),"")</f>
        <v>1.5959981933118279</v>
      </c>
      <c r="BB196" s="37">
        <f t="shared" si="123"/>
        <v>10</v>
      </c>
      <c r="BC196" s="37">
        <f t="shared" si="124"/>
        <v>10</v>
      </c>
      <c r="BD196" s="38">
        <f t="shared" si="125"/>
        <v>173424586.52696988</v>
      </c>
      <c r="BE196" s="38">
        <f t="shared" si="126"/>
        <v>174096123.50400752</v>
      </c>
      <c r="BF196" s="38" t="b">
        <f t="shared" si="127"/>
        <v>0</v>
      </c>
      <c r="BG196" s="37">
        <f t="array" ref="BG196:BQ196">IF(BF196,"",IVSolution($M196,$N196,$O196,BB196,BC196,BD196,BE196,$E196,$F196,$G196,$H196,$I196))</f>
        <v>0</v>
      </c>
      <c r="BH196" s="37" t="str">
        <v/>
      </c>
      <c r="BI196" s="37" t="str">
        <v/>
      </c>
      <c r="BJ196" s="39" t="str">
        <v/>
      </c>
      <c r="BK196" s="39" t="str">
        <v/>
      </c>
      <c r="BL196" s="37" t="str">
        <v/>
      </c>
      <c r="BM196" s="37" t="str">
        <v/>
      </c>
      <c r="BN196" s="37" t="str">
        <v/>
      </c>
      <c r="BO196" s="37" t="str">
        <v/>
      </c>
      <c r="BP196" s="37" t="str">
        <v/>
      </c>
      <c r="BQ196" s="37" t="str">
        <v/>
      </c>
      <c r="BR196" s="40">
        <f t="shared" si="128"/>
        <v>22.5</v>
      </c>
      <c r="BS196" s="36">
        <f>IFERROR(INDEX('Level Multipliers'!$D:$D,MATCH(BR196,'Level Multipliers'!$A:$A,0)),"")</f>
        <v>1.578160334674382</v>
      </c>
      <c r="BT196" s="37">
        <f t="shared" si="129"/>
        <v>9</v>
      </c>
      <c r="BU196" s="37">
        <f t="shared" si="130"/>
        <v>9</v>
      </c>
      <c r="BV196" s="38">
        <f t="shared" si="131"/>
        <v>165800402.63220409</v>
      </c>
      <c r="BW196" s="38">
        <f t="shared" si="132"/>
        <v>166442417.14355448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4"/>
        <v>21</v>
      </c>
      <c r="CK196" s="41">
        <f t="shared" si="135"/>
        <v>21</v>
      </c>
      <c r="CL196" s="66">
        <f t="shared" si="136"/>
        <v>0.71111111111111114</v>
      </c>
      <c r="CM196" s="39">
        <f t="shared" si="137"/>
        <v>0.71111111111111114</v>
      </c>
      <c r="CN196" s="39">
        <f t="shared" si="138"/>
        <v>0.71111111111111114</v>
      </c>
      <c r="CO196" s="42">
        <f t="shared" si="139"/>
        <v>12</v>
      </c>
      <c r="CP196" s="42">
        <f t="shared" si="140"/>
        <v>12</v>
      </c>
      <c r="CQ196" s="42">
        <f t="shared" si="141"/>
        <v>13</v>
      </c>
      <c r="CR196" s="42">
        <f t="shared" si="142"/>
        <v>13</v>
      </c>
      <c r="CS196" s="42">
        <f t="shared" si="143"/>
        <v>7</v>
      </c>
      <c r="CT196" s="42">
        <f t="shared" si="144"/>
        <v>7</v>
      </c>
      <c r="CU196" s="43">
        <f t="shared" si="145"/>
        <v>12</v>
      </c>
      <c r="CV196" s="43">
        <f t="shared" si="146"/>
        <v>13</v>
      </c>
      <c r="CW196" s="43">
        <f t="shared" si="147"/>
        <v>7</v>
      </c>
      <c r="CX196" s="13"/>
    </row>
    <row r="197" spans="1:102" x14ac:dyDescent="0.25">
      <c r="A197" s="31" t="s">
        <v>220</v>
      </c>
      <c r="B197" s="13">
        <v>197</v>
      </c>
      <c r="C197" s="13">
        <v>35</v>
      </c>
      <c r="D197" s="13">
        <v>4</v>
      </c>
      <c r="E197" s="32" t="s">
        <v>2</v>
      </c>
      <c r="F197" s="32"/>
      <c r="G197" s="32">
        <v>1</v>
      </c>
      <c r="H197" s="32"/>
      <c r="I197" s="32" t="s">
        <v>2</v>
      </c>
      <c r="J197" s="13"/>
      <c r="K197" s="33"/>
      <c r="L197" s="34">
        <f>IFERROR(INDEX('Pokemon Data'!A:A,MATCH($A197,'Pokemon Data'!$B:$B,0)),"")</f>
        <v>178</v>
      </c>
      <c r="M197" s="34">
        <f>IFERROR(INDEX('Pokemon Data'!I:I,MATCH($A197,'Pokemon Data'!$B:$B,0)),"")</f>
        <v>130</v>
      </c>
      <c r="N197" s="34">
        <f>IFERROR(INDEX('Pokemon Data'!J:J,MATCH($A197,'Pokemon Data'!$B:$B,0)),"")</f>
        <v>192</v>
      </c>
      <c r="O197" s="34">
        <f>IFERROR(INDEX('Pokemon Data'!K:K,MATCH($A197,'Pokemon Data'!$B:$B,0)),"")</f>
        <v>146</v>
      </c>
      <c r="P197" s="35">
        <f>IFERROR(INDEX('Level Multipliers'!$A:$A,MATCH($D197,'Level Multipliers'!$B:$B,0)),"")</f>
        <v>3</v>
      </c>
      <c r="Q197" s="36">
        <f>IFERROR(INDEX('Level Multipliers'!$D:$D,MATCH(P197,'Level Multipliers'!$A:$A,0)),"")</f>
        <v>4.6353708335264541</v>
      </c>
      <c r="R197" s="37">
        <f t="shared" si="111"/>
        <v>33</v>
      </c>
      <c r="S197" s="37">
        <f t="shared" si="112"/>
        <v>15</v>
      </c>
      <c r="T197" s="38">
        <f t="shared" si="113"/>
        <v>1791721014.7877758</v>
      </c>
      <c r="U197" s="38">
        <f t="shared" si="114"/>
        <v>1809957243.5192857</v>
      </c>
      <c r="V197" s="38" t="b">
        <f t="shared" si="115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3.5</v>
      </c>
      <c r="AI197" s="36">
        <f>IFERROR(INDEX('Level Multipliers'!$D:$D,MATCH(AH197,'Level Multipliers'!$A:$A,0)),"")</f>
        <v>4.227031290291726</v>
      </c>
      <c r="AJ197" s="37">
        <f t="shared" si="117"/>
        <v>18</v>
      </c>
      <c r="AK197" s="37">
        <f t="shared" si="118"/>
        <v>15</v>
      </c>
      <c r="AL197" s="38">
        <f t="shared" si="119"/>
        <v>1239008549.164144</v>
      </c>
      <c r="AM197" s="38">
        <f t="shared" si="120"/>
        <v>1251619241.9652944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4</v>
      </c>
      <c r="BA197" s="36">
        <f>IFERROR(INDEX('Level Multipliers'!$D:$D,MATCH(AZ197,'Level Multipliers'!$A:$A,0)),"")</f>
        <v>3.9105263875552758</v>
      </c>
      <c r="BB197" s="37">
        <f t="shared" si="123"/>
        <v>7</v>
      </c>
      <c r="BC197" s="37">
        <f t="shared" si="124"/>
        <v>10</v>
      </c>
      <c r="BD197" s="38">
        <f t="shared" si="125"/>
        <v>907555797.535694</v>
      </c>
      <c r="BE197" s="38">
        <f t="shared" si="126"/>
        <v>916792947.16661978</v>
      </c>
      <c r="BF197" s="38" t="b">
        <f t="shared" si="127"/>
        <v>0</v>
      </c>
      <c r="BG197" s="37">
        <f t="array" ref="BG197:BQ197">IF(BF197,"",IVSolution($M197,$N197,$O197,BB197,BC197,BD197,BE197,$E197,$F197,$G197,$H197,$I197))</f>
        <v>12</v>
      </c>
      <c r="BH197" s="37">
        <v>31</v>
      </c>
      <c r="BI197" s="37">
        <v>33</v>
      </c>
      <c r="BJ197" s="39">
        <v>0.68888888888888888</v>
      </c>
      <c r="BK197" s="39">
        <v>0.73333333333333328</v>
      </c>
      <c r="BL197" s="37">
        <v>7</v>
      </c>
      <c r="BM197" s="37">
        <v>10</v>
      </c>
      <c r="BN197" s="37">
        <v>13</v>
      </c>
      <c r="BO197" s="37">
        <v>14</v>
      </c>
      <c r="BP197" s="37">
        <v>7</v>
      </c>
      <c r="BQ197" s="37">
        <v>12</v>
      </c>
      <c r="BR197" s="40">
        <f t="shared" si="128"/>
        <v>4.5</v>
      </c>
      <c r="BS197" s="36">
        <f>IFERROR(INDEX('Level Multipliers'!$D:$D,MATCH(BR197,'Level Multipliers'!$A:$A,0)),"")</f>
        <v>3.6559011428916688</v>
      </c>
      <c r="BT197" s="37">
        <f t="shared" si="129"/>
        <v>0</v>
      </c>
      <c r="BU197" s="37">
        <f t="shared" si="130"/>
        <v>1</v>
      </c>
      <c r="BV197" s="38">
        <f t="shared" si="131"/>
        <v>693282483.09189773</v>
      </c>
      <c r="BW197" s="38">
        <f t="shared" si="132"/>
        <v>700338747.89700222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4"/>
        <v>4</v>
      </c>
      <c r="CK197" s="41">
        <f t="shared" si="135"/>
        <v>4</v>
      </c>
      <c r="CL197" s="66">
        <f t="shared" si="136"/>
        <v>0.71111111111111103</v>
      </c>
      <c r="CM197" s="39">
        <f t="shared" si="137"/>
        <v>0.68888888888888888</v>
      </c>
      <c r="CN197" s="39">
        <f t="shared" si="138"/>
        <v>0.73333333333333328</v>
      </c>
      <c r="CO197" s="42">
        <f t="shared" si="139"/>
        <v>7</v>
      </c>
      <c r="CP197" s="42">
        <f t="shared" si="140"/>
        <v>10</v>
      </c>
      <c r="CQ197" s="42">
        <f t="shared" si="141"/>
        <v>13</v>
      </c>
      <c r="CR197" s="42">
        <f t="shared" si="142"/>
        <v>14</v>
      </c>
      <c r="CS197" s="42">
        <f t="shared" si="143"/>
        <v>7</v>
      </c>
      <c r="CT197" s="42">
        <f t="shared" si="144"/>
        <v>12</v>
      </c>
      <c r="CU197" s="43" t="str">
        <f t="shared" si="145"/>
        <v>7-10</v>
      </c>
      <c r="CV197" s="43" t="str">
        <f t="shared" si="146"/>
        <v>13-14</v>
      </c>
      <c r="CW197" s="43" t="str">
        <f t="shared" si="147"/>
        <v>7-12</v>
      </c>
      <c r="CX197" s="13" t="s">
        <v>438</v>
      </c>
    </row>
    <row r="198" spans="1:102" x14ac:dyDescent="0.25">
      <c r="A198" s="31" t="s">
        <v>227</v>
      </c>
      <c r="B198" s="13">
        <v>1133</v>
      </c>
      <c r="C198" s="13">
        <v>89</v>
      </c>
      <c r="D198" s="13">
        <v>25</v>
      </c>
      <c r="E198" s="32" t="s">
        <v>2</v>
      </c>
      <c r="F198" s="32"/>
      <c r="G198" s="32">
        <v>1</v>
      </c>
      <c r="H198" s="32">
        <v>1</v>
      </c>
      <c r="I198" s="32" t="s">
        <v>3</v>
      </c>
      <c r="J198" s="13"/>
      <c r="K198" s="33"/>
      <c r="L198" s="34">
        <f>IFERROR(INDEX('Pokemon Data'!A:A,MATCH($A198,'Pokemon Data'!$B:$B,0)),"")</f>
        <v>185</v>
      </c>
      <c r="M198" s="34">
        <f>IFERROR(INDEX('Pokemon Data'!I:I,MATCH($A198,'Pokemon Data'!$B:$B,0)),"")</f>
        <v>140</v>
      </c>
      <c r="N198" s="34">
        <f>IFERROR(INDEX('Pokemon Data'!J:J,MATCH($A198,'Pokemon Data'!$B:$B,0)),"")</f>
        <v>167</v>
      </c>
      <c r="O198" s="34">
        <f>IFERROR(INDEX('Pokemon Data'!K:K,MATCH($A198,'Pokemon Data'!$B:$B,0)),"")</f>
        <v>198</v>
      </c>
      <c r="P198" s="35">
        <f>IFERROR(INDEX('Level Multipliers'!$A:$A,MATCH($D198,'Level Multipliers'!$B:$B,0)),"")</f>
        <v>19</v>
      </c>
      <c r="Q198" s="36">
        <f>IFERROR(INDEX('Level Multipliers'!$D:$D,MATCH(P198,'Level Multipliers'!$A:$A,0)),"")</f>
        <v>1.7173900470456649</v>
      </c>
      <c r="R198" s="37">
        <f t="shared" si="111"/>
        <v>13</v>
      </c>
      <c r="S198" s="37">
        <f t="shared" si="112"/>
        <v>14</v>
      </c>
      <c r="T198" s="38">
        <f t="shared" si="113"/>
        <v>1116697609.302798</v>
      </c>
      <c r="U198" s="38">
        <f t="shared" si="114"/>
        <v>1118669701.8269916</v>
      </c>
      <c r="V198" s="38" t="b">
        <f t="shared" si="115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6"/>
        <v>19.5</v>
      </c>
      <c r="AI198" s="36">
        <f>IFERROR(INDEX('Level Multipliers'!$D:$D,MATCH(AH198,'Level Multipliers'!$A:$A,0)),"")</f>
        <v>1.6952373266621776</v>
      </c>
      <c r="AJ198" s="37">
        <f t="shared" si="117"/>
        <v>11</v>
      </c>
      <c r="AK198" s="37">
        <f t="shared" si="118"/>
        <v>12</v>
      </c>
      <c r="AL198" s="38">
        <f t="shared" si="119"/>
        <v>1060185463.2418095</v>
      </c>
      <c r="AM198" s="38">
        <f t="shared" si="120"/>
        <v>1062057755.0859939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20</v>
      </c>
      <c r="BA198" s="36">
        <f>IFERROR(INDEX('Level Multipliers'!$D:$D,MATCH(AZ198,'Level Multipliers'!$A:$A,0)),"")</f>
        <v>1.6739202944034379</v>
      </c>
      <c r="BB198" s="37">
        <f t="shared" si="123"/>
        <v>9</v>
      </c>
      <c r="BC198" s="37">
        <f t="shared" si="124"/>
        <v>10</v>
      </c>
      <c r="BD198" s="38">
        <f t="shared" si="125"/>
        <v>1007857004.9371372</v>
      </c>
      <c r="BE198" s="38">
        <f t="shared" si="126"/>
        <v>1009636884.5109223</v>
      </c>
      <c r="BF198" s="38" t="b">
        <f t="shared" si="127"/>
        <v>0</v>
      </c>
      <c r="BG198" s="37">
        <f t="array" ref="BG198:BQ198">IF(BF198,"",IVSolution($M198,$N198,$O198,BB198,BC198,BD198,BE198,$E198,$F198,$G198,$H198,$I198))</f>
        <v>1</v>
      </c>
      <c r="BH198" s="37">
        <v>34</v>
      </c>
      <c r="BI198" s="37">
        <v>34</v>
      </c>
      <c r="BJ198" s="39">
        <v>0.75555555555555554</v>
      </c>
      <c r="BK198" s="39">
        <v>0.75555555555555554</v>
      </c>
      <c r="BL198" s="37">
        <v>10</v>
      </c>
      <c r="BM198" s="37">
        <v>10</v>
      </c>
      <c r="BN198" s="37">
        <v>12</v>
      </c>
      <c r="BO198" s="37">
        <v>12</v>
      </c>
      <c r="BP198" s="37">
        <v>12</v>
      </c>
      <c r="BQ198" s="37">
        <v>12</v>
      </c>
      <c r="BR198" s="40">
        <f t="shared" si="128"/>
        <v>20.5</v>
      </c>
      <c r="BS198" s="36">
        <f>IFERROR(INDEX('Level Multipliers'!$D:$D,MATCH(BR198,'Level Multipliers'!$A:$A,0)),"")</f>
        <v>1.6533745038028393</v>
      </c>
      <c r="BT198" s="37">
        <f t="shared" si="129"/>
        <v>8</v>
      </c>
      <c r="BU198" s="37">
        <f t="shared" si="130"/>
        <v>8</v>
      </c>
      <c r="BV198" s="38">
        <f t="shared" si="131"/>
        <v>959278618.65508175</v>
      </c>
      <c r="BW198" s="38">
        <f t="shared" si="132"/>
        <v>960972708.60092616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4"/>
        <v>20</v>
      </c>
      <c r="CK198" s="41">
        <f t="shared" si="135"/>
        <v>20</v>
      </c>
      <c r="CL198" s="66">
        <f t="shared" si="136"/>
        <v>0.75555555555555554</v>
      </c>
      <c r="CM198" s="39">
        <f t="shared" si="137"/>
        <v>0.75555555555555554</v>
      </c>
      <c r="CN198" s="39">
        <f t="shared" si="138"/>
        <v>0.75555555555555554</v>
      </c>
      <c r="CO198" s="42">
        <f t="shared" si="139"/>
        <v>10</v>
      </c>
      <c r="CP198" s="42">
        <f t="shared" si="140"/>
        <v>10</v>
      </c>
      <c r="CQ198" s="42">
        <f t="shared" si="141"/>
        <v>12</v>
      </c>
      <c r="CR198" s="42">
        <f t="shared" si="142"/>
        <v>12</v>
      </c>
      <c r="CS198" s="42">
        <f t="shared" si="143"/>
        <v>12</v>
      </c>
      <c r="CT198" s="42">
        <f t="shared" si="144"/>
        <v>12</v>
      </c>
      <c r="CU198" s="43">
        <f t="shared" si="145"/>
        <v>10</v>
      </c>
      <c r="CV198" s="43">
        <f t="shared" si="146"/>
        <v>12</v>
      </c>
      <c r="CW198" s="43">
        <f t="shared" si="147"/>
        <v>12</v>
      </c>
      <c r="CX198" s="13" t="s">
        <v>431</v>
      </c>
    </row>
    <row r="199" spans="1:102" x14ac:dyDescent="0.25">
      <c r="A199" s="31" t="s">
        <v>229</v>
      </c>
      <c r="B199" s="13">
        <v>111</v>
      </c>
      <c r="C199" s="13">
        <v>31</v>
      </c>
      <c r="D199" s="13">
        <v>10</v>
      </c>
      <c r="E199" s="32" t="s">
        <v>3</v>
      </c>
      <c r="F199" s="32"/>
      <c r="G199" s="32"/>
      <c r="H199" s="32">
        <v>1</v>
      </c>
      <c r="I199" s="32" t="s">
        <v>3</v>
      </c>
      <c r="J199" s="13"/>
      <c r="K199" s="33"/>
      <c r="L199" s="34">
        <f>IFERROR(INDEX('Pokemon Data'!A:A,MATCH($A199,'Pokemon Data'!$B:$B,0)),"")</f>
        <v>187</v>
      </c>
      <c r="M199" s="34">
        <f>IFERROR(INDEX('Pokemon Data'!I:I,MATCH($A199,'Pokemon Data'!$B:$B,0)),"")</f>
        <v>70</v>
      </c>
      <c r="N199" s="34">
        <f>IFERROR(INDEX('Pokemon Data'!J:J,MATCH($A199,'Pokemon Data'!$B:$B,0)),"")</f>
        <v>67</v>
      </c>
      <c r="O199" s="34">
        <f>IFERROR(INDEX('Pokemon Data'!K:K,MATCH($A199,'Pokemon Data'!$B:$B,0)),"")</f>
        <v>101</v>
      </c>
      <c r="P199" s="35">
        <f>IFERROR(INDEX('Level Multipliers'!$A:$A,MATCH($D199,'Level Multipliers'!$B:$B,0)),"")</f>
        <v>9</v>
      </c>
      <c r="Q199" s="36">
        <f>IFERROR(INDEX('Level Multipliers'!$D:$D,MATCH(P199,'Level Multipliers'!$A:$A,0)),"")</f>
        <v>2.5027074524512973</v>
      </c>
      <c r="R199" s="37">
        <f t="shared" si="111"/>
        <v>8</v>
      </c>
      <c r="S199" s="37">
        <f t="shared" si="112"/>
        <v>10</v>
      </c>
      <c r="T199" s="38">
        <f t="shared" si="113"/>
        <v>48337735.94221393</v>
      </c>
      <c r="U199" s="38">
        <f t="shared" si="114"/>
        <v>49212609.338457234</v>
      </c>
      <c r="V199" s="38" t="b">
        <f t="shared" si="115"/>
        <v>0</v>
      </c>
      <c r="W199" s="37">
        <f t="array" ref="W199:AG199">IF(V199,"",IVSolution($M199,$N199,$O199,R199,S199,T199,U199,$E199,$F199,$G199,$H199,$I199))</f>
        <v>5</v>
      </c>
      <c r="X199" s="37">
        <v>26</v>
      </c>
      <c r="Y199" s="37">
        <v>28</v>
      </c>
      <c r="Z199" s="39">
        <v>0.57777777777777772</v>
      </c>
      <c r="AA199" s="39">
        <v>0.62222222222222223</v>
      </c>
      <c r="AB199" s="37">
        <v>8</v>
      </c>
      <c r="AC199" s="37">
        <v>10</v>
      </c>
      <c r="AD199" s="37">
        <v>7</v>
      </c>
      <c r="AE199" s="37">
        <v>8</v>
      </c>
      <c r="AF199" s="37">
        <v>10</v>
      </c>
      <c r="AG199" s="37">
        <v>12</v>
      </c>
      <c r="AH199" s="40">
        <f t="shared" si="116"/>
        <v>9.5</v>
      </c>
      <c r="AI199" s="36">
        <f>IFERROR(INDEX('Level Multipliers'!$D:$D,MATCH(AH199,'Level Multipliers'!$A:$A,0)),"")</f>
        <v>2.4319447427583007</v>
      </c>
      <c r="AJ199" s="37">
        <f t="shared" si="117"/>
        <v>6</v>
      </c>
      <c r="AK199" s="37">
        <f t="shared" si="118"/>
        <v>7</v>
      </c>
      <c r="AL199" s="38">
        <f t="shared" si="119"/>
        <v>43098362.459571667</v>
      </c>
      <c r="AM199" s="38">
        <f t="shared" si="120"/>
        <v>43878407.490696125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10</v>
      </c>
      <c r="BA199" s="36">
        <f>IFERROR(INDEX('Level Multipliers'!$D:$D,MATCH(AZ199,'Level Multipliers'!$A:$A,0)),"")</f>
        <v>2.366863825187552</v>
      </c>
      <c r="BB199" s="37">
        <f t="shared" si="123"/>
        <v>4</v>
      </c>
      <c r="BC199" s="37">
        <f t="shared" si="124"/>
        <v>5</v>
      </c>
      <c r="BD199" s="38">
        <f t="shared" si="125"/>
        <v>38666872.432531402</v>
      </c>
      <c r="BE199" s="38">
        <f t="shared" si="126"/>
        <v>39366711.126830123</v>
      </c>
      <c r="BF199" s="38" t="b">
        <f t="shared" si="127"/>
        <v>0</v>
      </c>
      <c r="BG199" s="37">
        <f t="array" ref="BG199:BQ199">IF(BF199,"",IVSolution($M199,$N199,$O199,BB199,BC199,BD199,BE199,$E199,$F199,$G199,$H199,$I199))</f>
        <v>0</v>
      </c>
      <c r="BH199" s="37" t="str">
        <v/>
      </c>
      <c r="BI199" s="37" t="str">
        <v/>
      </c>
      <c r="BJ199" s="39" t="str">
        <v/>
      </c>
      <c r="BK199" s="39" t="str">
        <v/>
      </c>
      <c r="BL199" s="37" t="str">
        <v/>
      </c>
      <c r="BM199" s="37" t="str">
        <v/>
      </c>
      <c r="BN199" s="37" t="str">
        <v/>
      </c>
      <c r="BO199" s="37" t="str">
        <v/>
      </c>
      <c r="BP199" s="37" t="str">
        <v/>
      </c>
      <c r="BQ199" s="37" t="str">
        <v/>
      </c>
      <c r="BR199" s="40">
        <f t="shared" si="128"/>
        <v>10.5</v>
      </c>
      <c r="BS199" s="36">
        <f>IFERROR(INDEX('Level Multipliers'!$D:$D,MATCH(BR199,'Level Multipliers'!$A:$A,0)),"")</f>
        <v>2.3098613358274029</v>
      </c>
      <c r="BT199" s="37">
        <f t="shared" si="129"/>
        <v>2</v>
      </c>
      <c r="BU199" s="37">
        <f t="shared" si="130"/>
        <v>3</v>
      </c>
      <c r="BV199" s="38">
        <f t="shared" si="131"/>
        <v>35074347.066237479</v>
      </c>
      <c r="BW199" s="38">
        <f t="shared" si="132"/>
        <v>35709163.996338196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4"/>
        <v>9</v>
      </c>
      <c r="CK199" s="41">
        <f t="shared" si="135"/>
        <v>9</v>
      </c>
      <c r="CL199" s="66">
        <f t="shared" si="136"/>
        <v>0.6</v>
      </c>
      <c r="CM199" s="39">
        <f t="shared" si="137"/>
        <v>0.57777777777777772</v>
      </c>
      <c r="CN199" s="39">
        <f t="shared" si="138"/>
        <v>0.62222222222222223</v>
      </c>
      <c r="CO199" s="42">
        <f t="shared" si="139"/>
        <v>8</v>
      </c>
      <c r="CP199" s="42">
        <f t="shared" si="140"/>
        <v>10</v>
      </c>
      <c r="CQ199" s="42">
        <f t="shared" si="141"/>
        <v>7</v>
      </c>
      <c r="CR199" s="42">
        <f t="shared" si="142"/>
        <v>8</v>
      </c>
      <c r="CS199" s="42">
        <f t="shared" si="143"/>
        <v>10</v>
      </c>
      <c r="CT199" s="42">
        <f t="shared" si="144"/>
        <v>12</v>
      </c>
      <c r="CU199" s="43" t="str">
        <f t="shared" si="145"/>
        <v>8-10</v>
      </c>
      <c r="CV199" s="43" t="str">
        <f t="shared" si="146"/>
        <v>7-8</v>
      </c>
      <c r="CW199" s="43" t="str">
        <f t="shared" si="147"/>
        <v>10-12</v>
      </c>
      <c r="CX199" s="13"/>
    </row>
    <row r="200" spans="1:102" x14ac:dyDescent="0.25">
      <c r="A200" s="31" t="s">
        <v>232</v>
      </c>
      <c r="B200" s="13">
        <v>352</v>
      </c>
      <c r="C200" s="13">
        <v>50</v>
      </c>
      <c r="D200" s="13">
        <v>13</v>
      </c>
      <c r="E200" s="32" t="s">
        <v>2</v>
      </c>
      <c r="F200" s="32"/>
      <c r="G200" s="32"/>
      <c r="H200" s="32">
        <v>1</v>
      </c>
      <c r="I200" s="32" t="s">
        <v>0</v>
      </c>
      <c r="J200" s="13"/>
      <c r="K200" s="33"/>
      <c r="L200" s="34">
        <f>IFERROR(INDEX('Pokemon Data'!A:A,MATCH($A200,'Pokemon Data'!$B:$B,0)),"")</f>
        <v>190</v>
      </c>
      <c r="M200" s="34">
        <f>IFERROR(INDEX('Pokemon Data'!I:I,MATCH($A200,'Pokemon Data'!$B:$B,0)),"")</f>
        <v>110</v>
      </c>
      <c r="N200" s="34">
        <f>IFERROR(INDEX('Pokemon Data'!J:J,MATCH($A200,'Pokemon Data'!$B:$B,0)),"")</f>
        <v>136</v>
      </c>
      <c r="O200" s="34">
        <f>IFERROR(INDEX('Pokemon Data'!K:K,MATCH($A200,'Pokemon Data'!$B:$B,0)),"")</f>
        <v>112</v>
      </c>
      <c r="P200" s="35">
        <f>IFERROR(INDEX('Level Multipliers'!$A:$A,MATCH($D200,'Level Multipliers'!$B:$B,0)),"")</f>
        <v>11</v>
      </c>
      <c r="Q200" s="36">
        <f>IFERROR(INDEX('Level Multipliers'!$D:$D,MATCH(P200,'Level Multipliers'!$A:$A,0)),"")</f>
        <v>2.2567884714123854</v>
      </c>
      <c r="R200" s="37">
        <f t="shared" si="111"/>
        <v>3</v>
      </c>
      <c r="S200" s="37">
        <f t="shared" si="112"/>
        <v>5</v>
      </c>
      <c r="T200" s="38">
        <f t="shared" si="113"/>
        <v>321402126.12419707</v>
      </c>
      <c r="U200" s="38">
        <f t="shared" si="114"/>
        <v>323230868.52894235</v>
      </c>
      <c r="V200" s="38" t="b">
        <f t="shared" si="115"/>
        <v>0</v>
      </c>
      <c r="W200" s="37">
        <f t="array" ref="W200:AG200">IF(V200,"",IVSolution($M200,$N200,$O200,R200,S200,T200,U200,$E200,$F200,$G200,$H200,$I200))</f>
        <v>2</v>
      </c>
      <c r="X200" s="37">
        <v>32</v>
      </c>
      <c r="Y200" s="37">
        <v>32</v>
      </c>
      <c r="Z200" s="39">
        <v>0.71111111111111114</v>
      </c>
      <c r="AA200" s="39">
        <v>0.71111111111111114</v>
      </c>
      <c r="AB200" s="37">
        <v>3</v>
      </c>
      <c r="AC200" s="37">
        <v>4</v>
      </c>
      <c r="AD200" s="37">
        <v>13</v>
      </c>
      <c r="AE200" s="37">
        <v>14</v>
      </c>
      <c r="AF200" s="37">
        <v>15</v>
      </c>
      <c r="AG200" s="37">
        <v>15</v>
      </c>
      <c r="AH200" s="40">
        <f t="shared" si="116"/>
        <v>11.5</v>
      </c>
      <c r="AI200" s="36">
        <f>IFERROR(INDEX('Level Multipliers'!$D:$D,MATCH(AH200,'Level Multipliers'!$A:$A,0)),"")</f>
        <v>2.2072134251772386</v>
      </c>
      <c r="AJ200" s="37">
        <f t="shared" si="117"/>
        <v>1</v>
      </c>
      <c r="AK200" s="37">
        <f t="shared" si="118"/>
        <v>2</v>
      </c>
      <c r="AL200" s="38">
        <f t="shared" si="119"/>
        <v>294078072.44450408</v>
      </c>
      <c r="AM200" s="38">
        <f t="shared" si="120"/>
        <v>295751344.01824969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12</v>
      </c>
      <c r="BA200" s="36">
        <f>IFERROR(INDEX('Level Multipliers'!$D:$D,MATCH(AZ200,'Level Multipliers'!$A:$A,0)),"")</f>
        <v>2.1607681195435338</v>
      </c>
      <c r="BB200" s="37">
        <f t="shared" si="123"/>
        <v>0</v>
      </c>
      <c r="BC200" s="37">
        <f t="shared" si="124"/>
        <v>0</v>
      </c>
      <c r="BD200" s="38">
        <f t="shared" si="125"/>
        <v>270095893.41639316</v>
      </c>
      <c r="BE200" s="38">
        <f t="shared" si="126"/>
        <v>271632709.05477899</v>
      </c>
      <c r="BF200" s="38" t="b">
        <f t="shared" si="127"/>
        <v>0</v>
      </c>
      <c r="BG200" s="37">
        <f t="array" ref="BG200:BQ200">IF(BF200,"",IVSolution($M200,$N200,$O200,BB200,BC200,BD200,BE200,$E200,$F200,$G200,$H200,$I200))</f>
        <v>0</v>
      </c>
      <c r="BH200" s="37" t="str">
        <v/>
      </c>
      <c r="BI200" s="37" t="str">
        <v/>
      </c>
      <c r="BJ200" s="39" t="str">
        <v/>
      </c>
      <c r="BK200" s="39" t="str">
        <v/>
      </c>
      <c r="BL200" s="37" t="str">
        <v/>
      </c>
      <c r="BM200" s="37" t="str">
        <v/>
      </c>
      <c r="BN200" s="37" t="str">
        <v/>
      </c>
      <c r="BO200" s="37" t="str">
        <v/>
      </c>
      <c r="BP200" s="37" t="str">
        <v/>
      </c>
      <c r="BQ200" s="37" t="str">
        <v/>
      </c>
      <c r="BR200" s="40">
        <f t="shared" si="128"/>
        <v>12.5</v>
      </c>
      <c r="BS200" s="36">
        <f>IFERROR(INDEX('Level Multipliers'!$D:$D,MATCH(BR200,'Level Multipliers'!$A:$A,0)),"")</f>
        <v>2.1171365709672214</v>
      </c>
      <c r="BT200" s="37">
        <f t="shared" si="129"/>
        <v>0</v>
      </c>
      <c r="BU200" s="37">
        <f t="shared" si="130"/>
        <v>-3</v>
      </c>
      <c r="BV200" s="38">
        <f t="shared" si="131"/>
        <v>248932054.50094655</v>
      </c>
      <c r="BW200" s="38">
        <f t="shared" si="132"/>
        <v>250348450.24622652</v>
      </c>
      <c r="BX200" s="38" t="b">
        <f t="shared" si="133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4"/>
        <v>11</v>
      </c>
      <c r="CK200" s="41">
        <f t="shared" si="135"/>
        <v>11</v>
      </c>
      <c r="CL200" s="66">
        <f t="shared" si="136"/>
        <v>0.71111111111111114</v>
      </c>
      <c r="CM200" s="39">
        <f t="shared" si="137"/>
        <v>0.71111111111111114</v>
      </c>
      <c r="CN200" s="39">
        <f t="shared" si="138"/>
        <v>0.71111111111111114</v>
      </c>
      <c r="CO200" s="42">
        <f t="shared" si="139"/>
        <v>3</v>
      </c>
      <c r="CP200" s="42">
        <f t="shared" si="140"/>
        <v>4</v>
      </c>
      <c r="CQ200" s="42">
        <f t="shared" si="141"/>
        <v>13</v>
      </c>
      <c r="CR200" s="42">
        <f t="shared" si="142"/>
        <v>14</v>
      </c>
      <c r="CS200" s="42">
        <f t="shared" si="143"/>
        <v>15</v>
      </c>
      <c r="CT200" s="42">
        <f t="shared" si="144"/>
        <v>15</v>
      </c>
      <c r="CU200" s="43" t="str">
        <f t="shared" si="145"/>
        <v>3-4</v>
      </c>
      <c r="CV200" s="43" t="str">
        <f t="shared" si="146"/>
        <v>13-14</v>
      </c>
      <c r="CW200" s="43">
        <f t="shared" si="147"/>
        <v>15</v>
      </c>
      <c r="CX200" s="13" t="s">
        <v>422</v>
      </c>
    </row>
    <row r="201" spans="1:102" x14ac:dyDescent="0.25">
      <c r="A201" s="31" t="s">
        <v>236</v>
      </c>
      <c r="B201" s="13">
        <v>215</v>
      </c>
      <c r="C201" s="13">
        <v>61</v>
      </c>
      <c r="D201" s="13">
        <v>16</v>
      </c>
      <c r="E201" s="32" t="s">
        <v>2</v>
      </c>
      <c r="F201" s="32">
        <v>1</v>
      </c>
      <c r="G201" s="32"/>
      <c r="H201" s="32">
        <v>1</v>
      </c>
      <c r="I201" s="32" t="s">
        <v>2</v>
      </c>
      <c r="J201" s="13"/>
      <c r="K201" s="33"/>
      <c r="L201" s="34">
        <f>IFERROR(INDEX('Pokemon Data'!A:A,MATCH($A201,'Pokemon Data'!$B:$B,0)),"")</f>
        <v>194</v>
      </c>
      <c r="M201" s="34">
        <f>IFERROR(INDEX('Pokemon Data'!I:I,MATCH($A201,'Pokemon Data'!$B:$B,0)),"")</f>
        <v>110</v>
      </c>
      <c r="N201" s="34">
        <f>IFERROR(INDEX('Pokemon Data'!J:J,MATCH($A201,'Pokemon Data'!$B:$B,0)),"")</f>
        <v>75</v>
      </c>
      <c r="O201" s="34">
        <f>IFERROR(INDEX('Pokemon Data'!K:K,MATCH($A201,'Pokemon Data'!$B:$B,0)),"")</f>
        <v>75</v>
      </c>
      <c r="P201" s="35">
        <f>IFERROR(INDEX('Level Multipliers'!$A:$A,MATCH($D201,'Level Multipliers'!$B:$B,0)),"")</f>
        <v>13</v>
      </c>
      <c r="Q201" s="36">
        <f>IFERROR(INDEX('Level Multipliers'!$D:$D,MATCH(P201,'Level Multipliers'!$A:$A,0)),"")</f>
        <v>2.0760457511183974</v>
      </c>
      <c r="R201" s="37">
        <f t="shared" si="111"/>
        <v>17</v>
      </c>
      <c r="S201" s="37">
        <f t="shared" si="112"/>
        <v>15</v>
      </c>
      <c r="T201" s="38">
        <f t="shared" si="113"/>
        <v>85866665.928574488</v>
      </c>
      <c r="U201" s="38">
        <f t="shared" si="114"/>
        <v>86667283.192289263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13.5</v>
      </c>
      <c r="AI201" s="36">
        <f>IFERROR(INDEX('Level Multipliers'!$D:$D,MATCH(AH201,'Level Multipliers'!$A:$A,0)),"")</f>
        <v>2.0372581629338091</v>
      </c>
      <c r="AJ201" s="37">
        <f t="shared" si="117"/>
        <v>15</v>
      </c>
      <c r="AK201" s="37">
        <f t="shared" si="118"/>
        <v>15</v>
      </c>
      <c r="AL201" s="38">
        <f t="shared" si="119"/>
        <v>79627152.657972291</v>
      </c>
      <c r="AM201" s="38">
        <f t="shared" si="120"/>
        <v>80369592.956416562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14</v>
      </c>
      <c r="BA201" s="36">
        <f>IFERROR(INDEX('Level Multipliers'!$D:$D,MATCH(AZ201,'Level Multipliers'!$A:$A,0)),"")</f>
        <v>2.0005664044869746</v>
      </c>
      <c r="BB201" s="37">
        <f t="shared" si="123"/>
        <v>13</v>
      </c>
      <c r="BC201" s="37">
        <f t="shared" si="124"/>
        <v>14</v>
      </c>
      <c r="BD201" s="38">
        <f t="shared" si="125"/>
        <v>74043818.149543345</v>
      </c>
      <c r="BE201" s="38">
        <f t="shared" si="126"/>
        <v>74734199.666524485</v>
      </c>
      <c r="BF201" s="38" t="b">
        <f t="shared" si="127"/>
        <v>0</v>
      </c>
      <c r="BG201" s="37">
        <f t="array" ref="BG201:BQ201">IF(BF201,"",IVSolution($M201,$N201,$O201,BB201,BC201,BD201,BE201,$E201,$F201,$G201,$H201,$I201))</f>
        <v>2</v>
      </c>
      <c r="BH201" s="37">
        <v>34</v>
      </c>
      <c r="BI201" s="37">
        <v>35</v>
      </c>
      <c r="BJ201" s="39">
        <v>0.75555555555555554</v>
      </c>
      <c r="BK201" s="39">
        <v>0.77777777777777779</v>
      </c>
      <c r="BL201" s="37">
        <v>13</v>
      </c>
      <c r="BM201" s="37">
        <v>14</v>
      </c>
      <c r="BN201" s="37">
        <v>7</v>
      </c>
      <c r="BO201" s="37">
        <v>8</v>
      </c>
      <c r="BP201" s="37">
        <v>13</v>
      </c>
      <c r="BQ201" s="37">
        <v>14</v>
      </c>
      <c r="BR201" s="40">
        <f t="shared" si="128"/>
        <v>14.5</v>
      </c>
      <c r="BS201" s="36">
        <f>IFERROR(INDEX('Level Multipliers'!$D:$D,MATCH(BR201,'Level Multipliers'!$A:$A,0)),"")</f>
        <v>1.9657884055662767</v>
      </c>
      <c r="BT201" s="37">
        <f t="shared" si="129"/>
        <v>10</v>
      </c>
      <c r="BU201" s="37">
        <f t="shared" si="130"/>
        <v>11</v>
      </c>
      <c r="BV201" s="38">
        <f t="shared" si="131"/>
        <v>69027794.374874815</v>
      </c>
      <c r="BW201" s="38">
        <f t="shared" si="132"/>
        <v>69671406.692356065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4"/>
        <v>14</v>
      </c>
      <c r="CK201" s="41">
        <f t="shared" si="135"/>
        <v>14</v>
      </c>
      <c r="CL201" s="66">
        <f t="shared" si="136"/>
        <v>0.76666666666666661</v>
      </c>
      <c r="CM201" s="39">
        <f t="shared" si="137"/>
        <v>0.75555555555555554</v>
      </c>
      <c r="CN201" s="39">
        <f t="shared" si="138"/>
        <v>0.77777777777777779</v>
      </c>
      <c r="CO201" s="42">
        <f t="shared" si="139"/>
        <v>13</v>
      </c>
      <c r="CP201" s="42">
        <f t="shared" si="140"/>
        <v>14</v>
      </c>
      <c r="CQ201" s="42">
        <f t="shared" si="141"/>
        <v>7</v>
      </c>
      <c r="CR201" s="42">
        <f t="shared" si="142"/>
        <v>8</v>
      </c>
      <c r="CS201" s="42">
        <f t="shared" si="143"/>
        <v>13</v>
      </c>
      <c r="CT201" s="42">
        <f t="shared" si="144"/>
        <v>14</v>
      </c>
      <c r="CU201" s="43" t="str">
        <f t="shared" si="145"/>
        <v>13-14</v>
      </c>
      <c r="CV201" s="43" t="str">
        <f t="shared" si="146"/>
        <v>7-8</v>
      </c>
      <c r="CW201" s="43" t="str">
        <f t="shared" si="147"/>
        <v>13-14</v>
      </c>
      <c r="CX201" s="13"/>
    </row>
    <row r="202" spans="1:102" x14ac:dyDescent="0.25">
      <c r="A202" s="31" t="s">
        <v>238</v>
      </c>
      <c r="B202" s="13">
        <v>1694</v>
      </c>
      <c r="C202" s="13">
        <v>86</v>
      </c>
      <c r="D202" s="13">
        <v>25</v>
      </c>
      <c r="E202" s="32" t="s">
        <v>0</v>
      </c>
      <c r="F202" s="32">
        <v>1</v>
      </c>
      <c r="G202" s="32"/>
      <c r="H202" s="32"/>
      <c r="I202" s="32" t="s">
        <v>0</v>
      </c>
      <c r="J202" s="13"/>
      <c r="K202" s="33"/>
      <c r="L202" s="34">
        <f>IFERROR(INDEX('Pokemon Data'!A:A,MATCH($A202,'Pokemon Data'!$B:$B,0)),"")</f>
        <v>196</v>
      </c>
      <c r="M202" s="34">
        <f>IFERROR(INDEX('Pokemon Data'!I:I,MATCH($A202,'Pokemon Data'!$B:$B,0)),"")</f>
        <v>130</v>
      </c>
      <c r="N202" s="34">
        <f>IFERROR(INDEX('Pokemon Data'!J:J,MATCH($A202,'Pokemon Data'!$B:$B,0)),"")</f>
        <v>261</v>
      </c>
      <c r="O202" s="34">
        <f>IFERROR(INDEX('Pokemon Data'!K:K,MATCH($A202,'Pokemon Data'!$B:$B,0)),"")</f>
        <v>194</v>
      </c>
      <c r="P202" s="35">
        <f>IFERROR(INDEX('Level Multipliers'!$A:$A,MATCH($D202,'Level Multipliers'!$B:$B,0)),"")</f>
        <v>19</v>
      </c>
      <c r="Q202" s="36">
        <f>IFERROR(INDEX('Level Multipliers'!$D:$D,MATCH(P202,'Level Multipliers'!$A:$A,0)),"")</f>
        <v>1.7173900470456649</v>
      </c>
      <c r="R202" s="37">
        <f t="shared" si="111"/>
        <v>18</v>
      </c>
      <c r="S202" s="37">
        <f t="shared" si="112"/>
        <v>15</v>
      </c>
      <c r="T202" s="38">
        <f t="shared" si="113"/>
        <v>2496333349.2530074</v>
      </c>
      <c r="U202" s="38">
        <f t="shared" si="114"/>
        <v>2499281484.04105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19.5</v>
      </c>
      <c r="AI202" s="36">
        <f>IFERROR(INDEX('Level Multipliers'!$D:$D,MATCH(AH202,'Level Multipliers'!$A:$A,0)),"")</f>
        <v>1.6952373266621776</v>
      </c>
      <c r="AJ202" s="37">
        <f t="shared" si="117"/>
        <v>16</v>
      </c>
      <c r="AK202" s="37">
        <f t="shared" si="118"/>
        <v>15</v>
      </c>
      <c r="AL202" s="38">
        <f t="shared" si="119"/>
        <v>2370002681.3312049</v>
      </c>
      <c r="AM202" s="38">
        <f t="shared" si="120"/>
        <v>2372801621.366468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20</v>
      </c>
      <c r="BA202" s="36">
        <f>IFERROR(INDEX('Level Multipliers'!$D:$D,MATCH(AZ202,'Level Multipliers'!$A:$A,0)),"")</f>
        <v>1.6739202944034379</v>
      </c>
      <c r="BB202" s="37">
        <f t="shared" si="123"/>
        <v>14</v>
      </c>
      <c r="BC202" s="37">
        <f t="shared" si="124"/>
        <v>15</v>
      </c>
      <c r="BD202" s="38">
        <f t="shared" si="125"/>
        <v>2253024481.9576912</v>
      </c>
      <c r="BE202" s="38">
        <f t="shared" si="126"/>
        <v>2255685272.3747878</v>
      </c>
      <c r="BF202" s="38" t="b">
        <f t="shared" si="127"/>
        <v>0</v>
      </c>
      <c r="BG202" s="37">
        <f t="array" ref="BG202:BQ202">IF(BF202,"",IVSolution($M202,$N202,$O202,BB202,BC202,BD202,BE202,$E202,$F202,$G202,$H202,$I202))</f>
        <v>1</v>
      </c>
      <c r="BH202" s="37">
        <v>41</v>
      </c>
      <c r="BI202" s="37">
        <v>41</v>
      </c>
      <c r="BJ202" s="39">
        <v>0.91111111111111109</v>
      </c>
      <c r="BK202" s="39">
        <v>0.91111111111111109</v>
      </c>
      <c r="BL202" s="37">
        <v>15</v>
      </c>
      <c r="BM202" s="37">
        <v>15</v>
      </c>
      <c r="BN202" s="37">
        <v>13</v>
      </c>
      <c r="BO202" s="37">
        <v>13</v>
      </c>
      <c r="BP202" s="37">
        <v>13</v>
      </c>
      <c r="BQ202" s="37">
        <v>13</v>
      </c>
      <c r="BR202" s="40">
        <f t="shared" si="128"/>
        <v>20.5</v>
      </c>
      <c r="BS202" s="36">
        <f>IFERROR(INDEX('Level Multipliers'!$D:$D,MATCH(BR202,'Level Multipliers'!$A:$A,0)),"")</f>
        <v>1.6533745038028393</v>
      </c>
      <c r="BT202" s="37">
        <f t="shared" si="129"/>
        <v>13</v>
      </c>
      <c r="BU202" s="37">
        <f t="shared" si="130"/>
        <v>13</v>
      </c>
      <c r="BV202" s="38">
        <f t="shared" si="131"/>
        <v>2144429420.3057704</v>
      </c>
      <c r="BW202" s="38">
        <f t="shared" si="132"/>
        <v>2146961961.4731574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4"/>
        <v>20</v>
      </c>
      <c r="CK202" s="41">
        <f t="shared" si="135"/>
        <v>20</v>
      </c>
      <c r="CL202" s="66">
        <f t="shared" si="136"/>
        <v>0.91111111111111109</v>
      </c>
      <c r="CM202" s="39">
        <f t="shared" si="137"/>
        <v>0.91111111111111109</v>
      </c>
      <c r="CN202" s="39">
        <f t="shared" si="138"/>
        <v>0.91111111111111109</v>
      </c>
      <c r="CO202" s="42">
        <f t="shared" si="139"/>
        <v>15</v>
      </c>
      <c r="CP202" s="42">
        <f t="shared" si="140"/>
        <v>15</v>
      </c>
      <c r="CQ202" s="42">
        <f t="shared" si="141"/>
        <v>13</v>
      </c>
      <c r="CR202" s="42">
        <f t="shared" si="142"/>
        <v>13</v>
      </c>
      <c r="CS202" s="42">
        <f t="shared" si="143"/>
        <v>13</v>
      </c>
      <c r="CT202" s="42">
        <f t="shared" si="144"/>
        <v>13</v>
      </c>
      <c r="CU202" s="43">
        <f t="shared" si="145"/>
        <v>15</v>
      </c>
      <c r="CV202" s="43">
        <f t="shared" si="146"/>
        <v>13</v>
      </c>
      <c r="CW202" s="43">
        <f t="shared" si="147"/>
        <v>13</v>
      </c>
      <c r="CX202" s="13" t="s">
        <v>425</v>
      </c>
    </row>
    <row r="203" spans="1:102" x14ac:dyDescent="0.25">
      <c r="A203" s="31" t="s">
        <v>239</v>
      </c>
      <c r="B203" s="13">
        <v>1149</v>
      </c>
      <c r="C203" s="13">
        <v>122</v>
      </c>
      <c r="D203" s="13">
        <v>25</v>
      </c>
      <c r="E203" s="32" t="s">
        <v>0</v>
      </c>
      <c r="F203" s="32">
        <v>1</v>
      </c>
      <c r="G203" s="32"/>
      <c r="H203" s="32"/>
      <c r="I203" s="32" t="s">
        <v>0</v>
      </c>
      <c r="J203" s="13"/>
      <c r="K203" s="33"/>
      <c r="L203" s="34">
        <f>IFERROR(INDEX('Pokemon Data'!A:A,MATCH($A203,'Pokemon Data'!$B:$B,0)),"")</f>
        <v>197</v>
      </c>
      <c r="M203" s="34">
        <f>IFERROR(INDEX('Pokemon Data'!I:I,MATCH($A203,'Pokemon Data'!$B:$B,0)),"")</f>
        <v>190</v>
      </c>
      <c r="N203" s="34">
        <f>IFERROR(INDEX('Pokemon Data'!J:J,MATCH($A203,'Pokemon Data'!$B:$B,0)),"")</f>
        <v>126</v>
      </c>
      <c r="O203" s="34">
        <f>IFERROR(INDEX('Pokemon Data'!K:K,MATCH($A203,'Pokemon Data'!$B:$B,0)),"")</f>
        <v>250</v>
      </c>
      <c r="P203" s="35">
        <f>IFERROR(INDEX('Level Multipliers'!$A:$A,MATCH($D203,'Level Multipliers'!$B:$B,0)),"")</f>
        <v>19</v>
      </c>
      <c r="Q203" s="36">
        <f>IFERROR(INDEX('Level Multipliers'!$D:$D,MATCH(P203,'Level Multipliers'!$A:$A,0)),"")</f>
        <v>1.7173900470456649</v>
      </c>
      <c r="R203" s="37">
        <f t="shared" si="111"/>
        <v>20</v>
      </c>
      <c r="S203" s="37">
        <f t="shared" si="112"/>
        <v>15</v>
      </c>
      <c r="T203" s="38">
        <f t="shared" si="113"/>
        <v>1148459868.7837656</v>
      </c>
      <c r="U203" s="38">
        <f t="shared" si="114"/>
        <v>1150459798.5204751</v>
      </c>
      <c r="V203" s="38" t="b">
        <f t="shared" si="115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>
        <f t="shared" si="116"/>
        <v>19.5</v>
      </c>
      <c r="AI203" s="36">
        <f>IFERROR(INDEX('Level Multipliers'!$D:$D,MATCH(AH203,'Level Multipliers'!$A:$A,0)),"")</f>
        <v>1.6952373266621776</v>
      </c>
      <c r="AJ203" s="37">
        <f t="shared" si="117"/>
        <v>17</v>
      </c>
      <c r="AK203" s="37">
        <f t="shared" si="118"/>
        <v>15</v>
      </c>
      <c r="AL203" s="38">
        <f t="shared" si="119"/>
        <v>1090340346.2655675</v>
      </c>
      <c r="AM203" s="38">
        <f t="shared" si="120"/>
        <v>1092239066.5786598</v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22"/>
        <v>20</v>
      </c>
      <c r="BA203" s="36">
        <f>IFERROR(INDEX('Level Multipliers'!$D:$D,MATCH(AZ203,'Level Multipliers'!$A:$A,0)),"")</f>
        <v>1.6739202944034379</v>
      </c>
      <c r="BB203" s="37">
        <f t="shared" si="123"/>
        <v>15</v>
      </c>
      <c r="BC203" s="37">
        <f t="shared" si="124"/>
        <v>15</v>
      </c>
      <c r="BD203" s="38">
        <f t="shared" si="125"/>
        <v>1036523508.2446088</v>
      </c>
      <c r="BE203" s="38">
        <f t="shared" si="126"/>
        <v>1038328511.8353153</v>
      </c>
      <c r="BF203" s="38" t="b">
        <f t="shared" si="127"/>
        <v>0</v>
      </c>
      <c r="BG203" s="37">
        <f t="array" ref="BG203:BQ203">IF(BF203,"",IVSolution($M203,$N203,$O203,BB203,BC203,BD203,BE203,$E203,$F203,$G203,$H203,$I203))</f>
        <v>2</v>
      </c>
      <c r="BH203" s="37">
        <v>37</v>
      </c>
      <c r="BI203" s="37">
        <v>40</v>
      </c>
      <c r="BJ203" s="39">
        <v>0.82222222222222219</v>
      </c>
      <c r="BK203" s="39">
        <v>0.88888888888888884</v>
      </c>
      <c r="BL203" s="37">
        <v>15</v>
      </c>
      <c r="BM203" s="37">
        <v>15</v>
      </c>
      <c r="BN203" s="37">
        <v>13</v>
      </c>
      <c r="BO203" s="37">
        <v>14</v>
      </c>
      <c r="BP203" s="37">
        <v>8</v>
      </c>
      <c r="BQ203" s="37">
        <v>12</v>
      </c>
      <c r="BR203" s="40">
        <f t="shared" si="128"/>
        <v>20.5</v>
      </c>
      <c r="BS203" s="36">
        <f>IFERROR(INDEX('Level Multipliers'!$D:$D,MATCH(BR203,'Level Multipliers'!$A:$A,0)),"")</f>
        <v>1.6533745038028393</v>
      </c>
      <c r="BT203" s="37">
        <f t="shared" si="129"/>
        <v>12</v>
      </c>
      <c r="BU203" s="37">
        <f t="shared" si="130"/>
        <v>13</v>
      </c>
      <c r="BV203" s="38">
        <f t="shared" si="131"/>
        <v>986563405.64346778</v>
      </c>
      <c r="BW203" s="38">
        <f t="shared" si="132"/>
        <v>988281408.63662887</v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34"/>
        <v>20</v>
      </c>
      <c r="CK203" s="41">
        <f t="shared" si="135"/>
        <v>20</v>
      </c>
      <c r="CL203" s="66">
        <f t="shared" si="136"/>
        <v>0.85555555555555551</v>
      </c>
      <c r="CM203" s="39">
        <f t="shared" si="137"/>
        <v>0.82222222222222219</v>
      </c>
      <c r="CN203" s="39">
        <f t="shared" si="138"/>
        <v>0.88888888888888884</v>
      </c>
      <c r="CO203" s="42">
        <f t="shared" si="139"/>
        <v>15</v>
      </c>
      <c r="CP203" s="42">
        <f t="shared" si="140"/>
        <v>15</v>
      </c>
      <c r="CQ203" s="42">
        <f t="shared" si="141"/>
        <v>13</v>
      </c>
      <c r="CR203" s="42">
        <f t="shared" si="142"/>
        <v>14</v>
      </c>
      <c r="CS203" s="42">
        <f t="shared" si="143"/>
        <v>8</v>
      </c>
      <c r="CT203" s="42">
        <f t="shared" si="144"/>
        <v>12</v>
      </c>
      <c r="CU203" s="43">
        <f t="shared" si="145"/>
        <v>15</v>
      </c>
      <c r="CV203" s="43" t="str">
        <f t="shared" si="146"/>
        <v>13-14</v>
      </c>
      <c r="CW203" s="43" t="str">
        <f t="shared" si="147"/>
        <v>8-12</v>
      </c>
      <c r="CX203" s="13" t="s">
        <v>434</v>
      </c>
    </row>
    <row r="204" spans="1:102" x14ac:dyDescent="0.25">
      <c r="A204" s="31" t="s">
        <v>241</v>
      </c>
      <c r="B204" s="13">
        <v>97</v>
      </c>
      <c r="C204" s="13">
        <v>29</v>
      </c>
      <c r="D204" s="13">
        <v>4</v>
      </c>
      <c r="E204" s="32" t="s">
        <v>2</v>
      </c>
      <c r="F204" s="32">
        <v>1</v>
      </c>
      <c r="G204" s="32"/>
      <c r="H204" s="32"/>
      <c r="I204" s="32" t="s">
        <v>0</v>
      </c>
      <c r="J204" s="13"/>
      <c r="K204" s="33"/>
      <c r="L204" s="34">
        <f>IFERROR(INDEX('Pokemon Data'!A:A,MATCH($A204,'Pokemon Data'!$B:$B,0)),"")</f>
        <v>198</v>
      </c>
      <c r="M204" s="34">
        <f>IFERROR(INDEX('Pokemon Data'!I:I,MATCH($A204,'Pokemon Data'!$B:$B,0)),"")</f>
        <v>120</v>
      </c>
      <c r="N204" s="34">
        <f>IFERROR(INDEX('Pokemon Data'!J:J,MATCH($A204,'Pokemon Data'!$B:$B,0)),"")</f>
        <v>175</v>
      </c>
      <c r="O204" s="34">
        <f>IFERROR(INDEX('Pokemon Data'!K:K,MATCH($A204,'Pokemon Data'!$B:$B,0)),"")</f>
        <v>87</v>
      </c>
      <c r="P204" s="35">
        <f>IFERROR(INDEX('Level Multipliers'!$A:$A,MATCH($D204,'Level Multipliers'!$B:$B,0)),"")</f>
        <v>3</v>
      </c>
      <c r="Q204" s="36">
        <f>IFERROR(INDEX('Level Multipliers'!$D:$D,MATCH(P204,'Level Multipliers'!$A:$A,0)),"")</f>
        <v>4.6353708335264541</v>
      </c>
      <c r="R204" s="37">
        <f t="shared" si="111"/>
        <v>15</v>
      </c>
      <c r="S204" s="37">
        <f t="shared" si="112"/>
        <v>15</v>
      </c>
      <c r="T204" s="38">
        <f t="shared" si="113"/>
        <v>434391585.15133554</v>
      </c>
      <c r="U204" s="38">
        <f t="shared" si="114"/>
        <v>443394280.34790379</v>
      </c>
      <c r="V204" s="38" t="b">
        <f t="shared" si="115"/>
        <v>0</v>
      </c>
      <c r="W204" s="37">
        <f t="array" ref="W204:AG204">IF(V204,"",IVSolution($M204,$N204,$O204,R204,S204,T204,U204,$E204,$F204,$G204,$H204,$I204))</f>
        <v>16</v>
      </c>
      <c r="X204" s="37">
        <v>33</v>
      </c>
      <c r="Y204" s="37">
        <v>34</v>
      </c>
      <c r="Z204" s="39">
        <v>0.73333333333333328</v>
      </c>
      <c r="AA204" s="39">
        <v>0.75555555555555554</v>
      </c>
      <c r="AB204" s="37">
        <v>15</v>
      </c>
      <c r="AC204" s="37">
        <v>15</v>
      </c>
      <c r="AD204" s="37">
        <v>4</v>
      </c>
      <c r="AE204" s="37">
        <v>14</v>
      </c>
      <c r="AF204" s="37">
        <v>4</v>
      </c>
      <c r="AG204" s="37">
        <v>14</v>
      </c>
      <c r="AH204" s="40">
        <f t="shared" si="116"/>
        <v>3.5</v>
      </c>
      <c r="AI204" s="36">
        <f>IFERROR(INDEX('Level Multipliers'!$D:$D,MATCH(AH204,'Level Multipliers'!$A:$A,0)),"")</f>
        <v>4.227031290291726</v>
      </c>
      <c r="AJ204" s="37">
        <f t="shared" si="117"/>
        <v>3</v>
      </c>
      <c r="AK204" s="37">
        <f t="shared" si="118"/>
        <v>6</v>
      </c>
      <c r="AL204" s="38">
        <f t="shared" si="119"/>
        <v>300389895.10385305</v>
      </c>
      <c r="AM204" s="38">
        <f t="shared" si="120"/>
        <v>306615426.9930284</v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22"/>
        <v>4</v>
      </c>
      <c r="BA204" s="36">
        <f>IFERROR(INDEX('Level Multipliers'!$D:$D,MATCH(AZ204,'Level Multipliers'!$A:$A,0)),"")</f>
        <v>3.9105263875552758</v>
      </c>
      <c r="BB204" s="37">
        <f t="shared" si="123"/>
        <v>0</v>
      </c>
      <c r="BC204" s="37">
        <f t="shared" si="124"/>
        <v>-3</v>
      </c>
      <c r="BD204" s="38">
        <f t="shared" si="125"/>
        <v>220031242.7275463</v>
      </c>
      <c r="BE204" s="38">
        <f t="shared" si="126"/>
        <v>224591354.57066157</v>
      </c>
      <c r="BF204" s="38" t="b">
        <f t="shared" si="127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>
        <f t="shared" si="128"/>
        <v>4.5</v>
      </c>
      <c r="BS204" s="36">
        <f>IFERROR(INDEX('Level Multipliers'!$D:$D,MATCH(BR204,'Level Multipliers'!$A:$A,0)),"")</f>
        <v>3.6559011428916688</v>
      </c>
      <c r="BT204" s="37">
        <f t="shared" si="129"/>
        <v>0</v>
      </c>
      <c r="BU204" s="37">
        <f t="shared" si="130"/>
        <v>-11</v>
      </c>
      <c r="BV204" s="38">
        <f t="shared" si="131"/>
        <v>168082014.05374181</v>
      </c>
      <c r="BW204" s="38">
        <f t="shared" si="132"/>
        <v>171565486.55246428</v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>
        <f t="shared" si="134"/>
        <v>3</v>
      </c>
      <c r="CK204" s="41">
        <f t="shared" si="135"/>
        <v>3</v>
      </c>
      <c r="CL204" s="66">
        <f t="shared" si="136"/>
        <v>0.74444444444444446</v>
      </c>
      <c r="CM204" s="39">
        <f t="shared" si="137"/>
        <v>0.73333333333333328</v>
      </c>
      <c r="CN204" s="39">
        <f t="shared" si="138"/>
        <v>0.75555555555555554</v>
      </c>
      <c r="CO204" s="42">
        <f t="shared" si="139"/>
        <v>15</v>
      </c>
      <c r="CP204" s="42">
        <f t="shared" si="140"/>
        <v>15</v>
      </c>
      <c r="CQ204" s="42">
        <f t="shared" si="141"/>
        <v>4</v>
      </c>
      <c r="CR204" s="42">
        <f t="shared" si="142"/>
        <v>14</v>
      </c>
      <c r="CS204" s="42">
        <f t="shared" si="143"/>
        <v>4</v>
      </c>
      <c r="CT204" s="42">
        <f t="shared" si="144"/>
        <v>14</v>
      </c>
      <c r="CU204" s="43">
        <f t="shared" si="145"/>
        <v>15</v>
      </c>
      <c r="CV204" s="43" t="str">
        <f t="shared" si="146"/>
        <v>4-14</v>
      </c>
      <c r="CW204" s="43" t="str">
        <f t="shared" si="147"/>
        <v>4-14</v>
      </c>
      <c r="CX204" s="13" t="s">
        <v>422</v>
      </c>
    </row>
    <row r="205" spans="1:102" x14ac:dyDescent="0.25">
      <c r="A205" s="31" t="s">
        <v>243</v>
      </c>
      <c r="B205" s="13">
        <v>387</v>
      </c>
      <c r="C205" s="13">
        <v>49</v>
      </c>
      <c r="D205" s="13">
        <v>8</v>
      </c>
      <c r="E205" s="32" t="s">
        <v>0</v>
      </c>
      <c r="F205" s="32"/>
      <c r="G205" s="32"/>
      <c r="H205" s="32">
        <v>1</v>
      </c>
      <c r="I205" s="32" t="s">
        <v>0</v>
      </c>
      <c r="J205" s="13"/>
      <c r="K205" s="33"/>
      <c r="L205" s="34">
        <f>IFERROR(INDEX('Pokemon Data'!A:A,MATCH($A205,'Pokemon Data'!$B:$B,0)),"")</f>
        <v>200</v>
      </c>
      <c r="M205" s="34">
        <f>IFERROR(INDEX('Pokemon Data'!I:I,MATCH($A205,'Pokemon Data'!$B:$B,0)),"")</f>
        <v>120</v>
      </c>
      <c r="N205" s="34">
        <f>IFERROR(INDEX('Pokemon Data'!J:J,MATCH($A205,'Pokemon Data'!$B:$B,0)),"")</f>
        <v>167</v>
      </c>
      <c r="O205" s="34">
        <f>IFERROR(INDEX('Pokemon Data'!K:K,MATCH($A205,'Pokemon Data'!$B:$B,0)),"")</f>
        <v>167</v>
      </c>
      <c r="P205" s="35">
        <f>IFERROR(INDEX('Level Multipliers'!$A:$A,MATCH($D205,'Level Multipliers'!$B:$B,0)),"")</f>
        <v>7</v>
      </c>
      <c r="Q205" s="36">
        <f>IFERROR(INDEX('Level Multipliers'!$D:$D,MATCH(P205,'Level Multipliers'!$A:$A,0)),"")</f>
        <v>2.8635844799030687</v>
      </c>
      <c r="R205" s="37">
        <f t="shared" si="111"/>
        <v>21</v>
      </c>
      <c r="S205" s="37">
        <f t="shared" si="112"/>
        <v>15</v>
      </c>
      <c r="T205" s="38">
        <f t="shared" si="113"/>
        <v>1007075266.3197495</v>
      </c>
      <c r="U205" s="38">
        <f t="shared" si="114"/>
        <v>1012286513.8502651</v>
      </c>
      <c r="V205" s="38" t="b">
        <f t="shared" si="115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>
        <f t="shared" si="116"/>
        <v>7.5</v>
      </c>
      <c r="AI205" s="36">
        <f>IFERROR(INDEX('Level Multipliers'!$D:$D,MATCH(AH205,'Level Multipliers'!$A:$A,0)),"")</f>
        <v>2.7589423510530713</v>
      </c>
      <c r="AJ205" s="37">
        <f t="shared" si="117"/>
        <v>16</v>
      </c>
      <c r="AK205" s="37">
        <f t="shared" si="118"/>
        <v>15</v>
      </c>
      <c r="AL205" s="38">
        <f t="shared" si="119"/>
        <v>867745626.48855197</v>
      </c>
      <c r="AM205" s="38">
        <f t="shared" si="120"/>
        <v>872235893.90389585</v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22"/>
        <v>8</v>
      </c>
      <c r="BA205" s="36">
        <f>IFERROR(INDEX('Level Multipliers'!$D:$D,MATCH(AZ205,'Level Multipliers'!$A:$A,0)),"")</f>
        <v>2.6649924305944541</v>
      </c>
      <c r="BB205" s="37">
        <f t="shared" si="123"/>
        <v>11</v>
      </c>
      <c r="BC205" s="37">
        <f t="shared" si="124"/>
        <v>13</v>
      </c>
      <c r="BD205" s="38">
        <f t="shared" si="125"/>
        <v>755450215.41172802</v>
      </c>
      <c r="BE205" s="38">
        <f t="shared" si="126"/>
        <v>759359394.99457955</v>
      </c>
      <c r="BF205" s="38" t="b">
        <f t="shared" si="127"/>
        <v>0</v>
      </c>
      <c r="BG205" s="37">
        <f t="array" ref="BG205:BQ205">IF(BF205,"",IVSolution($M205,$N205,$O205,BB205,BC205,BD205,BE205,$E205,$F205,$G205,$H205,$I205))</f>
        <v>1</v>
      </c>
      <c r="BH205" s="37">
        <v>38</v>
      </c>
      <c r="BI205" s="37">
        <v>38</v>
      </c>
      <c r="BJ205" s="39">
        <v>0.84444444444444444</v>
      </c>
      <c r="BK205" s="39">
        <v>0.84444444444444444</v>
      </c>
      <c r="BL205" s="37">
        <v>13</v>
      </c>
      <c r="BM205" s="37">
        <v>13</v>
      </c>
      <c r="BN205" s="37">
        <v>10</v>
      </c>
      <c r="BO205" s="37">
        <v>10</v>
      </c>
      <c r="BP205" s="37">
        <v>15</v>
      </c>
      <c r="BQ205" s="37">
        <v>15</v>
      </c>
      <c r="BR205" s="40">
        <f t="shared" si="128"/>
        <v>8.5</v>
      </c>
      <c r="BS205" s="36">
        <f>IFERROR(INDEX('Level Multipliers'!$D:$D,MATCH(BR205,'Level Multipliers'!$A:$A,0)),"")</f>
        <v>2.5800298976397995</v>
      </c>
      <c r="BT205" s="37">
        <f t="shared" si="129"/>
        <v>7</v>
      </c>
      <c r="BU205" s="37">
        <f t="shared" si="130"/>
        <v>9</v>
      </c>
      <c r="BV205" s="38">
        <f t="shared" si="131"/>
        <v>663622167.37250412</v>
      </c>
      <c r="BW205" s="38">
        <f t="shared" si="132"/>
        <v>667056170.26838839</v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>
        <f t="shared" si="134"/>
        <v>8</v>
      </c>
      <c r="CK205" s="41">
        <f t="shared" si="135"/>
        <v>8</v>
      </c>
      <c r="CL205" s="66">
        <f t="shared" si="136"/>
        <v>0.84444444444444444</v>
      </c>
      <c r="CM205" s="39">
        <f t="shared" si="137"/>
        <v>0.84444444444444444</v>
      </c>
      <c r="CN205" s="39">
        <f t="shared" si="138"/>
        <v>0.84444444444444444</v>
      </c>
      <c r="CO205" s="42">
        <f t="shared" si="139"/>
        <v>13</v>
      </c>
      <c r="CP205" s="42">
        <f t="shared" si="140"/>
        <v>13</v>
      </c>
      <c r="CQ205" s="42">
        <f t="shared" si="141"/>
        <v>10</v>
      </c>
      <c r="CR205" s="42">
        <f t="shared" si="142"/>
        <v>10</v>
      </c>
      <c r="CS205" s="42">
        <f t="shared" si="143"/>
        <v>15</v>
      </c>
      <c r="CT205" s="42">
        <f t="shared" si="144"/>
        <v>15</v>
      </c>
      <c r="CU205" s="43">
        <f t="shared" si="145"/>
        <v>13</v>
      </c>
      <c r="CV205" s="43">
        <f t="shared" si="146"/>
        <v>10</v>
      </c>
      <c r="CW205" s="43">
        <f t="shared" si="147"/>
        <v>15</v>
      </c>
      <c r="CX205" s="13" t="s">
        <v>422</v>
      </c>
    </row>
    <row r="206" spans="1:102" x14ac:dyDescent="0.25">
      <c r="A206" s="31" t="s">
        <v>250</v>
      </c>
      <c r="B206" s="13">
        <v>989</v>
      </c>
      <c r="C206" s="13">
        <v>86</v>
      </c>
      <c r="D206" s="13">
        <v>25</v>
      </c>
      <c r="E206" s="32"/>
      <c r="F206" s="32"/>
      <c r="G206" s="32"/>
      <c r="H206" s="32"/>
      <c r="I206" s="32"/>
      <c r="J206" s="13"/>
      <c r="K206" s="33"/>
      <c r="L206" s="34">
        <f>IFERROR(INDEX('Pokemon Data'!A:A,MATCH($A206,'Pokemon Data'!$B:$B,0)),"")</f>
        <v>207</v>
      </c>
      <c r="M206" s="34">
        <f>IFERROR(INDEX('Pokemon Data'!I:I,MATCH($A206,'Pokemon Data'!$B:$B,0)),"")</f>
        <v>130</v>
      </c>
      <c r="N206" s="34">
        <f>IFERROR(INDEX('Pokemon Data'!J:J,MATCH($A206,'Pokemon Data'!$B:$B,0)),"")</f>
        <v>143</v>
      </c>
      <c r="O206" s="34">
        <f>IFERROR(INDEX('Pokemon Data'!K:K,MATCH($A206,'Pokemon Data'!$B:$B,0)),"")</f>
        <v>204</v>
      </c>
      <c r="P206" s="35">
        <f>IFERROR(INDEX('Level Multipliers'!$A:$A,MATCH($D206,'Level Multipliers'!$B:$B,0)),"")</f>
        <v>19</v>
      </c>
      <c r="Q206" s="36">
        <f>IFERROR(INDEX('Level Multipliers'!$D:$D,MATCH(P206,'Level Multipliers'!$A:$A,0)),"")</f>
        <v>1.7173900470456649</v>
      </c>
      <c r="R206" s="37">
        <f t="shared" si="111"/>
        <v>18</v>
      </c>
      <c r="S206" s="37">
        <f t="shared" si="112"/>
        <v>15</v>
      </c>
      <c r="T206" s="38">
        <f t="shared" si="113"/>
        <v>850880066.98574352</v>
      </c>
      <c r="U206" s="38">
        <f t="shared" si="114"/>
        <v>852601624.59729135</v>
      </c>
      <c r="V206" s="38" t="b">
        <f t="shared" si="115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>
        <f t="shared" si="116"/>
        <v>19.5</v>
      </c>
      <c r="AI206" s="36">
        <f>IFERROR(INDEX('Level Multipliers'!$D:$D,MATCH(AH206,'Level Multipliers'!$A:$A,0)),"")</f>
        <v>1.6952373266621776</v>
      </c>
      <c r="AJ206" s="37">
        <f t="shared" si="117"/>
        <v>16</v>
      </c>
      <c r="AK206" s="37">
        <f t="shared" si="118"/>
        <v>15</v>
      </c>
      <c r="AL206" s="38">
        <f t="shared" si="119"/>
        <v>807820013.64157665</v>
      </c>
      <c r="AM206" s="38">
        <f t="shared" si="120"/>
        <v>809454449.26559114</v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22"/>
        <v>20</v>
      </c>
      <c r="BA206" s="36">
        <f>IFERROR(INDEX('Level Multipliers'!$D:$D,MATCH(AZ206,'Level Multipliers'!$A:$A,0)),"")</f>
        <v>1.6739202944034379</v>
      </c>
      <c r="BB206" s="37">
        <f t="shared" si="123"/>
        <v>14</v>
      </c>
      <c r="BC206" s="37">
        <f t="shared" si="124"/>
        <v>15</v>
      </c>
      <c r="BD206" s="38">
        <f t="shared" si="125"/>
        <v>767947767.35339916</v>
      </c>
      <c r="BE206" s="38">
        <f t="shared" si="126"/>
        <v>769501530.77489042</v>
      </c>
      <c r="BF206" s="38" t="b">
        <f t="shared" si="127"/>
        <v>0</v>
      </c>
      <c r="BG206" s="37">
        <f t="array" ref="BG206:BQ206">IF(BF206,"",IVSolution($M206,$N206,$O206,BB206,BC206,BD206,BE206,$E206,$F206,$G206,$H206,$I206))</f>
        <v>3</v>
      </c>
      <c r="BH206" s="37">
        <v>39</v>
      </c>
      <c r="BI206" s="37">
        <v>42</v>
      </c>
      <c r="BJ206" s="39">
        <v>0.8666666666666667</v>
      </c>
      <c r="BK206" s="39">
        <v>0.93333333333333335</v>
      </c>
      <c r="BL206" s="37">
        <v>14</v>
      </c>
      <c r="BM206" s="37">
        <v>15</v>
      </c>
      <c r="BN206" s="37">
        <v>13</v>
      </c>
      <c r="BO206" s="37">
        <v>15</v>
      </c>
      <c r="BP206" s="37">
        <v>10</v>
      </c>
      <c r="BQ206" s="37">
        <v>14</v>
      </c>
      <c r="BR206" s="40">
        <f t="shared" si="128"/>
        <v>20.5</v>
      </c>
      <c r="BS206" s="36">
        <f>IFERROR(INDEX('Level Multipliers'!$D:$D,MATCH(BR206,'Level Multipliers'!$A:$A,0)),"")</f>
        <v>1.6533745038028393</v>
      </c>
      <c r="BT206" s="37">
        <f t="shared" si="129"/>
        <v>13</v>
      </c>
      <c r="BU206" s="37">
        <f t="shared" si="130"/>
        <v>13</v>
      </c>
      <c r="BV206" s="38">
        <f t="shared" si="131"/>
        <v>730932929.82765079</v>
      </c>
      <c r="BW206" s="38">
        <f t="shared" si="132"/>
        <v>732411802.34764457</v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>
        <f t="shared" si="134"/>
        <v>20</v>
      </c>
      <c r="CK206" s="41">
        <f t="shared" si="135"/>
        <v>20</v>
      </c>
      <c r="CL206" s="66">
        <f t="shared" si="136"/>
        <v>0.9</v>
      </c>
      <c r="CM206" s="39">
        <f t="shared" si="137"/>
        <v>0.8666666666666667</v>
      </c>
      <c r="CN206" s="39">
        <f t="shared" si="138"/>
        <v>0.93333333333333335</v>
      </c>
      <c r="CO206" s="42">
        <f t="shared" si="139"/>
        <v>14</v>
      </c>
      <c r="CP206" s="42">
        <f t="shared" si="140"/>
        <v>15</v>
      </c>
      <c r="CQ206" s="42">
        <f t="shared" si="141"/>
        <v>13</v>
      </c>
      <c r="CR206" s="42">
        <f t="shared" si="142"/>
        <v>15</v>
      </c>
      <c r="CS206" s="42">
        <f t="shared" si="143"/>
        <v>10</v>
      </c>
      <c r="CT206" s="42">
        <f t="shared" si="144"/>
        <v>14</v>
      </c>
      <c r="CU206" s="43" t="str">
        <f t="shared" si="145"/>
        <v>14-15</v>
      </c>
      <c r="CV206" s="43" t="str">
        <f t="shared" si="146"/>
        <v>13-15</v>
      </c>
      <c r="CW206" s="43" t="str">
        <f t="shared" si="147"/>
        <v>10-14</v>
      </c>
      <c r="CX206" s="13" t="s">
        <v>426</v>
      </c>
    </row>
    <row r="207" spans="1:102" x14ac:dyDescent="0.25">
      <c r="A207" s="31" t="s">
        <v>164</v>
      </c>
      <c r="B207" s="13">
        <v>2078</v>
      </c>
      <c r="C207" s="13">
        <v>107</v>
      </c>
      <c r="D207" s="13">
        <v>45</v>
      </c>
      <c r="E207" s="32" t="s">
        <v>2</v>
      </c>
      <c r="F207" s="32">
        <v>1</v>
      </c>
      <c r="G207" s="32"/>
      <c r="H207" s="32"/>
      <c r="I207" s="32" t="s">
        <v>0</v>
      </c>
      <c r="J207" s="13"/>
      <c r="K207" s="33">
        <v>27</v>
      </c>
      <c r="L207" s="34">
        <f>IFERROR(INDEX('Pokemon Data'!A:A,MATCH($A207,'Pokemon Data'!$B:$B,0)),"")</f>
        <v>212</v>
      </c>
      <c r="M207" s="34">
        <f>IFERROR(INDEX('Pokemon Data'!I:I,MATCH($A207,'Pokemon Data'!$B:$B,0)),"")</f>
        <v>140</v>
      </c>
      <c r="N207" s="34">
        <f>IFERROR(INDEX('Pokemon Data'!J:J,MATCH($A207,'Pokemon Data'!$B:$B,0)),"")</f>
        <v>236</v>
      </c>
      <c r="O207" s="34">
        <f>IFERROR(INDEX('Pokemon Data'!K:K,MATCH($A207,'Pokemon Data'!$B:$B,0)),"")</f>
        <v>191</v>
      </c>
      <c r="P207" s="35">
        <f>IFERROR(INDEX('Level Multipliers'!$A:$A,MATCH($D207,'Level Multipliers'!$B:$B,0)),"")</f>
        <v>27</v>
      </c>
      <c r="Q207" s="36">
        <f>IFERROR(INDEX('Level Multipliers'!$D:$D,MATCH(P207,'Level Multipliers'!$A:$A,0)),"")</f>
        <v>1.4406239915890684</v>
      </c>
      <c r="R207" s="37">
        <f t="shared" si="111"/>
        <v>15</v>
      </c>
      <c r="S207" s="37">
        <f t="shared" si="112"/>
        <v>15</v>
      </c>
      <c r="T207" s="38">
        <f t="shared" si="113"/>
        <v>1859917405.7796032</v>
      </c>
      <c r="U207" s="38">
        <f t="shared" si="114"/>
        <v>1861707939.8812618</v>
      </c>
      <c r="V207" s="38" t="b">
        <f t="shared" si="115"/>
        <v>0</v>
      </c>
      <c r="W207" s="37">
        <f t="array" ref="W207:AG207">IF(V207,"",IVSolution($M207,$N207,$O207,R207,S207,T207,U207,$E207,$F207,$G207,$H207,$I207))</f>
        <v>3</v>
      </c>
      <c r="X207" s="37">
        <v>30</v>
      </c>
      <c r="Y207" s="37">
        <v>35</v>
      </c>
      <c r="Z207" s="39">
        <v>0.66666666666666663</v>
      </c>
      <c r="AA207" s="39">
        <v>0.77777777777777779</v>
      </c>
      <c r="AB207" s="37">
        <v>15</v>
      </c>
      <c r="AC207" s="37">
        <v>15</v>
      </c>
      <c r="AD207" s="37">
        <v>6</v>
      </c>
      <c r="AE207" s="37">
        <v>14</v>
      </c>
      <c r="AF207" s="37">
        <v>1</v>
      </c>
      <c r="AG207" s="37">
        <v>14</v>
      </c>
      <c r="AH207" s="40">
        <f t="shared" si="116"/>
        <v>27.5</v>
      </c>
      <c r="AI207" s="36">
        <f>IFERROR(INDEX('Level Multipliers'!$D:$D,MATCH(AH207,'Level Multipliers'!$A:$A,0)),"")</f>
        <v>1.4274643259182833</v>
      </c>
      <c r="AJ207" s="37">
        <f t="shared" si="117"/>
        <v>13</v>
      </c>
      <c r="AK207" s="37">
        <f t="shared" si="118"/>
        <v>14</v>
      </c>
      <c r="AL207" s="38">
        <f t="shared" si="119"/>
        <v>1792883789.1792467</v>
      </c>
      <c r="AM207" s="38">
        <f t="shared" si="120"/>
        <v>1794609790.320405</v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22"/>
        <v>28</v>
      </c>
      <c r="BA207" s="36">
        <f>IFERROR(INDEX('Level Multipliers'!$D:$D,MATCH(AZ207,'Level Multipliers'!$A:$A,0)),"")</f>
        <v>1.4146588542279308</v>
      </c>
      <c r="BB207" s="37">
        <f t="shared" si="123"/>
        <v>12</v>
      </c>
      <c r="BC207" s="37">
        <f t="shared" si="124"/>
        <v>12</v>
      </c>
      <c r="BD207" s="38">
        <f t="shared" si="125"/>
        <v>1729410036.1751122</v>
      </c>
      <c r="BE207" s="38">
        <f t="shared" si="126"/>
        <v>1731074931.4204063</v>
      </c>
      <c r="BF207" s="38" t="b">
        <f t="shared" si="127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>
        <f t="shared" si="128"/>
        <v>28.5</v>
      </c>
      <c r="BS207" s="36">
        <f>IFERROR(INDEX('Level Multipliers'!$D:$D,MATCH(BR207,'Level Multipliers'!$A:$A,0)),"")</f>
        <v>1.4021920400529488</v>
      </c>
      <c r="BT207" s="37">
        <f t="shared" si="129"/>
        <v>11</v>
      </c>
      <c r="BU207" s="37">
        <f t="shared" si="130"/>
        <v>11</v>
      </c>
      <c r="BV207" s="38">
        <f t="shared" si="131"/>
        <v>1669248812.6282749</v>
      </c>
      <c r="BW207" s="38">
        <f t="shared" si="132"/>
        <v>1670855790.9348793</v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>
        <f t="shared" si="134"/>
        <v>27</v>
      </c>
      <c r="CK207" s="41">
        <f t="shared" si="135"/>
        <v>27</v>
      </c>
      <c r="CL207" s="66">
        <f t="shared" si="136"/>
        <v>0.72222222222222221</v>
      </c>
      <c r="CM207" s="39">
        <f t="shared" si="137"/>
        <v>0.66666666666666663</v>
      </c>
      <c r="CN207" s="39">
        <f t="shared" si="138"/>
        <v>0.77777777777777779</v>
      </c>
      <c r="CO207" s="42">
        <f t="shared" si="139"/>
        <v>15</v>
      </c>
      <c r="CP207" s="42">
        <f t="shared" si="140"/>
        <v>15</v>
      </c>
      <c r="CQ207" s="42">
        <f t="shared" si="141"/>
        <v>6</v>
      </c>
      <c r="CR207" s="42">
        <f t="shared" si="142"/>
        <v>14</v>
      </c>
      <c r="CS207" s="42">
        <f t="shared" si="143"/>
        <v>1</v>
      </c>
      <c r="CT207" s="42">
        <f t="shared" si="144"/>
        <v>14</v>
      </c>
      <c r="CU207" s="43">
        <f t="shared" si="145"/>
        <v>15</v>
      </c>
      <c r="CV207" s="43" t="str">
        <f t="shared" si="146"/>
        <v>6-14</v>
      </c>
      <c r="CW207" s="43" t="str">
        <f t="shared" si="147"/>
        <v>1-14</v>
      </c>
      <c r="CX207" s="13" t="s">
        <v>425</v>
      </c>
    </row>
    <row r="208" spans="1:102" x14ac:dyDescent="0.25">
      <c r="A208" s="31" t="s">
        <v>261</v>
      </c>
      <c r="B208" s="13">
        <v>192</v>
      </c>
      <c r="C208" s="13">
        <v>50</v>
      </c>
      <c r="D208" s="13">
        <v>13</v>
      </c>
      <c r="E208" s="32" t="s">
        <v>2</v>
      </c>
      <c r="F208" s="32">
        <v>1</v>
      </c>
      <c r="G208" s="32"/>
      <c r="H208" s="32"/>
      <c r="I208" s="32" t="s">
        <v>0</v>
      </c>
      <c r="J208" s="13"/>
      <c r="K208" s="33"/>
      <c r="L208" s="34">
        <f>IFERROR(INDEX('Pokemon Data'!A:A,MATCH($A208,'Pokemon Data'!$B:$B,0)),"")</f>
        <v>220</v>
      </c>
      <c r="M208" s="34">
        <f>IFERROR(INDEX('Pokemon Data'!I:I,MATCH($A208,'Pokemon Data'!$B:$B,0)),"")</f>
        <v>100</v>
      </c>
      <c r="N208" s="34">
        <f>IFERROR(INDEX('Pokemon Data'!J:J,MATCH($A208,'Pokemon Data'!$B:$B,0)),"")</f>
        <v>90</v>
      </c>
      <c r="O208" s="34">
        <f>IFERROR(INDEX('Pokemon Data'!K:K,MATCH($A208,'Pokemon Data'!$B:$B,0)),"")</f>
        <v>74</v>
      </c>
      <c r="P208" s="35">
        <f>IFERROR(INDEX('Level Multipliers'!$A:$A,MATCH($D208,'Level Multipliers'!$B:$B,0)),"")</f>
        <v>11</v>
      </c>
      <c r="Q208" s="36">
        <f>IFERROR(INDEX('Level Multipliers'!$D:$D,MATCH(P208,'Level Multipliers'!$A:$A,0)),"")</f>
        <v>2.2567884714123854</v>
      </c>
      <c r="R208" s="37">
        <f t="shared" si="111"/>
        <v>13</v>
      </c>
      <c r="S208" s="37">
        <f t="shared" si="112"/>
        <v>15</v>
      </c>
      <c r="T208" s="38">
        <f t="shared" si="113"/>
        <v>95623773.061744586</v>
      </c>
      <c r="U208" s="38">
        <f t="shared" si="114"/>
        <v>96622447.991995543</v>
      </c>
      <c r="V208" s="38" t="b">
        <f t="shared" si="115"/>
        <v>0</v>
      </c>
      <c r="W208" s="37">
        <f t="array" ref="W208:AG208">IF(V208,"",IVSolution($M208,$N208,$O208,R208,S208,T208,U208,$E208,$F208,$G208,$H208,$I208))</f>
        <v>7</v>
      </c>
      <c r="X208" s="37">
        <v>32</v>
      </c>
      <c r="Y208" s="37">
        <v>36</v>
      </c>
      <c r="Z208" s="39">
        <v>0.71111111111111114</v>
      </c>
      <c r="AA208" s="39">
        <v>0.8</v>
      </c>
      <c r="AB208" s="37">
        <v>15</v>
      </c>
      <c r="AC208" s="37">
        <v>15</v>
      </c>
      <c r="AD208" s="37">
        <v>8</v>
      </c>
      <c r="AE208" s="37">
        <v>14</v>
      </c>
      <c r="AF208" s="37">
        <v>3</v>
      </c>
      <c r="AG208" s="37">
        <v>13</v>
      </c>
      <c r="AH208" s="40">
        <f t="shared" si="116"/>
        <v>11.5</v>
      </c>
      <c r="AI208" s="36">
        <f>IFERROR(INDEX('Level Multipliers'!$D:$D,MATCH(AH208,'Level Multipliers'!$A:$A,0)),"")</f>
        <v>2.2072134251772386</v>
      </c>
      <c r="AJ208" s="37">
        <f t="shared" si="117"/>
        <v>11</v>
      </c>
      <c r="AK208" s="37">
        <f t="shared" si="118"/>
        <v>12</v>
      </c>
      <c r="AL208" s="38">
        <f t="shared" si="119"/>
        <v>87494302.545472294</v>
      </c>
      <c r="AM208" s="38">
        <f t="shared" si="120"/>
        <v>88408074.965177342</v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22"/>
        <v>12</v>
      </c>
      <c r="BA208" s="36">
        <f>IFERROR(INDEX('Level Multipliers'!$D:$D,MATCH(AZ208,'Level Multipliers'!$A:$A,0)),"")</f>
        <v>2.1607681195435338</v>
      </c>
      <c r="BB208" s="37">
        <f t="shared" si="123"/>
        <v>9</v>
      </c>
      <c r="BC208" s="37">
        <f t="shared" si="124"/>
        <v>10</v>
      </c>
      <c r="BD208" s="38">
        <f t="shared" si="125"/>
        <v>80359108.785042599</v>
      </c>
      <c r="BE208" s="38">
        <f t="shared" si="126"/>
        <v>81198362.715224922</v>
      </c>
      <c r="BF208" s="38" t="b">
        <f t="shared" si="127"/>
        <v>0</v>
      </c>
      <c r="BG208" s="37">
        <f t="array" ref="BG208:BQ208">IF(BF208,"",IVSolution($M208,$N208,$O208,BB208,BC208,BD208,BE208,$E208,$F208,$G208,$H208,$I208))</f>
        <v>0</v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>
        <f t="shared" si="128"/>
        <v>12.5</v>
      </c>
      <c r="BS208" s="36">
        <f>IFERROR(INDEX('Level Multipliers'!$D:$D,MATCH(BR208,'Level Multipliers'!$A:$A,0)),"")</f>
        <v>2.1171365709672214</v>
      </c>
      <c r="BT208" s="37">
        <f t="shared" si="129"/>
        <v>6</v>
      </c>
      <c r="BU208" s="37">
        <f t="shared" si="130"/>
        <v>7</v>
      </c>
      <c r="BV208" s="38">
        <f t="shared" si="131"/>
        <v>74062429.438298151</v>
      </c>
      <c r="BW208" s="38">
        <f t="shared" si="132"/>
        <v>74835922.150259539</v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>
        <f t="shared" si="134"/>
        <v>11</v>
      </c>
      <c r="CK208" s="41">
        <f t="shared" si="135"/>
        <v>11</v>
      </c>
      <c r="CL208" s="66">
        <f t="shared" si="136"/>
        <v>0.75555555555555554</v>
      </c>
      <c r="CM208" s="39">
        <f t="shared" si="137"/>
        <v>0.71111111111111114</v>
      </c>
      <c r="CN208" s="39">
        <f t="shared" si="138"/>
        <v>0.8</v>
      </c>
      <c r="CO208" s="42">
        <f t="shared" si="139"/>
        <v>15</v>
      </c>
      <c r="CP208" s="42">
        <f t="shared" si="140"/>
        <v>15</v>
      </c>
      <c r="CQ208" s="42">
        <f t="shared" si="141"/>
        <v>8</v>
      </c>
      <c r="CR208" s="42">
        <f t="shared" si="142"/>
        <v>14</v>
      </c>
      <c r="CS208" s="42">
        <f t="shared" si="143"/>
        <v>3</v>
      </c>
      <c r="CT208" s="42">
        <f t="shared" si="144"/>
        <v>13</v>
      </c>
      <c r="CU208" s="43">
        <f t="shared" si="145"/>
        <v>15</v>
      </c>
      <c r="CV208" s="43" t="str">
        <f t="shared" si="146"/>
        <v>8-14</v>
      </c>
      <c r="CW208" s="43" t="str">
        <f t="shared" si="147"/>
        <v>3-13</v>
      </c>
      <c r="CX208" s="13"/>
    </row>
    <row r="209" spans="1:102" x14ac:dyDescent="0.25">
      <c r="A209" s="31" t="s">
        <v>262</v>
      </c>
      <c r="B209" s="13">
        <v>99</v>
      </c>
      <c r="C209" s="13">
        <v>35</v>
      </c>
      <c r="D209" s="13">
        <v>2</v>
      </c>
      <c r="E209" s="32" t="s">
        <v>0</v>
      </c>
      <c r="F209" s="32"/>
      <c r="G209" s="32">
        <v>1</v>
      </c>
      <c r="H209" s="32"/>
      <c r="I209" s="32" t="s">
        <v>0</v>
      </c>
      <c r="J209" s="13"/>
      <c r="K209" s="33"/>
      <c r="L209" s="34">
        <f>IFERROR(INDEX('Pokemon Data'!A:A,MATCH($A209,'Pokemon Data'!$B:$B,0)),"")</f>
        <v>221</v>
      </c>
      <c r="M209" s="34">
        <f>IFERROR(INDEX('Pokemon Data'!I:I,MATCH($A209,'Pokemon Data'!$B:$B,0)),"")</f>
        <v>200</v>
      </c>
      <c r="N209" s="34">
        <f>IFERROR(INDEX('Pokemon Data'!J:J,MATCH($A209,'Pokemon Data'!$B:$B,0)),"")</f>
        <v>181</v>
      </c>
      <c r="O209" s="34">
        <f>IFERROR(INDEX('Pokemon Data'!K:K,MATCH($A209,'Pokemon Data'!$B:$B,0)),"")</f>
        <v>147</v>
      </c>
      <c r="P209" s="35">
        <f>IFERROR(INDEX('Level Multipliers'!$A:$A,MATCH($D209,'Level Multipliers'!$B:$B,0)),"")</f>
        <v>1</v>
      </c>
      <c r="Q209" s="36">
        <f>IFERROR(INDEX('Level Multipliers'!$D:$D,MATCH(P209,'Level Multipliers'!$A:$A,0)),"")</f>
        <v>10.638298236606033</v>
      </c>
      <c r="R209" s="37">
        <f t="shared" si="111"/>
        <v>173</v>
      </c>
      <c r="S209" s="37">
        <f t="shared" si="112"/>
        <v>15</v>
      </c>
      <c r="T209" s="38">
        <f t="shared" si="113"/>
        <v>12553332562.086208</v>
      </c>
      <c r="U209" s="38">
        <f t="shared" si="114"/>
        <v>12808216061.714325</v>
      </c>
      <c r="V209" s="38" t="b">
        <f t="shared" si="115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>
        <f t="shared" si="116"/>
        <v>1.5</v>
      </c>
      <c r="AI209" s="36">
        <f>IFERROR(INDEX('Level Multipliers'!$D:$D,MATCH(AH209,'Level Multipliers'!$A:$A,0)),"")</f>
        <v>7.3998742209257209</v>
      </c>
      <c r="AJ209" s="37">
        <f t="shared" si="117"/>
        <v>59</v>
      </c>
      <c r="AK209" s="37">
        <f t="shared" si="118"/>
        <v>15</v>
      </c>
      <c r="AL209" s="38">
        <f t="shared" si="119"/>
        <v>2938784501.1645508</v>
      </c>
      <c r="AM209" s="38">
        <f t="shared" si="120"/>
        <v>2998453730.3995008</v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22"/>
        <v>2</v>
      </c>
      <c r="BA209" s="36">
        <f>IFERROR(INDEX('Level Multipliers'!$D:$D,MATCH(AZ209,'Level Multipliers'!$A:$A,0)),"")</f>
        <v>6.0096923264843083</v>
      </c>
      <c r="BB209" s="37">
        <f t="shared" si="123"/>
        <v>11</v>
      </c>
      <c r="BC209" s="37">
        <f t="shared" si="124"/>
        <v>15</v>
      </c>
      <c r="BD209" s="38">
        <f t="shared" si="125"/>
        <v>1278437033.0245972</v>
      </c>
      <c r="BE209" s="38">
        <f t="shared" si="126"/>
        <v>1304394483.2410948</v>
      </c>
      <c r="BF209" s="38" t="b">
        <f t="shared" si="127"/>
        <v>0</v>
      </c>
      <c r="BG209" s="37">
        <f t="array" ref="BG209:BQ209">IF(BF209,"",IVSolution($M209,$N209,$O209,BB209,BC209,BD209,BE209,$E209,$F209,$G209,$H209,$I209))</f>
        <v>13</v>
      </c>
      <c r="BH209" s="37">
        <v>37</v>
      </c>
      <c r="BI209" s="37">
        <v>40</v>
      </c>
      <c r="BJ209" s="39">
        <v>0.82222222222222219</v>
      </c>
      <c r="BK209" s="39">
        <v>0.88888888888888884</v>
      </c>
      <c r="BL209" s="37">
        <v>11</v>
      </c>
      <c r="BM209" s="37">
        <v>14</v>
      </c>
      <c r="BN209" s="37">
        <v>15</v>
      </c>
      <c r="BO209" s="37">
        <v>15</v>
      </c>
      <c r="BP209" s="37">
        <v>9</v>
      </c>
      <c r="BQ209" s="37">
        <v>13</v>
      </c>
      <c r="BR209" s="40">
        <f t="shared" si="128"/>
        <v>2.5</v>
      </c>
      <c r="BS209" s="36">
        <f>IFERROR(INDEX('Level Multipliers'!$D:$D,MATCH(BR209,'Level Multipliers'!$A:$A,0)),"")</f>
        <v>5.1907358424704109</v>
      </c>
      <c r="BT209" s="37">
        <f t="shared" si="129"/>
        <v>0</v>
      </c>
      <c r="BU209" s="37">
        <f t="shared" si="130"/>
        <v>-14</v>
      </c>
      <c r="BV209" s="38">
        <f t="shared" si="131"/>
        <v>711518344.53200483</v>
      </c>
      <c r="BW209" s="38">
        <f t="shared" si="132"/>
        <v>725965049.007249</v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>
        <f t="shared" si="134"/>
        <v>2</v>
      </c>
      <c r="CK209" s="41">
        <f t="shared" si="135"/>
        <v>2</v>
      </c>
      <c r="CL209" s="66">
        <f t="shared" si="136"/>
        <v>0.85555555555555551</v>
      </c>
      <c r="CM209" s="39">
        <f t="shared" si="137"/>
        <v>0.82222222222222219</v>
      </c>
      <c r="CN209" s="39">
        <f t="shared" si="138"/>
        <v>0.88888888888888884</v>
      </c>
      <c r="CO209" s="42">
        <f t="shared" si="139"/>
        <v>11</v>
      </c>
      <c r="CP209" s="42">
        <f t="shared" si="140"/>
        <v>14</v>
      </c>
      <c r="CQ209" s="42">
        <f t="shared" si="141"/>
        <v>15</v>
      </c>
      <c r="CR209" s="42">
        <f t="shared" si="142"/>
        <v>15</v>
      </c>
      <c r="CS209" s="42">
        <f t="shared" si="143"/>
        <v>9</v>
      </c>
      <c r="CT209" s="42">
        <f t="shared" si="144"/>
        <v>13</v>
      </c>
      <c r="CU209" s="43" t="str">
        <f t="shared" si="145"/>
        <v>11-14</v>
      </c>
      <c r="CV209" s="43">
        <f t="shared" si="146"/>
        <v>15</v>
      </c>
      <c r="CW209" s="43" t="str">
        <f t="shared" si="147"/>
        <v>9-13</v>
      </c>
      <c r="CX209" s="13" t="s">
        <v>422</v>
      </c>
    </row>
    <row r="210" spans="1:102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11"/>
        <v/>
      </c>
      <c r="S210" s="37" t="str">
        <f t="shared" si="112"/>
        <v/>
      </c>
      <c r="T210" s="38" t="str">
        <f t="shared" si="113"/>
        <v/>
      </c>
      <c r="U210" s="38" t="str">
        <f t="shared" si="114"/>
        <v/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6"/>
        <v/>
      </c>
      <c r="AI210" s="36" t="str">
        <f>IFERROR(INDEX('Level Multipliers'!$D:$D,MATCH(AH210,'Level Multipliers'!$A:$A,0)),"")</f>
        <v/>
      </c>
      <c r="AJ210" s="37" t="str">
        <f t="shared" si="117"/>
        <v/>
      </c>
      <c r="AK210" s="37" t="str">
        <f t="shared" si="118"/>
        <v/>
      </c>
      <c r="AL210" s="38" t="str">
        <f t="shared" si="119"/>
        <v/>
      </c>
      <c r="AM210" s="38" t="str">
        <f t="shared" si="120"/>
        <v/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22"/>
        <v/>
      </c>
      <c r="BA210" s="36" t="str">
        <f>IFERROR(INDEX('Level Multipliers'!$D:$D,MATCH(AZ210,'Level Multipliers'!$A:$A,0)),"")</f>
        <v/>
      </c>
      <c r="BB210" s="37" t="str">
        <f t="shared" si="123"/>
        <v/>
      </c>
      <c r="BC210" s="37" t="str">
        <f t="shared" si="124"/>
        <v/>
      </c>
      <c r="BD210" s="38" t="str">
        <f t="shared" si="125"/>
        <v/>
      </c>
      <c r="BE210" s="38" t="str">
        <f t="shared" si="126"/>
        <v/>
      </c>
      <c r="BF210" s="38" t="b">
        <f t="shared" si="127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8"/>
        <v/>
      </c>
      <c r="BS210" s="36" t="str">
        <f>IFERROR(INDEX('Level Multipliers'!$D:$D,MATCH(BR210,'Level Multipliers'!$A:$A,0)),"")</f>
        <v/>
      </c>
      <c r="BT210" s="37" t="str">
        <f t="shared" si="129"/>
        <v/>
      </c>
      <c r="BU210" s="37" t="str">
        <f t="shared" si="130"/>
        <v/>
      </c>
      <c r="BV210" s="38" t="str">
        <f t="shared" si="131"/>
        <v/>
      </c>
      <c r="BW210" s="38" t="str">
        <f t="shared" si="132"/>
        <v/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4"/>
        <v/>
      </c>
      <c r="CK210" s="41" t="str">
        <f t="shared" si="135"/>
        <v/>
      </c>
      <c r="CL210" s="66" t="str">
        <f t="shared" si="136"/>
        <v/>
      </c>
      <c r="CM210" s="39" t="str">
        <f t="shared" si="137"/>
        <v/>
      </c>
      <c r="CN210" s="39" t="str">
        <f t="shared" si="138"/>
        <v/>
      </c>
      <c r="CO210" s="42" t="str">
        <f t="shared" si="139"/>
        <v/>
      </c>
      <c r="CP210" s="42" t="str">
        <f t="shared" si="140"/>
        <v/>
      </c>
      <c r="CQ210" s="42" t="str">
        <f t="shared" si="141"/>
        <v/>
      </c>
      <c r="CR210" s="42" t="str">
        <f t="shared" si="142"/>
        <v/>
      </c>
      <c r="CS210" s="42" t="str">
        <f t="shared" si="143"/>
        <v/>
      </c>
      <c r="CT210" s="42" t="str">
        <f t="shared" si="144"/>
        <v/>
      </c>
      <c r="CU210" s="43" t="str">
        <f t="shared" si="145"/>
        <v/>
      </c>
      <c r="CV210" s="43" t="str">
        <f t="shared" si="146"/>
        <v/>
      </c>
      <c r="CW210" s="43" t="str">
        <f t="shared" si="147"/>
        <v/>
      </c>
      <c r="CX210" s="13"/>
    </row>
    <row r="211" spans="1:102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11"/>
        <v/>
      </c>
      <c r="S211" s="37" t="str">
        <f t="shared" si="112"/>
        <v/>
      </c>
      <c r="T211" s="38" t="str">
        <f t="shared" si="113"/>
        <v/>
      </c>
      <c r="U211" s="38" t="str">
        <f t="shared" si="114"/>
        <v/>
      </c>
      <c r="V211" s="38" t="b">
        <f t="shared" si="115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6"/>
        <v/>
      </c>
      <c r="AI211" s="36" t="str">
        <f>IFERROR(INDEX('Level Multipliers'!$D:$D,MATCH(AH211,'Level Multipliers'!$A:$A,0)),"")</f>
        <v/>
      </c>
      <c r="AJ211" s="37" t="str">
        <f t="shared" si="117"/>
        <v/>
      </c>
      <c r="AK211" s="37" t="str">
        <f t="shared" si="118"/>
        <v/>
      </c>
      <c r="AL211" s="38" t="str">
        <f t="shared" si="119"/>
        <v/>
      </c>
      <c r="AM211" s="38" t="str">
        <f t="shared" si="120"/>
        <v/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22"/>
        <v/>
      </c>
      <c r="BA211" s="36" t="str">
        <f>IFERROR(INDEX('Level Multipliers'!$D:$D,MATCH(AZ211,'Level Multipliers'!$A:$A,0)),"")</f>
        <v/>
      </c>
      <c r="BB211" s="37" t="str">
        <f t="shared" si="123"/>
        <v/>
      </c>
      <c r="BC211" s="37" t="str">
        <f t="shared" si="124"/>
        <v/>
      </c>
      <c r="BD211" s="38" t="str">
        <f t="shared" si="125"/>
        <v/>
      </c>
      <c r="BE211" s="38" t="str">
        <f t="shared" si="126"/>
        <v/>
      </c>
      <c r="BF211" s="38" t="b">
        <f t="shared" si="127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8"/>
        <v/>
      </c>
      <c r="BS211" s="36" t="str">
        <f>IFERROR(INDEX('Level Multipliers'!$D:$D,MATCH(BR211,'Level Multipliers'!$A:$A,0)),"")</f>
        <v/>
      </c>
      <c r="BT211" s="37" t="str">
        <f t="shared" si="129"/>
        <v/>
      </c>
      <c r="BU211" s="37" t="str">
        <f t="shared" si="130"/>
        <v/>
      </c>
      <c r="BV211" s="38" t="str">
        <f t="shared" si="131"/>
        <v/>
      </c>
      <c r="BW211" s="38" t="str">
        <f t="shared" si="132"/>
        <v/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4"/>
        <v/>
      </c>
      <c r="CK211" s="41" t="str">
        <f t="shared" si="135"/>
        <v/>
      </c>
      <c r="CL211" s="66" t="str">
        <f t="shared" si="136"/>
        <v/>
      </c>
      <c r="CM211" s="39" t="str">
        <f t="shared" si="137"/>
        <v/>
      </c>
      <c r="CN211" s="39" t="str">
        <f t="shared" si="138"/>
        <v/>
      </c>
      <c r="CO211" s="42" t="str">
        <f t="shared" si="139"/>
        <v/>
      </c>
      <c r="CP211" s="42" t="str">
        <f t="shared" si="140"/>
        <v/>
      </c>
      <c r="CQ211" s="42" t="str">
        <f t="shared" si="141"/>
        <v/>
      </c>
      <c r="CR211" s="42" t="str">
        <f t="shared" si="142"/>
        <v/>
      </c>
      <c r="CS211" s="42" t="str">
        <f t="shared" si="143"/>
        <v/>
      </c>
      <c r="CT211" s="42" t="str">
        <f t="shared" si="144"/>
        <v/>
      </c>
      <c r="CU211" s="43" t="str">
        <f t="shared" si="145"/>
        <v/>
      </c>
      <c r="CV211" s="43" t="str">
        <f t="shared" si="146"/>
        <v/>
      </c>
      <c r="CW211" s="43" t="str">
        <f t="shared" si="147"/>
        <v/>
      </c>
      <c r="CX211" s="13"/>
    </row>
    <row r="212" spans="1:102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11"/>
        <v/>
      </c>
      <c r="S212" s="37" t="str">
        <f t="shared" si="112"/>
        <v/>
      </c>
      <c r="T212" s="38" t="str">
        <f t="shared" si="113"/>
        <v/>
      </c>
      <c r="U212" s="38" t="str">
        <f t="shared" si="114"/>
        <v/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6"/>
        <v/>
      </c>
      <c r="AI212" s="36" t="str">
        <f>IFERROR(INDEX('Level Multipliers'!$D:$D,MATCH(AH212,'Level Multipliers'!$A:$A,0)),"")</f>
        <v/>
      </c>
      <c r="AJ212" s="37" t="str">
        <f t="shared" si="117"/>
        <v/>
      </c>
      <c r="AK212" s="37" t="str">
        <f t="shared" si="118"/>
        <v/>
      </c>
      <c r="AL212" s="38" t="str">
        <f t="shared" si="119"/>
        <v/>
      </c>
      <c r="AM212" s="38" t="str">
        <f t="shared" si="120"/>
        <v/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22"/>
        <v/>
      </c>
      <c r="BA212" s="36" t="str">
        <f>IFERROR(INDEX('Level Multipliers'!$D:$D,MATCH(AZ212,'Level Multipliers'!$A:$A,0)),"")</f>
        <v/>
      </c>
      <c r="BB212" s="37" t="str">
        <f t="shared" si="123"/>
        <v/>
      </c>
      <c r="BC212" s="37" t="str">
        <f t="shared" si="124"/>
        <v/>
      </c>
      <c r="BD212" s="38" t="str">
        <f t="shared" si="125"/>
        <v/>
      </c>
      <c r="BE212" s="38" t="str">
        <f t="shared" si="126"/>
        <v/>
      </c>
      <c r="BF212" s="38" t="b">
        <f t="shared" si="127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8"/>
        <v/>
      </c>
      <c r="BS212" s="36" t="str">
        <f>IFERROR(INDEX('Level Multipliers'!$D:$D,MATCH(BR212,'Level Multipliers'!$A:$A,0)),"")</f>
        <v/>
      </c>
      <c r="BT212" s="37" t="str">
        <f t="shared" si="129"/>
        <v/>
      </c>
      <c r="BU212" s="37" t="str">
        <f t="shared" si="130"/>
        <v/>
      </c>
      <c r="BV212" s="38" t="str">
        <f t="shared" si="131"/>
        <v/>
      </c>
      <c r="BW212" s="38" t="str">
        <f t="shared" si="132"/>
        <v/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4"/>
        <v/>
      </c>
      <c r="CK212" s="41" t="str">
        <f t="shared" si="135"/>
        <v/>
      </c>
      <c r="CL212" s="66" t="str">
        <f t="shared" si="136"/>
        <v/>
      </c>
      <c r="CM212" s="39" t="str">
        <f t="shared" si="137"/>
        <v/>
      </c>
      <c r="CN212" s="39" t="str">
        <f t="shared" si="138"/>
        <v/>
      </c>
      <c r="CO212" s="42" t="str">
        <f t="shared" si="139"/>
        <v/>
      </c>
      <c r="CP212" s="42" t="str">
        <f t="shared" si="140"/>
        <v/>
      </c>
      <c r="CQ212" s="42" t="str">
        <f t="shared" si="141"/>
        <v/>
      </c>
      <c r="CR212" s="42" t="str">
        <f t="shared" si="142"/>
        <v/>
      </c>
      <c r="CS212" s="42" t="str">
        <f t="shared" si="143"/>
        <v/>
      </c>
      <c r="CT212" s="42" t="str">
        <f t="shared" si="144"/>
        <v/>
      </c>
      <c r="CU212" s="43" t="str">
        <f t="shared" si="145"/>
        <v/>
      </c>
      <c r="CV212" s="43" t="str">
        <f t="shared" si="146"/>
        <v/>
      </c>
      <c r="CW212" s="43" t="str">
        <f t="shared" si="147"/>
        <v/>
      </c>
      <c r="CX212" s="13"/>
    </row>
    <row r="213" spans="1:102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11"/>
        <v/>
      </c>
      <c r="S213" s="37" t="str">
        <f t="shared" si="112"/>
        <v/>
      </c>
      <c r="T213" s="38" t="str">
        <f t="shared" si="113"/>
        <v/>
      </c>
      <c r="U213" s="38" t="str">
        <f t="shared" si="114"/>
        <v/>
      </c>
      <c r="V213" s="38" t="b">
        <f t="shared" si="115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6"/>
        <v/>
      </c>
      <c r="AI213" s="36" t="str">
        <f>IFERROR(INDEX('Level Multipliers'!$D:$D,MATCH(AH213,'Level Multipliers'!$A:$A,0)),"")</f>
        <v/>
      </c>
      <c r="AJ213" s="37" t="str">
        <f t="shared" si="117"/>
        <v/>
      </c>
      <c r="AK213" s="37" t="str">
        <f t="shared" si="118"/>
        <v/>
      </c>
      <c r="AL213" s="38" t="str">
        <f t="shared" si="119"/>
        <v/>
      </c>
      <c r="AM213" s="38" t="str">
        <f t="shared" si="120"/>
        <v/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22"/>
        <v/>
      </c>
      <c r="BA213" s="36" t="str">
        <f>IFERROR(INDEX('Level Multipliers'!$D:$D,MATCH(AZ213,'Level Multipliers'!$A:$A,0)),"")</f>
        <v/>
      </c>
      <c r="BB213" s="37" t="str">
        <f t="shared" si="123"/>
        <v/>
      </c>
      <c r="BC213" s="37" t="str">
        <f t="shared" si="124"/>
        <v/>
      </c>
      <c r="BD213" s="38" t="str">
        <f t="shared" si="125"/>
        <v/>
      </c>
      <c r="BE213" s="38" t="str">
        <f t="shared" si="126"/>
        <v/>
      </c>
      <c r="BF213" s="38" t="b">
        <f t="shared" si="127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8"/>
        <v/>
      </c>
      <c r="BS213" s="36" t="str">
        <f>IFERROR(INDEX('Level Multipliers'!$D:$D,MATCH(BR213,'Level Multipliers'!$A:$A,0)),"")</f>
        <v/>
      </c>
      <c r="BT213" s="37" t="str">
        <f t="shared" si="129"/>
        <v/>
      </c>
      <c r="BU213" s="37" t="str">
        <f t="shared" si="130"/>
        <v/>
      </c>
      <c r="BV213" s="38" t="str">
        <f t="shared" si="131"/>
        <v/>
      </c>
      <c r="BW213" s="38" t="str">
        <f t="shared" si="132"/>
        <v/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4"/>
        <v/>
      </c>
      <c r="CK213" s="41" t="str">
        <f t="shared" si="135"/>
        <v/>
      </c>
      <c r="CL213" s="66" t="str">
        <f t="shared" si="136"/>
        <v/>
      </c>
      <c r="CM213" s="39" t="str">
        <f t="shared" si="137"/>
        <v/>
      </c>
      <c r="CN213" s="39" t="str">
        <f t="shared" si="138"/>
        <v/>
      </c>
      <c r="CO213" s="42" t="str">
        <f t="shared" si="139"/>
        <v/>
      </c>
      <c r="CP213" s="42" t="str">
        <f t="shared" si="140"/>
        <v/>
      </c>
      <c r="CQ213" s="42" t="str">
        <f t="shared" si="141"/>
        <v/>
      </c>
      <c r="CR213" s="42" t="str">
        <f t="shared" si="142"/>
        <v/>
      </c>
      <c r="CS213" s="42" t="str">
        <f t="shared" si="143"/>
        <v/>
      </c>
      <c r="CT213" s="42" t="str">
        <f t="shared" si="144"/>
        <v/>
      </c>
      <c r="CU213" s="43" t="str">
        <f t="shared" si="145"/>
        <v/>
      </c>
      <c r="CV213" s="43" t="str">
        <f t="shared" si="146"/>
        <v/>
      </c>
      <c r="CW213" s="43" t="str">
        <f t="shared" si="147"/>
        <v/>
      </c>
      <c r="CX213" s="13"/>
    </row>
    <row r="214" spans="1:102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11"/>
        <v/>
      </c>
      <c r="S214" s="37" t="str">
        <f t="shared" si="112"/>
        <v/>
      </c>
      <c r="T214" s="38" t="str">
        <f t="shared" si="113"/>
        <v/>
      </c>
      <c r="U214" s="38" t="str">
        <f t="shared" si="114"/>
        <v/>
      </c>
      <c r="V214" s="38" t="b">
        <f t="shared" si="115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6"/>
        <v/>
      </c>
      <c r="AI214" s="36" t="str">
        <f>IFERROR(INDEX('Level Multipliers'!$D:$D,MATCH(AH214,'Level Multipliers'!$A:$A,0)),"")</f>
        <v/>
      </c>
      <c r="AJ214" s="37" t="str">
        <f t="shared" si="117"/>
        <v/>
      </c>
      <c r="AK214" s="37" t="str">
        <f t="shared" si="118"/>
        <v/>
      </c>
      <c r="AL214" s="38" t="str">
        <f t="shared" si="119"/>
        <v/>
      </c>
      <c r="AM214" s="38" t="str">
        <f t="shared" si="120"/>
        <v/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22"/>
        <v/>
      </c>
      <c r="BA214" s="36" t="str">
        <f>IFERROR(INDEX('Level Multipliers'!$D:$D,MATCH(AZ214,'Level Multipliers'!$A:$A,0)),"")</f>
        <v/>
      </c>
      <c r="BB214" s="37" t="str">
        <f t="shared" si="123"/>
        <v/>
      </c>
      <c r="BC214" s="37" t="str">
        <f t="shared" si="124"/>
        <v/>
      </c>
      <c r="BD214" s="38" t="str">
        <f t="shared" si="125"/>
        <v/>
      </c>
      <c r="BE214" s="38" t="str">
        <f t="shared" si="126"/>
        <v/>
      </c>
      <c r="BF214" s="38" t="b">
        <f t="shared" si="127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8"/>
        <v/>
      </c>
      <c r="BS214" s="36" t="str">
        <f>IFERROR(INDEX('Level Multipliers'!$D:$D,MATCH(BR214,'Level Multipliers'!$A:$A,0)),"")</f>
        <v/>
      </c>
      <c r="BT214" s="37" t="str">
        <f t="shared" si="129"/>
        <v/>
      </c>
      <c r="BU214" s="37" t="str">
        <f t="shared" si="130"/>
        <v/>
      </c>
      <c r="BV214" s="38" t="str">
        <f t="shared" si="131"/>
        <v/>
      </c>
      <c r="BW214" s="38" t="str">
        <f t="shared" si="132"/>
        <v/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4"/>
        <v/>
      </c>
      <c r="CK214" s="41" t="str">
        <f t="shared" si="135"/>
        <v/>
      </c>
      <c r="CL214" s="66" t="str">
        <f t="shared" si="136"/>
        <v/>
      </c>
      <c r="CM214" s="39" t="str">
        <f t="shared" si="137"/>
        <v/>
      </c>
      <c r="CN214" s="39" t="str">
        <f t="shared" si="138"/>
        <v/>
      </c>
      <c r="CO214" s="42" t="str">
        <f t="shared" si="139"/>
        <v/>
      </c>
      <c r="CP214" s="42" t="str">
        <f t="shared" si="140"/>
        <v/>
      </c>
      <c r="CQ214" s="42" t="str">
        <f t="shared" si="141"/>
        <v/>
      </c>
      <c r="CR214" s="42" t="str">
        <f t="shared" si="142"/>
        <v/>
      </c>
      <c r="CS214" s="42" t="str">
        <f t="shared" si="143"/>
        <v/>
      </c>
      <c r="CT214" s="42" t="str">
        <f t="shared" si="144"/>
        <v/>
      </c>
      <c r="CU214" s="43" t="str">
        <f t="shared" si="145"/>
        <v/>
      </c>
      <c r="CV214" s="43" t="str">
        <f t="shared" si="146"/>
        <v/>
      </c>
      <c r="CW214" s="43" t="str">
        <f t="shared" si="147"/>
        <v/>
      </c>
      <c r="CX214" s="13"/>
    </row>
    <row r="215" spans="1:102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11"/>
        <v/>
      </c>
      <c r="S215" s="37" t="str">
        <f t="shared" si="112"/>
        <v/>
      </c>
      <c r="T215" s="38" t="str">
        <f t="shared" si="113"/>
        <v/>
      </c>
      <c r="U215" s="38" t="str">
        <f t="shared" si="114"/>
        <v/>
      </c>
      <c r="V215" s="38" t="b">
        <f t="shared" si="115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6"/>
        <v/>
      </c>
      <c r="AI215" s="36" t="str">
        <f>IFERROR(INDEX('Level Multipliers'!$D:$D,MATCH(AH215,'Level Multipliers'!$A:$A,0)),"")</f>
        <v/>
      </c>
      <c r="AJ215" s="37" t="str">
        <f t="shared" si="117"/>
        <v/>
      </c>
      <c r="AK215" s="37" t="str">
        <f t="shared" si="118"/>
        <v/>
      </c>
      <c r="AL215" s="38" t="str">
        <f t="shared" si="119"/>
        <v/>
      </c>
      <c r="AM215" s="38" t="str">
        <f t="shared" si="120"/>
        <v/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22"/>
        <v/>
      </c>
      <c r="BA215" s="36" t="str">
        <f>IFERROR(INDEX('Level Multipliers'!$D:$D,MATCH(AZ215,'Level Multipliers'!$A:$A,0)),"")</f>
        <v/>
      </c>
      <c r="BB215" s="37" t="str">
        <f t="shared" si="123"/>
        <v/>
      </c>
      <c r="BC215" s="37" t="str">
        <f t="shared" si="124"/>
        <v/>
      </c>
      <c r="BD215" s="38" t="str">
        <f t="shared" si="125"/>
        <v/>
      </c>
      <c r="BE215" s="38" t="str">
        <f t="shared" si="126"/>
        <v/>
      </c>
      <c r="BF215" s="38" t="b">
        <f t="shared" si="127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8"/>
        <v/>
      </c>
      <c r="BS215" s="36" t="str">
        <f>IFERROR(INDEX('Level Multipliers'!$D:$D,MATCH(BR215,'Level Multipliers'!$A:$A,0)),"")</f>
        <v/>
      </c>
      <c r="BT215" s="37" t="str">
        <f t="shared" si="129"/>
        <v/>
      </c>
      <c r="BU215" s="37" t="str">
        <f t="shared" si="130"/>
        <v/>
      </c>
      <c r="BV215" s="38" t="str">
        <f t="shared" si="131"/>
        <v/>
      </c>
      <c r="BW215" s="38" t="str">
        <f t="shared" si="132"/>
        <v/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4"/>
        <v/>
      </c>
      <c r="CK215" s="41" t="str">
        <f t="shared" si="135"/>
        <v/>
      </c>
      <c r="CL215" s="66" t="str">
        <f t="shared" si="136"/>
        <v/>
      </c>
      <c r="CM215" s="39" t="str">
        <f t="shared" si="137"/>
        <v/>
      </c>
      <c r="CN215" s="39" t="str">
        <f t="shared" si="138"/>
        <v/>
      </c>
      <c r="CO215" s="42" t="str">
        <f t="shared" si="139"/>
        <v/>
      </c>
      <c r="CP215" s="42" t="str">
        <f t="shared" si="140"/>
        <v/>
      </c>
      <c r="CQ215" s="42" t="str">
        <f t="shared" si="141"/>
        <v/>
      </c>
      <c r="CR215" s="42" t="str">
        <f t="shared" si="142"/>
        <v/>
      </c>
      <c r="CS215" s="42" t="str">
        <f t="shared" si="143"/>
        <v/>
      </c>
      <c r="CT215" s="42" t="str">
        <f t="shared" si="144"/>
        <v/>
      </c>
      <c r="CU215" s="43" t="str">
        <f t="shared" si="145"/>
        <v/>
      </c>
      <c r="CV215" s="43" t="str">
        <f t="shared" si="146"/>
        <v/>
      </c>
      <c r="CW215" s="43" t="str">
        <f t="shared" si="147"/>
        <v/>
      </c>
      <c r="CX215" s="13"/>
    </row>
    <row r="216" spans="1:102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11"/>
        <v/>
      </c>
      <c r="S216" s="37" t="str">
        <f t="shared" si="112"/>
        <v/>
      </c>
      <c r="T216" s="38" t="str">
        <f t="shared" si="113"/>
        <v/>
      </c>
      <c r="U216" s="38" t="str">
        <f t="shared" si="114"/>
        <v/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6"/>
        <v/>
      </c>
      <c r="AI216" s="36" t="str">
        <f>IFERROR(INDEX('Level Multipliers'!$D:$D,MATCH(AH216,'Level Multipliers'!$A:$A,0)),"")</f>
        <v/>
      </c>
      <c r="AJ216" s="37" t="str">
        <f t="shared" si="117"/>
        <v/>
      </c>
      <c r="AK216" s="37" t="str">
        <f t="shared" si="118"/>
        <v/>
      </c>
      <c r="AL216" s="38" t="str">
        <f t="shared" si="119"/>
        <v/>
      </c>
      <c r="AM216" s="38" t="str">
        <f t="shared" si="120"/>
        <v/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22"/>
        <v/>
      </c>
      <c r="BA216" s="36" t="str">
        <f>IFERROR(INDEX('Level Multipliers'!$D:$D,MATCH(AZ216,'Level Multipliers'!$A:$A,0)),"")</f>
        <v/>
      </c>
      <c r="BB216" s="37" t="str">
        <f t="shared" si="123"/>
        <v/>
      </c>
      <c r="BC216" s="37" t="str">
        <f t="shared" si="124"/>
        <v/>
      </c>
      <c r="BD216" s="38" t="str">
        <f t="shared" si="125"/>
        <v/>
      </c>
      <c r="BE216" s="38" t="str">
        <f t="shared" si="126"/>
        <v/>
      </c>
      <c r="BF216" s="38" t="b">
        <f t="shared" si="127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8"/>
        <v/>
      </c>
      <c r="BS216" s="36" t="str">
        <f>IFERROR(INDEX('Level Multipliers'!$D:$D,MATCH(BR216,'Level Multipliers'!$A:$A,0)),"")</f>
        <v/>
      </c>
      <c r="BT216" s="37" t="str">
        <f t="shared" si="129"/>
        <v/>
      </c>
      <c r="BU216" s="37" t="str">
        <f t="shared" si="130"/>
        <v/>
      </c>
      <c r="BV216" s="38" t="str">
        <f t="shared" si="131"/>
        <v/>
      </c>
      <c r="BW216" s="38" t="str">
        <f t="shared" si="132"/>
        <v/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4"/>
        <v/>
      </c>
      <c r="CK216" s="41" t="str">
        <f t="shared" si="135"/>
        <v/>
      </c>
      <c r="CL216" s="66" t="str">
        <f t="shared" si="136"/>
        <v/>
      </c>
      <c r="CM216" s="39" t="str">
        <f t="shared" si="137"/>
        <v/>
      </c>
      <c r="CN216" s="39" t="str">
        <f t="shared" si="138"/>
        <v/>
      </c>
      <c r="CO216" s="42" t="str">
        <f t="shared" si="139"/>
        <v/>
      </c>
      <c r="CP216" s="42" t="str">
        <f t="shared" si="140"/>
        <v/>
      </c>
      <c r="CQ216" s="42" t="str">
        <f t="shared" si="141"/>
        <v/>
      </c>
      <c r="CR216" s="42" t="str">
        <f t="shared" si="142"/>
        <v/>
      </c>
      <c r="CS216" s="42" t="str">
        <f t="shared" si="143"/>
        <v/>
      </c>
      <c r="CT216" s="42" t="str">
        <f t="shared" si="144"/>
        <v/>
      </c>
      <c r="CU216" s="43" t="str">
        <f t="shared" si="145"/>
        <v/>
      </c>
      <c r="CV216" s="43" t="str">
        <f t="shared" si="146"/>
        <v/>
      </c>
      <c r="CW216" s="43" t="str">
        <f t="shared" si="147"/>
        <v/>
      </c>
      <c r="CX216" s="13"/>
    </row>
    <row r="217" spans="1:102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11"/>
        <v/>
      </c>
      <c r="S217" s="37" t="str">
        <f t="shared" si="112"/>
        <v/>
      </c>
      <c r="T217" s="38" t="str">
        <f t="shared" si="113"/>
        <v/>
      </c>
      <c r="U217" s="38" t="str">
        <f t="shared" si="114"/>
        <v/>
      </c>
      <c r="V217" s="38" t="b">
        <f t="shared" si="115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6"/>
        <v/>
      </c>
      <c r="AI217" s="36" t="str">
        <f>IFERROR(INDEX('Level Multipliers'!$D:$D,MATCH(AH217,'Level Multipliers'!$A:$A,0)),"")</f>
        <v/>
      </c>
      <c r="AJ217" s="37" t="str">
        <f t="shared" si="117"/>
        <v/>
      </c>
      <c r="AK217" s="37" t="str">
        <f t="shared" si="118"/>
        <v/>
      </c>
      <c r="AL217" s="38" t="str">
        <f t="shared" si="119"/>
        <v/>
      </c>
      <c r="AM217" s="38" t="str">
        <f t="shared" si="120"/>
        <v/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22"/>
        <v/>
      </c>
      <c r="BA217" s="36" t="str">
        <f>IFERROR(INDEX('Level Multipliers'!$D:$D,MATCH(AZ217,'Level Multipliers'!$A:$A,0)),"")</f>
        <v/>
      </c>
      <c r="BB217" s="37" t="str">
        <f t="shared" si="123"/>
        <v/>
      </c>
      <c r="BC217" s="37" t="str">
        <f t="shared" si="124"/>
        <v/>
      </c>
      <c r="BD217" s="38" t="str">
        <f t="shared" si="125"/>
        <v/>
      </c>
      <c r="BE217" s="38" t="str">
        <f t="shared" si="126"/>
        <v/>
      </c>
      <c r="BF217" s="38" t="b">
        <f t="shared" si="127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8"/>
        <v/>
      </c>
      <c r="BS217" s="36" t="str">
        <f>IFERROR(INDEX('Level Multipliers'!$D:$D,MATCH(BR217,'Level Multipliers'!$A:$A,0)),"")</f>
        <v/>
      </c>
      <c r="BT217" s="37" t="str">
        <f t="shared" si="129"/>
        <v/>
      </c>
      <c r="BU217" s="37" t="str">
        <f t="shared" si="130"/>
        <v/>
      </c>
      <c r="BV217" s="38" t="str">
        <f t="shared" si="131"/>
        <v/>
      </c>
      <c r="BW217" s="38" t="str">
        <f t="shared" si="132"/>
        <v/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4"/>
        <v/>
      </c>
      <c r="CK217" s="41" t="str">
        <f t="shared" si="135"/>
        <v/>
      </c>
      <c r="CL217" s="66" t="str">
        <f t="shared" si="136"/>
        <v/>
      </c>
      <c r="CM217" s="39" t="str">
        <f t="shared" si="137"/>
        <v/>
      </c>
      <c r="CN217" s="39" t="str">
        <f t="shared" si="138"/>
        <v/>
      </c>
      <c r="CO217" s="42" t="str">
        <f t="shared" si="139"/>
        <v/>
      </c>
      <c r="CP217" s="42" t="str">
        <f t="shared" si="140"/>
        <v/>
      </c>
      <c r="CQ217" s="42" t="str">
        <f t="shared" si="141"/>
        <v/>
      </c>
      <c r="CR217" s="42" t="str">
        <f t="shared" si="142"/>
        <v/>
      </c>
      <c r="CS217" s="42" t="str">
        <f t="shared" si="143"/>
        <v/>
      </c>
      <c r="CT217" s="42" t="str">
        <f t="shared" si="144"/>
        <v/>
      </c>
      <c r="CU217" s="43" t="str">
        <f t="shared" si="145"/>
        <v/>
      </c>
      <c r="CV217" s="43" t="str">
        <f t="shared" si="146"/>
        <v/>
      </c>
      <c r="CW217" s="43" t="str">
        <f t="shared" si="147"/>
        <v/>
      </c>
      <c r="CX217" s="13"/>
    </row>
    <row r="218" spans="1:102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11"/>
        <v/>
      </c>
      <c r="S218" s="37" t="str">
        <f t="shared" si="112"/>
        <v/>
      </c>
      <c r="T218" s="38" t="str">
        <f t="shared" si="113"/>
        <v/>
      </c>
      <c r="U218" s="38" t="str">
        <f t="shared" si="114"/>
        <v/>
      </c>
      <c r="V218" s="38" t="b">
        <f t="shared" si="115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6"/>
        <v/>
      </c>
      <c r="AI218" s="36" t="str">
        <f>IFERROR(INDEX('Level Multipliers'!$D:$D,MATCH(AH218,'Level Multipliers'!$A:$A,0)),"")</f>
        <v/>
      </c>
      <c r="AJ218" s="37" t="str">
        <f t="shared" si="117"/>
        <v/>
      </c>
      <c r="AK218" s="37" t="str">
        <f t="shared" si="118"/>
        <v/>
      </c>
      <c r="AL218" s="38" t="str">
        <f t="shared" si="119"/>
        <v/>
      </c>
      <c r="AM218" s="38" t="str">
        <f t="shared" si="120"/>
        <v/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22"/>
        <v/>
      </c>
      <c r="BA218" s="36" t="str">
        <f>IFERROR(INDEX('Level Multipliers'!$D:$D,MATCH(AZ218,'Level Multipliers'!$A:$A,0)),"")</f>
        <v/>
      </c>
      <c r="BB218" s="37" t="str">
        <f t="shared" si="123"/>
        <v/>
      </c>
      <c r="BC218" s="37" t="str">
        <f t="shared" si="124"/>
        <v/>
      </c>
      <c r="BD218" s="38" t="str">
        <f t="shared" si="125"/>
        <v/>
      </c>
      <c r="BE218" s="38" t="str">
        <f t="shared" si="126"/>
        <v/>
      </c>
      <c r="BF218" s="38" t="b">
        <f t="shared" si="127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8"/>
        <v/>
      </c>
      <c r="BS218" s="36" t="str">
        <f>IFERROR(INDEX('Level Multipliers'!$D:$D,MATCH(BR218,'Level Multipliers'!$A:$A,0)),"")</f>
        <v/>
      </c>
      <c r="BT218" s="37" t="str">
        <f t="shared" si="129"/>
        <v/>
      </c>
      <c r="BU218" s="37" t="str">
        <f t="shared" si="130"/>
        <v/>
      </c>
      <c r="BV218" s="38" t="str">
        <f t="shared" si="131"/>
        <v/>
      </c>
      <c r="BW218" s="38" t="str">
        <f t="shared" si="132"/>
        <v/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4"/>
        <v/>
      </c>
      <c r="CK218" s="41" t="str">
        <f t="shared" si="135"/>
        <v/>
      </c>
      <c r="CL218" s="66" t="str">
        <f t="shared" si="136"/>
        <v/>
      </c>
      <c r="CM218" s="39" t="str">
        <f t="shared" si="137"/>
        <v/>
      </c>
      <c r="CN218" s="39" t="str">
        <f t="shared" si="138"/>
        <v/>
      </c>
      <c r="CO218" s="42" t="str">
        <f t="shared" si="139"/>
        <v/>
      </c>
      <c r="CP218" s="42" t="str">
        <f t="shared" si="140"/>
        <v/>
      </c>
      <c r="CQ218" s="42" t="str">
        <f t="shared" si="141"/>
        <v/>
      </c>
      <c r="CR218" s="42" t="str">
        <f t="shared" si="142"/>
        <v/>
      </c>
      <c r="CS218" s="42" t="str">
        <f t="shared" si="143"/>
        <v/>
      </c>
      <c r="CT218" s="42" t="str">
        <f t="shared" si="144"/>
        <v/>
      </c>
      <c r="CU218" s="43" t="str">
        <f t="shared" si="145"/>
        <v/>
      </c>
      <c r="CV218" s="43" t="str">
        <f t="shared" si="146"/>
        <v/>
      </c>
      <c r="CW218" s="43" t="str">
        <f t="shared" si="147"/>
        <v/>
      </c>
      <c r="CX218" s="13"/>
    </row>
    <row r="219" spans="1:102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11"/>
        <v/>
      </c>
      <c r="S219" s="37" t="str">
        <f t="shared" si="112"/>
        <v/>
      </c>
      <c r="T219" s="38" t="str">
        <f t="shared" si="113"/>
        <v/>
      </c>
      <c r="U219" s="38" t="str">
        <f t="shared" si="114"/>
        <v/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6"/>
        <v/>
      </c>
      <c r="AI219" s="36" t="str">
        <f>IFERROR(INDEX('Level Multipliers'!$D:$D,MATCH(AH219,'Level Multipliers'!$A:$A,0)),"")</f>
        <v/>
      </c>
      <c r="AJ219" s="37" t="str">
        <f t="shared" si="117"/>
        <v/>
      </c>
      <c r="AK219" s="37" t="str">
        <f t="shared" si="118"/>
        <v/>
      </c>
      <c r="AL219" s="38" t="str">
        <f t="shared" si="119"/>
        <v/>
      </c>
      <c r="AM219" s="38" t="str">
        <f t="shared" si="120"/>
        <v/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22"/>
        <v/>
      </c>
      <c r="BA219" s="36" t="str">
        <f>IFERROR(INDEX('Level Multipliers'!$D:$D,MATCH(AZ219,'Level Multipliers'!$A:$A,0)),"")</f>
        <v/>
      </c>
      <c r="BB219" s="37" t="str">
        <f t="shared" si="123"/>
        <v/>
      </c>
      <c r="BC219" s="37" t="str">
        <f t="shared" si="124"/>
        <v/>
      </c>
      <c r="BD219" s="38" t="str">
        <f t="shared" si="125"/>
        <v/>
      </c>
      <c r="BE219" s="38" t="str">
        <f t="shared" si="126"/>
        <v/>
      </c>
      <c r="BF219" s="38" t="b">
        <f t="shared" si="127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8"/>
        <v/>
      </c>
      <c r="BS219" s="36" t="str">
        <f>IFERROR(INDEX('Level Multipliers'!$D:$D,MATCH(BR219,'Level Multipliers'!$A:$A,0)),"")</f>
        <v/>
      </c>
      <c r="BT219" s="37" t="str">
        <f t="shared" si="129"/>
        <v/>
      </c>
      <c r="BU219" s="37" t="str">
        <f t="shared" si="130"/>
        <v/>
      </c>
      <c r="BV219" s="38" t="str">
        <f t="shared" si="131"/>
        <v/>
      </c>
      <c r="BW219" s="38" t="str">
        <f t="shared" si="132"/>
        <v/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4"/>
        <v/>
      </c>
      <c r="CK219" s="41" t="str">
        <f t="shared" si="135"/>
        <v/>
      </c>
      <c r="CL219" s="66" t="str">
        <f t="shared" si="136"/>
        <v/>
      </c>
      <c r="CM219" s="39" t="str">
        <f t="shared" si="137"/>
        <v/>
      </c>
      <c r="CN219" s="39" t="str">
        <f t="shared" si="138"/>
        <v/>
      </c>
      <c r="CO219" s="42" t="str">
        <f t="shared" si="139"/>
        <v/>
      </c>
      <c r="CP219" s="42" t="str">
        <f t="shared" si="140"/>
        <v/>
      </c>
      <c r="CQ219" s="42" t="str">
        <f t="shared" si="141"/>
        <v/>
      </c>
      <c r="CR219" s="42" t="str">
        <f t="shared" si="142"/>
        <v/>
      </c>
      <c r="CS219" s="42" t="str">
        <f t="shared" si="143"/>
        <v/>
      </c>
      <c r="CT219" s="42" t="str">
        <f t="shared" si="144"/>
        <v/>
      </c>
      <c r="CU219" s="43" t="str">
        <f t="shared" si="145"/>
        <v/>
      </c>
      <c r="CV219" s="43" t="str">
        <f t="shared" si="146"/>
        <v/>
      </c>
      <c r="CW219" s="43" t="str">
        <f t="shared" si="147"/>
        <v/>
      </c>
      <c r="CX219" s="13"/>
    </row>
    <row r="220" spans="1:102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11"/>
        <v/>
      </c>
      <c r="S220" s="37" t="str">
        <f t="shared" si="112"/>
        <v/>
      </c>
      <c r="T220" s="38" t="str">
        <f t="shared" si="113"/>
        <v/>
      </c>
      <c r="U220" s="38" t="str">
        <f t="shared" si="114"/>
        <v/>
      </c>
      <c r="V220" s="38" t="b">
        <f t="shared" si="115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6"/>
        <v/>
      </c>
      <c r="AI220" s="36" t="str">
        <f>IFERROR(INDEX('Level Multipliers'!$D:$D,MATCH(AH220,'Level Multipliers'!$A:$A,0)),"")</f>
        <v/>
      </c>
      <c r="AJ220" s="37" t="str">
        <f t="shared" si="117"/>
        <v/>
      </c>
      <c r="AK220" s="37" t="str">
        <f t="shared" si="118"/>
        <v/>
      </c>
      <c r="AL220" s="38" t="str">
        <f t="shared" si="119"/>
        <v/>
      </c>
      <c r="AM220" s="38" t="str">
        <f t="shared" si="120"/>
        <v/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22"/>
        <v/>
      </c>
      <c r="BA220" s="36" t="str">
        <f>IFERROR(INDEX('Level Multipliers'!$D:$D,MATCH(AZ220,'Level Multipliers'!$A:$A,0)),"")</f>
        <v/>
      </c>
      <c r="BB220" s="37" t="str">
        <f t="shared" si="123"/>
        <v/>
      </c>
      <c r="BC220" s="37" t="str">
        <f t="shared" si="124"/>
        <v/>
      </c>
      <c r="BD220" s="38" t="str">
        <f t="shared" si="125"/>
        <v/>
      </c>
      <c r="BE220" s="38" t="str">
        <f t="shared" si="126"/>
        <v/>
      </c>
      <c r="BF220" s="38" t="b">
        <f t="shared" si="127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8"/>
        <v/>
      </c>
      <c r="BS220" s="36" t="str">
        <f>IFERROR(INDEX('Level Multipliers'!$D:$D,MATCH(BR220,'Level Multipliers'!$A:$A,0)),"")</f>
        <v/>
      </c>
      <c r="BT220" s="37" t="str">
        <f t="shared" si="129"/>
        <v/>
      </c>
      <c r="BU220" s="37" t="str">
        <f t="shared" si="130"/>
        <v/>
      </c>
      <c r="BV220" s="38" t="str">
        <f t="shared" si="131"/>
        <v/>
      </c>
      <c r="BW220" s="38" t="str">
        <f t="shared" si="132"/>
        <v/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4"/>
        <v/>
      </c>
      <c r="CK220" s="41" t="str">
        <f t="shared" si="135"/>
        <v/>
      </c>
      <c r="CL220" s="66" t="str">
        <f t="shared" si="136"/>
        <v/>
      </c>
      <c r="CM220" s="39" t="str">
        <f t="shared" si="137"/>
        <v/>
      </c>
      <c r="CN220" s="39" t="str">
        <f t="shared" si="138"/>
        <v/>
      </c>
      <c r="CO220" s="42" t="str">
        <f t="shared" si="139"/>
        <v/>
      </c>
      <c r="CP220" s="42" t="str">
        <f t="shared" si="140"/>
        <v/>
      </c>
      <c r="CQ220" s="42" t="str">
        <f t="shared" si="141"/>
        <v/>
      </c>
      <c r="CR220" s="42" t="str">
        <f t="shared" si="142"/>
        <v/>
      </c>
      <c r="CS220" s="42" t="str">
        <f t="shared" si="143"/>
        <v/>
      </c>
      <c r="CT220" s="42" t="str">
        <f t="shared" si="144"/>
        <v/>
      </c>
      <c r="CU220" s="43" t="str">
        <f t="shared" si="145"/>
        <v/>
      </c>
      <c r="CV220" s="43" t="str">
        <f t="shared" si="146"/>
        <v/>
      </c>
      <c r="CW220" s="43" t="str">
        <f t="shared" si="147"/>
        <v/>
      </c>
      <c r="CX220" s="13"/>
    </row>
    <row r="221" spans="1:102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11"/>
        <v/>
      </c>
      <c r="S221" s="37" t="str">
        <f t="shared" si="112"/>
        <v/>
      </c>
      <c r="T221" s="38" t="str">
        <f t="shared" si="113"/>
        <v/>
      </c>
      <c r="U221" s="38" t="str">
        <f t="shared" si="114"/>
        <v/>
      </c>
      <c r="V221" s="38" t="b">
        <f t="shared" si="115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6"/>
        <v/>
      </c>
      <c r="AI221" s="36" t="str">
        <f>IFERROR(INDEX('Level Multipliers'!$D:$D,MATCH(AH221,'Level Multipliers'!$A:$A,0)),"")</f>
        <v/>
      </c>
      <c r="AJ221" s="37" t="str">
        <f t="shared" si="117"/>
        <v/>
      </c>
      <c r="AK221" s="37" t="str">
        <f t="shared" si="118"/>
        <v/>
      </c>
      <c r="AL221" s="38" t="str">
        <f t="shared" si="119"/>
        <v/>
      </c>
      <c r="AM221" s="38" t="str">
        <f t="shared" si="120"/>
        <v/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22"/>
        <v/>
      </c>
      <c r="BA221" s="36" t="str">
        <f>IFERROR(INDEX('Level Multipliers'!$D:$D,MATCH(AZ221,'Level Multipliers'!$A:$A,0)),"")</f>
        <v/>
      </c>
      <c r="BB221" s="37" t="str">
        <f t="shared" si="123"/>
        <v/>
      </c>
      <c r="BC221" s="37" t="str">
        <f t="shared" si="124"/>
        <v/>
      </c>
      <c r="BD221" s="38" t="str">
        <f t="shared" si="125"/>
        <v/>
      </c>
      <c r="BE221" s="38" t="str">
        <f t="shared" si="126"/>
        <v/>
      </c>
      <c r="BF221" s="38" t="b">
        <f t="shared" si="127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8"/>
        <v/>
      </c>
      <c r="BS221" s="36" t="str">
        <f>IFERROR(INDEX('Level Multipliers'!$D:$D,MATCH(BR221,'Level Multipliers'!$A:$A,0)),"")</f>
        <v/>
      </c>
      <c r="BT221" s="37" t="str">
        <f t="shared" si="129"/>
        <v/>
      </c>
      <c r="BU221" s="37" t="str">
        <f t="shared" si="130"/>
        <v/>
      </c>
      <c r="BV221" s="38" t="str">
        <f t="shared" si="131"/>
        <v/>
      </c>
      <c r="BW221" s="38" t="str">
        <f t="shared" si="132"/>
        <v/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4"/>
        <v/>
      </c>
      <c r="CK221" s="41" t="str">
        <f t="shared" si="135"/>
        <v/>
      </c>
      <c r="CL221" s="66" t="str">
        <f t="shared" si="136"/>
        <v/>
      </c>
      <c r="CM221" s="39" t="str">
        <f t="shared" si="137"/>
        <v/>
      </c>
      <c r="CN221" s="39" t="str">
        <f t="shared" si="138"/>
        <v/>
      </c>
      <c r="CO221" s="42" t="str">
        <f t="shared" si="139"/>
        <v/>
      </c>
      <c r="CP221" s="42" t="str">
        <f t="shared" si="140"/>
        <v/>
      </c>
      <c r="CQ221" s="42" t="str">
        <f t="shared" si="141"/>
        <v/>
      </c>
      <c r="CR221" s="42" t="str">
        <f t="shared" si="142"/>
        <v/>
      </c>
      <c r="CS221" s="42" t="str">
        <f t="shared" si="143"/>
        <v/>
      </c>
      <c r="CT221" s="42" t="str">
        <f t="shared" si="144"/>
        <v/>
      </c>
      <c r="CU221" s="43" t="str">
        <f t="shared" si="145"/>
        <v/>
      </c>
      <c r="CV221" s="43" t="str">
        <f t="shared" si="146"/>
        <v/>
      </c>
      <c r="CW221" s="43" t="str">
        <f t="shared" si="147"/>
        <v/>
      </c>
      <c r="CX221" s="13"/>
    </row>
    <row r="222" spans="1:102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11"/>
        <v/>
      </c>
      <c r="S222" s="37" t="str">
        <f t="shared" si="112"/>
        <v/>
      </c>
      <c r="T222" s="38" t="str">
        <f t="shared" si="113"/>
        <v/>
      </c>
      <c r="U222" s="38" t="str">
        <f t="shared" si="114"/>
        <v/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6"/>
        <v/>
      </c>
      <c r="AI222" s="36" t="str">
        <f>IFERROR(INDEX('Level Multipliers'!$D:$D,MATCH(AH222,'Level Multipliers'!$A:$A,0)),"")</f>
        <v/>
      </c>
      <c r="AJ222" s="37" t="str">
        <f t="shared" si="117"/>
        <v/>
      </c>
      <c r="AK222" s="37" t="str">
        <f t="shared" si="118"/>
        <v/>
      </c>
      <c r="AL222" s="38" t="str">
        <f t="shared" si="119"/>
        <v/>
      </c>
      <c r="AM222" s="38" t="str">
        <f t="shared" si="120"/>
        <v/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22"/>
        <v/>
      </c>
      <c r="BA222" s="36" t="str">
        <f>IFERROR(INDEX('Level Multipliers'!$D:$D,MATCH(AZ222,'Level Multipliers'!$A:$A,0)),"")</f>
        <v/>
      </c>
      <c r="BB222" s="37" t="str">
        <f t="shared" si="123"/>
        <v/>
      </c>
      <c r="BC222" s="37" t="str">
        <f t="shared" si="124"/>
        <v/>
      </c>
      <c r="BD222" s="38" t="str">
        <f t="shared" si="125"/>
        <v/>
      </c>
      <c r="BE222" s="38" t="str">
        <f t="shared" si="126"/>
        <v/>
      </c>
      <c r="BF222" s="38" t="b">
        <f t="shared" si="127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8"/>
        <v/>
      </c>
      <c r="BS222" s="36" t="str">
        <f>IFERROR(INDEX('Level Multipliers'!$D:$D,MATCH(BR222,'Level Multipliers'!$A:$A,0)),"")</f>
        <v/>
      </c>
      <c r="BT222" s="37" t="str">
        <f t="shared" si="129"/>
        <v/>
      </c>
      <c r="BU222" s="37" t="str">
        <f t="shared" si="130"/>
        <v/>
      </c>
      <c r="BV222" s="38" t="str">
        <f t="shared" si="131"/>
        <v/>
      </c>
      <c r="BW222" s="38" t="str">
        <f t="shared" si="132"/>
        <v/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4"/>
        <v/>
      </c>
      <c r="CK222" s="41" t="str">
        <f t="shared" si="135"/>
        <v/>
      </c>
      <c r="CL222" s="66" t="str">
        <f t="shared" si="136"/>
        <v/>
      </c>
      <c r="CM222" s="39" t="str">
        <f t="shared" si="137"/>
        <v/>
      </c>
      <c r="CN222" s="39" t="str">
        <f t="shared" si="138"/>
        <v/>
      </c>
      <c r="CO222" s="42" t="str">
        <f t="shared" si="139"/>
        <v/>
      </c>
      <c r="CP222" s="42" t="str">
        <f t="shared" si="140"/>
        <v/>
      </c>
      <c r="CQ222" s="42" t="str">
        <f t="shared" si="141"/>
        <v/>
      </c>
      <c r="CR222" s="42" t="str">
        <f t="shared" si="142"/>
        <v/>
      </c>
      <c r="CS222" s="42" t="str">
        <f t="shared" si="143"/>
        <v/>
      </c>
      <c r="CT222" s="42" t="str">
        <f t="shared" si="144"/>
        <v/>
      </c>
      <c r="CU222" s="43" t="str">
        <f t="shared" si="145"/>
        <v/>
      </c>
      <c r="CV222" s="43" t="str">
        <f t="shared" si="146"/>
        <v/>
      </c>
      <c r="CW222" s="43" t="str">
        <f t="shared" si="147"/>
        <v/>
      </c>
      <c r="CX222" s="13"/>
    </row>
    <row r="223" spans="1:102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11"/>
        <v/>
      </c>
      <c r="S223" s="37" t="str">
        <f t="shared" si="112"/>
        <v/>
      </c>
      <c r="T223" s="38" t="str">
        <f t="shared" si="113"/>
        <v/>
      </c>
      <c r="U223" s="38" t="str">
        <f t="shared" si="114"/>
        <v/>
      </c>
      <c r="V223" s="38" t="b">
        <f t="shared" si="115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6"/>
        <v/>
      </c>
      <c r="AI223" s="36" t="str">
        <f>IFERROR(INDEX('Level Multipliers'!$D:$D,MATCH(AH223,'Level Multipliers'!$A:$A,0)),"")</f>
        <v/>
      </c>
      <c r="AJ223" s="37" t="str">
        <f t="shared" si="117"/>
        <v/>
      </c>
      <c r="AK223" s="37" t="str">
        <f t="shared" si="118"/>
        <v/>
      </c>
      <c r="AL223" s="38" t="str">
        <f t="shared" si="119"/>
        <v/>
      </c>
      <c r="AM223" s="38" t="str">
        <f t="shared" si="120"/>
        <v/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22"/>
        <v/>
      </c>
      <c r="BA223" s="36" t="str">
        <f>IFERROR(INDEX('Level Multipliers'!$D:$D,MATCH(AZ223,'Level Multipliers'!$A:$A,0)),"")</f>
        <v/>
      </c>
      <c r="BB223" s="37" t="str">
        <f t="shared" si="123"/>
        <v/>
      </c>
      <c r="BC223" s="37" t="str">
        <f t="shared" si="124"/>
        <v/>
      </c>
      <c r="BD223" s="38" t="str">
        <f t="shared" si="125"/>
        <v/>
      </c>
      <c r="BE223" s="38" t="str">
        <f t="shared" si="126"/>
        <v/>
      </c>
      <c r="BF223" s="38" t="b">
        <f t="shared" si="127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8"/>
        <v/>
      </c>
      <c r="BS223" s="36" t="str">
        <f>IFERROR(INDEX('Level Multipliers'!$D:$D,MATCH(BR223,'Level Multipliers'!$A:$A,0)),"")</f>
        <v/>
      </c>
      <c r="BT223" s="37" t="str">
        <f t="shared" si="129"/>
        <v/>
      </c>
      <c r="BU223" s="37" t="str">
        <f t="shared" si="130"/>
        <v/>
      </c>
      <c r="BV223" s="38" t="str">
        <f t="shared" si="131"/>
        <v/>
      </c>
      <c r="BW223" s="38" t="str">
        <f t="shared" si="132"/>
        <v/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4"/>
        <v/>
      </c>
      <c r="CK223" s="41" t="str">
        <f t="shared" si="135"/>
        <v/>
      </c>
      <c r="CL223" s="66" t="str">
        <f t="shared" si="136"/>
        <v/>
      </c>
      <c r="CM223" s="39" t="str">
        <f t="shared" si="137"/>
        <v/>
      </c>
      <c r="CN223" s="39" t="str">
        <f t="shared" si="138"/>
        <v/>
      </c>
      <c r="CO223" s="42" t="str">
        <f t="shared" si="139"/>
        <v/>
      </c>
      <c r="CP223" s="42" t="str">
        <f t="shared" si="140"/>
        <v/>
      </c>
      <c r="CQ223" s="42" t="str">
        <f t="shared" si="141"/>
        <v/>
      </c>
      <c r="CR223" s="42" t="str">
        <f t="shared" si="142"/>
        <v/>
      </c>
      <c r="CS223" s="42" t="str">
        <f t="shared" si="143"/>
        <v/>
      </c>
      <c r="CT223" s="42" t="str">
        <f t="shared" si="144"/>
        <v/>
      </c>
      <c r="CU223" s="43" t="str">
        <f t="shared" si="145"/>
        <v/>
      </c>
      <c r="CV223" s="43" t="str">
        <f t="shared" si="146"/>
        <v/>
      </c>
      <c r="CW223" s="43" t="str">
        <f t="shared" si="147"/>
        <v/>
      </c>
      <c r="CX223" s="13"/>
    </row>
    <row r="224" spans="1:102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11"/>
        <v/>
      </c>
      <c r="S224" s="37" t="str">
        <f t="shared" si="112"/>
        <v/>
      </c>
      <c r="T224" s="38" t="str">
        <f t="shared" si="113"/>
        <v/>
      </c>
      <c r="U224" s="38" t="str">
        <f t="shared" si="114"/>
        <v/>
      </c>
      <c r="V224" s="38" t="b">
        <f t="shared" si="115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6"/>
        <v/>
      </c>
      <c r="AI224" s="36" t="str">
        <f>IFERROR(INDEX('Level Multipliers'!$D:$D,MATCH(AH224,'Level Multipliers'!$A:$A,0)),"")</f>
        <v/>
      </c>
      <c r="AJ224" s="37" t="str">
        <f t="shared" si="117"/>
        <v/>
      </c>
      <c r="AK224" s="37" t="str">
        <f t="shared" si="118"/>
        <v/>
      </c>
      <c r="AL224" s="38" t="str">
        <f t="shared" si="119"/>
        <v/>
      </c>
      <c r="AM224" s="38" t="str">
        <f t="shared" si="120"/>
        <v/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22"/>
        <v/>
      </c>
      <c r="BA224" s="36" t="str">
        <f>IFERROR(INDEX('Level Multipliers'!$D:$D,MATCH(AZ224,'Level Multipliers'!$A:$A,0)),"")</f>
        <v/>
      </c>
      <c r="BB224" s="37" t="str">
        <f t="shared" si="123"/>
        <v/>
      </c>
      <c r="BC224" s="37" t="str">
        <f t="shared" si="124"/>
        <v/>
      </c>
      <c r="BD224" s="38" t="str">
        <f t="shared" si="125"/>
        <v/>
      </c>
      <c r="BE224" s="38" t="str">
        <f t="shared" si="126"/>
        <v/>
      </c>
      <c r="BF224" s="38" t="b">
        <f t="shared" si="127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8"/>
        <v/>
      </c>
      <c r="BS224" s="36" t="str">
        <f>IFERROR(INDEX('Level Multipliers'!$D:$D,MATCH(BR224,'Level Multipliers'!$A:$A,0)),"")</f>
        <v/>
      </c>
      <c r="BT224" s="37" t="str">
        <f t="shared" si="129"/>
        <v/>
      </c>
      <c r="BU224" s="37" t="str">
        <f t="shared" si="130"/>
        <v/>
      </c>
      <c r="BV224" s="38" t="str">
        <f t="shared" si="131"/>
        <v/>
      </c>
      <c r="BW224" s="38" t="str">
        <f t="shared" si="132"/>
        <v/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4"/>
        <v/>
      </c>
      <c r="CK224" s="41" t="str">
        <f t="shared" si="135"/>
        <v/>
      </c>
      <c r="CL224" s="66" t="str">
        <f t="shared" si="136"/>
        <v/>
      </c>
      <c r="CM224" s="39" t="str">
        <f t="shared" si="137"/>
        <v/>
      </c>
      <c r="CN224" s="39" t="str">
        <f t="shared" si="138"/>
        <v/>
      </c>
      <c r="CO224" s="42" t="str">
        <f t="shared" si="139"/>
        <v/>
      </c>
      <c r="CP224" s="42" t="str">
        <f t="shared" si="140"/>
        <v/>
      </c>
      <c r="CQ224" s="42" t="str">
        <f t="shared" si="141"/>
        <v/>
      </c>
      <c r="CR224" s="42" t="str">
        <f t="shared" si="142"/>
        <v/>
      </c>
      <c r="CS224" s="42" t="str">
        <f t="shared" si="143"/>
        <v/>
      </c>
      <c r="CT224" s="42" t="str">
        <f t="shared" si="144"/>
        <v/>
      </c>
      <c r="CU224" s="43" t="str">
        <f t="shared" si="145"/>
        <v/>
      </c>
      <c r="CV224" s="43" t="str">
        <f t="shared" si="146"/>
        <v/>
      </c>
      <c r="CW224" s="43" t="str">
        <f t="shared" si="147"/>
        <v/>
      </c>
      <c r="CX224" s="13"/>
    </row>
    <row r="225" spans="1:102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11"/>
        <v/>
      </c>
      <c r="S225" s="37" t="str">
        <f t="shared" si="112"/>
        <v/>
      </c>
      <c r="T225" s="38" t="str">
        <f t="shared" si="113"/>
        <v/>
      </c>
      <c r="U225" s="38" t="str">
        <f t="shared" si="114"/>
        <v/>
      </c>
      <c r="V225" s="38" t="b">
        <f t="shared" si="115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6"/>
        <v/>
      </c>
      <c r="AI225" s="36" t="str">
        <f>IFERROR(INDEX('Level Multipliers'!$D:$D,MATCH(AH225,'Level Multipliers'!$A:$A,0)),"")</f>
        <v/>
      </c>
      <c r="AJ225" s="37" t="str">
        <f t="shared" si="117"/>
        <v/>
      </c>
      <c r="AK225" s="37" t="str">
        <f t="shared" si="118"/>
        <v/>
      </c>
      <c r="AL225" s="38" t="str">
        <f t="shared" si="119"/>
        <v/>
      </c>
      <c r="AM225" s="38" t="str">
        <f t="shared" si="120"/>
        <v/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22"/>
        <v/>
      </c>
      <c r="BA225" s="36" t="str">
        <f>IFERROR(INDEX('Level Multipliers'!$D:$D,MATCH(AZ225,'Level Multipliers'!$A:$A,0)),"")</f>
        <v/>
      </c>
      <c r="BB225" s="37" t="str">
        <f t="shared" si="123"/>
        <v/>
      </c>
      <c r="BC225" s="37" t="str">
        <f t="shared" si="124"/>
        <v/>
      </c>
      <c r="BD225" s="38" t="str">
        <f t="shared" si="125"/>
        <v/>
      </c>
      <c r="BE225" s="38" t="str">
        <f t="shared" si="126"/>
        <v/>
      </c>
      <c r="BF225" s="38" t="b">
        <f t="shared" si="127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8"/>
        <v/>
      </c>
      <c r="BS225" s="36" t="str">
        <f>IFERROR(INDEX('Level Multipliers'!$D:$D,MATCH(BR225,'Level Multipliers'!$A:$A,0)),"")</f>
        <v/>
      </c>
      <c r="BT225" s="37" t="str">
        <f t="shared" si="129"/>
        <v/>
      </c>
      <c r="BU225" s="37" t="str">
        <f t="shared" si="130"/>
        <v/>
      </c>
      <c r="BV225" s="38" t="str">
        <f t="shared" si="131"/>
        <v/>
      </c>
      <c r="BW225" s="38" t="str">
        <f t="shared" si="132"/>
        <v/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4"/>
        <v/>
      </c>
      <c r="CK225" s="41" t="str">
        <f t="shared" si="135"/>
        <v/>
      </c>
      <c r="CL225" s="66" t="str">
        <f t="shared" si="136"/>
        <v/>
      </c>
      <c r="CM225" s="39" t="str">
        <f t="shared" si="137"/>
        <v/>
      </c>
      <c r="CN225" s="39" t="str">
        <f t="shared" si="138"/>
        <v/>
      </c>
      <c r="CO225" s="42" t="str">
        <f t="shared" si="139"/>
        <v/>
      </c>
      <c r="CP225" s="42" t="str">
        <f t="shared" si="140"/>
        <v/>
      </c>
      <c r="CQ225" s="42" t="str">
        <f t="shared" si="141"/>
        <v/>
      </c>
      <c r="CR225" s="42" t="str">
        <f t="shared" si="142"/>
        <v/>
      </c>
      <c r="CS225" s="42" t="str">
        <f t="shared" si="143"/>
        <v/>
      </c>
      <c r="CT225" s="42" t="str">
        <f t="shared" si="144"/>
        <v/>
      </c>
      <c r="CU225" s="43" t="str">
        <f t="shared" si="145"/>
        <v/>
      </c>
      <c r="CV225" s="43" t="str">
        <f t="shared" si="146"/>
        <v/>
      </c>
      <c r="CW225" s="43" t="str">
        <f t="shared" si="147"/>
        <v/>
      </c>
      <c r="CX225" s="13"/>
    </row>
    <row r="226" spans="1:102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11"/>
        <v/>
      </c>
      <c r="S226" s="37" t="str">
        <f t="shared" si="112"/>
        <v/>
      </c>
      <c r="T226" s="38" t="str">
        <f t="shared" si="113"/>
        <v/>
      </c>
      <c r="U226" s="38" t="str">
        <f t="shared" si="114"/>
        <v/>
      </c>
      <c r="V226" s="38" t="b">
        <f t="shared" si="115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6"/>
        <v/>
      </c>
      <c r="AI226" s="36" t="str">
        <f>IFERROR(INDEX('Level Multipliers'!$D:$D,MATCH(AH226,'Level Multipliers'!$A:$A,0)),"")</f>
        <v/>
      </c>
      <c r="AJ226" s="37" t="str">
        <f t="shared" si="117"/>
        <v/>
      </c>
      <c r="AK226" s="37" t="str">
        <f t="shared" si="118"/>
        <v/>
      </c>
      <c r="AL226" s="38" t="str">
        <f t="shared" si="119"/>
        <v/>
      </c>
      <c r="AM226" s="38" t="str">
        <f t="shared" si="120"/>
        <v/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22"/>
        <v/>
      </c>
      <c r="BA226" s="36" t="str">
        <f>IFERROR(INDEX('Level Multipliers'!$D:$D,MATCH(AZ226,'Level Multipliers'!$A:$A,0)),"")</f>
        <v/>
      </c>
      <c r="BB226" s="37" t="str">
        <f t="shared" si="123"/>
        <v/>
      </c>
      <c r="BC226" s="37" t="str">
        <f t="shared" si="124"/>
        <v/>
      </c>
      <c r="BD226" s="38" t="str">
        <f t="shared" si="125"/>
        <v/>
      </c>
      <c r="BE226" s="38" t="str">
        <f t="shared" si="126"/>
        <v/>
      </c>
      <c r="BF226" s="38" t="b">
        <f t="shared" si="127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8"/>
        <v/>
      </c>
      <c r="BS226" s="36" t="str">
        <f>IFERROR(INDEX('Level Multipliers'!$D:$D,MATCH(BR226,'Level Multipliers'!$A:$A,0)),"")</f>
        <v/>
      </c>
      <c r="BT226" s="37" t="str">
        <f t="shared" si="129"/>
        <v/>
      </c>
      <c r="BU226" s="37" t="str">
        <f t="shared" si="130"/>
        <v/>
      </c>
      <c r="BV226" s="38" t="str">
        <f t="shared" si="131"/>
        <v/>
      </c>
      <c r="BW226" s="38" t="str">
        <f t="shared" si="132"/>
        <v/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4"/>
        <v/>
      </c>
      <c r="CK226" s="41" t="str">
        <f t="shared" si="135"/>
        <v/>
      </c>
      <c r="CL226" s="66" t="str">
        <f t="shared" si="136"/>
        <v/>
      </c>
      <c r="CM226" s="39" t="str">
        <f t="shared" si="137"/>
        <v/>
      </c>
      <c r="CN226" s="39" t="str">
        <f t="shared" si="138"/>
        <v/>
      </c>
      <c r="CO226" s="42" t="str">
        <f t="shared" si="139"/>
        <v/>
      </c>
      <c r="CP226" s="42" t="str">
        <f t="shared" si="140"/>
        <v/>
      </c>
      <c r="CQ226" s="42" t="str">
        <f t="shared" si="141"/>
        <v/>
      </c>
      <c r="CR226" s="42" t="str">
        <f t="shared" si="142"/>
        <v/>
      </c>
      <c r="CS226" s="42" t="str">
        <f t="shared" si="143"/>
        <v/>
      </c>
      <c r="CT226" s="42" t="str">
        <f t="shared" si="144"/>
        <v/>
      </c>
      <c r="CU226" s="43" t="str">
        <f t="shared" si="145"/>
        <v/>
      </c>
      <c r="CV226" s="43" t="str">
        <f t="shared" si="146"/>
        <v/>
      </c>
      <c r="CW226" s="43" t="str">
        <f t="shared" si="147"/>
        <v/>
      </c>
      <c r="CX226" s="13"/>
    </row>
    <row r="227" spans="1:102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11"/>
        <v/>
      </c>
      <c r="S227" s="37" t="str">
        <f t="shared" si="112"/>
        <v/>
      </c>
      <c r="T227" s="38" t="str">
        <f t="shared" si="113"/>
        <v/>
      </c>
      <c r="U227" s="38" t="str">
        <f t="shared" si="114"/>
        <v/>
      </c>
      <c r="V227" s="38" t="b">
        <f t="shared" si="115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6"/>
        <v/>
      </c>
      <c r="AI227" s="36" t="str">
        <f>IFERROR(INDEX('Level Multipliers'!$D:$D,MATCH(AH227,'Level Multipliers'!$A:$A,0)),"")</f>
        <v/>
      </c>
      <c r="AJ227" s="37" t="str">
        <f t="shared" si="117"/>
        <v/>
      </c>
      <c r="AK227" s="37" t="str">
        <f t="shared" si="118"/>
        <v/>
      </c>
      <c r="AL227" s="38" t="str">
        <f t="shared" si="119"/>
        <v/>
      </c>
      <c r="AM227" s="38" t="str">
        <f t="shared" si="120"/>
        <v/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22"/>
        <v/>
      </c>
      <c r="BA227" s="36" t="str">
        <f>IFERROR(INDEX('Level Multipliers'!$D:$D,MATCH(AZ227,'Level Multipliers'!$A:$A,0)),"")</f>
        <v/>
      </c>
      <c r="BB227" s="37" t="str">
        <f t="shared" si="123"/>
        <v/>
      </c>
      <c r="BC227" s="37" t="str">
        <f t="shared" si="124"/>
        <v/>
      </c>
      <c r="BD227" s="38" t="str">
        <f t="shared" si="125"/>
        <v/>
      </c>
      <c r="BE227" s="38" t="str">
        <f t="shared" si="126"/>
        <v/>
      </c>
      <c r="BF227" s="38" t="b">
        <f t="shared" si="127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8"/>
        <v/>
      </c>
      <c r="BS227" s="36" t="str">
        <f>IFERROR(INDEX('Level Multipliers'!$D:$D,MATCH(BR227,'Level Multipliers'!$A:$A,0)),"")</f>
        <v/>
      </c>
      <c r="BT227" s="37" t="str">
        <f t="shared" si="129"/>
        <v/>
      </c>
      <c r="BU227" s="37" t="str">
        <f t="shared" si="130"/>
        <v/>
      </c>
      <c r="BV227" s="38" t="str">
        <f t="shared" si="131"/>
        <v/>
      </c>
      <c r="BW227" s="38" t="str">
        <f t="shared" si="132"/>
        <v/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4"/>
        <v/>
      </c>
      <c r="CK227" s="41" t="str">
        <f t="shared" si="135"/>
        <v/>
      </c>
      <c r="CL227" s="66" t="str">
        <f t="shared" si="136"/>
        <v/>
      </c>
      <c r="CM227" s="39" t="str">
        <f t="shared" si="137"/>
        <v/>
      </c>
      <c r="CN227" s="39" t="str">
        <f t="shared" si="138"/>
        <v/>
      </c>
      <c r="CO227" s="42" t="str">
        <f t="shared" si="139"/>
        <v/>
      </c>
      <c r="CP227" s="42" t="str">
        <f t="shared" si="140"/>
        <v/>
      </c>
      <c r="CQ227" s="42" t="str">
        <f t="shared" si="141"/>
        <v/>
      </c>
      <c r="CR227" s="42" t="str">
        <f t="shared" si="142"/>
        <v/>
      </c>
      <c r="CS227" s="42" t="str">
        <f t="shared" si="143"/>
        <v/>
      </c>
      <c r="CT227" s="42" t="str">
        <f t="shared" si="144"/>
        <v/>
      </c>
      <c r="CU227" s="43" t="str">
        <f t="shared" si="145"/>
        <v/>
      </c>
      <c r="CV227" s="43" t="str">
        <f t="shared" si="146"/>
        <v/>
      </c>
      <c r="CW227" s="43" t="str">
        <f t="shared" si="147"/>
        <v/>
      </c>
      <c r="CX227" s="13"/>
    </row>
    <row r="228" spans="1:102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11"/>
        <v/>
      </c>
      <c r="S228" s="37" t="str">
        <f t="shared" si="112"/>
        <v/>
      </c>
      <c r="T228" s="38" t="str">
        <f t="shared" si="113"/>
        <v/>
      </c>
      <c r="U228" s="38" t="str">
        <f t="shared" si="114"/>
        <v/>
      </c>
      <c r="V228" s="38" t="b">
        <f t="shared" si="115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6"/>
        <v/>
      </c>
      <c r="AI228" s="36" t="str">
        <f>IFERROR(INDEX('Level Multipliers'!$D:$D,MATCH(AH228,'Level Multipliers'!$A:$A,0)),"")</f>
        <v/>
      </c>
      <c r="AJ228" s="37" t="str">
        <f t="shared" si="117"/>
        <v/>
      </c>
      <c r="AK228" s="37" t="str">
        <f t="shared" si="118"/>
        <v/>
      </c>
      <c r="AL228" s="38" t="str">
        <f t="shared" si="119"/>
        <v/>
      </c>
      <c r="AM228" s="38" t="str">
        <f t="shared" si="120"/>
        <v/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22"/>
        <v/>
      </c>
      <c r="BA228" s="36" t="str">
        <f>IFERROR(INDEX('Level Multipliers'!$D:$D,MATCH(AZ228,'Level Multipliers'!$A:$A,0)),"")</f>
        <v/>
      </c>
      <c r="BB228" s="37" t="str">
        <f t="shared" si="123"/>
        <v/>
      </c>
      <c r="BC228" s="37" t="str">
        <f t="shared" si="124"/>
        <v/>
      </c>
      <c r="BD228" s="38" t="str">
        <f t="shared" si="125"/>
        <v/>
      </c>
      <c r="BE228" s="38" t="str">
        <f t="shared" si="126"/>
        <v/>
      </c>
      <c r="BF228" s="38" t="b">
        <f t="shared" si="127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8"/>
        <v/>
      </c>
      <c r="BS228" s="36" t="str">
        <f>IFERROR(INDEX('Level Multipliers'!$D:$D,MATCH(BR228,'Level Multipliers'!$A:$A,0)),"")</f>
        <v/>
      </c>
      <c r="BT228" s="37" t="str">
        <f t="shared" si="129"/>
        <v/>
      </c>
      <c r="BU228" s="37" t="str">
        <f t="shared" si="130"/>
        <v/>
      </c>
      <c r="BV228" s="38" t="str">
        <f t="shared" si="131"/>
        <v/>
      </c>
      <c r="BW228" s="38" t="str">
        <f t="shared" si="132"/>
        <v/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4"/>
        <v/>
      </c>
      <c r="CK228" s="41" t="str">
        <f t="shared" si="135"/>
        <v/>
      </c>
      <c r="CL228" s="66" t="str">
        <f t="shared" si="136"/>
        <v/>
      </c>
      <c r="CM228" s="39" t="str">
        <f t="shared" si="137"/>
        <v/>
      </c>
      <c r="CN228" s="39" t="str">
        <f t="shared" si="138"/>
        <v/>
      </c>
      <c r="CO228" s="42" t="str">
        <f t="shared" si="139"/>
        <v/>
      </c>
      <c r="CP228" s="42" t="str">
        <f t="shared" si="140"/>
        <v/>
      </c>
      <c r="CQ228" s="42" t="str">
        <f t="shared" si="141"/>
        <v/>
      </c>
      <c r="CR228" s="42" t="str">
        <f t="shared" si="142"/>
        <v/>
      </c>
      <c r="CS228" s="42" t="str">
        <f t="shared" si="143"/>
        <v/>
      </c>
      <c r="CT228" s="42" t="str">
        <f t="shared" si="144"/>
        <v/>
      </c>
      <c r="CU228" s="43" t="str">
        <f t="shared" si="145"/>
        <v/>
      </c>
      <c r="CV228" s="43" t="str">
        <f t="shared" si="146"/>
        <v/>
      </c>
      <c r="CW228" s="43" t="str">
        <f t="shared" si="147"/>
        <v/>
      </c>
      <c r="CX228" s="13"/>
    </row>
    <row r="229" spans="1:102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11"/>
        <v/>
      </c>
      <c r="S229" s="37" t="str">
        <f t="shared" si="112"/>
        <v/>
      </c>
      <c r="T229" s="38" t="str">
        <f t="shared" si="113"/>
        <v/>
      </c>
      <c r="U229" s="38" t="str">
        <f t="shared" si="114"/>
        <v/>
      </c>
      <c r="V229" s="38" t="b">
        <f t="shared" si="115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6"/>
        <v/>
      </c>
      <c r="AI229" s="36" t="str">
        <f>IFERROR(INDEX('Level Multipliers'!$D:$D,MATCH(AH229,'Level Multipliers'!$A:$A,0)),"")</f>
        <v/>
      </c>
      <c r="AJ229" s="37" t="str">
        <f t="shared" si="117"/>
        <v/>
      </c>
      <c r="AK229" s="37" t="str">
        <f t="shared" si="118"/>
        <v/>
      </c>
      <c r="AL229" s="38" t="str">
        <f t="shared" si="119"/>
        <v/>
      </c>
      <c r="AM229" s="38" t="str">
        <f t="shared" si="120"/>
        <v/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22"/>
        <v/>
      </c>
      <c r="BA229" s="36" t="str">
        <f>IFERROR(INDEX('Level Multipliers'!$D:$D,MATCH(AZ229,'Level Multipliers'!$A:$A,0)),"")</f>
        <v/>
      </c>
      <c r="BB229" s="37" t="str">
        <f t="shared" si="123"/>
        <v/>
      </c>
      <c r="BC229" s="37" t="str">
        <f t="shared" si="124"/>
        <v/>
      </c>
      <c r="BD229" s="38" t="str">
        <f t="shared" si="125"/>
        <v/>
      </c>
      <c r="BE229" s="38" t="str">
        <f t="shared" si="126"/>
        <v/>
      </c>
      <c r="BF229" s="38" t="b">
        <f t="shared" si="127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8"/>
        <v/>
      </c>
      <c r="BS229" s="36" t="str">
        <f>IFERROR(INDEX('Level Multipliers'!$D:$D,MATCH(BR229,'Level Multipliers'!$A:$A,0)),"")</f>
        <v/>
      </c>
      <c r="BT229" s="37" t="str">
        <f t="shared" si="129"/>
        <v/>
      </c>
      <c r="BU229" s="37" t="str">
        <f t="shared" si="130"/>
        <v/>
      </c>
      <c r="BV229" s="38" t="str">
        <f t="shared" si="131"/>
        <v/>
      </c>
      <c r="BW229" s="38" t="str">
        <f t="shared" si="132"/>
        <v/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4"/>
        <v/>
      </c>
      <c r="CK229" s="41" t="str">
        <f t="shared" si="135"/>
        <v/>
      </c>
      <c r="CL229" s="66" t="str">
        <f t="shared" si="136"/>
        <v/>
      </c>
      <c r="CM229" s="39" t="str">
        <f t="shared" si="137"/>
        <v/>
      </c>
      <c r="CN229" s="39" t="str">
        <f t="shared" si="138"/>
        <v/>
      </c>
      <c r="CO229" s="42" t="str">
        <f t="shared" si="139"/>
        <v/>
      </c>
      <c r="CP229" s="42" t="str">
        <f t="shared" si="140"/>
        <v/>
      </c>
      <c r="CQ229" s="42" t="str">
        <f t="shared" si="141"/>
        <v/>
      </c>
      <c r="CR229" s="42" t="str">
        <f t="shared" si="142"/>
        <v/>
      </c>
      <c r="CS229" s="42" t="str">
        <f t="shared" si="143"/>
        <v/>
      </c>
      <c r="CT229" s="42" t="str">
        <f t="shared" si="144"/>
        <v/>
      </c>
      <c r="CU229" s="43" t="str">
        <f t="shared" si="145"/>
        <v/>
      </c>
      <c r="CV229" s="43" t="str">
        <f t="shared" si="146"/>
        <v/>
      </c>
      <c r="CW229" s="43" t="str">
        <f t="shared" si="147"/>
        <v/>
      </c>
      <c r="CX229" s="13"/>
    </row>
    <row r="230" spans="1:102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11"/>
        <v/>
      </c>
      <c r="S230" s="37" t="str">
        <f t="shared" si="112"/>
        <v/>
      </c>
      <c r="T230" s="38" t="str">
        <f t="shared" si="113"/>
        <v/>
      </c>
      <c r="U230" s="38" t="str">
        <f t="shared" si="114"/>
        <v/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6"/>
        <v/>
      </c>
      <c r="AI230" s="36" t="str">
        <f>IFERROR(INDEX('Level Multipliers'!$D:$D,MATCH(AH230,'Level Multipliers'!$A:$A,0)),"")</f>
        <v/>
      </c>
      <c r="AJ230" s="37" t="str">
        <f t="shared" si="117"/>
        <v/>
      </c>
      <c r="AK230" s="37" t="str">
        <f t="shared" si="118"/>
        <v/>
      </c>
      <c r="AL230" s="38" t="str">
        <f t="shared" si="119"/>
        <v/>
      </c>
      <c r="AM230" s="38" t="str">
        <f t="shared" si="120"/>
        <v/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22"/>
        <v/>
      </c>
      <c r="BA230" s="36" t="str">
        <f>IFERROR(INDEX('Level Multipliers'!$D:$D,MATCH(AZ230,'Level Multipliers'!$A:$A,0)),"")</f>
        <v/>
      </c>
      <c r="BB230" s="37" t="str">
        <f t="shared" si="123"/>
        <v/>
      </c>
      <c r="BC230" s="37" t="str">
        <f t="shared" si="124"/>
        <v/>
      </c>
      <c r="BD230" s="38" t="str">
        <f t="shared" si="125"/>
        <v/>
      </c>
      <c r="BE230" s="38" t="str">
        <f t="shared" si="126"/>
        <v/>
      </c>
      <c r="BF230" s="38" t="b">
        <f t="shared" si="127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8"/>
        <v/>
      </c>
      <c r="BS230" s="36" t="str">
        <f>IFERROR(INDEX('Level Multipliers'!$D:$D,MATCH(BR230,'Level Multipliers'!$A:$A,0)),"")</f>
        <v/>
      </c>
      <c r="BT230" s="37" t="str">
        <f t="shared" si="129"/>
        <v/>
      </c>
      <c r="BU230" s="37" t="str">
        <f t="shared" si="130"/>
        <v/>
      </c>
      <c r="BV230" s="38" t="str">
        <f t="shared" si="131"/>
        <v/>
      </c>
      <c r="BW230" s="38" t="str">
        <f t="shared" si="132"/>
        <v/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4"/>
        <v/>
      </c>
      <c r="CK230" s="41" t="str">
        <f t="shared" si="135"/>
        <v/>
      </c>
      <c r="CL230" s="66" t="str">
        <f t="shared" si="136"/>
        <v/>
      </c>
      <c r="CM230" s="39" t="str">
        <f t="shared" si="137"/>
        <v/>
      </c>
      <c r="CN230" s="39" t="str">
        <f t="shared" si="138"/>
        <v/>
      </c>
      <c r="CO230" s="42" t="str">
        <f t="shared" si="139"/>
        <v/>
      </c>
      <c r="CP230" s="42" t="str">
        <f t="shared" si="140"/>
        <v/>
      </c>
      <c r="CQ230" s="42" t="str">
        <f t="shared" si="141"/>
        <v/>
      </c>
      <c r="CR230" s="42" t="str">
        <f t="shared" si="142"/>
        <v/>
      </c>
      <c r="CS230" s="42" t="str">
        <f t="shared" si="143"/>
        <v/>
      </c>
      <c r="CT230" s="42" t="str">
        <f t="shared" si="144"/>
        <v/>
      </c>
      <c r="CU230" s="43" t="str">
        <f t="shared" si="145"/>
        <v/>
      </c>
      <c r="CV230" s="43" t="str">
        <f t="shared" si="146"/>
        <v/>
      </c>
      <c r="CW230" s="43" t="str">
        <f t="shared" si="147"/>
        <v/>
      </c>
      <c r="CX230" s="13"/>
    </row>
    <row r="231" spans="1:102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11"/>
        <v/>
      </c>
      <c r="S231" s="37" t="str">
        <f t="shared" si="112"/>
        <v/>
      </c>
      <c r="T231" s="38" t="str">
        <f t="shared" si="113"/>
        <v/>
      </c>
      <c r="U231" s="38" t="str">
        <f t="shared" si="114"/>
        <v/>
      </c>
      <c r="V231" s="38" t="b">
        <f t="shared" si="115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6"/>
        <v/>
      </c>
      <c r="AI231" s="36" t="str">
        <f>IFERROR(INDEX('Level Multipliers'!$D:$D,MATCH(AH231,'Level Multipliers'!$A:$A,0)),"")</f>
        <v/>
      </c>
      <c r="AJ231" s="37" t="str">
        <f t="shared" si="117"/>
        <v/>
      </c>
      <c r="AK231" s="37" t="str">
        <f t="shared" si="118"/>
        <v/>
      </c>
      <c r="AL231" s="38" t="str">
        <f t="shared" si="119"/>
        <v/>
      </c>
      <c r="AM231" s="38" t="str">
        <f t="shared" si="120"/>
        <v/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22"/>
        <v/>
      </c>
      <c r="BA231" s="36" t="str">
        <f>IFERROR(INDEX('Level Multipliers'!$D:$D,MATCH(AZ231,'Level Multipliers'!$A:$A,0)),"")</f>
        <v/>
      </c>
      <c r="BB231" s="37" t="str">
        <f t="shared" si="123"/>
        <v/>
      </c>
      <c r="BC231" s="37" t="str">
        <f t="shared" si="124"/>
        <v/>
      </c>
      <c r="BD231" s="38" t="str">
        <f t="shared" si="125"/>
        <v/>
      </c>
      <c r="BE231" s="38" t="str">
        <f t="shared" si="126"/>
        <v/>
      </c>
      <c r="BF231" s="38" t="b">
        <f t="shared" si="127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8"/>
        <v/>
      </c>
      <c r="BS231" s="36" t="str">
        <f>IFERROR(INDEX('Level Multipliers'!$D:$D,MATCH(BR231,'Level Multipliers'!$A:$A,0)),"")</f>
        <v/>
      </c>
      <c r="BT231" s="37" t="str">
        <f t="shared" si="129"/>
        <v/>
      </c>
      <c r="BU231" s="37" t="str">
        <f t="shared" si="130"/>
        <v/>
      </c>
      <c r="BV231" s="38" t="str">
        <f t="shared" si="131"/>
        <v/>
      </c>
      <c r="BW231" s="38" t="str">
        <f t="shared" si="132"/>
        <v/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4"/>
        <v/>
      </c>
      <c r="CK231" s="41" t="str">
        <f t="shared" si="135"/>
        <v/>
      </c>
      <c r="CL231" s="66" t="str">
        <f t="shared" si="136"/>
        <v/>
      </c>
      <c r="CM231" s="39" t="str">
        <f t="shared" si="137"/>
        <v/>
      </c>
      <c r="CN231" s="39" t="str">
        <f t="shared" si="138"/>
        <v/>
      </c>
      <c r="CO231" s="42" t="str">
        <f t="shared" si="139"/>
        <v/>
      </c>
      <c r="CP231" s="42" t="str">
        <f t="shared" si="140"/>
        <v/>
      </c>
      <c r="CQ231" s="42" t="str">
        <f t="shared" si="141"/>
        <v/>
      </c>
      <c r="CR231" s="42" t="str">
        <f t="shared" si="142"/>
        <v/>
      </c>
      <c r="CS231" s="42" t="str">
        <f t="shared" si="143"/>
        <v/>
      </c>
      <c r="CT231" s="42" t="str">
        <f t="shared" si="144"/>
        <v/>
      </c>
      <c r="CU231" s="43" t="str">
        <f t="shared" si="145"/>
        <v/>
      </c>
      <c r="CV231" s="43" t="str">
        <f t="shared" si="146"/>
        <v/>
      </c>
      <c r="CW231" s="43" t="str">
        <f t="shared" si="147"/>
        <v/>
      </c>
      <c r="CX231" s="13"/>
    </row>
    <row r="232" spans="1:102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11"/>
        <v/>
      </c>
      <c r="S232" s="37" t="str">
        <f t="shared" si="112"/>
        <v/>
      </c>
      <c r="T232" s="38" t="str">
        <f t="shared" si="113"/>
        <v/>
      </c>
      <c r="U232" s="38" t="str">
        <f t="shared" si="114"/>
        <v/>
      </c>
      <c r="V232" s="38" t="b">
        <f t="shared" si="115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6"/>
        <v/>
      </c>
      <c r="AI232" s="36" t="str">
        <f>IFERROR(INDEX('Level Multipliers'!$D:$D,MATCH(AH232,'Level Multipliers'!$A:$A,0)),"")</f>
        <v/>
      </c>
      <c r="AJ232" s="37" t="str">
        <f t="shared" si="117"/>
        <v/>
      </c>
      <c r="AK232" s="37" t="str">
        <f t="shared" si="118"/>
        <v/>
      </c>
      <c r="AL232" s="38" t="str">
        <f t="shared" si="119"/>
        <v/>
      </c>
      <c r="AM232" s="38" t="str">
        <f t="shared" si="120"/>
        <v/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22"/>
        <v/>
      </c>
      <c r="BA232" s="36" t="str">
        <f>IFERROR(INDEX('Level Multipliers'!$D:$D,MATCH(AZ232,'Level Multipliers'!$A:$A,0)),"")</f>
        <v/>
      </c>
      <c r="BB232" s="37" t="str">
        <f t="shared" si="123"/>
        <v/>
      </c>
      <c r="BC232" s="37" t="str">
        <f t="shared" si="124"/>
        <v/>
      </c>
      <c r="BD232" s="38" t="str">
        <f t="shared" si="125"/>
        <v/>
      </c>
      <c r="BE232" s="38" t="str">
        <f t="shared" si="126"/>
        <v/>
      </c>
      <c r="BF232" s="38" t="b">
        <f t="shared" si="127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8"/>
        <v/>
      </c>
      <c r="BS232" s="36" t="str">
        <f>IFERROR(INDEX('Level Multipliers'!$D:$D,MATCH(BR232,'Level Multipliers'!$A:$A,0)),"")</f>
        <v/>
      </c>
      <c r="BT232" s="37" t="str">
        <f t="shared" si="129"/>
        <v/>
      </c>
      <c r="BU232" s="37" t="str">
        <f t="shared" si="130"/>
        <v/>
      </c>
      <c r="BV232" s="38" t="str">
        <f t="shared" si="131"/>
        <v/>
      </c>
      <c r="BW232" s="38" t="str">
        <f t="shared" si="132"/>
        <v/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4"/>
        <v/>
      </c>
      <c r="CK232" s="41" t="str">
        <f t="shared" si="135"/>
        <v/>
      </c>
      <c r="CL232" s="66" t="str">
        <f t="shared" si="136"/>
        <v/>
      </c>
      <c r="CM232" s="39" t="str">
        <f t="shared" si="137"/>
        <v/>
      </c>
      <c r="CN232" s="39" t="str">
        <f t="shared" si="138"/>
        <v/>
      </c>
      <c r="CO232" s="42" t="str">
        <f t="shared" si="139"/>
        <v/>
      </c>
      <c r="CP232" s="42" t="str">
        <f t="shared" si="140"/>
        <v/>
      </c>
      <c r="CQ232" s="42" t="str">
        <f t="shared" si="141"/>
        <v/>
      </c>
      <c r="CR232" s="42" t="str">
        <f t="shared" si="142"/>
        <v/>
      </c>
      <c r="CS232" s="42" t="str">
        <f t="shared" si="143"/>
        <v/>
      </c>
      <c r="CT232" s="42" t="str">
        <f t="shared" si="144"/>
        <v/>
      </c>
      <c r="CU232" s="43" t="str">
        <f t="shared" si="145"/>
        <v/>
      </c>
      <c r="CV232" s="43" t="str">
        <f t="shared" si="146"/>
        <v/>
      </c>
      <c r="CW232" s="43" t="str">
        <f t="shared" si="147"/>
        <v/>
      </c>
      <c r="CX232" s="13"/>
    </row>
    <row r="233" spans="1:102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11"/>
        <v/>
      </c>
      <c r="S233" s="37" t="str">
        <f t="shared" si="112"/>
        <v/>
      </c>
      <c r="T233" s="38" t="str">
        <f t="shared" si="113"/>
        <v/>
      </c>
      <c r="U233" s="38" t="str">
        <f t="shared" si="114"/>
        <v/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6"/>
        <v/>
      </c>
      <c r="AI233" s="36" t="str">
        <f>IFERROR(INDEX('Level Multipliers'!$D:$D,MATCH(AH233,'Level Multipliers'!$A:$A,0)),"")</f>
        <v/>
      </c>
      <c r="AJ233" s="37" t="str">
        <f t="shared" si="117"/>
        <v/>
      </c>
      <c r="AK233" s="37" t="str">
        <f t="shared" si="118"/>
        <v/>
      </c>
      <c r="AL233" s="38" t="str">
        <f t="shared" si="119"/>
        <v/>
      </c>
      <c r="AM233" s="38" t="str">
        <f t="shared" si="120"/>
        <v/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22"/>
        <v/>
      </c>
      <c r="BA233" s="36" t="str">
        <f>IFERROR(INDEX('Level Multipliers'!$D:$D,MATCH(AZ233,'Level Multipliers'!$A:$A,0)),"")</f>
        <v/>
      </c>
      <c r="BB233" s="37" t="str">
        <f t="shared" si="123"/>
        <v/>
      </c>
      <c r="BC233" s="37" t="str">
        <f t="shared" si="124"/>
        <v/>
      </c>
      <c r="BD233" s="38" t="str">
        <f t="shared" si="125"/>
        <v/>
      </c>
      <c r="BE233" s="38" t="str">
        <f t="shared" si="126"/>
        <v/>
      </c>
      <c r="BF233" s="38" t="b">
        <f t="shared" si="127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8"/>
        <v/>
      </c>
      <c r="BS233" s="36" t="str">
        <f>IFERROR(INDEX('Level Multipliers'!$D:$D,MATCH(BR233,'Level Multipliers'!$A:$A,0)),"")</f>
        <v/>
      </c>
      <c r="BT233" s="37" t="str">
        <f t="shared" si="129"/>
        <v/>
      </c>
      <c r="BU233" s="37" t="str">
        <f t="shared" si="130"/>
        <v/>
      </c>
      <c r="BV233" s="38" t="str">
        <f t="shared" si="131"/>
        <v/>
      </c>
      <c r="BW233" s="38" t="str">
        <f t="shared" si="132"/>
        <v/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4"/>
        <v/>
      </c>
      <c r="CK233" s="41" t="str">
        <f t="shared" si="135"/>
        <v/>
      </c>
      <c r="CL233" s="66" t="str">
        <f t="shared" si="136"/>
        <v/>
      </c>
      <c r="CM233" s="39" t="str">
        <f t="shared" si="137"/>
        <v/>
      </c>
      <c r="CN233" s="39" t="str">
        <f t="shared" si="138"/>
        <v/>
      </c>
      <c r="CO233" s="42" t="str">
        <f t="shared" si="139"/>
        <v/>
      </c>
      <c r="CP233" s="42" t="str">
        <f t="shared" si="140"/>
        <v/>
      </c>
      <c r="CQ233" s="42" t="str">
        <f t="shared" si="141"/>
        <v/>
      </c>
      <c r="CR233" s="42" t="str">
        <f t="shared" si="142"/>
        <v/>
      </c>
      <c r="CS233" s="42" t="str">
        <f t="shared" si="143"/>
        <v/>
      </c>
      <c r="CT233" s="42" t="str">
        <f t="shared" si="144"/>
        <v/>
      </c>
      <c r="CU233" s="43" t="str">
        <f t="shared" si="145"/>
        <v/>
      </c>
      <c r="CV233" s="43" t="str">
        <f t="shared" si="146"/>
        <v/>
      </c>
      <c r="CW233" s="43" t="str">
        <f t="shared" si="147"/>
        <v/>
      </c>
      <c r="CX233" s="13"/>
    </row>
    <row r="234" spans="1:102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11"/>
        <v/>
      </c>
      <c r="S234" s="37" t="str">
        <f t="shared" si="112"/>
        <v/>
      </c>
      <c r="T234" s="38" t="str">
        <f t="shared" si="113"/>
        <v/>
      </c>
      <c r="U234" s="38" t="str">
        <f t="shared" si="114"/>
        <v/>
      </c>
      <c r="V234" s="38" t="b">
        <f t="shared" si="115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6"/>
        <v/>
      </c>
      <c r="AI234" s="36" t="str">
        <f>IFERROR(INDEX('Level Multipliers'!$D:$D,MATCH(AH234,'Level Multipliers'!$A:$A,0)),"")</f>
        <v/>
      </c>
      <c r="AJ234" s="37" t="str">
        <f t="shared" si="117"/>
        <v/>
      </c>
      <c r="AK234" s="37" t="str">
        <f t="shared" si="118"/>
        <v/>
      </c>
      <c r="AL234" s="38" t="str">
        <f t="shared" si="119"/>
        <v/>
      </c>
      <c r="AM234" s="38" t="str">
        <f t="shared" si="120"/>
        <v/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22"/>
        <v/>
      </c>
      <c r="BA234" s="36" t="str">
        <f>IFERROR(INDEX('Level Multipliers'!$D:$D,MATCH(AZ234,'Level Multipliers'!$A:$A,0)),"")</f>
        <v/>
      </c>
      <c r="BB234" s="37" t="str">
        <f t="shared" si="123"/>
        <v/>
      </c>
      <c r="BC234" s="37" t="str">
        <f t="shared" si="124"/>
        <v/>
      </c>
      <c r="BD234" s="38" t="str">
        <f t="shared" si="125"/>
        <v/>
      </c>
      <c r="BE234" s="38" t="str">
        <f t="shared" si="126"/>
        <v/>
      </c>
      <c r="BF234" s="38" t="b">
        <f t="shared" si="127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8"/>
        <v/>
      </c>
      <c r="BS234" s="36" t="str">
        <f>IFERROR(INDEX('Level Multipliers'!$D:$D,MATCH(BR234,'Level Multipliers'!$A:$A,0)),"")</f>
        <v/>
      </c>
      <c r="BT234" s="37" t="str">
        <f t="shared" si="129"/>
        <v/>
      </c>
      <c r="BU234" s="37" t="str">
        <f t="shared" si="130"/>
        <v/>
      </c>
      <c r="BV234" s="38" t="str">
        <f t="shared" si="131"/>
        <v/>
      </c>
      <c r="BW234" s="38" t="str">
        <f t="shared" si="132"/>
        <v/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4"/>
        <v/>
      </c>
      <c r="CK234" s="41" t="str">
        <f t="shared" si="135"/>
        <v/>
      </c>
      <c r="CL234" s="66" t="str">
        <f t="shared" si="136"/>
        <v/>
      </c>
      <c r="CM234" s="39" t="str">
        <f t="shared" si="137"/>
        <v/>
      </c>
      <c r="CN234" s="39" t="str">
        <f t="shared" si="138"/>
        <v/>
      </c>
      <c r="CO234" s="42" t="str">
        <f t="shared" si="139"/>
        <v/>
      </c>
      <c r="CP234" s="42" t="str">
        <f t="shared" si="140"/>
        <v/>
      </c>
      <c r="CQ234" s="42" t="str">
        <f t="shared" si="141"/>
        <v/>
      </c>
      <c r="CR234" s="42" t="str">
        <f t="shared" si="142"/>
        <v/>
      </c>
      <c r="CS234" s="42" t="str">
        <f t="shared" si="143"/>
        <v/>
      </c>
      <c r="CT234" s="42" t="str">
        <f t="shared" si="144"/>
        <v/>
      </c>
      <c r="CU234" s="43" t="str">
        <f t="shared" si="145"/>
        <v/>
      </c>
      <c r="CV234" s="43" t="str">
        <f t="shared" si="146"/>
        <v/>
      </c>
      <c r="CW234" s="43" t="str">
        <f t="shared" si="147"/>
        <v/>
      </c>
      <c r="CX234" s="13"/>
    </row>
    <row r="235" spans="1:102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11"/>
        <v/>
      </c>
      <c r="S235" s="37" t="str">
        <f t="shared" si="112"/>
        <v/>
      </c>
      <c r="T235" s="38" t="str">
        <f t="shared" si="113"/>
        <v/>
      </c>
      <c r="U235" s="38" t="str">
        <f t="shared" si="114"/>
        <v/>
      </c>
      <c r="V235" s="38" t="b">
        <f t="shared" si="115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6"/>
        <v/>
      </c>
      <c r="AI235" s="36" t="str">
        <f>IFERROR(INDEX('Level Multipliers'!$D:$D,MATCH(AH235,'Level Multipliers'!$A:$A,0)),"")</f>
        <v/>
      </c>
      <c r="AJ235" s="37" t="str">
        <f t="shared" si="117"/>
        <v/>
      </c>
      <c r="AK235" s="37" t="str">
        <f t="shared" si="118"/>
        <v/>
      </c>
      <c r="AL235" s="38" t="str">
        <f t="shared" si="119"/>
        <v/>
      </c>
      <c r="AM235" s="38" t="str">
        <f t="shared" si="120"/>
        <v/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22"/>
        <v/>
      </c>
      <c r="BA235" s="36" t="str">
        <f>IFERROR(INDEX('Level Multipliers'!$D:$D,MATCH(AZ235,'Level Multipliers'!$A:$A,0)),"")</f>
        <v/>
      </c>
      <c r="BB235" s="37" t="str">
        <f t="shared" si="123"/>
        <v/>
      </c>
      <c r="BC235" s="37" t="str">
        <f t="shared" si="124"/>
        <v/>
      </c>
      <c r="BD235" s="38" t="str">
        <f t="shared" si="125"/>
        <v/>
      </c>
      <c r="BE235" s="38" t="str">
        <f t="shared" si="126"/>
        <v/>
      </c>
      <c r="BF235" s="38" t="b">
        <f t="shared" si="127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8"/>
        <v/>
      </c>
      <c r="BS235" s="36" t="str">
        <f>IFERROR(INDEX('Level Multipliers'!$D:$D,MATCH(BR235,'Level Multipliers'!$A:$A,0)),"")</f>
        <v/>
      </c>
      <c r="BT235" s="37" t="str">
        <f t="shared" si="129"/>
        <v/>
      </c>
      <c r="BU235" s="37" t="str">
        <f t="shared" si="130"/>
        <v/>
      </c>
      <c r="BV235" s="38" t="str">
        <f t="shared" si="131"/>
        <v/>
      </c>
      <c r="BW235" s="38" t="str">
        <f t="shared" si="132"/>
        <v/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4"/>
        <v/>
      </c>
      <c r="CK235" s="41" t="str">
        <f t="shared" si="135"/>
        <v/>
      </c>
      <c r="CL235" s="66" t="str">
        <f t="shared" si="136"/>
        <v/>
      </c>
      <c r="CM235" s="39" t="str">
        <f t="shared" si="137"/>
        <v/>
      </c>
      <c r="CN235" s="39" t="str">
        <f t="shared" si="138"/>
        <v/>
      </c>
      <c r="CO235" s="42" t="str">
        <f t="shared" si="139"/>
        <v/>
      </c>
      <c r="CP235" s="42" t="str">
        <f t="shared" si="140"/>
        <v/>
      </c>
      <c r="CQ235" s="42" t="str">
        <f t="shared" si="141"/>
        <v/>
      </c>
      <c r="CR235" s="42" t="str">
        <f t="shared" si="142"/>
        <v/>
      </c>
      <c r="CS235" s="42" t="str">
        <f t="shared" si="143"/>
        <v/>
      </c>
      <c r="CT235" s="42" t="str">
        <f t="shared" si="144"/>
        <v/>
      </c>
      <c r="CU235" s="43" t="str">
        <f t="shared" si="145"/>
        <v/>
      </c>
      <c r="CV235" s="43" t="str">
        <f t="shared" si="146"/>
        <v/>
      </c>
      <c r="CW235" s="43" t="str">
        <f t="shared" si="147"/>
        <v/>
      </c>
      <c r="CX235" s="13"/>
    </row>
    <row r="236" spans="1:102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11"/>
        <v/>
      </c>
      <c r="S236" s="37" t="str">
        <f t="shared" si="112"/>
        <v/>
      </c>
      <c r="T236" s="38" t="str">
        <f t="shared" si="113"/>
        <v/>
      </c>
      <c r="U236" s="38" t="str">
        <f t="shared" si="114"/>
        <v/>
      </c>
      <c r="V236" s="38" t="b">
        <f t="shared" si="115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6"/>
        <v/>
      </c>
      <c r="AI236" s="36" t="str">
        <f>IFERROR(INDEX('Level Multipliers'!$D:$D,MATCH(AH236,'Level Multipliers'!$A:$A,0)),"")</f>
        <v/>
      </c>
      <c r="AJ236" s="37" t="str">
        <f t="shared" si="117"/>
        <v/>
      </c>
      <c r="AK236" s="37" t="str">
        <f t="shared" si="118"/>
        <v/>
      </c>
      <c r="AL236" s="38" t="str">
        <f t="shared" si="119"/>
        <v/>
      </c>
      <c r="AM236" s="38" t="str">
        <f t="shared" si="120"/>
        <v/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22"/>
        <v/>
      </c>
      <c r="BA236" s="36" t="str">
        <f>IFERROR(INDEX('Level Multipliers'!$D:$D,MATCH(AZ236,'Level Multipliers'!$A:$A,0)),"")</f>
        <v/>
      </c>
      <c r="BB236" s="37" t="str">
        <f t="shared" si="123"/>
        <v/>
      </c>
      <c r="BC236" s="37" t="str">
        <f t="shared" si="124"/>
        <v/>
      </c>
      <c r="BD236" s="38" t="str">
        <f t="shared" si="125"/>
        <v/>
      </c>
      <c r="BE236" s="38" t="str">
        <f t="shared" si="126"/>
        <v/>
      </c>
      <c r="BF236" s="38" t="b">
        <f t="shared" si="127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8"/>
        <v/>
      </c>
      <c r="BS236" s="36" t="str">
        <f>IFERROR(INDEX('Level Multipliers'!$D:$D,MATCH(BR236,'Level Multipliers'!$A:$A,0)),"")</f>
        <v/>
      </c>
      <c r="BT236" s="37" t="str">
        <f t="shared" si="129"/>
        <v/>
      </c>
      <c r="BU236" s="37" t="str">
        <f t="shared" si="130"/>
        <v/>
      </c>
      <c r="BV236" s="38" t="str">
        <f t="shared" si="131"/>
        <v/>
      </c>
      <c r="BW236" s="38" t="str">
        <f t="shared" si="132"/>
        <v/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4"/>
        <v/>
      </c>
      <c r="CK236" s="41" t="str">
        <f t="shared" si="135"/>
        <v/>
      </c>
      <c r="CL236" s="66" t="str">
        <f t="shared" si="136"/>
        <v/>
      </c>
      <c r="CM236" s="39" t="str">
        <f t="shared" si="137"/>
        <v/>
      </c>
      <c r="CN236" s="39" t="str">
        <f t="shared" si="138"/>
        <v/>
      </c>
      <c r="CO236" s="42" t="str">
        <f t="shared" si="139"/>
        <v/>
      </c>
      <c r="CP236" s="42" t="str">
        <f t="shared" si="140"/>
        <v/>
      </c>
      <c r="CQ236" s="42" t="str">
        <f t="shared" si="141"/>
        <v/>
      </c>
      <c r="CR236" s="42" t="str">
        <f t="shared" si="142"/>
        <v/>
      </c>
      <c r="CS236" s="42" t="str">
        <f t="shared" si="143"/>
        <v/>
      </c>
      <c r="CT236" s="42" t="str">
        <f t="shared" si="144"/>
        <v/>
      </c>
      <c r="CU236" s="43" t="str">
        <f t="shared" si="145"/>
        <v/>
      </c>
      <c r="CV236" s="43" t="str">
        <f t="shared" si="146"/>
        <v/>
      </c>
      <c r="CW236" s="43" t="str">
        <f t="shared" si="147"/>
        <v/>
      </c>
      <c r="CX236" s="13"/>
    </row>
    <row r="237" spans="1:102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11"/>
        <v/>
      </c>
      <c r="S237" s="37" t="str">
        <f t="shared" si="112"/>
        <v/>
      </c>
      <c r="T237" s="38" t="str">
        <f t="shared" si="113"/>
        <v/>
      </c>
      <c r="U237" s="38" t="str">
        <f t="shared" si="114"/>
        <v/>
      </c>
      <c r="V237" s="38" t="b">
        <f t="shared" si="115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6"/>
        <v/>
      </c>
      <c r="AI237" s="36" t="str">
        <f>IFERROR(INDEX('Level Multipliers'!$D:$D,MATCH(AH237,'Level Multipliers'!$A:$A,0)),"")</f>
        <v/>
      </c>
      <c r="AJ237" s="37" t="str">
        <f t="shared" si="117"/>
        <v/>
      </c>
      <c r="AK237" s="37" t="str">
        <f t="shared" si="118"/>
        <v/>
      </c>
      <c r="AL237" s="38" t="str">
        <f t="shared" si="119"/>
        <v/>
      </c>
      <c r="AM237" s="38" t="str">
        <f t="shared" si="120"/>
        <v/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22"/>
        <v/>
      </c>
      <c r="BA237" s="36" t="str">
        <f>IFERROR(INDEX('Level Multipliers'!$D:$D,MATCH(AZ237,'Level Multipliers'!$A:$A,0)),"")</f>
        <v/>
      </c>
      <c r="BB237" s="37" t="str">
        <f t="shared" si="123"/>
        <v/>
      </c>
      <c r="BC237" s="37" t="str">
        <f t="shared" si="124"/>
        <v/>
      </c>
      <c r="BD237" s="38" t="str">
        <f t="shared" si="125"/>
        <v/>
      </c>
      <c r="BE237" s="38" t="str">
        <f t="shared" si="126"/>
        <v/>
      </c>
      <c r="BF237" s="38" t="b">
        <f t="shared" si="127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8"/>
        <v/>
      </c>
      <c r="BS237" s="36" t="str">
        <f>IFERROR(INDEX('Level Multipliers'!$D:$D,MATCH(BR237,'Level Multipliers'!$A:$A,0)),"")</f>
        <v/>
      </c>
      <c r="BT237" s="37" t="str">
        <f t="shared" si="129"/>
        <v/>
      </c>
      <c r="BU237" s="37" t="str">
        <f t="shared" si="130"/>
        <v/>
      </c>
      <c r="BV237" s="38" t="str">
        <f t="shared" si="131"/>
        <v/>
      </c>
      <c r="BW237" s="38" t="str">
        <f t="shared" si="132"/>
        <v/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4"/>
        <v/>
      </c>
      <c r="CK237" s="41" t="str">
        <f t="shared" si="135"/>
        <v/>
      </c>
      <c r="CL237" s="66" t="str">
        <f t="shared" si="136"/>
        <v/>
      </c>
      <c r="CM237" s="39" t="str">
        <f t="shared" si="137"/>
        <v/>
      </c>
      <c r="CN237" s="39" t="str">
        <f t="shared" si="138"/>
        <v/>
      </c>
      <c r="CO237" s="42" t="str">
        <f t="shared" si="139"/>
        <v/>
      </c>
      <c r="CP237" s="42" t="str">
        <f t="shared" si="140"/>
        <v/>
      </c>
      <c r="CQ237" s="42" t="str">
        <f t="shared" si="141"/>
        <v/>
      </c>
      <c r="CR237" s="42" t="str">
        <f t="shared" si="142"/>
        <v/>
      </c>
      <c r="CS237" s="42" t="str">
        <f t="shared" si="143"/>
        <v/>
      </c>
      <c r="CT237" s="42" t="str">
        <f t="shared" si="144"/>
        <v/>
      </c>
      <c r="CU237" s="43" t="str">
        <f t="shared" si="145"/>
        <v/>
      </c>
      <c r="CV237" s="43" t="str">
        <f t="shared" si="146"/>
        <v/>
      </c>
      <c r="CW237" s="43" t="str">
        <f t="shared" si="147"/>
        <v/>
      </c>
      <c r="CX237" s="13"/>
    </row>
    <row r="238" spans="1:102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11"/>
        <v/>
      </c>
      <c r="S238" s="37" t="str">
        <f t="shared" si="112"/>
        <v/>
      </c>
      <c r="T238" s="38" t="str">
        <f t="shared" si="113"/>
        <v/>
      </c>
      <c r="U238" s="38" t="str">
        <f t="shared" si="114"/>
        <v/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6"/>
        <v/>
      </c>
      <c r="AI238" s="36" t="str">
        <f>IFERROR(INDEX('Level Multipliers'!$D:$D,MATCH(AH238,'Level Multipliers'!$A:$A,0)),"")</f>
        <v/>
      </c>
      <c r="AJ238" s="37" t="str">
        <f t="shared" si="117"/>
        <v/>
      </c>
      <c r="AK238" s="37" t="str">
        <f t="shared" si="118"/>
        <v/>
      </c>
      <c r="AL238" s="38" t="str">
        <f t="shared" si="119"/>
        <v/>
      </c>
      <c r="AM238" s="38" t="str">
        <f t="shared" si="120"/>
        <v/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22"/>
        <v/>
      </c>
      <c r="BA238" s="36" t="str">
        <f>IFERROR(INDEX('Level Multipliers'!$D:$D,MATCH(AZ238,'Level Multipliers'!$A:$A,0)),"")</f>
        <v/>
      </c>
      <c r="BB238" s="37" t="str">
        <f t="shared" si="123"/>
        <v/>
      </c>
      <c r="BC238" s="37" t="str">
        <f t="shared" si="124"/>
        <v/>
      </c>
      <c r="BD238" s="38" t="str">
        <f t="shared" si="125"/>
        <v/>
      </c>
      <c r="BE238" s="38" t="str">
        <f t="shared" si="126"/>
        <v/>
      </c>
      <c r="BF238" s="38" t="b">
        <f t="shared" si="127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8"/>
        <v/>
      </c>
      <c r="BS238" s="36" t="str">
        <f>IFERROR(INDEX('Level Multipliers'!$D:$D,MATCH(BR238,'Level Multipliers'!$A:$A,0)),"")</f>
        <v/>
      </c>
      <c r="BT238" s="37" t="str">
        <f t="shared" si="129"/>
        <v/>
      </c>
      <c r="BU238" s="37" t="str">
        <f t="shared" si="130"/>
        <v/>
      </c>
      <c r="BV238" s="38" t="str">
        <f t="shared" si="131"/>
        <v/>
      </c>
      <c r="BW238" s="38" t="str">
        <f t="shared" si="132"/>
        <v/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4"/>
        <v/>
      </c>
      <c r="CK238" s="41" t="str">
        <f t="shared" si="135"/>
        <v/>
      </c>
      <c r="CL238" s="66" t="str">
        <f t="shared" si="136"/>
        <v/>
      </c>
      <c r="CM238" s="39" t="str">
        <f t="shared" si="137"/>
        <v/>
      </c>
      <c r="CN238" s="39" t="str">
        <f t="shared" si="138"/>
        <v/>
      </c>
      <c r="CO238" s="42" t="str">
        <f t="shared" si="139"/>
        <v/>
      </c>
      <c r="CP238" s="42" t="str">
        <f t="shared" si="140"/>
        <v/>
      </c>
      <c r="CQ238" s="42" t="str">
        <f t="shared" si="141"/>
        <v/>
      </c>
      <c r="CR238" s="42" t="str">
        <f t="shared" si="142"/>
        <v/>
      </c>
      <c r="CS238" s="42" t="str">
        <f t="shared" si="143"/>
        <v/>
      </c>
      <c r="CT238" s="42" t="str">
        <f t="shared" si="144"/>
        <v/>
      </c>
      <c r="CU238" s="43" t="str">
        <f t="shared" si="145"/>
        <v/>
      </c>
      <c r="CV238" s="43" t="str">
        <f t="shared" si="146"/>
        <v/>
      </c>
      <c r="CW238" s="43" t="str">
        <f t="shared" si="147"/>
        <v/>
      </c>
      <c r="CX238" s="13"/>
    </row>
    <row r="239" spans="1:102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11"/>
        <v/>
      </c>
      <c r="S239" s="37" t="str">
        <f t="shared" si="112"/>
        <v/>
      </c>
      <c r="T239" s="38" t="str">
        <f t="shared" si="113"/>
        <v/>
      </c>
      <c r="U239" s="38" t="str">
        <f t="shared" si="114"/>
        <v/>
      </c>
      <c r="V239" s="38" t="b">
        <f t="shared" si="115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6"/>
        <v/>
      </c>
      <c r="AI239" s="36" t="str">
        <f>IFERROR(INDEX('Level Multipliers'!$D:$D,MATCH(AH239,'Level Multipliers'!$A:$A,0)),"")</f>
        <v/>
      </c>
      <c r="AJ239" s="37" t="str">
        <f t="shared" si="117"/>
        <v/>
      </c>
      <c r="AK239" s="37" t="str">
        <f t="shared" si="118"/>
        <v/>
      </c>
      <c r="AL239" s="38" t="str">
        <f t="shared" si="119"/>
        <v/>
      </c>
      <c r="AM239" s="38" t="str">
        <f t="shared" si="120"/>
        <v/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22"/>
        <v/>
      </c>
      <c r="BA239" s="36" t="str">
        <f>IFERROR(INDEX('Level Multipliers'!$D:$D,MATCH(AZ239,'Level Multipliers'!$A:$A,0)),"")</f>
        <v/>
      </c>
      <c r="BB239" s="37" t="str">
        <f t="shared" si="123"/>
        <v/>
      </c>
      <c r="BC239" s="37" t="str">
        <f t="shared" si="124"/>
        <v/>
      </c>
      <c r="BD239" s="38" t="str">
        <f t="shared" si="125"/>
        <v/>
      </c>
      <c r="BE239" s="38" t="str">
        <f t="shared" si="126"/>
        <v/>
      </c>
      <c r="BF239" s="38" t="b">
        <f t="shared" si="127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8"/>
        <v/>
      </c>
      <c r="BS239" s="36" t="str">
        <f>IFERROR(INDEX('Level Multipliers'!$D:$D,MATCH(BR239,'Level Multipliers'!$A:$A,0)),"")</f>
        <v/>
      </c>
      <c r="BT239" s="37" t="str">
        <f t="shared" si="129"/>
        <v/>
      </c>
      <c r="BU239" s="37" t="str">
        <f t="shared" si="130"/>
        <v/>
      </c>
      <c r="BV239" s="38" t="str">
        <f t="shared" si="131"/>
        <v/>
      </c>
      <c r="BW239" s="38" t="str">
        <f t="shared" si="132"/>
        <v/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4"/>
        <v/>
      </c>
      <c r="CK239" s="41" t="str">
        <f t="shared" si="135"/>
        <v/>
      </c>
      <c r="CL239" s="66" t="str">
        <f t="shared" si="136"/>
        <v/>
      </c>
      <c r="CM239" s="39" t="str">
        <f t="shared" si="137"/>
        <v/>
      </c>
      <c r="CN239" s="39" t="str">
        <f t="shared" si="138"/>
        <v/>
      </c>
      <c r="CO239" s="42" t="str">
        <f t="shared" si="139"/>
        <v/>
      </c>
      <c r="CP239" s="42" t="str">
        <f t="shared" si="140"/>
        <v/>
      </c>
      <c r="CQ239" s="42" t="str">
        <f t="shared" si="141"/>
        <v/>
      </c>
      <c r="CR239" s="42" t="str">
        <f t="shared" si="142"/>
        <v/>
      </c>
      <c r="CS239" s="42" t="str">
        <f t="shared" si="143"/>
        <v/>
      </c>
      <c r="CT239" s="42" t="str">
        <f t="shared" si="144"/>
        <v/>
      </c>
      <c r="CU239" s="43" t="str">
        <f t="shared" si="145"/>
        <v/>
      </c>
      <c r="CV239" s="43" t="str">
        <f t="shared" si="146"/>
        <v/>
      </c>
      <c r="CW239" s="43" t="str">
        <f t="shared" si="147"/>
        <v/>
      </c>
      <c r="CX239" s="13"/>
    </row>
    <row r="240" spans="1:102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11"/>
        <v/>
      </c>
      <c r="S240" s="37" t="str">
        <f t="shared" si="112"/>
        <v/>
      </c>
      <c r="T240" s="38" t="str">
        <f t="shared" si="113"/>
        <v/>
      </c>
      <c r="U240" s="38" t="str">
        <f t="shared" si="114"/>
        <v/>
      </c>
      <c r="V240" s="38" t="b">
        <f t="shared" si="115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6"/>
        <v/>
      </c>
      <c r="AI240" s="36" t="str">
        <f>IFERROR(INDEX('Level Multipliers'!$D:$D,MATCH(AH240,'Level Multipliers'!$A:$A,0)),"")</f>
        <v/>
      </c>
      <c r="AJ240" s="37" t="str">
        <f t="shared" si="117"/>
        <v/>
      </c>
      <c r="AK240" s="37" t="str">
        <f t="shared" si="118"/>
        <v/>
      </c>
      <c r="AL240" s="38" t="str">
        <f t="shared" si="119"/>
        <v/>
      </c>
      <c r="AM240" s="38" t="str">
        <f t="shared" si="120"/>
        <v/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22"/>
        <v/>
      </c>
      <c r="BA240" s="36" t="str">
        <f>IFERROR(INDEX('Level Multipliers'!$D:$D,MATCH(AZ240,'Level Multipliers'!$A:$A,0)),"")</f>
        <v/>
      </c>
      <c r="BB240" s="37" t="str">
        <f t="shared" si="123"/>
        <v/>
      </c>
      <c r="BC240" s="37" t="str">
        <f t="shared" si="124"/>
        <v/>
      </c>
      <c r="BD240" s="38" t="str">
        <f t="shared" si="125"/>
        <v/>
      </c>
      <c r="BE240" s="38" t="str">
        <f t="shared" si="126"/>
        <v/>
      </c>
      <c r="BF240" s="38" t="b">
        <f t="shared" si="127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8"/>
        <v/>
      </c>
      <c r="BS240" s="36" t="str">
        <f>IFERROR(INDEX('Level Multipliers'!$D:$D,MATCH(BR240,'Level Multipliers'!$A:$A,0)),"")</f>
        <v/>
      </c>
      <c r="BT240" s="37" t="str">
        <f t="shared" si="129"/>
        <v/>
      </c>
      <c r="BU240" s="37" t="str">
        <f t="shared" si="130"/>
        <v/>
      </c>
      <c r="BV240" s="38" t="str">
        <f t="shared" si="131"/>
        <v/>
      </c>
      <c r="BW240" s="38" t="str">
        <f t="shared" si="132"/>
        <v/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4"/>
        <v/>
      </c>
      <c r="CK240" s="41" t="str">
        <f t="shared" si="135"/>
        <v/>
      </c>
      <c r="CL240" s="66" t="str">
        <f t="shared" si="136"/>
        <v/>
      </c>
      <c r="CM240" s="39" t="str">
        <f t="shared" si="137"/>
        <v/>
      </c>
      <c r="CN240" s="39" t="str">
        <f t="shared" si="138"/>
        <v/>
      </c>
      <c r="CO240" s="42" t="str">
        <f t="shared" si="139"/>
        <v/>
      </c>
      <c r="CP240" s="42" t="str">
        <f t="shared" si="140"/>
        <v/>
      </c>
      <c r="CQ240" s="42" t="str">
        <f t="shared" si="141"/>
        <v/>
      </c>
      <c r="CR240" s="42" t="str">
        <f t="shared" si="142"/>
        <v/>
      </c>
      <c r="CS240" s="42" t="str">
        <f t="shared" si="143"/>
        <v/>
      </c>
      <c r="CT240" s="42" t="str">
        <f t="shared" si="144"/>
        <v/>
      </c>
      <c r="CU240" s="43" t="str">
        <f t="shared" si="145"/>
        <v/>
      </c>
      <c r="CV240" s="43" t="str">
        <f t="shared" si="146"/>
        <v/>
      </c>
      <c r="CW240" s="43" t="str">
        <f t="shared" si="147"/>
        <v/>
      </c>
      <c r="CX240" s="13"/>
    </row>
    <row r="241" spans="1:102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11"/>
        <v/>
      </c>
      <c r="S241" s="37" t="str">
        <f t="shared" si="112"/>
        <v/>
      </c>
      <c r="T241" s="38" t="str">
        <f t="shared" si="113"/>
        <v/>
      </c>
      <c r="U241" s="38" t="str">
        <f t="shared" si="114"/>
        <v/>
      </c>
      <c r="V241" s="38" t="b">
        <f t="shared" si="115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6"/>
        <v/>
      </c>
      <c r="AI241" s="36" t="str">
        <f>IFERROR(INDEX('Level Multipliers'!$D:$D,MATCH(AH241,'Level Multipliers'!$A:$A,0)),"")</f>
        <v/>
      </c>
      <c r="AJ241" s="37" t="str">
        <f t="shared" si="117"/>
        <v/>
      </c>
      <c r="AK241" s="37" t="str">
        <f t="shared" si="118"/>
        <v/>
      </c>
      <c r="AL241" s="38" t="str">
        <f t="shared" si="119"/>
        <v/>
      </c>
      <c r="AM241" s="38" t="str">
        <f t="shared" si="120"/>
        <v/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22"/>
        <v/>
      </c>
      <c r="BA241" s="36" t="str">
        <f>IFERROR(INDEX('Level Multipliers'!$D:$D,MATCH(AZ241,'Level Multipliers'!$A:$A,0)),"")</f>
        <v/>
      </c>
      <c r="BB241" s="37" t="str">
        <f t="shared" si="123"/>
        <v/>
      </c>
      <c r="BC241" s="37" t="str">
        <f t="shared" si="124"/>
        <v/>
      </c>
      <c r="BD241" s="38" t="str">
        <f t="shared" si="125"/>
        <v/>
      </c>
      <c r="BE241" s="38" t="str">
        <f t="shared" si="126"/>
        <v/>
      </c>
      <c r="BF241" s="38" t="b">
        <f t="shared" si="127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8"/>
        <v/>
      </c>
      <c r="BS241" s="36" t="str">
        <f>IFERROR(INDEX('Level Multipliers'!$D:$D,MATCH(BR241,'Level Multipliers'!$A:$A,0)),"")</f>
        <v/>
      </c>
      <c r="BT241" s="37" t="str">
        <f t="shared" si="129"/>
        <v/>
      </c>
      <c r="BU241" s="37" t="str">
        <f t="shared" si="130"/>
        <v/>
      </c>
      <c r="BV241" s="38" t="str">
        <f t="shared" si="131"/>
        <v/>
      </c>
      <c r="BW241" s="38" t="str">
        <f t="shared" si="132"/>
        <v/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4"/>
        <v/>
      </c>
      <c r="CK241" s="41" t="str">
        <f t="shared" si="135"/>
        <v/>
      </c>
      <c r="CL241" s="66" t="str">
        <f t="shared" si="136"/>
        <v/>
      </c>
      <c r="CM241" s="39" t="str">
        <f t="shared" si="137"/>
        <v/>
      </c>
      <c r="CN241" s="39" t="str">
        <f t="shared" si="138"/>
        <v/>
      </c>
      <c r="CO241" s="42" t="str">
        <f t="shared" si="139"/>
        <v/>
      </c>
      <c r="CP241" s="42" t="str">
        <f t="shared" si="140"/>
        <v/>
      </c>
      <c r="CQ241" s="42" t="str">
        <f t="shared" si="141"/>
        <v/>
      </c>
      <c r="CR241" s="42" t="str">
        <f t="shared" si="142"/>
        <v/>
      </c>
      <c r="CS241" s="42" t="str">
        <f t="shared" si="143"/>
        <v/>
      </c>
      <c r="CT241" s="42" t="str">
        <f t="shared" si="144"/>
        <v/>
      </c>
      <c r="CU241" s="43" t="str">
        <f t="shared" si="145"/>
        <v/>
      </c>
      <c r="CV241" s="43" t="str">
        <f t="shared" si="146"/>
        <v/>
      </c>
      <c r="CW241" s="43" t="str">
        <f t="shared" si="147"/>
        <v/>
      </c>
      <c r="CX241" s="13"/>
    </row>
    <row r="242" spans="1:102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11"/>
        <v/>
      </c>
      <c r="S242" s="37" t="str">
        <f t="shared" si="112"/>
        <v/>
      </c>
      <c r="T242" s="38" t="str">
        <f t="shared" si="113"/>
        <v/>
      </c>
      <c r="U242" s="38" t="str">
        <f t="shared" si="114"/>
        <v/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6"/>
        <v/>
      </c>
      <c r="AI242" s="36" t="str">
        <f>IFERROR(INDEX('Level Multipliers'!$D:$D,MATCH(AH242,'Level Multipliers'!$A:$A,0)),"")</f>
        <v/>
      </c>
      <c r="AJ242" s="37" t="str">
        <f t="shared" si="117"/>
        <v/>
      </c>
      <c r="AK242" s="37" t="str">
        <f t="shared" si="118"/>
        <v/>
      </c>
      <c r="AL242" s="38" t="str">
        <f t="shared" si="119"/>
        <v/>
      </c>
      <c r="AM242" s="38" t="str">
        <f t="shared" si="120"/>
        <v/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22"/>
        <v/>
      </c>
      <c r="BA242" s="36" t="str">
        <f>IFERROR(INDEX('Level Multipliers'!$D:$D,MATCH(AZ242,'Level Multipliers'!$A:$A,0)),"")</f>
        <v/>
      </c>
      <c r="BB242" s="37" t="str">
        <f t="shared" si="123"/>
        <v/>
      </c>
      <c r="BC242" s="37" t="str">
        <f t="shared" si="124"/>
        <v/>
      </c>
      <c r="BD242" s="38" t="str">
        <f t="shared" si="125"/>
        <v/>
      </c>
      <c r="BE242" s="38" t="str">
        <f t="shared" si="126"/>
        <v/>
      </c>
      <c r="BF242" s="38" t="b">
        <f t="shared" si="127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8"/>
        <v/>
      </c>
      <c r="BS242" s="36" t="str">
        <f>IFERROR(INDEX('Level Multipliers'!$D:$D,MATCH(BR242,'Level Multipliers'!$A:$A,0)),"")</f>
        <v/>
      </c>
      <c r="BT242" s="37" t="str">
        <f t="shared" si="129"/>
        <v/>
      </c>
      <c r="BU242" s="37" t="str">
        <f t="shared" si="130"/>
        <v/>
      </c>
      <c r="BV242" s="38" t="str">
        <f t="shared" si="131"/>
        <v/>
      </c>
      <c r="BW242" s="38" t="str">
        <f t="shared" si="132"/>
        <v/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4"/>
        <v/>
      </c>
      <c r="CK242" s="41" t="str">
        <f t="shared" si="135"/>
        <v/>
      </c>
      <c r="CL242" s="66" t="str">
        <f t="shared" si="136"/>
        <v/>
      </c>
      <c r="CM242" s="39" t="str">
        <f t="shared" si="137"/>
        <v/>
      </c>
      <c r="CN242" s="39" t="str">
        <f t="shared" si="138"/>
        <v/>
      </c>
      <c r="CO242" s="42" t="str">
        <f t="shared" si="139"/>
        <v/>
      </c>
      <c r="CP242" s="42" t="str">
        <f t="shared" si="140"/>
        <v/>
      </c>
      <c r="CQ242" s="42" t="str">
        <f t="shared" si="141"/>
        <v/>
      </c>
      <c r="CR242" s="42" t="str">
        <f t="shared" si="142"/>
        <v/>
      </c>
      <c r="CS242" s="42" t="str">
        <f t="shared" si="143"/>
        <v/>
      </c>
      <c r="CT242" s="42" t="str">
        <f t="shared" si="144"/>
        <v/>
      </c>
      <c r="CU242" s="43" t="str">
        <f t="shared" si="145"/>
        <v/>
      </c>
      <c r="CV242" s="43" t="str">
        <f t="shared" si="146"/>
        <v/>
      </c>
      <c r="CW242" s="43" t="str">
        <f t="shared" si="147"/>
        <v/>
      </c>
      <c r="CX242" s="13"/>
    </row>
    <row r="243" spans="1:102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11"/>
        <v/>
      </c>
      <c r="S243" s="37" t="str">
        <f t="shared" si="112"/>
        <v/>
      </c>
      <c r="T243" s="38" t="str">
        <f t="shared" si="113"/>
        <v/>
      </c>
      <c r="U243" s="38" t="str">
        <f t="shared" si="114"/>
        <v/>
      </c>
      <c r="V243" s="38" t="b">
        <f t="shared" si="115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6"/>
        <v/>
      </c>
      <c r="AI243" s="36" t="str">
        <f>IFERROR(INDEX('Level Multipliers'!$D:$D,MATCH(AH243,'Level Multipliers'!$A:$A,0)),"")</f>
        <v/>
      </c>
      <c r="AJ243" s="37" t="str">
        <f t="shared" si="117"/>
        <v/>
      </c>
      <c r="AK243" s="37" t="str">
        <f t="shared" si="118"/>
        <v/>
      </c>
      <c r="AL243" s="38" t="str">
        <f t="shared" si="119"/>
        <v/>
      </c>
      <c r="AM243" s="38" t="str">
        <f t="shared" si="120"/>
        <v/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22"/>
        <v/>
      </c>
      <c r="BA243" s="36" t="str">
        <f>IFERROR(INDEX('Level Multipliers'!$D:$D,MATCH(AZ243,'Level Multipliers'!$A:$A,0)),"")</f>
        <v/>
      </c>
      <c r="BB243" s="37" t="str">
        <f t="shared" si="123"/>
        <v/>
      </c>
      <c r="BC243" s="37" t="str">
        <f t="shared" si="124"/>
        <v/>
      </c>
      <c r="BD243" s="38" t="str">
        <f t="shared" si="125"/>
        <v/>
      </c>
      <c r="BE243" s="38" t="str">
        <f t="shared" si="126"/>
        <v/>
      </c>
      <c r="BF243" s="38" t="b">
        <f t="shared" si="127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8"/>
        <v/>
      </c>
      <c r="BS243" s="36" t="str">
        <f>IFERROR(INDEX('Level Multipliers'!$D:$D,MATCH(BR243,'Level Multipliers'!$A:$A,0)),"")</f>
        <v/>
      </c>
      <c r="BT243" s="37" t="str">
        <f t="shared" si="129"/>
        <v/>
      </c>
      <c r="BU243" s="37" t="str">
        <f t="shared" si="130"/>
        <v/>
      </c>
      <c r="BV243" s="38" t="str">
        <f t="shared" si="131"/>
        <v/>
      </c>
      <c r="BW243" s="38" t="str">
        <f t="shared" si="132"/>
        <v/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4"/>
        <v/>
      </c>
      <c r="CK243" s="41" t="str">
        <f t="shared" si="135"/>
        <v/>
      </c>
      <c r="CL243" s="66" t="str">
        <f t="shared" si="136"/>
        <v/>
      </c>
      <c r="CM243" s="39" t="str">
        <f t="shared" si="137"/>
        <v/>
      </c>
      <c r="CN243" s="39" t="str">
        <f t="shared" si="138"/>
        <v/>
      </c>
      <c r="CO243" s="42" t="str">
        <f t="shared" si="139"/>
        <v/>
      </c>
      <c r="CP243" s="42" t="str">
        <f t="shared" si="140"/>
        <v/>
      </c>
      <c r="CQ243" s="42" t="str">
        <f t="shared" si="141"/>
        <v/>
      </c>
      <c r="CR243" s="42" t="str">
        <f t="shared" si="142"/>
        <v/>
      </c>
      <c r="CS243" s="42" t="str">
        <f t="shared" si="143"/>
        <v/>
      </c>
      <c r="CT243" s="42" t="str">
        <f t="shared" si="144"/>
        <v/>
      </c>
      <c r="CU243" s="43" t="str">
        <f t="shared" si="145"/>
        <v/>
      </c>
      <c r="CV243" s="43" t="str">
        <f t="shared" si="146"/>
        <v/>
      </c>
      <c r="CW243" s="43" t="str">
        <f t="shared" si="147"/>
        <v/>
      </c>
      <c r="CX243" s="13"/>
    </row>
    <row r="244" spans="1:102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11"/>
        <v/>
      </c>
      <c r="S244" s="37" t="str">
        <f t="shared" si="112"/>
        <v/>
      </c>
      <c r="T244" s="38" t="str">
        <f t="shared" si="113"/>
        <v/>
      </c>
      <c r="U244" s="38" t="str">
        <f t="shared" si="114"/>
        <v/>
      </c>
      <c r="V244" s="38" t="b">
        <f t="shared" si="115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6"/>
        <v/>
      </c>
      <c r="AI244" s="36" t="str">
        <f>IFERROR(INDEX('Level Multipliers'!$D:$D,MATCH(AH244,'Level Multipliers'!$A:$A,0)),"")</f>
        <v/>
      </c>
      <c r="AJ244" s="37" t="str">
        <f t="shared" si="117"/>
        <v/>
      </c>
      <c r="AK244" s="37" t="str">
        <f t="shared" si="118"/>
        <v/>
      </c>
      <c r="AL244" s="38" t="str">
        <f t="shared" si="119"/>
        <v/>
      </c>
      <c r="AM244" s="38" t="str">
        <f t="shared" si="120"/>
        <v/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22"/>
        <v/>
      </c>
      <c r="BA244" s="36" t="str">
        <f>IFERROR(INDEX('Level Multipliers'!$D:$D,MATCH(AZ244,'Level Multipliers'!$A:$A,0)),"")</f>
        <v/>
      </c>
      <c r="BB244" s="37" t="str">
        <f t="shared" si="123"/>
        <v/>
      </c>
      <c r="BC244" s="37" t="str">
        <f t="shared" si="124"/>
        <v/>
      </c>
      <c r="BD244" s="38" t="str">
        <f t="shared" si="125"/>
        <v/>
      </c>
      <c r="BE244" s="38" t="str">
        <f t="shared" si="126"/>
        <v/>
      </c>
      <c r="BF244" s="38" t="b">
        <f t="shared" si="127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8"/>
        <v/>
      </c>
      <c r="BS244" s="36" t="str">
        <f>IFERROR(INDEX('Level Multipliers'!$D:$D,MATCH(BR244,'Level Multipliers'!$A:$A,0)),"")</f>
        <v/>
      </c>
      <c r="BT244" s="37" t="str">
        <f t="shared" si="129"/>
        <v/>
      </c>
      <c r="BU244" s="37" t="str">
        <f t="shared" si="130"/>
        <v/>
      </c>
      <c r="BV244" s="38" t="str">
        <f t="shared" si="131"/>
        <v/>
      </c>
      <c r="BW244" s="38" t="str">
        <f t="shared" si="132"/>
        <v/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4"/>
        <v/>
      </c>
      <c r="CK244" s="41" t="str">
        <f t="shared" si="135"/>
        <v/>
      </c>
      <c r="CL244" s="66" t="str">
        <f t="shared" si="136"/>
        <v/>
      </c>
      <c r="CM244" s="39" t="str">
        <f t="shared" si="137"/>
        <v/>
      </c>
      <c r="CN244" s="39" t="str">
        <f t="shared" si="138"/>
        <v/>
      </c>
      <c r="CO244" s="42" t="str">
        <f t="shared" si="139"/>
        <v/>
      </c>
      <c r="CP244" s="42" t="str">
        <f t="shared" si="140"/>
        <v/>
      </c>
      <c r="CQ244" s="42" t="str">
        <f t="shared" si="141"/>
        <v/>
      </c>
      <c r="CR244" s="42" t="str">
        <f t="shared" si="142"/>
        <v/>
      </c>
      <c r="CS244" s="42" t="str">
        <f t="shared" si="143"/>
        <v/>
      </c>
      <c r="CT244" s="42" t="str">
        <f t="shared" si="144"/>
        <v/>
      </c>
      <c r="CU244" s="43" t="str">
        <f t="shared" si="145"/>
        <v/>
      </c>
      <c r="CV244" s="43" t="str">
        <f t="shared" si="146"/>
        <v/>
      </c>
      <c r="CW244" s="43" t="str">
        <f t="shared" si="147"/>
        <v/>
      </c>
      <c r="CX244" s="13"/>
    </row>
    <row r="245" spans="1:102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11"/>
        <v/>
      </c>
      <c r="S245" s="37" t="str">
        <f t="shared" si="112"/>
        <v/>
      </c>
      <c r="T245" s="38" t="str">
        <f t="shared" si="113"/>
        <v/>
      </c>
      <c r="U245" s="38" t="str">
        <f t="shared" si="114"/>
        <v/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6"/>
        <v/>
      </c>
      <c r="AI245" s="36" t="str">
        <f>IFERROR(INDEX('Level Multipliers'!$D:$D,MATCH(AH245,'Level Multipliers'!$A:$A,0)),"")</f>
        <v/>
      </c>
      <c r="AJ245" s="37" t="str">
        <f t="shared" si="117"/>
        <v/>
      </c>
      <c r="AK245" s="37" t="str">
        <f t="shared" si="118"/>
        <v/>
      </c>
      <c r="AL245" s="38" t="str">
        <f t="shared" si="119"/>
        <v/>
      </c>
      <c r="AM245" s="38" t="str">
        <f t="shared" si="120"/>
        <v/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22"/>
        <v/>
      </c>
      <c r="BA245" s="36" t="str">
        <f>IFERROR(INDEX('Level Multipliers'!$D:$D,MATCH(AZ245,'Level Multipliers'!$A:$A,0)),"")</f>
        <v/>
      </c>
      <c r="BB245" s="37" t="str">
        <f t="shared" si="123"/>
        <v/>
      </c>
      <c r="BC245" s="37" t="str">
        <f t="shared" si="124"/>
        <v/>
      </c>
      <c r="BD245" s="38" t="str">
        <f t="shared" si="125"/>
        <v/>
      </c>
      <c r="BE245" s="38" t="str">
        <f t="shared" si="126"/>
        <v/>
      </c>
      <c r="BF245" s="38" t="b">
        <f t="shared" si="127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8"/>
        <v/>
      </c>
      <c r="BS245" s="36" t="str">
        <f>IFERROR(INDEX('Level Multipliers'!$D:$D,MATCH(BR245,'Level Multipliers'!$A:$A,0)),"")</f>
        <v/>
      </c>
      <c r="BT245" s="37" t="str">
        <f t="shared" si="129"/>
        <v/>
      </c>
      <c r="BU245" s="37" t="str">
        <f t="shared" si="130"/>
        <v/>
      </c>
      <c r="BV245" s="38" t="str">
        <f t="shared" si="131"/>
        <v/>
      </c>
      <c r="BW245" s="38" t="str">
        <f t="shared" si="132"/>
        <v/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4"/>
        <v/>
      </c>
      <c r="CK245" s="41" t="str">
        <f t="shared" si="135"/>
        <v/>
      </c>
      <c r="CL245" s="66" t="str">
        <f t="shared" si="136"/>
        <v/>
      </c>
      <c r="CM245" s="39" t="str">
        <f t="shared" si="137"/>
        <v/>
      </c>
      <c r="CN245" s="39" t="str">
        <f t="shared" si="138"/>
        <v/>
      </c>
      <c r="CO245" s="42" t="str">
        <f t="shared" si="139"/>
        <v/>
      </c>
      <c r="CP245" s="42" t="str">
        <f t="shared" si="140"/>
        <v/>
      </c>
      <c r="CQ245" s="42" t="str">
        <f t="shared" si="141"/>
        <v/>
      </c>
      <c r="CR245" s="42" t="str">
        <f t="shared" si="142"/>
        <v/>
      </c>
      <c r="CS245" s="42" t="str">
        <f t="shared" si="143"/>
        <v/>
      </c>
      <c r="CT245" s="42" t="str">
        <f t="shared" si="144"/>
        <v/>
      </c>
      <c r="CU245" s="43" t="str">
        <f t="shared" si="145"/>
        <v/>
      </c>
      <c r="CV245" s="43" t="str">
        <f t="shared" si="146"/>
        <v/>
      </c>
      <c r="CW245" s="43" t="str">
        <f t="shared" si="147"/>
        <v/>
      </c>
      <c r="CX245" s="13"/>
    </row>
    <row r="246" spans="1:102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11"/>
        <v/>
      </c>
      <c r="S246" s="37" t="str">
        <f t="shared" si="112"/>
        <v/>
      </c>
      <c r="T246" s="38" t="str">
        <f t="shared" si="113"/>
        <v/>
      </c>
      <c r="U246" s="38" t="str">
        <f t="shared" si="114"/>
        <v/>
      </c>
      <c r="V246" s="38" t="b">
        <f t="shared" si="115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6"/>
        <v/>
      </c>
      <c r="AI246" s="36" t="str">
        <f>IFERROR(INDEX('Level Multipliers'!$D:$D,MATCH(AH246,'Level Multipliers'!$A:$A,0)),"")</f>
        <v/>
      </c>
      <c r="AJ246" s="37" t="str">
        <f t="shared" si="117"/>
        <v/>
      </c>
      <c r="AK246" s="37" t="str">
        <f t="shared" si="118"/>
        <v/>
      </c>
      <c r="AL246" s="38" t="str">
        <f t="shared" si="119"/>
        <v/>
      </c>
      <c r="AM246" s="38" t="str">
        <f t="shared" si="120"/>
        <v/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22"/>
        <v/>
      </c>
      <c r="BA246" s="36" t="str">
        <f>IFERROR(INDEX('Level Multipliers'!$D:$D,MATCH(AZ246,'Level Multipliers'!$A:$A,0)),"")</f>
        <v/>
      </c>
      <c r="BB246" s="37" t="str">
        <f t="shared" si="123"/>
        <v/>
      </c>
      <c r="BC246" s="37" t="str">
        <f t="shared" si="124"/>
        <v/>
      </c>
      <c r="BD246" s="38" t="str">
        <f t="shared" si="125"/>
        <v/>
      </c>
      <c r="BE246" s="38" t="str">
        <f t="shared" si="126"/>
        <v/>
      </c>
      <c r="BF246" s="38" t="b">
        <f t="shared" si="127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8"/>
        <v/>
      </c>
      <c r="BS246" s="36" t="str">
        <f>IFERROR(INDEX('Level Multipliers'!$D:$D,MATCH(BR246,'Level Multipliers'!$A:$A,0)),"")</f>
        <v/>
      </c>
      <c r="BT246" s="37" t="str">
        <f t="shared" si="129"/>
        <v/>
      </c>
      <c r="BU246" s="37" t="str">
        <f t="shared" si="130"/>
        <v/>
      </c>
      <c r="BV246" s="38" t="str">
        <f t="shared" si="131"/>
        <v/>
      </c>
      <c r="BW246" s="38" t="str">
        <f t="shared" si="132"/>
        <v/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4"/>
        <v/>
      </c>
      <c r="CK246" s="41" t="str">
        <f t="shared" si="135"/>
        <v/>
      </c>
      <c r="CL246" s="66" t="str">
        <f t="shared" si="136"/>
        <v/>
      </c>
      <c r="CM246" s="39" t="str">
        <f t="shared" si="137"/>
        <v/>
      </c>
      <c r="CN246" s="39" t="str">
        <f t="shared" si="138"/>
        <v/>
      </c>
      <c r="CO246" s="42" t="str">
        <f t="shared" si="139"/>
        <v/>
      </c>
      <c r="CP246" s="42" t="str">
        <f t="shared" si="140"/>
        <v/>
      </c>
      <c r="CQ246" s="42" t="str">
        <f t="shared" si="141"/>
        <v/>
      </c>
      <c r="CR246" s="42" t="str">
        <f t="shared" si="142"/>
        <v/>
      </c>
      <c r="CS246" s="42" t="str">
        <f t="shared" si="143"/>
        <v/>
      </c>
      <c r="CT246" s="42" t="str">
        <f t="shared" si="144"/>
        <v/>
      </c>
      <c r="CU246" s="43" t="str">
        <f t="shared" si="145"/>
        <v/>
      </c>
      <c r="CV246" s="43" t="str">
        <f t="shared" si="146"/>
        <v/>
      </c>
      <c r="CW246" s="43" t="str">
        <f t="shared" si="147"/>
        <v/>
      </c>
      <c r="CX246" s="13"/>
    </row>
    <row r="247" spans="1:102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11"/>
        <v/>
      </c>
      <c r="S247" s="37" t="str">
        <f t="shared" si="112"/>
        <v/>
      </c>
      <c r="T247" s="38" t="str">
        <f t="shared" si="113"/>
        <v/>
      </c>
      <c r="U247" s="38" t="str">
        <f t="shared" si="114"/>
        <v/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6"/>
        <v/>
      </c>
      <c r="AI247" s="36" t="str">
        <f>IFERROR(INDEX('Level Multipliers'!$D:$D,MATCH(AH247,'Level Multipliers'!$A:$A,0)),"")</f>
        <v/>
      </c>
      <c r="AJ247" s="37" t="str">
        <f t="shared" si="117"/>
        <v/>
      </c>
      <c r="AK247" s="37" t="str">
        <f t="shared" si="118"/>
        <v/>
      </c>
      <c r="AL247" s="38" t="str">
        <f t="shared" si="119"/>
        <v/>
      </c>
      <c r="AM247" s="38" t="str">
        <f t="shared" si="120"/>
        <v/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22"/>
        <v/>
      </c>
      <c r="BA247" s="36" t="str">
        <f>IFERROR(INDEX('Level Multipliers'!$D:$D,MATCH(AZ247,'Level Multipliers'!$A:$A,0)),"")</f>
        <v/>
      </c>
      <c r="BB247" s="37" t="str">
        <f t="shared" si="123"/>
        <v/>
      </c>
      <c r="BC247" s="37" t="str">
        <f t="shared" si="124"/>
        <v/>
      </c>
      <c r="BD247" s="38" t="str">
        <f t="shared" si="125"/>
        <v/>
      </c>
      <c r="BE247" s="38" t="str">
        <f t="shared" si="126"/>
        <v/>
      </c>
      <c r="BF247" s="38" t="b">
        <f t="shared" si="127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8"/>
        <v/>
      </c>
      <c r="BS247" s="36" t="str">
        <f>IFERROR(INDEX('Level Multipliers'!$D:$D,MATCH(BR247,'Level Multipliers'!$A:$A,0)),"")</f>
        <v/>
      </c>
      <c r="BT247" s="37" t="str">
        <f t="shared" si="129"/>
        <v/>
      </c>
      <c r="BU247" s="37" t="str">
        <f t="shared" si="130"/>
        <v/>
      </c>
      <c r="BV247" s="38" t="str">
        <f t="shared" si="131"/>
        <v/>
      </c>
      <c r="BW247" s="38" t="str">
        <f t="shared" si="132"/>
        <v/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4"/>
        <v/>
      </c>
      <c r="CK247" s="41" t="str">
        <f t="shared" si="135"/>
        <v/>
      </c>
      <c r="CL247" s="66" t="str">
        <f t="shared" si="136"/>
        <v/>
      </c>
      <c r="CM247" s="39" t="str">
        <f t="shared" si="137"/>
        <v/>
      </c>
      <c r="CN247" s="39" t="str">
        <f t="shared" si="138"/>
        <v/>
      </c>
      <c r="CO247" s="42" t="str">
        <f t="shared" si="139"/>
        <v/>
      </c>
      <c r="CP247" s="42" t="str">
        <f t="shared" si="140"/>
        <v/>
      </c>
      <c r="CQ247" s="42" t="str">
        <f t="shared" si="141"/>
        <v/>
      </c>
      <c r="CR247" s="42" t="str">
        <f t="shared" si="142"/>
        <v/>
      </c>
      <c r="CS247" s="42" t="str">
        <f t="shared" si="143"/>
        <v/>
      </c>
      <c r="CT247" s="42" t="str">
        <f t="shared" si="144"/>
        <v/>
      </c>
      <c r="CU247" s="43" t="str">
        <f t="shared" si="145"/>
        <v/>
      </c>
      <c r="CV247" s="43" t="str">
        <f t="shared" si="146"/>
        <v/>
      </c>
      <c r="CW247" s="43" t="str">
        <f t="shared" si="147"/>
        <v/>
      </c>
      <c r="CX247" s="13"/>
    </row>
    <row r="248" spans="1:102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11"/>
        <v/>
      </c>
      <c r="S248" s="37" t="str">
        <f t="shared" si="112"/>
        <v/>
      </c>
      <c r="T248" s="38" t="str">
        <f t="shared" si="113"/>
        <v/>
      </c>
      <c r="U248" s="38" t="str">
        <f t="shared" si="114"/>
        <v/>
      </c>
      <c r="V248" s="38" t="b">
        <f t="shared" si="115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6"/>
        <v/>
      </c>
      <c r="AI248" s="36" t="str">
        <f>IFERROR(INDEX('Level Multipliers'!$D:$D,MATCH(AH248,'Level Multipliers'!$A:$A,0)),"")</f>
        <v/>
      </c>
      <c r="AJ248" s="37" t="str">
        <f t="shared" si="117"/>
        <v/>
      </c>
      <c r="AK248" s="37" t="str">
        <f t="shared" si="118"/>
        <v/>
      </c>
      <c r="AL248" s="38" t="str">
        <f t="shared" si="119"/>
        <v/>
      </c>
      <c r="AM248" s="38" t="str">
        <f t="shared" si="120"/>
        <v/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22"/>
        <v/>
      </c>
      <c r="BA248" s="36" t="str">
        <f>IFERROR(INDEX('Level Multipliers'!$D:$D,MATCH(AZ248,'Level Multipliers'!$A:$A,0)),"")</f>
        <v/>
      </c>
      <c r="BB248" s="37" t="str">
        <f t="shared" si="123"/>
        <v/>
      </c>
      <c r="BC248" s="37" t="str">
        <f t="shared" si="124"/>
        <v/>
      </c>
      <c r="BD248" s="38" t="str">
        <f t="shared" si="125"/>
        <v/>
      </c>
      <c r="BE248" s="38" t="str">
        <f t="shared" si="126"/>
        <v/>
      </c>
      <c r="BF248" s="38" t="b">
        <f t="shared" si="127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8"/>
        <v/>
      </c>
      <c r="BS248" s="36" t="str">
        <f>IFERROR(INDEX('Level Multipliers'!$D:$D,MATCH(BR248,'Level Multipliers'!$A:$A,0)),"")</f>
        <v/>
      </c>
      <c r="BT248" s="37" t="str">
        <f t="shared" si="129"/>
        <v/>
      </c>
      <c r="BU248" s="37" t="str">
        <f t="shared" si="130"/>
        <v/>
      </c>
      <c r="BV248" s="38" t="str">
        <f t="shared" si="131"/>
        <v/>
      </c>
      <c r="BW248" s="38" t="str">
        <f t="shared" si="132"/>
        <v/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4"/>
        <v/>
      </c>
      <c r="CK248" s="41" t="str">
        <f t="shared" si="135"/>
        <v/>
      </c>
      <c r="CL248" s="66" t="str">
        <f t="shared" si="136"/>
        <v/>
      </c>
      <c r="CM248" s="39" t="str">
        <f t="shared" si="137"/>
        <v/>
      </c>
      <c r="CN248" s="39" t="str">
        <f t="shared" si="138"/>
        <v/>
      </c>
      <c r="CO248" s="42" t="str">
        <f t="shared" si="139"/>
        <v/>
      </c>
      <c r="CP248" s="42" t="str">
        <f t="shared" si="140"/>
        <v/>
      </c>
      <c r="CQ248" s="42" t="str">
        <f t="shared" si="141"/>
        <v/>
      </c>
      <c r="CR248" s="42" t="str">
        <f t="shared" si="142"/>
        <v/>
      </c>
      <c r="CS248" s="42" t="str">
        <f t="shared" si="143"/>
        <v/>
      </c>
      <c r="CT248" s="42" t="str">
        <f t="shared" si="144"/>
        <v/>
      </c>
      <c r="CU248" s="43" t="str">
        <f t="shared" si="145"/>
        <v/>
      </c>
      <c r="CV248" s="43" t="str">
        <f t="shared" si="146"/>
        <v/>
      </c>
      <c r="CW248" s="43" t="str">
        <f t="shared" si="147"/>
        <v/>
      </c>
      <c r="CX248" s="13"/>
    </row>
    <row r="249" spans="1:102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11"/>
        <v/>
      </c>
      <c r="S249" s="37" t="str">
        <f t="shared" si="112"/>
        <v/>
      </c>
      <c r="T249" s="38" t="str">
        <f t="shared" si="113"/>
        <v/>
      </c>
      <c r="U249" s="38" t="str">
        <f t="shared" si="114"/>
        <v/>
      </c>
      <c r="V249" s="38" t="b">
        <f t="shared" si="115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6"/>
        <v/>
      </c>
      <c r="AI249" s="36" t="str">
        <f>IFERROR(INDEX('Level Multipliers'!$D:$D,MATCH(AH249,'Level Multipliers'!$A:$A,0)),"")</f>
        <v/>
      </c>
      <c r="AJ249" s="37" t="str">
        <f t="shared" si="117"/>
        <v/>
      </c>
      <c r="AK249" s="37" t="str">
        <f t="shared" si="118"/>
        <v/>
      </c>
      <c r="AL249" s="38" t="str">
        <f t="shared" si="119"/>
        <v/>
      </c>
      <c r="AM249" s="38" t="str">
        <f t="shared" si="120"/>
        <v/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22"/>
        <v/>
      </c>
      <c r="BA249" s="36" t="str">
        <f>IFERROR(INDEX('Level Multipliers'!$D:$D,MATCH(AZ249,'Level Multipliers'!$A:$A,0)),"")</f>
        <v/>
      </c>
      <c r="BB249" s="37" t="str">
        <f t="shared" si="123"/>
        <v/>
      </c>
      <c r="BC249" s="37" t="str">
        <f t="shared" si="124"/>
        <v/>
      </c>
      <c r="BD249" s="38" t="str">
        <f t="shared" si="125"/>
        <v/>
      </c>
      <c r="BE249" s="38" t="str">
        <f t="shared" si="126"/>
        <v/>
      </c>
      <c r="BF249" s="38" t="b">
        <f t="shared" si="127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8"/>
        <v/>
      </c>
      <c r="BS249" s="36" t="str">
        <f>IFERROR(INDEX('Level Multipliers'!$D:$D,MATCH(BR249,'Level Multipliers'!$A:$A,0)),"")</f>
        <v/>
      </c>
      <c r="BT249" s="37" t="str">
        <f t="shared" si="129"/>
        <v/>
      </c>
      <c r="BU249" s="37" t="str">
        <f t="shared" si="130"/>
        <v/>
      </c>
      <c r="BV249" s="38" t="str">
        <f t="shared" si="131"/>
        <v/>
      </c>
      <c r="BW249" s="38" t="str">
        <f t="shared" si="132"/>
        <v/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4"/>
        <v/>
      </c>
      <c r="CK249" s="41" t="str">
        <f t="shared" si="135"/>
        <v/>
      </c>
      <c r="CL249" s="66" t="str">
        <f t="shared" si="136"/>
        <v/>
      </c>
      <c r="CM249" s="39" t="str">
        <f t="shared" si="137"/>
        <v/>
      </c>
      <c r="CN249" s="39" t="str">
        <f t="shared" si="138"/>
        <v/>
      </c>
      <c r="CO249" s="42" t="str">
        <f t="shared" si="139"/>
        <v/>
      </c>
      <c r="CP249" s="42" t="str">
        <f t="shared" si="140"/>
        <v/>
      </c>
      <c r="CQ249" s="42" t="str">
        <f t="shared" si="141"/>
        <v/>
      </c>
      <c r="CR249" s="42" t="str">
        <f t="shared" si="142"/>
        <v/>
      </c>
      <c r="CS249" s="42" t="str">
        <f t="shared" si="143"/>
        <v/>
      </c>
      <c r="CT249" s="42" t="str">
        <f t="shared" si="144"/>
        <v/>
      </c>
      <c r="CU249" s="43" t="str">
        <f t="shared" si="145"/>
        <v/>
      </c>
      <c r="CV249" s="43" t="str">
        <f t="shared" si="146"/>
        <v/>
      </c>
      <c r="CW249" s="43" t="str">
        <f t="shared" si="147"/>
        <v/>
      </c>
      <c r="CX249" s="13"/>
    </row>
    <row r="250" spans="1:102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11"/>
        <v/>
      </c>
      <c r="S250" s="37" t="str">
        <f t="shared" si="112"/>
        <v/>
      </c>
      <c r="T250" s="38" t="str">
        <f t="shared" si="113"/>
        <v/>
      </c>
      <c r="U250" s="38" t="str">
        <f t="shared" si="114"/>
        <v/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6"/>
        <v/>
      </c>
      <c r="AI250" s="36" t="str">
        <f>IFERROR(INDEX('Level Multipliers'!$D:$D,MATCH(AH250,'Level Multipliers'!$A:$A,0)),"")</f>
        <v/>
      </c>
      <c r="AJ250" s="37" t="str">
        <f t="shared" si="117"/>
        <v/>
      </c>
      <c r="AK250" s="37" t="str">
        <f t="shared" si="118"/>
        <v/>
      </c>
      <c r="AL250" s="38" t="str">
        <f t="shared" si="119"/>
        <v/>
      </c>
      <c r="AM250" s="38" t="str">
        <f t="shared" si="120"/>
        <v/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22"/>
        <v/>
      </c>
      <c r="BA250" s="36" t="str">
        <f>IFERROR(INDEX('Level Multipliers'!$D:$D,MATCH(AZ250,'Level Multipliers'!$A:$A,0)),"")</f>
        <v/>
      </c>
      <c r="BB250" s="37" t="str">
        <f t="shared" si="123"/>
        <v/>
      </c>
      <c r="BC250" s="37" t="str">
        <f t="shared" si="124"/>
        <v/>
      </c>
      <c r="BD250" s="38" t="str">
        <f t="shared" si="125"/>
        <v/>
      </c>
      <c r="BE250" s="38" t="str">
        <f t="shared" si="126"/>
        <v/>
      </c>
      <c r="BF250" s="38" t="b">
        <f t="shared" si="127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8"/>
        <v/>
      </c>
      <c r="BS250" s="36" t="str">
        <f>IFERROR(INDEX('Level Multipliers'!$D:$D,MATCH(BR250,'Level Multipliers'!$A:$A,0)),"")</f>
        <v/>
      </c>
      <c r="BT250" s="37" t="str">
        <f t="shared" si="129"/>
        <v/>
      </c>
      <c r="BU250" s="37" t="str">
        <f t="shared" si="130"/>
        <v/>
      </c>
      <c r="BV250" s="38" t="str">
        <f t="shared" si="131"/>
        <v/>
      </c>
      <c r="BW250" s="38" t="str">
        <f t="shared" si="132"/>
        <v/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4"/>
        <v/>
      </c>
      <c r="CK250" s="41" t="str">
        <f t="shared" si="135"/>
        <v/>
      </c>
      <c r="CL250" s="66" t="str">
        <f t="shared" si="136"/>
        <v/>
      </c>
      <c r="CM250" s="39" t="str">
        <f t="shared" si="137"/>
        <v/>
      </c>
      <c r="CN250" s="39" t="str">
        <f t="shared" si="138"/>
        <v/>
      </c>
      <c r="CO250" s="42" t="str">
        <f t="shared" si="139"/>
        <v/>
      </c>
      <c r="CP250" s="42" t="str">
        <f t="shared" si="140"/>
        <v/>
      </c>
      <c r="CQ250" s="42" t="str">
        <f t="shared" si="141"/>
        <v/>
      </c>
      <c r="CR250" s="42" t="str">
        <f t="shared" si="142"/>
        <v/>
      </c>
      <c r="CS250" s="42" t="str">
        <f t="shared" si="143"/>
        <v/>
      </c>
      <c r="CT250" s="42" t="str">
        <f t="shared" si="144"/>
        <v/>
      </c>
      <c r="CU250" s="43" t="str">
        <f t="shared" si="145"/>
        <v/>
      </c>
      <c r="CV250" s="43" t="str">
        <f t="shared" si="146"/>
        <v/>
      </c>
      <c r="CW250" s="43" t="str">
        <f t="shared" si="147"/>
        <v/>
      </c>
      <c r="CX250" s="13"/>
    </row>
    <row r="251" spans="1:102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11"/>
        <v/>
      </c>
      <c r="S251" s="37" t="str">
        <f t="shared" si="112"/>
        <v/>
      </c>
      <c r="T251" s="38" t="str">
        <f t="shared" si="113"/>
        <v/>
      </c>
      <c r="U251" s="38" t="str">
        <f t="shared" si="114"/>
        <v/>
      </c>
      <c r="V251" s="38" t="b">
        <f t="shared" si="115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6"/>
        <v/>
      </c>
      <c r="AI251" s="36" t="str">
        <f>IFERROR(INDEX('Level Multipliers'!$D:$D,MATCH(AH251,'Level Multipliers'!$A:$A,0)),"")</f>
        <v/>
      </c>
      <c r="AJ251" s="37" t="str">
        <f t="shared" si="117"/>
        <v/>
      </c>
      <c r="AK251" s="37" t="str">
        <f t="shared" si="118"/>
        <v/>
      </c>
      <c r="AL251" s="38" t="str">
        <f t="shared" si="119"/>
        <v/>
      </c>
      <c r="AM251" s="38" t="str">
        <f t="shared" si="120"/>
        <v/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22"/>
        <v/>
      </c>
      <c r="BA251" s="36" t="str">
        <f>IFERROR(INDEX('Level Multipliers'!$D:$D,MATCH(AZ251,'Level Multipliers'!$A:$A,0)),"")</f>
        <v/>
      </c>
      <c r="BB251" s="37" t="str">
        <f t="shared" si="123"/>
        <v/>
      </c>
      <c r="BC251" s="37" t="str">
        <f t="shared" si="124"/>
        <v/>
      </c>
      <c r="BD251" s="38" t="str">
        <f t="shared" si="125"/>
        <v/>
      </c>
      <c r="BE251" s="38" t="str">
        <f t="shared" si="126"/>
        <v/>
      </c>
      <c r="BF251" s="38" t="b">
        <f t="shared" si="127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8"/>
        <v/>
      </c>
      <c r="BS251" s="36" t="str">
        <f>IFERROR(INDEX('Level Multipliers'!$D:$D,MATCH(BR251,'Level Multipliers'!$A:$A,0)),"")</f>
        <v/>
      </c>
      <c r="BT251" s="37" t="str">
        <f t="shared" si="129"/>
        <v/>
      </c>
      <c r="BU251" s="37" t="str">
        <f t="shared" si="130"/>
        <v/>
      </c>
      <c r="BV251" s="38" t="str">
        <f t="shared" si="131"/>
        <v/>
      </c>
      <c r="BW251" s="38" t="str">
        <f t="shared" si="132"/>
        <v/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4"/>
        <v/>
      </c>
      <c r="CK251" s="41" t="str">
        <f t="shared" si="135"/>
        <v/>
      </c>
      <c r="CL251" s="66" t="str">
        <f t="shared" si="136"/>
        <v/>
      </c>
      <c r="CM251" s="39" t="str">
        <f t="shared" si="137"/>
        <v/>
      </c>
      <c r="CN251" s="39" t="str">
        <f t="shared" si="138"/>
        <v/>
      </c>
      <c r="CO251" s="42" t="str">
        <f t="shared" si="139"/>
        <v/>
      </c>
      <c r="CP251" s="42" t="str">
        <f t="shared" si="140"/>
        <v/>
      </c>
      <c r="CQ251" s="42" t="str">
        <f t="shared" si="141"/>
        <v/>
      </c>
      <c r="CR251" s="42" t="str">
        <f t="shared" si="142"/>
        <v/>
      </c>
      <c r="CS251" s="42" t="str">
        <f t="shared" si="143"/>
        <v/>
      </c>
      <c r="CT251" s="42" t="str">
        <f t="shared" si="144"/>
        <v/>
      </c>
      <c r="CU251" s="43" t="str">
        <f t="shared" si="145"/>
        <v/>
      </c>
      <c r="CV251" s="43" t="str">
        <f t="shared" si="146"/>
        <v/>
      </c>
      <c r="CW251" s="43" t="str">
        <f t="shared" si="147"/>
        <v/>
      </c>
      <c r="CX251" s="13"/>
    </row>
    <row r="252" spans="1:102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11"/>
        <v/>
      </c>
      <c r="S252" s="37" t="str">
        <f t="shared" si="112"/>
        <v/>
      </c>
      <c r="T252" s="38" t="str">
        <f t="shared" si="113"/>
        <v/>
      </c>
      <c r="U252" s="38" t="str">
        <f t="shared" si="114"/>
        <v/>
      </c>
      <c r="V252" s="38" t="b">
        <f t="shared" si="115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6"/>
        <v/>
      </c>
      <c r="AI252" s="36" t="str">
        <f>IFERROR(INDEX('Level Multipliers'!$D:$D,MATCH(AH252,'Level Multipliers'!$A:$A,0)),"")</f>
        <v/>
      </c>
      <c r="AJ252" s="37" t="str">
        <f t="shared" si="117"/>
        <v/>
      </c>
      <c r="AK252" s="37" t="str">
        <f t="shared" si="118"/>
        <v/>
      </c>
      <c r="AL252" s="38" t="str">
        <f t="shared" si="119"/>
        <v/>
      </c>
      <c r="AM252" s="38" t="str">
        <f t="shared" si="120"/>
        <v/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22"/>
        <v/>
      </c>
      <c r="BA252" s="36" t="str">
        <f>IFERROR(INDEX('Level Multipliers'!$D:$D,MATCH(AZ252,'Level Multipliers'!$A:$A,0)),"")</f>
        <v/>
      </c>
      <c r="BB252" s="37" t="str">
        <f t="shared" si="123"/>
        <v/>
      </c>
      <c r="BC252" s="37" t="str">
        <f t="shared" si="124"/>
        <v/>
      </c>
      <c r="BD252" s="38" t="str">
        <f t="shared" si="125"/>
        <v/>
      </c>
      <c r="BE252" s="38" t="str">
        <f t="shared" si="126"/>
        <v/>
      </c>
      <c r="BF252" s="38" t="b">
        <f t="shared" si="127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8"/>
        <v/>
      </c>
      <c r="BS252" s="36" t="str">
        <f>IFERROR(INDEX('Level Multipliers'!$D:$D,MATCH(BR252,'Level Multipliers'!$A:$A,0)),"")</f>
        <v/>
      </c>
      <c r="BT252" s="37" t="str">
        <f t="shared" si="129"/>
        <v/>
      </c>
      <c r="BU252" s="37" t="str">
        <f t="shared" si="130"/>
        <v/>
      </c>
      <c r="BV252" s="38" t="str">
        <f t="shared" si="131"/>
        <v/>
      </c>
      <c r="BW252" s="38" t="str">
        <f t="shared" si="132"/>
        <v/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4"/>
        <v/>
      </c>
      <c r="CK252" s="41" t="str">
        <f t="shared" si="135"/>
        <v/>
      </c>
      <c r="CL252" s="66" t="str">
        <f t="shared" si="136"/>
        <v/>
      </c>
      <c r="CM252" s="39" t="str">
        <f t="shared" si="137"/>
        <v/>
      </c>
      <c r="CN252" s="39" t="str">
        <f t="shared" si="138"/>
        <v/>
      </c>
      <c r="CO252" s="42" t="str">
        <f t="shared" si="139"/>
        <v/>
      </c>
      <c r="CP252" s="42" t="str">
        <f t="shared" si="140"/>
        <v/>
      </c>
      <c r="CQ252" s="42" t="str">
        <f t="shared" si="141"/>
        <v/>
      </c>
      <c r="CR252" s="42" t="str">
        <f t="shared" si="142"/>
        <v/>
      </c>
      <c r="CS252" s="42" t="str">
        <f t="shared" si="143"/>
        <v/>
      </c>
      <c r="CT252" s="42" t="str">
        <f t="shared" si="144"/>
        <v/>
      </c>
      <c r="CU252" s="43" t="str">
        <f t="shared" si="145"/>
        <v/>
      </c>
      <c r="CV252" s="43" t="str">
        <f t="shared" si="146"/>
        <v/>
      </c>
      <c r="CW252" s="43" t="str">
        <f t="shared" si="147"/>
        <v/>
      </c>
      <c r="CX252" s="13"/>
    </row>
    <row r="253" spans="1:102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11"/>
        <v/>
      </c>
      <c r="S253" s="37" t="str">
        <f t="shared" si="112"/>
        <v/>
      </c>
      <c r="T253" s="38" t="str">
        <f t="shared" si="113"/>
        <v/>
      </c>
      <c r="U253" s="38" t="str">
        <f t="shared" si="114"/>
        <v/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6"/>
        <v/>
      </c>
      <c r="AI253" s="36" t="str">
        <f>IFERROR(INDEX('Level Multipliers'!$D:$D,MATCH(AH253,'Level Multipliers'!$A:$A,0)),"")</f>
        <v/>
      </c>
      <c r="AJ253" s="37" t="str">
        <f t="shared" si="117"/>
        <v/>
      </c>
      <c r="AK253" s="37" t="str">
        <f t="shared" si="118"/>
        <v/>
      </c>
      <c r="AL253" s="38" t="str">
        <f t="shared" si="119"/>
        <v/>
      </c>
      <c r="AM253" s="38" t="str">
        <f t="shared" si="120"/>
        <v/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22"/>
        <v/>
      </c>
      <c r="BA253" s="36" t="str">
        <f>IFERROR(INDEX('Level Multipliers'!$D:$D,MATCH(AZ253,'Level Multipliers'!$A:$A,0)),"")</f>
        <v/>
      </c>
      <c r="BB253" s="37" t="str">
        <f t="shared" si="123"/>
        <v/>
      </c>
      <c r="BC253" s="37" t="str">
        <f t="shared" si="124"/>
        <v/>
      </c>
      <c r="BD253" s="38" t="str">
        <f t="shared" si="125"/>
        <v/>
      </c>
      <c r="BE253" s="38" t="str">
        <f t="shared" si="126"/>
        <v/>
      </c>
      <c r="BF253" s="38" t="b">
        <f t="shared" si="127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8"/>
        <v/>
      </c>
      <c r="BS253" s="36" t="str">
        <f>IFERROR(INDEX('Level Multipliers'!$D:$D,MATCH(BR253,'Level Multipliers'!$A:$A,0)),"")</f>
        <v/>
      </c>
      <c r="BT253" s="37" t="str">
        <f t="shared" si="129"/>
        <v/>
      </c>
      <c r="BU253" s="37" t="str">
        <f t="shared" si="130"/>
        <v/>
      </c>
      <c r="BV253" s="38" t="str">
        <f t="shared" si="131"/>
        <v/>
      </c>
      <c r="BW253" s="38" t="str">
        <f t="shared" si="132"/>
        <v/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4"/>
        <v/>
      </c>
      <c r="CK253" s="41" t="str">
        <f t="shared" si="135"/>
        <v/>
      </c>
      <c r="CL253" s="66" t="str">
        <f t="shared" si="136"/>
        <v/>
      </c>
      <c r="CM253" s="39" t="str">
        <f t="shared" si="137"/>
        <v/>
      </c>
      <c r="CN253" s="39" t="str">
        <f t="shared" si="138"/>
        <v/>
      </c>
      <c r="CO253" s="42" t="str">
        <f t="shared" si="139"/>
        <v/>
      </c>
      <c r="CP253" s="42" t="str">
        <f t="shared" si="140"/>
        <v/>
      </c>
      <c r="CQ253" s="42" t="str">
        <f t="shared" si="141"/>
        <v/>
      </c>
      <c r="CR253" s="42" t="str">
        <f t="shared" si="142"/>
        <v/>
      </c>
      <c r="CS253" s="42" t="str">
        <f t="shared" si="143"/>
        <v/>
      </c>
      <c r="CT253" s="42" t="str">
        <f t="shared" si="144"/>
        <v/>
      </c>
      <c r="CU253" s="43" t="str">
        <f t="shared" si="145"/>
        <v/>
      </c>
      <c r="CV253" s="43" t="str">
        <f t="shared" si="146"/>
        <v/>
      </c>
      <c r="CW253" s="43" t="str">
        <f t="shared" si="147"/>
        <v/>
      </c>
      <c r="CX253" s="13"/>
    </row>
    <row r="254" spans="1:102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11"/>
        <v/>
      </c>
      <c r="S254" s="37" t="str">
        <f t="shared" si="112"/>
        <v/>
      </c>
      <c r="T254" s="38" t="str">
        <f t="shared" si="113"/>
        <v/>
      </c>
      <c r="U254" s="38" t="str">
        <f t="shared" si="114"/>
        <v/>
      </c>
      <c r="V254" s="38" t="b">
        <f t="shared" si="115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6"/>
        <v/>
      </c>
      <c r="AI254" s="36" t="str">
        <f>IFERROR(INDEX('Level Multipliers'!$D:$D,MATCH(AH254,'Level Multipliers'!$A:$A,0)),"")</f>
        <v/>
      </c>
      <c r="AJ254" s="37" t="str">
        <f t="shared" si="117"/>
        <v/>
      </c>
      <c r="AK254" s="37" t="str">
        <f t="shared" si="118"/>
        <v/>
      </c>
      <c r="AL254" s="38" t="str">
        <f t="shared" si="119"/>
        <v/>
      </c>
      <c r="AM254" s="38" t="str">
        <f t="shared" si="120"/>
        <v/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22"/>
        <v/>
      </c>
      <c r="BA254" s="36" t="str">
        <f>IFERROR(INDEX('Level Multipliers'!$D:$D,MATCH(AZ254,'Level Multipliers'!$A:$A,0)),"")</f>
        <v/>
      </c>
      <c r="BB254" s="37" t="str">
        <f t="shared" si="123"/>
        <v/>
      </c>
      <c r="BC254" s="37" t="str">
        <f t="shared" si="124"/>
        <v/>
      </c>
      <c r="BD254" s="38" t="str">
        <f t="shared" si="125"/>
        <v/>
      </c>
      <c r="BE254" s="38" t="str">
        <f t="shared" si="126"/>
        <v/>
      </c>
      <c r="BF254" s="38" t="b">
        <f t="shared" si="127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8"/>
        <v/>
      </c>
      <c r="BS254" s="36" t="str">
        <f>IFERROR(INDEX('Level Multipliers'!$D:$D,MATCH(BR254,'Level Multipliers'!$A:$A,0)),"")</f>
        <v/>
      </c>
      <c r="BT254" s="37" t="str">
        <f t="shared" si="129"/>
        <v/>
      </c>
      <c r="BU254" s="37" t="str">
        <f t="shared" si="130"/>
        <v/>
      </c>
      <c r="BV254" s="38" t="str">
        <f t="shared" si="131"/>
        <v/>
      </c>
      <c r="BW254" s="38" t="str">
        <f t="shared" si="132"/>
        <v/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4"/>
        <v/>
      </c>
      <c r="CK254" s="41" t="str">
        <f t="shared" si="135"/>
        <v/>
      </c>
      <c r="CL254" s="66" t="str">
        <f t="shared" si="136"/>
        <v/>
      </c>
      <c r="CM254" s="39" t="str">
        <f t="shared" si="137"/>
        <v/>
      </c>
      <c r="CN254" s="39" t="str">
        <f t="shared" si="138"/>
        <v/>
      </c>
      <c r="CO254" s="42" t="str">
        <f t="shared" si="139"/>
        <v/>
      </c>
      <c r="CP254" s="42" t="str">
        <f t="shared" si="140"/>
        <v/>
      </c>
      <c r="CQ254" s="42" t="str">
        <f t="shared" si="141"/>
        <v/>
      </c>
      <c r="CR254" s="42" t="str">
        <f t="shared" si="142"/>
        <v/>
      </c>
      <c r="CS254" s="42" t="str">
        <f t="shared" si="143"/>
        <v/>
      </c>
      <c r="CT254" s="42" t="str">
        <f t="shared" si="144"/>
        <v/>
      </c>
      <c r="CU254" s="43" t="str">
        <f t="shared" si="145"/>
        <v/>
      </c>
      <c r="CV254" s="43" t="str">
        <f t="shared" si="146"/>
        <v/>
      </c>
      <c r="CW254" s="43" t="str">
        <f t="shared" si="147"/>
        <v/>
      </c>
      <c r="CX254" s="13"/>
    </row>
    <row r="255" spans="1:102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11"/>
        <v/>
      </c>
      <c r="S255" s="37" t="str">
        <f t="shared" si="112"/>
        <v/>
      </c>
      <c r="T255" s="38" t="str">
        <f t="shared" si="113"/>
        <v/>
      </c>
      <c r="U255" s="38" t="str">
        <f t="shared" si="114"/>
        <v/>
      </c>
      <c r="V255" s="38" t="b">
        <f t="shared" si="115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6"/>
        <v/>
      </c>
      <c r="AI255" s="36" t="str">
        <f>IFERROR(INDEX('Level Multipliers'!$D:$D,MATCH(AH255,'Level Multipliers'!$A:$A,0)),"")</f>
        <v/>
      </c>
      <c r="AJ255" s="37" t="str">
        <f t="shared" si="117"/>
        <v/>
      </c>
      <c r="AK255" s="37" t="str">
        <f t="shared" si="118"/>
        <v/>
      </c>
      <c r="AL255" s="38" t="str">
        <f t="shared" si="119"/>
        <v/>
      </c>
      <c r="AM255" s="38" t="str">
        <f t="shared" si="120"/>
        <v/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22"/>
        <v/>
      </c>
      <c r="BA255" s="36" t="str">
        <f>IFERROR(INDEX('Level Multipliers'!$D:$D,MATCH(AZ255,'Level Multipliers'!$A:$A,0)),"")</f>
        <v/>
      </c>
      <c r="BB255" s="37" t="str">
        <f t="shared" si="123"/>
        <v/>
      </c>
      <c r="BC255" s="37" t="str">
        <f t="shared" si="124"/>
        <v/>
      </c>
      <c r="BD255" s="38" t="str">
        <f t="shared" si="125"/>
        <v/>
      </c>
      <c r="BE255" s="38" t="str">
        <f t="shared" si="126"/>
        <v/>
      </c>
      <c r="BF255" s="38" t="b">
        <f t="shared" si="127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8"/>
        <v/>
      </c>
      <c r="BS255" s="36" t="str">
        <f>IFERROR(INDEX('Level Multipliers'!$D:$D,MATCH(BR255,'Level Multipliers'!$A:$A,0)),"")</f>
        <v/>
      </c>
      <c r="BT255" s="37" t="str">
        <f t="shared" si="129"/>
        <v/>
      </c>
      <c r="BU255" s="37" t="str">
        <f t="shared" si="130"/>
        <v/>
      </c>
      <c r="BV255" s="38" t="str">
        <f t="shared" si="131"/>
        <v/>
      </c>
      <c r="BW255" s="38" t="str">
        <f t="shared" si="132"/>
        <v/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4"/>
        <v/>
      </c>
      <c r="CK255" s="41" t="str">
        <f t="shared" si="135"/>
        <v/>
      </c>
      <c r="CL255" s="66" t="str">
        <f t="shared" si="136"/>
        <v/>
      </c>
      <c r="CM255" s="39" t="str">
        <f t="shared" si="137"/>
        <v/>
      </c>
      <c r="CN255" s="39" t="str">
        <f t="shared" si="138"/>
        <v/>
      </c>
      <c r="CO255" s="42" t="str">
        <f t="shared" si="139"/>
        <v/>
      </c>
      <c r="CP255" s="42" t="str">
        <f t="shared" si="140"/>
        <v/>
      </c>
      <c r="CQ255" s="42" t="str">
        <f t="shared" si="141"/>
        <v/>
      </c>
      <c r="CR255" s="42" t="str">
        <f t="shared" si="142"/>
        <v/>
      </c>
      <c r="CS255" s="42" t="str">
        <f t="shared" si="143"/>
        <v/>
      </c>
      <c r="CT255" s="42" t="str">
        <f t="shared" si="144"/>
        <v/>
      </c>
      <c r="CU255" s="43" t="str">
        <f t="shared" si="145"/>
        <v/>
      </c>
      <c r="CV255" s="43" t="str">
        <f t="shared" si="146"/>
        <v/>
      </c>
      <c r="CW255" s="43" t="str">
        <f t="shared" si="147"/>
        <v/>
      </c>
      <c r="CX255" s="13"/>
    </row>
    <row r="256" spans="1:102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11"/>
        <v/>
      </c>
      <c r="S256" s="37" t="str">
        <f t="shared" si="112"/>
        <v/>
      </c>
      <c r="T256" s="38" t="str">
        <f t="shared" si="113"/>
        <v/>
      </c>
      <c r="U256" s="38" t="str">
        <f t="shared" si="114"/>
        <v/>
      </c>
      <c r="V256" s="38" t="b">
        <f t="shared" si="115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6"/>
        <v/>
      </c>
      <c r="AI256" s="36" t="str">
        <f>IFERROR(INDEX('Level Multipliers'!$D:$D,MATCH(AH256,'Level Multipliers'!$A:$A,0)),"")</f>
        <v/>
      </c>
      <c r="AJ256" s="37" t="str">
        <f t="shared" si="117"/>
        <v/>
      </c>
      <c r="AK256" s="37" t="str">
        <f t="shared" si="118"/>
        <v/>
      </c>
      <c r="AL256" s="38" t="str">
        <f t="shared" si="119"/>
        <v/>
      </c>
      <c r="AM256" s="38" t="str">
        <f t="shared" si="120"/>
        <v/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22"/>
        <v/>
      </c>
      <c r="BA256" s="36" t="str">
        <f>IFERROR(INDEX('Level Multipliers'!$D:$D,MATCH(AZ256,'Level Multipliers'!$A:$A,0)),"")</f>
        <v/>
      </c>
      <c r="BB256" s="37" t="str">
        <f t="shared" si="123"/>
        <v/>
      </c>
      <c r="BC256" s="37" t="str">
        <f t="shared" si="124"/>
        <v/>
      </c>
      <c r="BD256" s="38" t="str">
        <f t="shared" si="125"/>
        <v/>
      </c>
      <c r="BE256" s="38" t="str">
        <f t="shared" si="126"/>
        <v/>
      </c>
      <c r="BF256" s="38" t="b">
        <f t="shared" si="127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8"/>
        <v/>
      </c>
      <c r="BS256" s="36" t="str">
        <f>IFERROR(INDEX('Level Multipliers'!$D:$D,MATCH(BR256,'Level Multipliers'!$A:$A,0)),"")</f>
        <v/>
      </c>
      <c r="BT256" s="37" t="str">
        <f t="shared" si="129"/>
        <v/>
      </c>
      <c r="BU256" s="37" t="str">
        <f t="shared" si="130"/>
        <v/>
      </c>
      <c r="BV256" s="38" t="str">
        <f t="shared" si="131"/>
        <v/>
      </c>
      <c r="BW256" s="38" t="str">
        <f t="shared" si="132"/>
        <v/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4"/>
        <v/>
      </c>
      <c r="CK256" s="41" t="str">
        <f t="shared" si="135"/>
        <v/>
      </c>
      <c r="CL256" s="66" t="str">
        <f t="shared" si="136"/>
        <v/>
      </c>
      <c r="CM256" s="39" t="str">
        <f t="shared" si="137"/>
        <v/>
      </c>
      <c r="CN256" s="39" t="str">
        <f t="shared" si="138"/>
        <v/>
      </c>
      <c r="CO256" s="42" t="str">
        <f t="shared" si="139"/>
        <v/>
      </c>
      <c r="CP256" s="42" t="str">
        <f t="shared" si="140"/>
        <v/>
      </c>
      <c r="CQ256" s="42" t="str">
        <f t="shared" si="141"/>
        <v/>
      </c>
      <c r="CR256" s="42" t="str">
        <f t="shared" si="142"/>
        <v/>
      </c>
      <c r="CS256" s="42" t="str">
        <f t="shared" si="143"/>
        <v/>
      </c>
      <c r="CT256" s="42" t="str">
        <f t="shared" si="144"/>
        <v/>
      </c>
      <c r="CU256" s="43" t="str">
        <f t="shared" si="145"/>
        <v/>
      </c>
      <c r="CV256" s="43" t="str">
        <f t="shared" si="146"/>
        <v/>
      </c>
      <c r="CW256" s="43" t="str">
        <f t="shared" si="147"/>
        <v/>
      </c>
      <c r="CX256" s="13"/>
    </row>
    <row r="257" spans="1:102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11"/>
        <v/>
      </c>
      <c r="S257" s="37" t="str">
        <f t="shared" si="112"/>
        <v/>
      </c>
      <c r="T257" s="38" t="str">
        <f t="shared" si="113"/>
        <v/>
      </c>
      <c r="U257" s="38" t="str">
        <f t="shared" si="114"/>
        <v/>
      </c>
      <c r="V257" s="38" t="b">
        <f t="shared" si="115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6"/>
        <v/>
      </c>
      <c r="AI257" s="36" t="str">
        <f>IFERROR(INDEX('Level Multipliers'!$D:$D,MATCH(AH257,'Level Multipliers'!$A:$A,0)),"")</f>
        <v/>
      </c>
      <c r="AJ257" s="37" t="str">
        <f t="shared" si="117"/>
        <v/>
      </c>
      <c r="AK257" s="37" t="str">
        <f t="shared" si="118"/>
        <v/>
      </c>
      <c r="AL257" s="38" t="str">
        <f t="shared" si="119"/>
        <v/>
      </c>
      <c r="AM257" s="38" t="str">
        <f t="shared" si="120"/>
        <v/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22"/>
        <v/>
      </c>
      <c r="BA257" s="36" t="str">
        <f>IFERROR(INDEX('Level Multipliers'!$D:$D,MATCH(AZ257,'Level Multipliers'!$A:$A,0)),"")</f>
        <v/>
      </c>
      <c r="BB257" s="37" t="str">
        <f t="shared" si="123"/>
        <v/>
      </c>
      <c r="BC257" s="37" t="str">
        <f t="shared" si="124"/>
        <v/>
      </c>
      <c r="BD257" s="38" t="str">
        <f t="shared" si="125"/>
        <v/>
      </c>
      <c r="BE257" s="38" t="str">
        <f t="shared" si="126"/>
        <v/>
      </c>
      <c r="BF257" s="38" t="b">
        <f t="shared" si="127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8"/>
        <v/>
      </c>
      <c r="BS257" s="36" t="str">
        <f>IFERROR(INDEX('Level Multipliers'!$D:$D,MATCH(BR257,'Level Multipliers'!$A:$A,0)),"")</f>
        <v/>
      </c>
      <c r="BT257" s="37" t="str">
        <f t="shared" si="129"/>
        <v/>
      </c>
      <c r="BU257" s="37" t="str">
        <f t="shared" si="130"/>
        <v/>
      </c>
      <c r="BV257" s="38" t="str">
        <f t="shared" si="131"/>
        <v/>
      </c>
      <c r="BW257" s="38" t="str">
        <f t="shared" si="132"/>
        <v/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4"/>
        <v/>
      </c>
      <c r="CK257" s="41" t="str">
        <f t="shared" si="135"/>
        <v/>
      </c>
      <c r="CL257" s="66" t="str">
        <f t="shared" si="136"/>
        <v/>
      </c>
      <c r="CM257" s="39" t="str">
        <f t="shared" si="137"/>
        <v/>
      </c>
      <c r="CN257" s="39" t="str">
        <f t="shared" si="138"/>
        <v/>
      </c>
      <c r="CO257" s="42" t="str">
        <f t="shared" si="139"/>
        <v/>
      </c>
      <c r="CP257" s="42" t="str">
        <f t="shared" si="140"/>
        <v/>
      </c>
      <c r="CQ257" s="42" t="str">
        <f t="shared" si="141"/>
        <v/>
      </c>
      <c r="CR257" s="42" t="str">
        <f t="shared" si="142"/>
        <v/>
      </c>
      <c r="CS257" s="42" t="str">
        <f t="shared" si="143"/>
        <v/>
      </c>
      <c r="CT257" s="42" t="str">
        <f t="shared" si="144"/>
        <v/>
      </c>
      <c r="CU257" s="43" t="str">
        <f t="shared" si="145"/>
        <v/>
      </c>
      <c r="CV257" s="43" t="str">
        <f t="shared" si="146"/>
        <v/>
      </c>
      <c r="CW257" s="43" t="str">
        <f t="shared" si="147"/>
        <v/>
      </c>
      <c r="CX257" s="13"/>
    </row>
    <row r="258" spans="1:102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11"/>
        <v/>
      </c>
      <c r="S258" s="37" t="str">
        <f t="shared" si="112"/>
        <v/>
      </c>
      <c r="T258" s="38" t="str">
        <f t="shared" si="113"/>
        <v/>
      </c>
      <c r="U258" s="38" t="str">
        <f t="shared" si="114"/>
        <v/>
      </c>
      <c r="V258" s="38" t="b">
        <f t="shared" si="115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6"/>
        <v/>
      </c>
      <c r="AI258" s="36" t="str">
        <f>IFERROR(INDEX('Level Multipliers'!$D:$D,MATCH(AH258,'Level Multipliers'!$A:$A,0)),"")</f>
        <v/>
      </c>
      <c r="AJ258" s="37" t="str">
        <f t="shared" si="117"/>
        <v/>
      </c>
      <c r="AK258" s="37" t="str">
        <f t="shared" si="118"/>
        <v/>
      </c>
      <c r="AL258" s="38" t="str">
        <f t="shared" si="119"/>
        <v/>
      </c>
      <c r="AM258" s="38" t="str">
        <f t="shared" si="120"/>
        <v/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22"/>
        <v/>
      </c>
      <c r="BA258" s="36" t="str">
        <f>IFERROR(INDEX('Level Multipliers'!$D:$D,MATCH(AZ258,'Level Multipliers'!$A:$A,0)),"")</f>
        <v/>
      </c>
      <c r="BB258" s="37" t="str">
        <f t="shared" si="123"/>
        <v/>
      </c>
      <c r="BC258" s="37" t="str">
        <f t="shared" si="124"/>
        <v/>
      </c>
      <c r="BD258" s="38" t="str">
        <f t="shared" si="125"/>
        <v/>
      </c>
      <c r="BE258" s="38" t="str">
        <f t="shared" si="126"/>
        <v/>
      </c>
      <c r="BF258" s="38" t="b">
        <f t="shared" si="127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8"/>
        <v/>
      </c>
      <c r="BS258" s="36" t="str">
        <f>IFERROR(INDEX('Level Multipliers'!$D:$D,MATCH(BR258,'Level Multipliers'!$A:$A,0)),"")</f>
        <v/>
      </c>
      <c r="BT258" s="37" t="str">
        <f t="shared" si="129"/>
        <v/>
      </c>
      <c r="BU258" s="37" t="str">
        <f t="shared" si="130"/>
        <v/>
      </c>
      <c r="BV258" s="38" t="str">
        <f t="shared" si="131"/>
        <v/>
      </c>
      <c r="BW258" s="38" t="str">
        <f t="shared" si="132"/>
        <v/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4"/>
        <v/>
      </c>
      <c r="CK258" s="41" t="str">
        <f t="shared" si="135"/>
        <v/>
      </c>
      <c r="CL258" s="66" t="str">
        <f t="shared" si="136"/>
        <v/>
      </c>
      <c r="CM258" s="39" t="str">
        <f t="shared" si="137"/>
        <v/>
      </c>
      <c r="CN258" s="39" t="str">
        <f t="shared" si="138"/>
        <v/>
      </c>
      <c r="CO258" s="42" t="str">
        <f t="shared" si="139"/>
        <v/>
      </c>
      <c r="CP258" s="42" t="str">
        <f t="shared" si="140"/>
        <v/>
      </c>
      <c r="CQ258" s="42" t="str">
        <f t="shared" si="141"/>
        <v/>
      </c>
      <c r="CR258" s="42" t="str">
        <f t="shared" si="142"/>
        <v/>
      </c>
      <c r="CS258" s="42" t="str">
        <f t="shared" si="143"/>
        <v/>
      </c>
      <c r="CT258" s="42" t="str">
        <f t="shared" si="144"/>
        <v/>
      </c>
      <c r="CU258" s="43" t="str">
        <f t="shared" si="145"/>
        <v/>
      </c>
      <c r="CV258" s="43" t="str">
        <f t="shared" si="146"/>
        <v/>
      </c>
      <c r="CW258" s="43" t="str">
        <f t="shared" si="147"/>
        <v/>
      </c>
      <c r="CX258" s="13"/>
    </row>
    <row r="259" spans="1:102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ref="R259:R322" si="148">IF(P259="","",IF($C259&gt;10,MAX(0,ROUNDUP(Q259*$C259-$M259+1000,0)-1000),0))</f>
        <v/>
      </c>
      <c r="S259" s="37" t="str">
        <f t="shared" ref="S259:S322" si="149">IF(P259="","",MIN(15,ROUNDDOWN(Q259*($C259+1)-$M259+1000,0)-1000))</f>
        <v/>
      </c>
      <c r="T259" s="38" t="str">
        <f t="shared" ref="T259:T322" si="150">IFERROR(IF($B259&gt;10,100*Q259^4*$B259^2,$N259^2*$O259*($M259+R259)),"")</f>
        <v/>
      </c>
      <c r="U259" s="38" t="str">
        <f t="shared" ref="U259:U322" si="151">IFERROR(100*Q259^4*($B259+1)^2,"")</f>
        <v/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53">IFERROR(P259+0.5,"")</f>
        <v/>
      </c>
      <c r="AI259" s="36" t="str">
        <f>IFERROR(INDEX('Level Multipliers'!$D:$D,MATCH(AH259,'Level Multipliers'!$A:$A,0)),"")</f>
        <v/>
      </c>
      <c r="AJ259" s="37" t="str">
        <f t="shared" ref="AJ259:AJ322" si="154">IF(AH259="","",IF($C259&gt;10,MAX(0,ROUNDUP(AI259*$C259-$M259+1000,0)-1000),0))</f>
        <v/>
      </c>
      <c r="AK259" s="37" t="str">
        <f t="shared" ref="AK259:AK322" si="155">IF(AH259="","",MIN(15,ROUNDDOWN(AI259*($C259+1)-$M259+1000,0)-1000))</f>
        <v/>
      </c>
      <c r="AL259" s="38" t="str">
        <f t="shared" ref="AL259:AL322" si="156">IFERROR(IF($B259&gt;10,100*AI259^4*$B259^2,$N259^2*$O259*($M259+AJ259)),"")</f>
        <v/>
      </c>
      <c r="AM259" s="38" t="str">
        <f t="shared" ref="AM259:AM322" si="157">IFERROR(100*AI259^4*($B259+1)^2,"")</f>
        <v/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9">IFERROR(AH259+0.5,"")</f>
        <v/>
      </c>
      <c r="BA259" s="36" t="str">
        <f>IFERROR(INDEX('Level Multipliers'!$D:$D,MATCH(AZ259,'Level Multipliers'!$A:$A,0)),"")</f>
        <v/>
      </c>
      <c r="BB259" s="37" t="str">
        <f t="shared" ref="BB259:BB322" si="160">IF(AZ259="","",IF($C259&gt;10,MAX(0,ROUNDUP(BA259*$C259-$M259+1000,0)-1000),0))</f>
        <v/>
      </c>
      <c r="BC259" s="37" t="str">
        <f t="shared" ref="BC259:BC322" si="161">IF(AZ259="","",MIN(15,ROUNDDOWN(BA259*($C259+1)-$M259+1000,0)-1000))</f>
        <v/>
      </c>
      <c r="BD259" s="38" t="str">
        <f t="shared" ref="BD259:BD322" si="162">IFERROR(IF($B259&gt;10,100*BA259^4*$B259^2,$N259^2*$O259*($M259+BB259)),"")</f>
        <v/>
      </c>
      <c r="BE259" s="38" t="str">
        <f t="shared" ref="BE259:BE322" si="163">IFERROR(100*BA259^4*($B259+1)^2,"")</f>
        <v/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65">IFERROR(AZ259+0.5,"")</f>
        <v/>
      </c>
      <c r="BS259" s="36" t="str">
        <f>IFERROR(INDEX('Level Multipliers'!$D:$D,MATCH(BR259,'Level Multipliers'!$A:$A,0)),"")</f>
        <v/>
      </c>
      <c r="BT259" s="37" t="str">
        <f t="shared" ref="BT259:BT322" si="166">IF(BR259="","",IF($C259&gt;10,MAX(0,ROUNDUP(BS259*$C259-$M259+1000,0)-1000),0))</f>
        <v/>
      </c>
      <c r="BU259" s="37" t="str">
        <f t="shared" ref="BU259:BU322" si="167">IF(BR259="","",MIN(15,ROUNDDOWN(BS259*($C259+1)-$M259+1000,0)-1000))</f>
        <v/>
      </c>
      <c r="BV259" s="38" t="str">
        <f t="shared" ref="BV259:BV322" si="168">IFERROR(IF($B259&gt;10,100*BS259^4*$B259^2,$N259^2*$O259*($M259+BT259)),"")</f>
        <v/>
      </c>
      <c r="BW259" s="38" t="str">
        <f t="shared" ref="BW259:BW322" si="169">IFERROR(100*BS259^4*($B259+1)^2,"")</f>
        <v/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71">IF(IFERROR(W259*1,0)&gt;0,P259,IF(IFERROR(AO259*1,0)&gt;0,AH259,IF(IFERROR(BG259*1,0)&gt;0,AZ259,IF(IFERROR(BY259*1,0)&gt;0,BR259,""))))</f>
        <v/>
      </c>
      <c r="CK259" s="41" t="str">
        <f t="shared" ref="CK259:CK322" si="172">IF(IFERROR(BY259*1,0)&gt;0,BR259,IF(IFERROR(BG259*1,0)&gt;0,AZ259,IF(IFERROR(AO259*1,0)&gt;0,AH259,IF(IFERROR(W259*1,0)&gt;0,P259,""))))</f>
        <v/>
      </c>
      <c r="CL259" s="66" t="str">
        <f t="shared" ref="CL259:CL322" si="173">IF(OR(CJ259="",CK259=""),"",(CM259+CN259)/2)</f>
        <v/>
      </c>
      <c r="CM259" s="39" t="str">
        <f t="shared" ref="CM259:CM322" si="174">IF(OR(CJ259="",CK259=""),"",MIN(Z259,AR259,BJ259,CB259))</f>
        <v/>
      </c>
      <c r="CN259" s="39" t="str">
        <f t="shared" ref="CN259:CN322" si="175">IF(OR(CJ259="",CK259=""),"",MAX(AA259,AS259,BK259,CC259))</f>
        <v/>
      </c>
      <c r="CO259" s="42" t="str">
        <f t="shared" ref="CO259:CO322" si="176">IF(OR(CJ259="",CK259=""),"",MIN(AB259,AT259,BL259,CD259))</f>
        <v/>
      </c>
      <c r="CP259" s="42" t="str">
        <f t="shared" ref="CP259:CP322" si="177">IF(OR(CJ259="",CK259=""),"",MAX(AC259,AU259,BM259,CE259))</f>
        <v/>
      </c>
      <c r="CQ259" s="42" t="str">
        <f t="shared" ref="CQ259:CQ322" si="178">IF(OR(CJ259="",CK259=""),"",MIN(AD259,AV259,BN259,CF259))</f>
        <v/>
      </c>
      <c r="CR259" s="42" t="str">
        <f t="shared" ref="CR259:CR322" si="179">IF(OR(CJ259="",CK259=""),"",MAX(AE259,AW259,BO259,CG259))</f>
        <v/>
      </c>
      <c r="CS259" s="42" t="str">
        <f t="shared" ref="CS259:CS322" si="180">IF(OR(CJ259="",CK259=""),"",MIN(AF259,AX259,BP259,CH259))</f>
        <v/>
      </c>
      <c r="CT259" s="42" t="str">
        <f t="shared" ref="CT259:CT322" si="181">IF(OR(CJ259="",CK259=""),"",MAX(AG259,AY259,BQ259,CI259))</f>
        <v/>
      </c>
      <c r="CU259" s="43" t="str">
        <f t="shared" ref="CU259:CU322" si="182">IF(CO259=CP259,CP259,CO259&amp;"-"&amp;CP259)</f>
        <v/>
      </c>
      <c r="CV259" s="43" t="str">
        <f t="shared" ref="CV259:CV322" si="183">IF(CQ259=CR259,CR259,CQ259&amp;"-"&amp;CR259)</f>
        <v/>
      </c>
      <c r="CW259" s="43" t="str">
        <f t="shared" ref="CW259:CW322" si="184">IF(CS259=CT259,CT259,CS259&amp;"-"&amp;CT259)</f>
        <v/>
      </c>
      <c r="CX259" s="13"/>
    </row>
    <row r="260" spans="1:102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si="148"/>
        <v/>
      </c>
      <c r="S260" s="37" t="str">
        <f t="shared" si="149"/>
        <v/>
      </c>
      <c r="T260" s="38" t="str">
        <f t="shared" si="150"/>
        <v/>
      </c>
      <c r="U260" s="38" t="str">
        <f t="shared" si="151"/>
        <v/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53"/>
        <v/>
      </c>
      <c r="AI260" s="36" t="str">
        <f>IFERROR(INDEX('Level Multipliers'!$D:$D,MATCH(AH260,'Level Multipliers'!$A:$A,0)),"")</f>
        <v/>
      </c>
      <c r="AJ260" s="37" t="str">
        <f t="shared" si="154"/>
        <v/>
      </c>
      <c r="AK260" s="37" t="str">
        <f t="shared" si="155"/>
        <v/>
      </c>
      <c r="AL260" s="38" t="str">
        <f t="shared" si="156"/>
        <v/>
      </c>
      <c r="AM260" s="38" t="str">
        <f t="shared" si="157"/>
        <v/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9"/>
        <v/>
      </c>
      <c r="BA260" s="36" t="str">
        <f>IFERROR(INDEX('Level Multipliers'!$D:$D,MATCH(AZ260,'Level Multipliers'!$A:$A,0)),"")</f>
        <v/>
      </c>
      <c r="BB260" s="37" t="str">
        <f t="shared" si="160"/>
        <v/>
      </c>
      <c r="BC260" s="37" t="str">
        <f t="shared" si="161"/>
        <v/>
      </c>
      <c r="BD260" s="38" t="str">
        <f t="shared" si="162"/>
        <v/>
      </c>
      <c r="BE260" s="38" t="str">
        <f t="shared" si="163"/>
        <v/>
      </c>
      <c r="BF260" s="38" t="b">
        <f t="shared" si="164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65"/>
        <v/>
      </c>
      <c r="BS260" s="36" t="str">
        <f>IFERROR(INDEX('Level Multipliers'!$D:$D,MATCH(BR260,'Level Multipliers'!$A:$A,0)),"")</f>
        <v/>
      </c>
      <c r="BT260" s="37" t="str">
        <f t="shared" si="166"/>
        <v/>
      </c>
      <c r="BU260" s="37" t="str">
        <f t="shared" si="167"/>
        <v/>
      </c>
      <c r="BV260" s="38" t="str">
        <f t="shared" si="168"/>
        <v/>
      </c>
      <c r="BW260" s="38" t="str">
        <f t="shared" si="169"/>
        <v/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71"/>
        <v/>
      </c>
      <c r="CK260" s="41" t="str">
        <f t="shared" si="172"/>
        <v/>
      </c>
      <c r="CL260" s="66" t="str">
        <f t="shared" si="173"/>
        <v/>
      </c>
      <c r="CM260" s="39" t="str">
        <f t="shared" si="174"/>
        <v/>
      </c>
      <c r="CN260" s="39" t="str">
        <f t="shared" si="175"/>
        <v/>
      </c>
      <c r="CO260" s="42" t="str">
        <f t="shared" si="176"/>
        <v/>
      </c>
      <c r="CP260" s="42" t="str">
        <f t="shared" si="177"/>
        <v/>
      </c>
      <c r="CQ260" s="42" t="str">
        <f t="shared" si="178"/>
        <v/>
      </c>
      <c r="CR260" s="42" t="str">
        <f t="shared" si="179"/>
        <v/>
      </c>
      <c r="CS260" s="42" t="str">
        <f t="shared" si="180"/>
        <v/>
      </c>
      <c r="CT260" s="42" t="str">
        <f t="shared" si="181"/>
        <v/>
      </c>
      <c r="CU260" s="43" t="str">
        <f t="shared" si="182"/>
        <v/>
      </c>
      <c r="CV260" s="43" t="str">
        <f t="shared" si="183"/>
        <v/>
      </c>
      <c r="CW260" s="43" t="str">
        <f t="shared" si="184"/>
        <v/>
      </c>
      <c r="CX260" s="13"/>
    </row>
    <row r="261" spans="1:102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48"/>
        <v/>
      </c>
      <c r="S261" s="37" t="str">
        <f t="shared" si="149"/>
        <v/>
      </c>
      <c r="T261" s="38" t="str">
        <f t="shared" si="150"/>
        <v/>
      </c>
      <c r="U261" s="38" t="str">
        <f t="shared" si="151"/>
        <v/>
      </c>
      <c r="V261" s="38" t="b">
        <f t="shared" si="152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53"/>
        <v/>
      </c>
      <c r="AI261" s="36" t="str">
        <f>IFERROR(INDEX('Level Multipliers'!$D:$D,MATCH(AH261,'Level Multipliers'!$A:$A,0)),"")</f>
        <v/>
      </c>
      <c r="AJ261" s="37" t="str">
        <f t="shared" si="154"/>
        <v/>
      </c>
      <c r="AK261" s="37" t="str">
        <f t="shared" si="155"/>
        <v/>
      </c>
      <c r="AL261" s="38" t="str">
        <f t="shared" si="156"/>
        <v/>
      </c>
      <c r="AM261" s="38" t="str">
        <f t="shared" si="157"/>
        <v/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9"/>
        <v/>
      </c>
      <c r="BA261" s="36" t="str">
        <f>IFERROR(INDEX('Level Multipliers'!$D:$D,MATCH(AZ261,'Level Multipliers'!$A:$A,0)),"")</f>
        <v/>
      </c>
      <c r="BB261" s="37" t="str">
        <f t="shared" si="160"/>
        <v/>
      </c>
      <c r="BC261" s="37" t="str">
        <f t="shared" si="161"/>
        <v/>
      </c>
      <c r="BD261" s="38" t="str">
        <f t="shared" si="162"/>
        <v/>
      </c>
      <c r="BE261" s="38" t="str">
        <f t="shared" si="163"/>
        <v/>
      </c>
      <c r="BF261" s="38" t="b">
        <f t="shared" si="164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65"/>
        <v/>
      </c>
      <c r="BS261" s="36" t="str">
        <f>IFERROR(INDEX('Level Multipliers'!$D:$D,MATCH(BR261,'Level Multipliers'!$A:$A,0)),"")</f>
        <v/>
      </c>
      <c r="BT261" s="37" t="str">
        <f t="shared" si="166"/>
        <v/>
      </c>
      <c r="BU261" s="37" t="str">
        <f t="shared" si="167"/>
        <v/>
      </c>
      <c r="BV261" s="38" t="str">
        <f t="shared" si="168"/>
        <v/>
      </c>
      <c r="BW261" s="38" t="str">
        <f t="shared" si="169"/>
        <v/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71"/>
        <v/>
      </c>
      <c r="CK261" s="41" t="str">
        <f t="shared" si="172"/>
        <v/>
      </c>
      <c r="CL261" s="66" t="str">
        <f t="shared" si="173"/>
        <v/>
      </c>
      <c r="CM261" s="39" t="str">
        <f t="shared" si="174"/>
        <v/>
      </c>
      <c r="CN261" s="39" t="str">
        <f t="shared" si="175"/>
        <v/>
      </c>
      <c r="CO261" s="42" t="str">
        <f t="shared" si="176"/>
        <v/>
      </c>
      <c r="CP261" s="42" t="str">
        <f t="shared" si="177"/>
        <v/>
      </c>
      <c r="CQ261" s="42" t="str">
        <f t="shared" si="178"/>
        <v/>
      </c>
      <c r="CR261" s="42" t="str">
        <f t="shared" si="179"/>
        <v/>
      </c>
      <c r="CS261" s="42" t="str">
        <f t="shared" si="180"/>
        <v/>
      </c>
      <c r="CT261" s="42" t="str">
        <f t="shared" si="181"/>
        <v/>
      </c>
      <c r="CU261" s="43" t="str">
        <f t="shared" si="182"/>
        <v/>
      </c>
      <c r="CV261" s="43" t="str">
        <f t="shared" si="183"/>
        <v/>
      </c>
      <c r="CW261" s="43" t="str">
        <f t="shared" si="184"/>
        <v/>
      </c>
      <c r="CX261" s="13"/>
    </row>
    <row r="262" spans="1:102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48"/>
        <v/>
      </c>
      <c r="S262" s="37" t="str">
        <f t="shared" si="149"/>
        <v/>
      </c>
      <c r="T262" s="38" t="str">
        <f t="shared" si="150"/>
        <v/>
      </c>
      <c r="U262" s="38" t="str">
        <f t="shared" si="151"/>
        <v/>
      </c>
      <c r="V262" s="38" t="b">
        <f t="shared" si="152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53"/>
        <v/>
      </c>
      <c r="AI262" s="36" t="str">
        <f>IFERROR(INDEX('Level Multipliers'!$D:$D,MATCH(AH262,'Level Multipliers'!$A:$A,0)),"")</f>
        <v/>
      </c>
      <c r="AJ262" s="37" t="str">
        <f t="shared" si="154"/>
        <v/>
      </c>
      <c r="AK262" s="37" t="str">
        <f t="shared" si="155"/>
        <v/>
      </c>
      <c r="AL262" s="38" t="str">
        <f t="shared" si="156"/>
        <v/>
      </c>
      <c r="AM262" s="38" t="str">
        <f t="shared" si="157"/>
        <v/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9"/>
        <v/>
      </c>
      <c r="BA262" s="36" t="str">
        <f>IFERROR(INDEX('Level Multipliers'!$D:$D,MATCH(AZ262,'Level Multipliers'!$A:$A,0)),"")</f>
        <v/>
      </c>
      <c r="BB262" s="37" t="str">
        <f t="shared" si="160"/>
        <v/>
      </c>
      <c r="BC262" s="37" t="str">
        <f t="shared" si="161"/>
        <v/>
      </c>
      <c r="BD262" s="38" t="str">
        <f t="shared" si="162"/>
        <v/>
      </c>
      <c r="BE262" s="38" t="str">
        <f t="shared" si="163"/>
        <v/>
      </c>
      <c r="BF262" s="38" t="b">
        <f t="shared" si="164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65"/>
        <v/>
      </c>
      <c r="BS262" s="36" t="str">
        <f>IFERROR(INDEX('Level Multipliers'!$D:$D,MATCH(BR262,'Level Multipliers'!$A:$A,0)),"")</f>
        <v/>
      </c>
      <c r="BT262" s="37" t="str">
        <f t="shared" si="166"/>
        <v/>
      </c>
      <c r="BU262" s="37" t="str">
        <f t="shared" si="167"/>
        <v/>
      </c>
      <c r="BV262" s="38" t="str">
        <f t="shared" si="168"/>
        <v/>
      </c>
      <c r="BW262" s="38" t="str">
        <f t="shared" si="169"/>
        <v/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71"/>
        <v/>
      </c>
      <c r="CK262" s="41" t="str">
        <f t="shared" si="172"/>
        <v/>
      </c>
      <c r="CL262" s="66" t="str">
        <f t="shared" si="173"/>
        <v/>
      </c>
      <c r="CM262" s="39" t="str">
        <f t="shared" si="174"/>
        <v/>
      </c>
      <c r="CN262" s="39" t="str">
        <f t="shared" si="175"/>
        <v/>
      </c>
      <c r="CO262" s="42" t="str">
        <f t="shared" si="176"/>
        <v/>
      </c>
      <c r="CP262" s="42" t="str">
        <f t="shared" si="177"/>
        <v/>
      </c>
      <c r="CQ262" s="42" t="str">
        <f t="shared" si="178"/>
        <v/>
      </c>
      <c r="CR262" s="42" t="str">
        <f t="shared" si="179"/>
        <v/>
      </c>
      <c r="CS262" s="42" t="str">
        <f t="shared" si="180"/>
        <v/>
      </c>
      <c r="CT262" s="42" t="str">
        <f t="shared" si="181"/>
        <v/>
      </c>
      <c r="CU262" s="43" t="str">
        <f t="shared" si="182"/>
        <v/>
      </c>
      <c r="CV262" s="43" t="str">
        <f t="shared" si="183"/>
        <v/>
      </c>
      <c r="CW262" s="43" t="str">
        <f t="shared" si="184"/>
        <v/>
      </c>
      <c r="CX262" s="13"/>
    </row>
    <row r="263" spans="1:102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48"/>
        <v/>
      </c>
      <c r="S263" s="37" t="str">
        <f t="shared" si="149"/>
        <v/>
      </c>
      <c r="T263" s="38" t="str">
        <f t="shared" si="150"/>
        <v/>
      </c>
      <c r="U263" s="38" t="str">
        <f t="shared" si="151"/>
        <v/>
      </c>
      <c r="V263" s="38" t="b">
        <f t="shared" si="152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53"/>
        <v/>
      </c>
      <c r="AI263" s="36" t="str">
        <f>IFERROR(INDEX('Level Multipliers'!$D:$D,MATCH(AH263,'Level Multipliers'!$A:$A,0)),"")</f>
        <v/>
      </c>
      <c r="AJ263" s="37" t="str">
        <f t="shared" si="154"/>
        <v/>
      </c>
      <c r="AK263" s="37" t="str">
        <f t="shared" si="155"/>
        <v/>
      </c>
      <c r="AL263" s="38" t="str">
        <f t="shared" si="156"/>
        <v/>
      </c>
      <c r="AM263" s="38" t="str">
        <f t="shared" si="157"/>
        <v/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9"/>
        <v/>
      </c>
      <c r="BA263" s="36" t="str">
        <f>IFERROR(INDEX('Level Multipliers'!$D:$D,MATCH(AZ263,'Level Multipliers'!$A:$A,0)),"")</f>
        <v/>
      </c>
      <c r="BB263" s="37" t="str">
        <f t="shared" si="160"/>
        <v/>
      </c>
      <c r="BC263" s="37" t="str">
        <f t="shared" si="161"/>
        <v/>
      </c>
      <c r="BD263" s="38" t="str">
        <f t="shared" si="162"/>
        <v/>
      </c>
      <c r="BE263" s="38" t="str">
        <f t="shared" si="163"/>
        <v/>
      </c>
      <c r="BF263" s="38" t="b">
        <f t="shared" si="164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65"/>
        <v/>
      </c>
      <c r="BS263" s="36" t="str">
        <f>IFERROR(INDEX('Level Multipliers'!$D:$D,MATCH(BR263,'Level Multipliers'!$A:$A,0)),"")</f>
        <v/>
      </c>
      <c r="BT263" s="37" t="str">
        <f t="shared" si="166"/>
        <v/>
      </c>
      <c r="BU263" s="37" t="str">
        <f t="shared" si="167"/>
        <v/>
      </c>
      <c r="BV263" s="38" t="str">
        <f t="shared" si="168"/>
        <v/>
      </c>
      <c r="BW263" s="38" t="str">
        <f t="shared" si="169"/>
        <v/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71"/>
        <v/>
      </c>
      <c r="CK263" s="41" t="str">
        <f t="shared" si="172"/>
        <v/>
      </c>
      <c r="CL263" s="66" t="str">
        <f t="shared" si="173"/>
        <v/>
      </c>
      <c r="CM263" s="39" t="str">
        <f t="shared" si="174"/>
        <v/>
      </c>
      <c r="CN263" s="39" t="str">
        <f t="shared" si="175"/>
        <v/>
      </c>
      <c r="CO263" s="42" t="str">
        <f t="shared" si="176"/>
        <v/>
      </c>
      <c r="CP263" s="42" t="str">
        <f t="shared" si="177"/>
        <v/>
      </c>
      <c r="CQ263" s="42" t="str">
        <f t="shared" si="178"/>
        <v/>
      </c>
      <c r="CR263" s="42" t="str">
        <f t="shared" si="179"/>
        <v/>
      </c>
      <c r="CS263" s="42" t="str">
        <f t="shared" si="180"/>
        <v/>
      </c>
      <c r="CT263" s="42" t="str">
        <f t="shared" si="181"/>
        <v/>
      </c>
      <c r="CU263" s="43" t="str">
        <f t="shared" si="182"/>
        <v/>
      </c>
      <c r="CV263" s="43" t="str">
        <f t="shared" si="183"/>
        <v/>
      </c>
      <c r="CW263" s="43" t="str">
        <f t="shared" si="184"/>
        <v/>
      </c>
      <c r="CX263" s="13"/>
    </row>
    <row r="264" spans="1:102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48"/>
        <v/>
      </c>
      <c r="S264" s="37" t="str">
        <f t="shared" si="149"/>
        <v/>
      </c>
      <c r="T264" s="38" t="str">
        <f t="shared" si="150"/>
        <v/>
      </c>
      <c r="U264" s="38" t="str">
        <f t="shared" si="151"/>
        <v/>
      </c>
      <c r="V264" s="38" t="b">
        <f t="shared" si="152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53"/>
        <v/>
      </c>
      <c r="AI264" s="36" t="str">
        <f>IFERROR(INDEX('Level Multipliers'!$D:$D,MATCH(AH264,'Level Multipliers'!$A:$A,0)),"")</f>
        <v/>
      </c>
      <c r="AJ264" s="37" t="str">
        <f t="shared" si="154"/>
        <v/>
      </c>
      <c r="AK264" s="37" t="str">
        <f t="shared" si="155"/>
        <v/>
      </c>
      <c r="AL264" s="38" t="str">
        <f t="shared" si="156"/>
        <v/>
      </c>
      <c r="AM264" s="38" t="str">
        <f t="shared" si="157"/>
        <v/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9"/>
        <v/>
      </c>
      <c r="BA264" s="36" t="str">
        <f>IFERROR(INDEX('Level Multipliers'!$D:$D,MATCH(AZ264,'Level Multipliers'!$A:$A,0)),"")</f>
        <v/>
      </c>
      <c r="BB264" s="37" t="str">
        <f t="shared" si="160"/>
        <v/>
      </c>
      <c r="BC264" s="37" t="str">
        <f t="shared" si="161"/>
        <v/>
      </c>
      <c r="BD264" s="38" t="str">
        <f t="shared" si="162"/>
        <v/>
      </c>
      <c r="BE264" s="38" t="str">
        <f t="shared" si="163"/>
        <v/>
      </c>
      <c r="BF264" s="38" t="b">
        <f t="shared" si="164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65"/>
        <v/>
      </c>
      <c r="BS264" s="36" t="str">
        <f>IFERROR(INDEX('Level Multipliers'!$D:$D,MATCH(BR264,'Level Multipliers'!$A:$A,0)),"")</f>
        <v/>
      </c>
      <c r="BT264" s="37" t="str">
        <f t="shared" si="166"/>
        <v/>
      </c>
      <c r="BU264" s="37" t="str">
        <f t="shared" si="167"/>
        <v/>
      </c>
      <c r="BV264" s="38" t="str">
        <f t="shared" si="168"/>
        <v/>
      </c>
      <c r="BW264" s="38" t="str">
        <f t="shared" si="169"/>
        <v/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71"/>
        <v/>
      </c>
      <c r="CK264" s="41" t="str">
        <f t="shared" si="172"/>
        <v/>
      </c>
      <c r="CL264" s="66" t="str">
        <f t="shared" si="173"/>
        <v/>
      </c>
      <c r="CM264" s="39" t="str">
        <f t="shared" si="174"/>
        <v/>
      </c>
      <c r="CN264" s="39" t="str">
        <f t="shared" si="175"/>
        <v/>
      </c>
      <c r="CO264" s="42" t="str">
        <f t="shared" si="176"/>
        <v/>
      </c>
      <c r="CP264" s="42" t="str">
        <f t="shared" si="177"/>
        <v/>
      </c>
      <c r="CQ264" s="42" t="str">
        <f t="shared" si="178"/>
        <v/>
      </c>
      <c r="CR264" s="42" t="str">
        <f t="shared" si="179"/>
        <v/>
      </c>
      <c r="CS264" s="42" t="str">
        <f t="shared" si="180"/>
        <v/>
      </c>
      <c r="CT264" s="42" t="str">
        <f t="shared" si="181"/>
        <v/>
      </c>
      <c r="CU264" s="43" t="str">
        <f t="shared" si="182"/>
        <v/>
      </c>
      <c r="CV264" s="43" t="str">
        <f t="shared" si="183"/>
        <v/>
      </c>
      <c r="CW264" s="43" t="str">
        <f t="shared" si="184"/>
        <v/>
      </c>
      <c r="CX264" s="13"/>
    </row>
    <row r="265" spans="1:102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48"/>
        <v/>
      </c>
      <c r="S265" s="37" t="str">
        <f t="shared" si="149"/>
        <v/>
      </c>
      <c r="T265" s="38" t="str">
        <f t="shared" si="150"/>
        <v/>
      </c>
      <c r="U265" s="38" t="str">
        <f t="shared" si="151"/>
        <v/>
      </c>
      <c r="V265" s="38" t="b">
        <f t="shared" si="152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53"/>
        <v/>
      </c>
      <c r="AI265" s="36" t="str">
        <f>IFERROR(INDEX('Level Multipliers'!$D:$D,MATCH(AH265,'Level Multipliers'!$A:$A,0)),"")</f>
        <v/>
      </c>
      <c r="AJ265" s="37" t="str">
        <f t="shared" si="154"/>
        <v/>
      </c>
      <c r="AK265" s="37" t="str">
        <f t="shared" si="155"/>
        <v/>
      </c>
      <c r="AL265" s="38" t="str">
        <f t="shared" si="156"/>
        <v/>
      </c>
      <c r="AM265" s="38" t="str">
        <f t="shared" si="157"/>
        <v/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9"/>
        <v/>
      </c>
      <c r="BA265" s="36" t="str">
        <f>IFERROR(INDEX('Level Multipliers'!$D:$D,MATCH(AZ265,'Level Multipliers'!$A:$A,0)),"")</f>
        <v/>
      </c>
      <c r="BB265" s="37" t="str">
        <f t="shared" si="160"/>
        <v/>
      </c>
      <c r="BC265" s="37" t="str">
        <f t="shared" si="161"/>
        <v/>
      </c>
      <c r="BD265" s="38" t="str">
        <f t="shared" si="162"/>
        <v/>
      </c>
      <c r="BE265" s="38" t="str">
        <f t="shared" si="163"/>
        <v/>
      </c>
      <c r="BF265" s="38" t="b">
        <f t="shared" si="164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65"/>
        <v/>
      </c>
      <c r="BS265" s="36" t="str">
        <f>IFERROR(INDEX('Level Multipliers'!$D:$D,MATCH(BR265,'Level Multipliers'!$A:$A,0)),"")</f>
        <v/>
      </c>
      <c r="BT265" s="37" t="str">
        <f t="shared" si="166"/>
        <v/>
      </c>
      <c r="BU265" s="37" t="str">
        <f t="shared" si="167"/>
        <v/>
      </c>
      <c r="BV265" s="38" t="str">
        <f t="shared" si="168"/>
        <v/>
      </c>
      <c r="BW265" s="38" t="str">
        <f t="shared" si="169"/>
        <v/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71"/>
        <v/>
      </c>
      <c r="CK265" s="41" t="str">
        <f t="shared" si="172"/>
        <v/>
      </c>
      <c r="CL265" s="66" t="str">
        <f t="shared" si="173"/>
        <v/>
      </c>
      <c r="CM265" s="39" t="str">
        <f t="shared" si="174"/>
        <v/>
      </c>
      <c r="CN265" s="39" t="str">
        <f t="shared" si="175"/>
        <v/>
      </c>
      <c r="CO265" s="42" t="str">
        <f t="shared" si="176"/>
        <v/>
      </c>
      <c r="CP265" s="42" t="str">
        <f t="shared" si="177"/>
        <v/>
      </c>
      <c r="CQ265" s="42" t="str">
        <f t="shared" si="178"/>
        <v/>
      </c>
      <c r="CR265" s="42" t="str">
        <f t="shared" si="179"/>
        <v/>
      </c>
      <c r="CS265" s="42" t="str">
        <f t="shared" si="180"/>
        <v/>
      </c>
      <c r="CT265" s="42" t="str">
        <f t="shared" si="181"/>
        <v/>
      </c>
      <c r="CU265" s="43" t="str">
        <f t="shared" si="182"/>
        <v/>
      </c>
      <c r="CV265" s="43" t="str">
        <f t="shared" si="183"/>
        <v/>
      </c>
      <c r="CW265" s="43" t="str">
        <f t="shared" si="184"/>
        <v/>
      </c>
      <c r="CX265" s="33"/>
    </row>
    <row r="266" spans="1:102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48"/>
        <v/>
      </c>
      <c r="S266" s="37" t="str">
        <f t="shared" si="149"/>
        <v/>
      </c>
      <c r="T266" s="38" t="str">
        <f t="shared" si="150"/>
        <v/>
      </c>
      <c r="U266" s="38" t="str">
        <f t="shared" si="151"/>
        <v/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53"/>
        <v/>
      </c>
      <c r="AI266" s="36" t="str">
        <f>IFERROR(INDEX('Level Multipliers'!$D:$D,MATCH(AH266,'Level Multipliers'!$A:$A,0)),"")</f>
        <v/>
      </c>
      <c r="AJ266" s="37" t="str">
        <f t="shared" si="154"/>
        <v/>
      </c>
      <c r="AK266" s="37" t="str">
        <f t="shared" si="155"/>
        <v/>
      </c>
      <c r="AL266" s="38" t="str">
        <f t="shared" si="156"/>
        <v/>
      </c>
      <c r="AM266" s="38" t="str">
        <f t="shared" si="157"/>
        <v/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9"/>
        <v/>
      </c>
      <c r="BA266" s="36" t="str">
        <f>IFERROR(INDEX('Level Multipliers'!$D:$D,MATCH(AZ266,'Level Multipliers'!$A:$A,0)),"")</f>
        <v/>
      </c>
      <c r="BB266" s="37" t="str">
        <f t="shared" si="160"/>
        <v/>
      </c>
      <c r="BC266" s="37" t="str">
        <f t="shared" si="161"/>
        <v/>
      </c>
      <c r="BD266" s="38" t="str">
        <f t="shared" si="162"/>
        <v/>
      </c>
      <c r="BE266" s="38" t="str">
        <f t="shared" si="163"/>
        <v/>
      </c>
      <c r="BF266" s="38" t="b">
        <f t="shared" si="164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65"/>
        <v/>
      </c>
      <c r="BS266" s="36" t="str">
        <f>IFERROR(INDEX('Level Multipliers'!$D:$D,MATCH(BR266,'Level Multipliers'!$A:$A,0)),"")</f>
        <v/>
      </c>
      <c r="BT266" s="37" t="str">
        <f t="shared" si="166"/>
        <v/>
      </c>
      <c r="BU266" s="37" t="str">
        <f t="shared" si="167"/>
        <v/>
      </c>
      <c r="BV266" s="38" t="str">
        <f t="shared" si="168"/>
        <v/>
      </c>
      <c r="BW266" s="38" t="str">
        <f t="shared" si="169"/>
        <v/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71"/>
        <v/>
      </c>
      <c r="CK266" s="41" t="str">
        <f t="shared" si="172"/>
        <v/>
      </c>
      <c r="CL266" s="66" t="str">
        <f t="shared" si="173"/>
        <v/>
      </c>
      <c r="CM266" s="39" t="str">
        <f t="shared" si="174"/>
        <v/>
      </c>
      <c r="CN266" s="39" t="str">
        <f t="shared" si="175"/>
        <v/>
      </c>
      <c r="CO266" s="42" t="str">
        <f t="shared" si="176"/>
        <v/>
      </c>
      <c r="CP266" s="42" t="str">
        <f t="shared" si="177"/>
        <v/>
      </c>
      <c r="CQ266" s="42" t="str">
        <f t="shared" si="178"/>
        <v/>
      </c>
      <c r="CR266" s="42" t="str">
        <f t="shared" si="179"/>
        <v/>
      </c>
      <c r="CS266" s="42" t="str">
        <f t="shared" si="180"/>
        <v/>
      </c>
      <c r="CT266" s="42" t="str">
        <f t="shared" si="181"/>
        <v/>
      </c>
      <c r="CU266" s="43" t="str">
        <f t="shared" si="182"/>
        <v/>
      </c>
      <c r="CV266" s="43" t="str">
        <f t="shared" si="183"/>
        <v/>
      </c>
      <c r="CW266" s="43" t="str">
        <f t="shared" si="184"/>
        <v/>
      </c>
      <c r="CX266" s="33"/>
    </row>
    <row r="267" spans="1:102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48"/>
        <v/>
      </c>
      <c r="S267" s="37" t="str">
        <f t="shared" si="149"/>
        <v/>
      </c>
      <c r="T267" s="38" t="str">
        <f t="shared" si="150"/>
        <v/>
      </c>
      <c r="U267" s="38" t="str">
        <f t="shared" si="151"/>
        <v/>
      </c>
      <c r="V267" s="38" t="b">
        <f t="shared" si="152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53"/>
        <v/>
      </c>
      <c r="AI267" s="36" t="str">
        <f>IFERROR(INDEX('Level Multipliers'!$D:$D,MATCH(AH267,'Level Multipliers'!$A:$A,0)),"")</f>
        <v/>
      </c>
      <c r="AJ267" s="37" t="str">
        <f t="shared" si="154"/>
        <v/>
      </c>
      <c r="AK267" s="37" t="str">
        <f t="shared" si="155"/>
        <v/>
      </c>
      <c r="AL267" s="38" t="str">
        <f t="shared" si="156"/>
        <v/>
      </c>
      <c r="AM267" s="38" t="str">
        <f t="shared" si="157"/>
        <v/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9"/>
        <v/>
      </c>
      <c r="BA267" s="36" t="str">
        <f>IFERROR(INDEX('Level Multipliers'!$D:$D,MATCH(AZ267,'Level Multipliers'!$A:$A,0)),"")</f>
        <v/>
      </c>
      <c r="BB267" s="37" t="str">
        <f t="shared" si="160"/>
        <v/>
      </c>
      <c r="BC267" s="37" t="str">
        <f t="shared" si="161"/>
        <v/>
      </c>
      <c r="BD267" s="38" t="str">
        <f t="shared" si="162"/>
        <v/>
      </c>
      <c r="BE267" s="38" t="str">
        <f t="shared" si="163"/>
        <v/>
      </c>
      <c r="BF267" s="38" t="b">
        <f t="shared" si="164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65"/>
        <v/>
      </c>
      <c r="BS267" s="36" t="str">
        <f>IFERROR(INDEX('Level Multipliers'!$D:$D,MATCH(BR267,'Level Multipliers'!$A:$A,0)),"")</f>
        <v/>
      </c>
      <c r="BT267" s="37" t="str">
        <f t="shared" si="166"/>
        <v/>
      </c>
      <c r="BU267" s="37" t="str">
        <f t="shared" si="167"/>
        <v/>
      </c>
      <c r="BV267" s="38" t="str">
        <f t="shared" si="168"/>
        <v/>
      </c>
      <c r="BW267" s="38" t="str">
        <f t="shared" si="169"/>
        <v/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71"/>
        <v/>
      </c>
      <c r="CK267" s="41" t="str">
        <f t="shared" si="172"/>
        <v/>
      </c>
      <c r="CL267" s="66" t="str">
        <f t="shared" si="173"/>
        <v/>
      </c>
      <c r="CM267" s="39" t="str">
        <f t="shared" si="174"/>
        <v/>
      </c>
      <c r="CN267" s="39" t="str">
        <f t="shared" si="175"/>
        <v/>
      </c>
      <c r="CO267" s="42" t="str">
        <f t="shared" si="176"/>
        <v/>
      </c>
      <c r="CP267" s="42" t="str">
        <f t="shared" si="177"/>
        <v/>
      </c>
      <c r="CQ267" s="42" t="str">
        <f t="shared" si="178"/>
        <v/>
      </c>
      <c r="CR267" s="42" t="str">
        <f t="shared" si="179"/>
        <v/>
      </c>
      <c r="CS267" s="42" t="str">
        <f t="shared" si="180"/>
        <v/>
      </c>
      <c r="CT267" s="42" t="str">
        <f t="shared" si="181"/>
        <v/>
      </c>
      <c r="CU267" s="43" t="str">
        <f t="shared" si="182"/>
        <v/>
      </c>
      <c r="CV267" s="43" t="str">
        <f t="shared" si="183"/>
        <v/>
      </c>
      <c r="CW267" s="43" t="str">
        <f t="shared" si="184"/>
        <v/>
      </c>
      <c r="CX267" s="13"/>
    </row>
    <row r="268" spans="1:102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48"/>
        <v/>
      </c>
      <c r="S268" s="37" t="str">
        <f t="shared" si="149"/>
        <v/>
      </c>
      <c r="T268" s="38" t="str">
        <f t="shared" si="150"/>
        <v/>
      </c>
      <c r="U268" s="38" t="str">
        <f t="shared" si="151"/>
        <v/>
      </c>
      <c r="V268" s="38" t="b">
        <f t="shared" si="152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53"/>
        <v/>
      </c>
      <c r="AI268" s="36" t="str">
        <f>IFERROR(INDEX('Level Multipliers'!$D:$D,MATCH(AH268,'Level Multipliers'!$A:$A,0)),"")</f>
        <v/>
      </c>
      <c r="AJ268" s="37" t="str">
        <f t="shared" si="154"/>
        <v/>
      </c>
      <c r="AK268" s="37" t="str">
        <f t="shared" si="155"/>
        <v/>
      </c>
      <c r="AL268" s="38" t="str">
        <f t="shared" si="156"/>
        <v/>
      </c>
      <c r="AM268" s="38" t="str">
        <f t="shared" si="157"/>
        <v/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9"/>
        <v/>
      </c>
      <c r="BA268" s="36" t="str">
        <f>IFERROR(INDEX('Level Multipliers'!$D:$D,MATCH(AZ268,'Level Multipliers'!$A:$A,0)),"")</f>
        <v/>
      </c>
      <c r="BB268" s="37" t="str">
        <f t="shared" si="160"/>
        <v/>
      </c>
      <c r="BC268" s="37" t="str">
        <f t="shared" si="161"/>
        <v/>
      </c>
      <c r="BD268" s="38" t="str">
        <f t="shared" si="162"/>
        <v/>
      </c>
      <c r="BE268" s="38" t="str">
        <f t="shared" si="163"/>
        <v/>
      </c>
      <c r="BF268" s="38" t="b">
        <f t="shared" si="164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65"/>
        <v/>
      </c>
      <c r="BS268" s="36" t="str">
        <f>IFERROR(INDEX('Level Multipliers'!$D:$D,MATCH(BR268,'Level Multipliers'!$A:$A,0)),"")</f>
        <v/>
      </c>
      <c r="BT268" s="37" t="str">
        <f t="shared" si="166"/>
        <v/>
      </c>
      <c r="BU268" s="37" t="str">
        <f t="shared" si="167"/>
        <v/>
      </c>
      <c r="BV268" s="38" t="str">
        <f t="shared" si="168"/>
        <v/>
      </c>
      <c r="BW268" s="38" t="str">
        <f t="shared" si="169"/>
        <v/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71"/>
        <v/>
      </c>
      <c r="CK268" s="41" t="str">
        <f t="shared" si="172"/>
        <v/>
      </c>
      <c r="CL268" s="66" t="str">
        <f t="shared" si="173"/>
        <v/>
      </c>
      <c r="CM268" s="39" t="str">
        <f t="shared" si="174"/>
        <v/>
      </c>
      <c r="CN268" s="39" t="str">
        <f t="shared" si="175"/>
        <v/>
      </c>
      <c r="CO268" s="42" t="str">
        <f t="shared" si="176"/>
        <v/>
      </c>
      <c r="CP268" s="42" t="str">
        <f t="shared" si="177"/>
        <v/>
      </c>
      <c r="CQ268" s="42" t="str">
        <f t="shared" si="178"/>
        <v/>
      </c>
      <c r="CR268" s="42" t="str">
        <f t="shared" si="179"/>
        <v/>
      </c>
      <c r="CS268" s="42" t="str">
        <f t="shared" si="180"/>
        <v/>
      </c>
      <c r="CT268" s="42" t="str">
        <f t="shared" si="181"/>
        <v/>
      </c>
      <c r="CU268" s="43" t="str">
        <f t="shared" si="182"/>
        <v/>
      </c>
      <c r="CV268" s="43" t="str">
        <f t="shared" si="183"/>
        <v/>
      </c>
      <c r="CW268" s="43" t="str">
        <f t="shared" si="184"/>
        <v/>
      </c>
      <c r="CX268" s="13"/>
    </row>
    <row r="269" spans="1:102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48"/>
        <v/>
      </c>
      <c r="S269" s="37" t="str">
        <f t="shared" si="149"/>
        <v/>
      </c>
      <c r="T269" s="38" t="str">
        <f t="shared" si="150"/>
        <v/>
      </c>
      <c r="U269" s="38" t="str">
        <f t="shared" si="151"/>
        <v/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53"/>
        <v/>
      </c>
      <c r="AI269" s="36" t="str">
        <f>IFERROR(INDEX('Level Multipliers'!$D:$D,MATCH(AH269,'Level Multipliers'!$A:$A,0)),"")</f>
        <v/>
      </c>
      <c r="AJ269" s="37" t="str">
        <f t="shared" si="154"/>
        <v/>
      </c>
      <c r="AK269" s="37" t="str">
        <f t="shared" si="155"/>
        <v/>
      </c>
      <c r="AL269" s="38" t="str">
        <f t="shared" si="156"/>
        <v/>
      </c>
      <c r="AM269" s="38" t="str">
        <f t="shared" si="157"/>
        <v/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9"/>
        <v/>
      </c>
      <c r="BA269" s="36" t="str">
        <f>IFERROR(INDEX('Level Multipliers'!$D:$D,MATCH(AZ269,'Level Multipliers'!$A:$A,0)),"")</f>
        <v/>
      </c>
      <c r="BB269" s="37" t="str">
        <f t="shared" si="160"/>
        <v/>
      </c>
      <c r="BC269" s="37" t="str">
        <f t="shared" si="161"/>
        <v/>
      </c>
      <c r="BD269" s="38" t="str">
        <f t="shared" si="162"/>
        <v/>
      </c>
      <c r="BE269" s="38" t="str">
        <f t="shared" si="163"/>
        <v/>
      </c>
      <c r="BF269" s="38" t="b">
        <f t="shared" si="164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65"/>
        <v/>
      </c>
      <c r="BS269" s="36" t="str">
        <f>IFERROR(INDEX('Level Multipliers'!$D:$D,MATCH(BR269,'Level Multipliers'!$A:$A,0)),"")</f>
        <v/>
      </c>
      <c r="BT269" s="37" t="str">
        <f t="shared" si="166"/>
        <v/>
      </c>
      <c r="BU269" s="37" t="str">
        <f t="shared" si="167"/>
        <v/>
      </c>
      <c r="BV269" s="38" t="str">
        <f t="shared" si="168"/>
        <v/>
      </c>
      <c r="BW269" s="38" t="str">
        <f t="shared" si="169"/>
        <v/>
      </c>
      <c r="BX269" s="38" t="b">
        <f t="shared" si="170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71"/>
        <v/>
      </c>
      <c r="CK269" s="41" t="str">
        <f t="shared" si="172"/>
        <v/>
      </c>
      <c r="CL269" s="66" t="str">
        <f t="shared" si="173"/>
        <v/>
      </c>
      <c r="CM269" s="39" t="str">
        <f t="shared" si="174"/>
        <v/>
      </c>
      <c r="CN269" s="39" t="str">
        <f t="shared" si="175"/>
        <v/>
      </c>
      <c r="CO269" s="42" t="str">
        <f t="shared" si="176"/>
        <v/>
      </c>
      <c r="CP269" s="42" t="str">
        <f t="shared" si="177"/>
        <v/>
      </c>
      <c r="CQ269" s="42" t="str">
        <f t="shared" si="178"/>
        <v/>
      </c>
      <c r="CR269" s="42" t="str">
        <f t="shared" si="179"/>
        <v/>
      </c>
      <c r="CS269" s="42" t="str">
        <f t="shared" si="180"/>
        <v/>
      </c>
      <c r="CT269" s="42" t="str">
        <f t="shared" si="181"/>
        <v/>
      </c>
      <c r="CU269" s="43" t="str">
        <f t="shared" si="182"/>
        <v/>
      </c>
      <c r="CV269" s="43" t="str">
        <f t="shared" si="183"/>
        <v/>
      </c>
      <c r="CW269" s="43" t="str">
        <f t="shared" si="184"/>
        <v/>
      </c>
      <c r="CX269" s="13"/>
    </row>
    <row r="270" spans="1:102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48"/>
        <v/>
      </c>
      <c r="S270" s="37" t="str">
        <f t="shared" si="149"/>
        <v/>
      </c>
      <c r="T270" s="38" t="str">
        <f t="shared" si="150"/>
        <v/>
      </c>
      <c r="U270" s="38" t="str">
        <f t="shared" si="151"/>
        <v/>
      </c>
      <c r="V270" s="38" t="b">
        <f t="shared" si="152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53"/>
        <v/>
      </c>
      <c r="AI270" s="36" t="str">
        <f>IFERROR(INDEX('Level Multipliers'!$D:$D,MATCH(AH270,'Level Multipliers'!$A:$A,0)),"")</f>
        <v/>
      </c>
      <c r="AJ270" s="37" t="str">
        <f t="shared" si="154"/>
        <v/>
      </c>
      <c r="AK270" s="37" t="str">
        <f t="shared" si="155"/>
        <v/>
      </c>
      <c r="AL270" s="38" t="str">
        <f t="shared" si="156"/>
        <v/>
      </c>
      <c r="AM270" s="38" t="str">
        <f t="shared" si="157"/>
        <v/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9"/>
        <v/>
      </c>
      <c r="BA270" s="36" t="str">
        <f>IFERROR(INDEX('Level Multipliers'!$D:$D,MATCH(AZ270,'Level Multipliers'!$A:$A,0)),"")</f>
        <v/>
      </c>
      <c r="BB270" s="37" t="str">
        <f t="shared" si="160"/>
        <v/>
      </c>
      <c r="BC270" s="37" t="str">
        <f t="shared" si="161"/>
        <v/>
      </c>
      <c r="BD270" s="38" t="str">
        <f t="shared" si="162"/>
        <v/>
      </c>
      <c r="BE270" s="38" t="str">
        <f t="shared" si="163"/>
        <v/>
      </c>
      <c r="BF270" s="38" t="b">
        <f t="shared" si="164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65"/>
        <v/>
      </c>
      <c r="BS270" s="36" t="str">
        <f>IFERROR(INDEX('Level Multipliers'!$D:$D,MATCH(BR270,'Level Multipliers'!$A:$A,0)),"")</f>
        <v/>
      </c>
      <c r="BT270" s="37" t="str">
        <f t="shared" si="166"/>
        <v/>
      </c>
      <c r="BU270" s="37" t="str">
        <f t="shared" si="167"/>
        <v/>
      </c>
      <c r="BV270" s="38" t="str">
        <f t="shared" si="168"/>
        <v/>
      </c>
      <c r="BW270" s="38" t="str">
        <f t="shared" si="169"/>
        <v/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71"/>
        <v/>
      </c>
      <c r="CK270" s="41" t="str">
        <f t="shared" si="172"/>
        <v/>
      </c>
      <c r="CL270" s="66" t="str">
        <f t="shared" si="173"/>
        <v/>
      </c>
      <c r="CM270" s="39" t="str">
        <f t="shared" si="174"/>
        <v/>
      </c>
      <c r="CN270" s="39" t="str">
        <f t="shared" si="175"/>
        <v/>
      </c>
      <c r="CO270" s="42" t="str">
        <f t="shared" si="176"/>
        <v/>
      </c>
      <c r="CP270" s="42" t="str">
        <f t="shared" si="177"/>
        <v/>
      </c>
      <c r="CQ270" s="42" t="str">
        <f t="shared" si="178"/>
        <v/>
      </c>
      <c r="CR270" s="42" t="str">
        <f t="shared" si="179"/>
        <v/>
      </c>
      <c r="CS270" s="42" t="str">
        <f t="shared" si="180"/>
        <v/>
      </c>
      <c r="CT270" s="42" t="str">
        <f t="shared" si="181"/>
        <v/>
      </c>
      <c r="CU270" s="43" t="str">
        <f t="shared" si="182"/>
        <v/>
      </c>
      <c r="CV270" s="43" t="str">
        <f t="shared" si="183"/>
        <v/>
      </c>
      <c r="CW270" s="43" t="str">
        <f t="shared" si="184"/>
        <v/>
      </c>
      <c r="CX270" s="13"/>
    </row>
    <row r="271" spans="1:102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48"/>
        <v/>
      </c>
      <c r="S271" s="37" t="str">
        <f t="shared" si="149"/>
        <v/>
      </c>
      <c r="T271" s="38" t="str">
        <f t="shared" si="150"/>
        <v/>
      </c>
      <c r="U271" s="38" t="str">
        <f t="shared" si="151"/>
        <v/>
      </c>
      <c r="V271" s="38" t="b">
        <f t="shared" si="152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53"/>
        <v/>
      </c>
      <c r="AI271" s="36" t="str">
        <f>IFERROR(INDEX('Level Multipliers'!$D:$D,MATCH(AH271,'Level Multipliers'!$A:$A,0)),"")</f>
        <v/>
      </c>
      <c r="AJ271" s="37" t="str">
        <f t="shared" si="154"/>
        <v/>
      </c>
      <c r="AK271" s="37" t="str">
        <f t="shared" si="155"/>
        <v/>
      </c>
      <c r="AL271" s="38" t="str">
        <f t="shared" si="156"/>
        <v/>
      </c>
      <c r="AM271" s="38" t="str">
        <f t="shared" si="157"/>
        <v/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9"/>
        <v/>
      </c>
      <c r="BA271" s="36" t="str">
        <f>IFERROR(INDEX('Level Multipliers'!$D:$D,MATCH(AZ271,'Level Multipliers'!$A:$A,0)),"")</f>
        <v/>
      </c>
      <c r="BB271" s="37" t="str">
        <f t="shared" si="160"/>
        <v/>
      </c>
      <c r="BC271" s="37" t="str">
        <f t="shared" si="161"/>
        <v/>
      </c>
      <c r="BD271" s="38" t="str">
        <f t="shared" si="162"/>
        <v/>
      </c>
      <c r="BE271" s="38" t="str">
        <f t="shared" si="163"/>
        <v/>
      </c>
      <c r="BF271" s="38" t="b">
        <f t="shared" si="164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65"/>
        <v/>
      </c>
      <c r="BS271" s="36" t="str">
        <f>IFERROR(INDEX('Level Multipliers'!$D:$D,MATCH(BR271,'Level Multipliers'!$A:$A,0)),"")</f>
        <v/>
      </c>
      <c r="BT271" s="37" t="str">
        <f t="shared" si="166"/>
        <v/>
      </c>
      <c r="BU271" s="37" t="str">
        <f t="shared" si="167"/>
        <v/>
      </c>
      <c r="BV271" s="38" t="str">
        <f t="shared" si="168"/>
        <v/>
      </c>
      <c r="BW271" s="38" t="str">
        <f t="shared" si="169"/>
        <v/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71"/>
        <v/>
      </c>
      <c r="CK271" s="41" t="str">
        <f t="shared" si="172"/>
        <v/>
      </c>
      <c r="CL271" s="66" t="str">
        <f t="shared" si="173"/>
        <v/>
      </c>
      <c r="CM271" s="39" t="str">
        <f t="shared" si="174"/>
        <v/>
      </c>
      <c r="CN271" s="39" t="str">
        <f t="shared" si="175"/>
        <v/>
      </c>
      <c r="CO271" s="42" t="str">
        <f t="shared" si="176"/>
        <v/>
      </c>
      <c r="CP271" s="42" t="str">
        <f t="shared" si="177"/>
        <v/>
      </c>
      <c r="CQ271" s="42" t="str">
        <f t="shared" si="178"/>
        <v/>
      </c>
      <c r="CR271" s="42" t="str">
        <f t="shared" si="179"/>
        <v/>
      </c>
      <c r="CS271" s="42" t="str">
        <f t="shared" si="180"/>
        <v/>
      </c>
      <c r="CT271" s="42" t="str">
        <f t="shared" si="181"/>
        <v/>
      </c>
      <c r="CU271" s="43" t="str">
        <f t="shared" si="182"/>
        <v/>
      </c>
      <c r="CV271" s="43" t="str">
        <f t="shared" si="183"/>
        <v/>
      </c>
      <c r="CW271" s="43" t="str">
        <f t="shared" si="184"/>
        <v/>
      </c>
      <c r="CX271" s="13"/>
    </row>
    <row r="272" spans="1:102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48"/>
        <v/>
      </c>
      <c r="S272" s="37" t="str">
        <f t="shared" si="149"/>
        <v/>
      </c>
      <c r="T272" s="38" t="str">
        <f t="shared" si="150"/>
        <v/>
      </c>
      <c r="U272" s="38" t="str">
        <f t="shared" si="151"/>
        <v/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53"/>
        <v/>
      </c>
      <c r="AI272" s="36" t="str">
        <f>IFERROR(INDEX('Level Multipliers'!$D:$D,MATCH(AH272,'Level Multipliers'!$A:$A,0)),"")</f>
        <v/>
      </c>
      <c r="AJ272" s="37" t="str">
        <f t="shared" si="154"/>
        <v/>
      </c>
      <c r="AK272" s="37" t="str">
        <f t="shared" si="155"/>
        <v/>
      </c>
      <c r="AL272" s="38" t="str">
        <f t="shared" si="156"/>
        <v/>
      </c>
      <c r="AM272" s="38" t="str">
        <f t="shared" si="157"/>
        <v/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9"/>
        <v/>
      </c>
      <c r="BA272" s="36" t="str">
        <f>IFERROR(INDEX('Level Multipliers'!$D:$D,MATCH(AZ272,'Level Multipliers'!$A:$A,0)),"")</f>
        <v/>
      </c>
      <c r="BB272" s="37" t="str">
        <f t="shared" si="160"/>
        <v/>
      </c>
      <c r="BC272" s="37" t="str">
        <f t="shared" si="161"/>
        <v/>
      </c>
      <c r="BD272" s="38" t="str">
        <f t="shared" si="162"/>
        <v/>
      </c>
      <c r="BE272" s="38" t="str">
        <f t="shared" si="163"/>
        <v/>
      </c>
      <c r="BF272" s="38" t="b">
        <f t="shared" si="164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65"/>
        <v/>
      </c>
      <c r="BS272" s="36" t="str">
        <f>IFERROR(INDEX('Level Multipliers'!$D:$D,MATCH(BR272,'Level Multipliers'!$A:$A,0)),"")</f>
        <v/>
      </c>
      <c r="BT272" s="37" t="str">
        <f t="shared" si="166"/>
        <v/>
      </c>
      <c r="BU272" s="37" t="str">
        <f t="shared" si="167"/>
        <v/>
      </c>
      <c r="BV272" s="38" t="str">
        <f t="shared" si="168"/>
        <v/>
      </c>
      <c r="BW272" s="38" t="str">
        <f t="shared" si="169"/>
        <v/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71"/>
        <v/>
      </c>
      <c r="CK272" s="41" t="str">
        <f t="shared" si="172"/>
        <v/>
      </c>
      <c r="CL272" s="66" t="str">
        <f t="shared" si="173"/>
        <v/>
      </c>
      <c r="CM272" s="39" t="str">
        <f t="shared" si="174"/>
        <v/>
      </c>
      <c r="CN272" s="39" t="str">
        <f t="shared" si="175"/>
        <v/>
      </c>
      <c r="CO272" s="42" t="str">
        <f t="shared" si="176"/>
        <v/>
      </c>
      <c r="CP272" s="42" t="str">
        <f t="shared" si="177"/>
        <v/>
      </c>
      <c r="CQ272" s="42" t="str">
        <f t="shared" si="178"/>
        <v/>
      </c>
      <c r="CR272" s="42" t="str">
        <f t="shared" si="179"/>
        <v/>
      </c>
      <c r="CS272" s="42" t="str">
        <f t="shared" si="180"/>
        <v/>
      </c>
      <c r="CT272" s="42" t="str">
        <f t="shared" si="181"/>
        <v/>
      </c>
      <c r="CU272" s="43" t="str">
        <f t="shared" si="182"/>
        <v/>
      </c>
      <c r="CV272" s="43" t="str">
        <f t="shared" si="183"/>
        <v/>
      </c>
      <c r="CW272" s="43" t="str">
        <f t="shared" si="184"/>
        <v/>
      </c>
      <c r="CX272" s="13"/>
    </row>
    <row r="273" spans="1:102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48"/>
        <v/>
      </c>
      <c r="S273" s="37" t="str">
        <f t="shared" si="149"/>
        <v/>
      </c>
      <c r="T273" s="38" t="str">
        <f t="shared" si="150"/>
        <v/>
      </c>
      <c r="U273" s="38" t="str">
        <f t="shared" si="151"/>
        <v/>
      </c>
      <c r="V273" s="38" t="b">
        <f t="shared" si="152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53"/>
        <v/>
      </c>
      <c r="AI273" s="36" t="str">
        <f>IFERROR(INDEX('Level Multipliers'!$D:$D,MATCH(AH273,'Level Multipliers'!$A:$A,0)),"")</f>
        <v/>
      </c>
      <c r="AJ273" s="37" t="str">
        <f t="shared" si="154"/>
        <v/>
      </c>
      <c r="AK273" s="37" t="str">
        <f t="shared" si="155"/>
        <v/>
      </c>
      <c r="AL273" s="38" t="str">
        <f t="shared" si="156"/>
        <v/>
      </c>
      <c r="AM273" s="38" t="str">
        <f t="shared" si="157"/>
        <v/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9"/>
        <v/>
      </c>
      <c r="BA273" s="36" t="str">
        <f>IFERROR(INDEX('Level Multipliers'!$D:$D,MATCH(AZ273,'Level Multipliers'!$A:$A,0)),"")</f>
        <v/>
      </c>
      <c r="BB273" s="37" t="str">
        <f t="shared" si="160"/>
        <v/>
      </c>
      <c r="BC273" s="37" t="str">
        <f t="shared" si="161"/>
        <v/>
      </c>
      <c r="BD273" s="38" t="str">
        <f t="shared" si="162"/>
        <v/>
      </c>
      <c r="BE273" s="38" t="str">
        <f t="shared" si="163"/>
        <v/>
      </c>
      <c r="BF273" s="38" t="b">
        <f t="shared" si="164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65"/>
        <v/>
      </c>
      <c r="BS273" s="36" t="str">
        <f>IFERROR(INDEX('Level Multipliers'!$D:$D,MATCH(BR273,'Level Multipliers'!$A:$A,0)),"")</f>
        <v/>
      </c>
      <c r="BT273" s="37" t="str">
        <f t="shared" si="166"/>
        <v/>
      </c>
      <c r="BU273" s="37" t="str">
        <f t="shared" si="167"/>
        <v/>
      </c>
      <c r="BV273" s="38" t="str">
        <f t="shared" si="168"/>
        <v/>
      </c>
      <c r="BW273" s="38" t="str">
        <f t="shared" si="169"/>
        <v/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71"/>
        <v/>
      </c>
      <c r="CK273" s="41" t="str">
        <f t="shared" si="172"/>
        <v/>
      </c>
      <c r="CL273" s="66" t="str">
        <f t="shared" si="173"/>
        <v/>
      </c>
      <c r="CM273" s="39" t="str">
        <f t="shared" si="174"/>
        <v/>
      </c>
      <c r="CN273" s="39" t="str">
        <f t="shared" si="175"/>
        <v/>
      </c>
      <c r="CO273" s="42" t="str">
        <f t="shared" si="176"/>
        <v/>
      </c>
      <c r="CP273" s="42" t="str">
        <f t="shared" si="177"/>
        <v/>
      </c>
      <c r="CQ273" s="42" t="str">
        <f t="shared" si="178"/>
        <v/>
      </c>
      <c r="CR273" s="42" t="str">
        <f t="shared" si="179"/>
        <v/>
      </c>
      <c r="CS273" s="42" t="str">
        <f t="shared" si="180"/>
        <v/>
      </c>
      <c r="CT273" s="42" t="str">
        <f t="shared" si="181"/>
        <v/>
      </c>
      <c r="CU273" s="43" t="str">
        <f t="shared" si="182"/>
        <v/>
      </c>
      <c r="CV273" s="43" t="str">
        <f t="shared" si="183"/>
        <v/>
      </c>
      <c r="CW273" s="43" t="str">
        <f t="shared" si="184"/>
        <v/>
      </c>
      <c r="CX273" s="13"/>
    </row>
    <row r="274" spans="1:102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48"/>
        <v/>
      </c>
      <c r="S274" s="37" t="str">
        <f t="shared" si="149"/>
        <v/>
      </c>
      <c r="T274" s="38" t="str">
        <f t="shared" si="150"/>
        <v/>
      </c>
      <c r="U274" s="38" t="str">
        <f t="shared" si="151"/>
        <v/>
      </c>
      <c r="V274" s="38" t="b">
        <f t="shared" si="152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53"/>
        <v/>
      </c>
      <c r="AI274" s="36" t="str">
        <f>IFERROR(INDEX('Level Multipliers'!$D:$D,MATCH(AH274,'Level Multipliers'!$A:$A,0)),"")</f>
        <v/>
      </c>
      <c r="AJ274" s="37" t="str">
        <f t="shared" si="154"/>
        <v/>
      </c>
      <c r="AK274" s="37" t="str">
        <f t="shared" si="155"/>
        <v/>
      </c>
      <c r="AL274" s="38" t="str">
        <f t="shared" si="156"/>
        <v/>
      </c>
      <c r="AM274" s="38" t="str">
        <f t="shared" si="157"/>
        <v/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9"/>
        <v/>
      </c>
      <c r="BA274" s="36" t="str">
        <f>IFERROR(INDEX('Level Multipliers'!$D:$D,MATCH(AZ274,'Level Multipliers'!$A:$A,0)),"")</f>
        <v/>
      </c>
      <c r="BB274" s="37" t="str">
        <f t="shared" si="160"/>
        <v/>
      </c>
      <c r="BC274" s="37" t="str">
        <f t="shared" si="161"/>
        <v/>
      </c>
      <c r="BD274" s="38" t="str">
        <f t="shared" si="162"/>
        <v/>
      </c>
      <c r="BE274" s="38" t="str">
        <f t="shared" si="163"/>
        <v/>
      </c>
      <c r="BF274" s="38" t="b">
        <f t="shared" si="164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65"/>
        <v/>
      </c>
      <c r="BS274" s="36" t="str">
        <f>IFERROR(INDEX('Level Multipliers'!$D:$D,MATCH(BR274,'Level Multipliers'!$A:$A,0)),"")</f>
        <v/>
      </c>
      <c r="BT274" s="37" t="str">
        <f t="shared" si="166"/>
        <v/>
      </c>
      <c r="BU274" s="37" t="str">
        <f t="shared" si="167"/>
        <v/>
      </c>
      <c r="BV274" s="38" t="str">
        <f t="shared" si="168"/>
        <v/>
      </c>
      <c r="BW274" s="38" t="str">
        <f t="shared" si="169"/>
        <v/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71"/>
        <v/>
      </c>
      <c r="CK274" s="41" t="str">
        <f t="shared" si="172"/>
        <v/>
      </c>
      <c r="CL274" s="66" t="str">
        <f t="shared" si="173"/>
        <v/>
      </c>
      <c r="CM274" s="39" t="str">
        <f t="shared" si="174"/>
        <v/>
      </c>
      <c r="CN274" s="39" t="str">
        <f t="shared" si="175"/>
        <v/>
      </c>
      <c r="CO274" s="42" t="str">
        <f t="shared" si="176"/>
        <v/>
      </c>
      <c r="CP274" s="42" t="str">
        <f t="shared" si="177"/>
        <v/>
      </c>
      <c r="CQ274" s="42" t="str">
        <f t="shared" si="178"/>
        <v/>
      </c>
      <c r="CR274" s="42" t="str">
        <f t="shared" si="179"/>
        <v/>
      </c>
      <c r="CS274" s="42" t="str">
        <f t="shared" si="180"/>
        <v/>
      </c>
      <c r="CT274" s="42" t="str">
        <f t="shared" si="181"/>
        <v/>
      </c>
      <c r="CU274" s="43" t="str">
        <f t="shared" si="182"/>
        <v/>
      </c>
      <c r="CV274" s="43" t="str">
        <f t="shared" si="183"/>
        <v/>
      </c>
      <c r="CW274" s="43" t="str">
        <f t="shared" si="184"/>
        <v/>
      </c>
      <c r="CX274" s="13"/>
    </row>
    <row r="275" spans="1:102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48"/>
        <v/>
      </c>
      <c r="S275" s="37" t="str">
        <f t="shared" si="149"/>
        <v/>
      </c>
      <c r="T275" s="38" t="str">
        <f t="shared" si="150"/>
        <v/>
      </c>
      <c r="U275" s="38" t="str">
        <f t="shared" si="151"/>
        <v/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53"/>
        <v/>
      </c>
      <c r="AI275" s="36" t="str">
        <f>IFERROR(INDEX('Level Multipliers'!$D:$D,MATCH(AH275,'Level Multipliers'!$A:$A,0)),"")</f>
        <v/>
      </c>
      <c r="AJ275" s="37" t="str">
        <f t="shared" si="154"/>
        <v/>
      </c>
      <c r="AK275" s="37" t="str">
        <f t="shared" si="155"/>
        <v/>
      </c>
      <c r="AL275" s="38" t="str">
        <f t="shared" si="156"/>
        <v/>
      </c>
      <c r="AM275" s="38" t="str">
        <f t="shared" si="157"/>
        <v/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9"/>
        <v/>
      </c>
      <c r="BA275" s="36" t="str">
        <f>IFERROR(INDEX('Level Multipliers'!$D:$D,MATCH(AZ275,'Level Multipliers'!$A:$A,0)),"")</f>
        <v/>
      </c>
      <c r="BB275" s="37" t="str">
        <f t="shared" si="160"/>
        <v/>
      </c>
      <c r="BC275" s="37" t="str">
        <f t="shared" si="161"/>
        <v/>
      </c>
      <c r="BD275" s="38" t="str">
        <f t="shared" si="162"/>
        <v/>
      </c>
      <c r="BE275" s="38" t="str">
        <f t="shared" si="163"/>
        <v/>
      </c>
      <c r="BF275" s="38" t="b">
        <f t="shared" si="164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65"/>
        <v/>
      </c>
      <c r="BS275" s="36" t="str">
        <f>IFERROR(INDEX('Level Multipliers'!$D:$D,MATCH(BR275,'Level Multipliers'!$A:$A,0)),"")</f>
        <v/>
      </c>
      <c r="BT275" s="37" t="str">
        <f t="shared" si="166"/>
        <v/>
      </c>
      <c r="BU275" s="37" t="str">
        <f t="shared" si="167"/>
        <v/>
      </c>
      <c r="BV275" s="38" t="str">
        <f t="shared" si="168"/>
        <v/>
      </c>
      <c r="BW275" s="38" t="str">
        <f t="shared" si="169"/>
        <v/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71"/>
        <v/>
      </c>
      <c r="CK275" s="41" t="str">
        <f t="shared" si="172"/>
        <v/>
      </c>
      <c r="CL275" s="66" t="str">
        <f t="shared" si="173"/>
        <v/>
      </c>
      <c r="CM275" s="39" t="str">
        <f t="shared" si="174"/>
        <v/>
      </c>
      <c r="CN275" s="39" t="str">
        <f t="shared" si="175"/>
        <v/>
      </c>
      <c r="CO275" s="42" t="str">
        <f t="shared" si="176"/>
        <v/>
      </c>
      <c r="CP275" s="42" t="str">
        <f t="shared" si="177"/>
        <v/>
      </c>
      <c r="CQ275" s="42" t="str">
        <f t="shared" si="178"/>
        <v/>
      </c>
      <c r="CR275" s="42" t="str">
        <f t="shared" si="179"/>
        <v/>
      </c>
      <c r="CS275" s="42" t="str">
        <f t="shared" si="180"/>
        <v/>
      </c>
      <c r="CT275" s="42" t="str">
        <f t="shared" si="181"/>
        <v/>
      </c>
      <c r="CU275" s="43" t="str">
        <f t="shared" si="182"/>
        <v/>
      </c>
      <c r="CV275" s="43" t="str">
        <f t="shared" si="183"/>
        <v/>
      </c>
      <c r="CW275" s="43" t="str">
        <f t="shared" si="184"/>
        <v/>
      </c>
      <c r="CX275" s="13"/>
    </row>
    <row r="276" spans="1:102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48"/>
        <v/>
      </c>
      <c r="S276" s="37" t="str">
        <f t="shared" si="149"/>
        <v/>
      </c>
      <c r="T276" s="38" t="str">
        <f t="shared" si="150"/>
        <v/>
      </c>
      <c r="U276" s="38" t="str">
        <f t="shared" si="151"/>
        <v/>
      </c>
      <c r="V276" s="38" t="b">
        <f t="shared" si="152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53"/>
        <v/>
      </c>
      <c r="AI276" s="36" t="str">
        <f>IFERROR(INDEX('Level Multipliers'!$D:$D,MATCH(AH276,'Level Multipliers'!$A:$A,0)),"")</f>
        <v/>
      </c>
      <c r="AJ276" s="37" t="str">
        <f t="shared" si="154"/>
        <v/>
      </c>
      <c r="AK276" s="37" t="str">
        <f t="shared" si="155"/>
        <v/>
      </c>
      <c r="AL276" s="38" t="str">
        <f t="shared" si="156"/>
        <v/>
      </c>
      <c r="AM276" s="38" t="str">
        <f t="shared" si="157"/>
        <v/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9"/>
        <v/>
      </c>
      <c r="BA276" s="36" t="str">
        <f>IFERROR(INDEX('Level Multipliers'!$D:$D,MATCH(AZ276,'Level Multipliers'!$A:$A,0)),"")</f>
        <v/>
      </c>
      <c r="BB276" s="37" t="str">
        <f t="shared" si="160"/>
        <v/>
      </c>
      <c r="BC276" s="37" t="str">
        <f t="shared" si="161"/>
        <v/>
      </c>
      <c r="BD276" s="38" t="str">
        <f t="shared" si="162"/>
        <v/>
      </c>
      <c r="BE276" s="38" t="str">
        <f t="shared" si="163"/>
        <v/>
      </c>
      <c r="BF276" s="38" t="b">
        <f t="shared" si="164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65"/>
        <v/>
      </c>
      <c r="BS276" s="36" t="str">
        <f>IFERROR(INDEX('Level Multipliers'!$D:$D,MATCH(BR276,'Level Multipliers'!$A:$A,0)),"")</f>
        <v/>
      </c>
      <c r="BT276" s="37" t="str">
        <f t="shared" si="166"/>
        <v/>
      </c>
      <c r="BU276" s="37" t="str">
        <f t="shared" si="167"/>
        <v/>
      </c>
      <c r="BV276" s="38" t="str">
        <f t="shared" si="168"/>
        <v/>
      </c>
      <c r="BW276" s="38" t="str">
        <f t="shared" si="169"/>
        <v/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71"/>
        <v/>
      </c>
      <c r="CK276" s="41" t="str">
        <f t="shared" si="172"/>
        <v/>
      </c>
      <c r="CL276" s="66" t="str">
        <f t="shared" si="173"/>
        <v/>
      </c>
      <c r="CM276" s="39" t="str">
        <f t="shared" si="174"/>
        <v/>
      </c>
      <c r="CN276" s="39" t="str">
        <f t="shared" si="175"/>
        <v/>
      </c>
      <c r="CO276" s="42" t="str">
        <f t="shared" si="176"/>
        <v/>
      </c>
      <c r="CP276" s="42" t="str">
        <f t="shared" si="177"/>
        <v/>
      </c>
      <c r="CQ276" s="42" t="str">
        <f t="shared" si="178"/>
        <v/>
      </c>
      <c r="CR276" s="42" t="str">
        <f t="shared" si="179"/>
        <v/>
      </c>
      <c r="CS276" s="42" t="str">
        <f t="shared" si="180"/>
        <v/>
      </c>
      <c r="CT276" s="42" t="str">
        <f t="shared" si="181"/>
        <v/>
      </c>
      <c r="CU276" s="43" t="str">
        <f t="shared" si="182"/>
        <v/>
      </c>
      <c r="CV276" s="43" t="str">
        <f t="shared" si="183"/>
        <v/>
      </c>
      <c r="CW276" s="43" t="str">
        <f t="shared" si="184"/>
        <v/>
      </c>
      <c r="CX276" s="13"/>
    </row>
    <row r="277" spans="1:102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48"/>
        <v/>
      </c>
      <c r="S277" s="37" t="str">
        <f t="shared" si="149"/>
        <v/>
      </c>
      <c r="T277" s="38" t="str">
        <f t="shared" si="150"/>
        <v/>
      </c>
      <c r="U277" s="38" t="str">
        <f t="shared" si="151"/>
        <v/>
      </c>
      <c r="V277" s="38" t="b">
        <f t="shared" si="152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53"/>
        <v/>
      </c>
      <c r="AI277" s="36" t="str">
        <f>IFERROR(INDEX('Level Multipliers'!$D:$D,MATCH(AH277,'Level Multipliers'!$A:$A,0)),"")</f>
        <v/>
      </c>
      <c r="AJ277" s="37" t="str">
        <f t="shared" si="154"/>
        <v/>
      </c>
      <c r="AK277" s="37" t="str">
        <f t="shared" si="155"/>
        <v/>
      </c>
      <c r="AL277" s="38" t="str">
        <f t="shared" si="156"/>
        <v/>
      </c>
      <c r="AM277" s="38" t="str">
        <f t="shared" si="157"/>
        <v/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9"/>
        <v/>
      </c>
      <c r="BA277" s="36" t="str">
        <f>IFERROR(INDEX('Level Multipliers'!$D:$D,MATCH(AZ277,'Level Multipliers'!$A:$A,0)),"")</f>
        <v/>
      </c>
      <c r="BB277" s="37" t="str">
        <f t="shared" si="160"/>
        <v/>
      </c>
      <c r="BC277" s="37" t="str">
        <f t="shared" si="161"/>
        <v/>
      </c>
      <c r="BD277" s="38" t="str">
        <f t="shared" si="162"/>
        <v/>
      </c>
      <c r="BE277" s="38" t="str">
        <f t="shared" si="163"/>
        <v/>
      </c>
      <c r="BF277" s="38" t="b">
        <f t="shared" si="164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65"/>
        <v/>
      </c>
      <c r="BS277" s="36" t="str">
        <f>IFERROR(INDEX('Level Multipliers'!$D:$D,MATCH(BR277,'Level Multipliers'!$A:$A,0)),"")</f>
        <v/>
      </c>
      <c r="BT277" s="37" t="str">
        <f t="shared" si="166"/>
        <v/>
      </c>
      <c r="BU277" s="37" t="str">
        <f t="shared" si="167"/>
        <v/>
      </c>
      <c r="BV277" s="38" t="str">
        <f t="shared" si="168"/>
        <v/>
      </c>
      <c r="BW277" s="38" t="str">
        <f t="shared" si="169"/>
        <v/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71"/>
        <v/>
      </c>
      <c r="CK277" s="41" t="str">
        <f t="shared" si="172"/>
        <v/>
      </c>
      <c r="CL277" s="66" t="str">
        <f t="shared" si="173"/>
        <v/>
      </c>
      <c r="CM277" s="39" t="str">
        <f t="shared" si="174"/>
        <v/>
      </c>
      <c r="CN277" s="39" t="str">
        <f t="shared" si="175"/>
        <v/>
      </c>
      <c r="CO277" s="42" t="str">
        <f t="shared" si="176"/>
        <v/>
      </c>
      <c r="CP277" s="42" t="str">
        <f t="shared" si="177"/>
        <v/>
      </c>
      <c r="CQ277" s="42" t="str">
        <f t="shared" si="178"/>
        <v/>
      </c>
      <c r="CR277" s="42" t="str">
        <f t="shared" si="179"/>
        <v/>
      </c>
      <c r="CS277" s="42" t="str">
        <f t="shared" si="180"/>
        <v/>
      </c>
      <c r="CT277" s="42" t="str">
        <f t="shared" si="181"/>
        <v/>
      </c>
      <c r="CU277" s="43" t="str">
        <f t="shared" si="182"/>
        <v/>
      </c>
      <c r="CV277" s="43" t="str">
        <f t="shared" si="183"/>
        <v/>
      </c>
      <c r="CW277" s="43" t="str">
        <f t="shared" si="184"/>
        <v/>
      </c>
      <c r="CX277" s="13"/>
    </row>
    <row r="278" spans="1:102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48"/>
        <v/>
      </c>
      <c r="S278" s="37" t="str">
        <f t="shared" si="149"/>
        <v/>
      </c>
      <c r="T278" s="38" t="str">
        <f t="shared" si="150"/>
        <v/>
      </c>
      <c r="U278" s="38" t="str">
        <f t="shared" si="151"/>
        <v/>
      </c>
      <c r="V278" s="38" t="b">
        <f t="shared" si="152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53"/>
        <v/>
      </c>
      <c r="AI278" s="36" t="str">
        <f>IFERROR(INDEX('Level Multipliers'!$D:$D,MATCH(AH278,'Level Multipliers'!$A:$A,0)),"")</f>
        <v/>
      </c>
      <c r="AJ278" s="37" t="str">
        <f t="shared" si="154"/>
        <v/>
      </c>
      <c r="AK278" s="37" t="str">
        <f t="shared" si="155"/>
        <v/>
      </c>
      <c r="AL278" s="38" t="str">
        <f t="shared" si="156"/>
        <v/>
      </c>
      <c r="AM278" s="38" t="str">
        <f t="shared" si="157"/>
        <v/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9"/>
        <v/>
      </c>
      <c r="BA278" s="36" t="str">
        <f>IFERROR(INDEX('Level Multipliers'!$D:$D,MATCH(AZ278,'Level Multipliers'!$A:$A,0)),"")</f>
        <v/>
      </c>
      <c r="BB278" s="37" t="str">
        <f t="shared" si="160"/>
        <v/>
      </c>
      <c r="BC278" s="37" t="str">
        <f t="shared" si="161"/>
        <v/>
      </c>
      <c r="BD278" s="38" t="str">
        <f t="shared" si="162"/>
        <v/>
      </c>
      <c r="BE278" s="38" t="str">
        <f t="shared" si="163"/>
        <v/>
      </c>
      <c r="BF278" s="38" t="b">
        <f t="shared" si="164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65"/>
        <v/>
      </c>
      <c r="BS278" s="36" t="str">
        <f>IFERROR(INDEX('Level Multipliers'!$D:$D,MATCH(BR278,'Level Multipliers'!$A:$A,0)),"")</f>
        <v/>
      </c>
      <c r="BT278" s="37" t="str">
        <f t="shared" si="166"/>
        <v/>
      </c>
      <c r="BU278" s="37" t="str">
        <f t="shared" si="167"/>
        <v/>
      </c>
      <c r="BV278" s="38" t="str">
        <f t="shared" si="168"/>
        <v/>
      </c>
      <c r="BW278" s="38" t="str">
        <f t="shared" si="169"/>
        <v/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71"/>
        <v/>
      </c>
      <c r="CK278" s="41" t="str">
        <f t="shared" si="172"/>
        <v/>
      </c>
      <c r="CL278" s="66" t="str">
        <f t="shared" si="173"/>
        <v/>
      </c>
      <c r="CM278" s="39" t="str">
        <f t="shared" si="174"/>
        <v/>
      </c>
      <c r="CN278" s="39" t="str">
        <f t="shared" si="175"/>
        <v/>
      </c>
      <c r="CO278" s="42" t="str">
        <f t="shared" si="176"/>
        <v/>
      </c>
      <c r="CP278" s="42" t="str">
        <f t="shared" si="177"/>
        <v/>
      </c>
      <c r="CQ278" s="42" t="str">
        <f t="shared" si="178"/>
        <v/>
      </c>
      <c r="CR278" s="42" t="str">
        <f t="shared" si="179"/>
        <v/>
      </c>
      <c r="CS278" s="42" t="str">
        <f t="shared" si="180"/>
        <v/>
      </c>
      <c r="CT278" s="42" t="str">
        <f t="shared" si="181"/>
        <v/>
      </c>
      <c r="CU278" s="43" t="str">
        <f t="shared" si="182"/>
        <v/>
      </c>
      <c r="CV278" s="43" t="str">
        <f t="shared" si="183"/>
        <v/>
      </c>
      <c r="CW278" s="43" t="str">
        <f t="shared" si="184"/>
        <v/>
      </c>
      <c r="CX278" s="13"/>
    </row>
    <row r="279" spans="1:102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48"/>
        <v/>
      </c>
      <c r="S279" s="37" t="str">
        <f t="shared" si="149"/>
        <v/>
      </c>
      <c r="T279" s="38" t="str">
        <f t="shared" si="150"/>
        <v/>
      </c>
      <c r="U279" s="38" t="str">
        <f t="shared" si="151"/>
        <v/>
      </c>
      <c r="V279" s="38" t="b">
        <f t="shared" si="152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53"/>
        <v/>
      </c>
      <c r="AI279" s="36" t="str">
        <f>IFERROR(INDEX('Level Multipliers'!$D:$D,MATCH(AH279,'Level Multipliers'!$A:$A,0)),"")</f>
        <v/>
      </c>
      <c r="AJ279" s="37" t="str">
        <f t="shared" si="154"/>
        <v/>
      </c>
      <c r="AK279" s="37" t="str">
        <f t="shared" si="155"/>
        <v/>
      </c>
      <c r="AL279" s="38" t="str">
        <f t="shared" si="156"/>
        <v/>
      </c>
      <c r="AM279" s="38" t="str">
        <f t="shared" si="157"/>
        <v/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9"/>
        <v/>
      </c>
      <c r="BA279" s="36" t="str">
        <f>IFERROR(INDEX('Level Multipliers'!$D:$D,MATCH(AZ279,'Level Multipliers'!$A:$A,0)),"")</f>
        <v/>
      </c>
      <c r="BB279" s="37" t="str">
        <f t="shared" si="160"/>
        <v/>
      </c>
      <c r="BC279" s="37" t="str">
        <f t="shared" si="161"/>
        <v/>
      </c>
      <c r="BD279" s="38" t="str">
        <f t="shared" si="162"/>
        <v/>
      </c>
      <c r="BE279" s="38" t="str">
        <f t="shared" si="163"/>
        <v/>
      </c>
      <c r="BF279" s="38" t="b">
        <f t="shared" si="164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65"/>
        <v/>
      </c>
      <c r="BS279" s="36" t="str">
        <f>IFERROR(INDEX('Level Multipliers'!$D:$D,MATCH(BR279,'Level Multipliers'!$A:$A,0)),"")</f>
        <v/>
      </c>
      <c r="BT279" s="37" t="str">
        <f t="shared" si="166"/>
        <v/>
      </c>
      <c r="BU279" s="37" t="str">
        <f t="shared" si="167"/>
        <v/>
      </c>
      <c r="BV279" s="38" t="str">
        <f t="shared" si="168"/>
        <v/>
      </c>
      <c r="BW279" s="38" t="str">
        <f t="shared" si="169"/>
        <v/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71"/>
        <v/>
      </c>
      <c r="CK279" s="41" t="str">
        <f t="shared" si="172"/>
        <v/>
      </c>
      <c r="CL279" s="66" t="str">
        <f t="shared" si="173"/>
        <v/>
      </c>
      <c r="CM279" s="39" t="str">
        <f t="shared" si="174"/>
        <v/>
      </c>
      <c r="CN279" s="39" t="str">
        <f t="shared" si="175"/>
        <v/>
      </c>
      <c r="CO279" s="42" t="str">
        <f t="shared" si="176"/>
        <v/>
      </c>
      <c r="CP279" s="42" t="str">
        <f t="shared" si="177"/>
        <v/>
      </c>
      <c r="CQ279" s="42" t="str">
        <f t="shared" si="178"/>
        <v/>
      </c>
      <c r="CR279" s="42" t="str">
        <f t="shared" si="179"/>
        <v/>
      </c>
      <c r="CS279" s="42" t="str">
        <f t="shared" si="180"/>
        <v/>
      </c>
      <c r="CT279" s="42" t="str">
        <f t="shared" si="181"/>
        <v/>
      </c>
      <c r="CU279" s="43" t="str">
        <f t="shared" si="182"/>
        <v/>
      </c>
      <c r="CV279" s="43" t="str">
        <f t="shared" si="183"/>
        <v/>
      </c>
      <c r="CW279" s="43" t="str">
        <f t="shared" si="184"/>
        <v/>
      </c>
      <c r="CX279" s="13"/>
    </row>
    <row r="280" spans="1:102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48"/>
        <v/>
      </c>
      <c r="S280" s="37" t="str">
        <f t="shared" si="149"/>
        <v/>
      </c>
      <c r="T280" s="38" t="str">
        <f t="shared" si="150"/>
        <v/>
      </c>
      <c r="U280" s="38" t="str">
        <f t="shared" si="151"/>
        <v/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53"/>
        <v/>
      </c>
      <c r="AI280" s="36" t="str">
        <f>IFERROR(INDEX('Level Multipliers'!$D:$D,MATCH(AH280,'Level Multipliers'!$A:$A,0)),"")</f>
        <v/>
      </c>
      <c r="AJ280" s="37" t="str">
        <f t="shared" si="154"/>
        <v/>
      </c>
      <c r="AK280" s="37" t="str">
        <f t="shared" si="155"/>
        <v/>
      </c>
      <c r="AL280" s="38" t="str">
        <f t="shared" si="156"/>
        <v/>
      </c>
      <c r="AM280" s="38" t="str">
        <f t="shared" si="157"/>
        <v/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9"/>
        <v/>
      </c>
      <c r="BA280" s="36" t="str">
        <f>IFERROR(INDEX('Level Multipliers'!$D:$D,MATCH(AZ280,'Level Multipliers'!$A:$A,0)),"")</f>
        <v/>
      </c>
      <c r="BB280" s="37" t="str">
        <f t="shared" si="160"/>
        <v/>
      </c>
      <c r="BC280" s="37" t="str">
        <f t="shared" si="161"/>
        <v/>
      </c>
      <c r="BD280" s="38" t="str">
        <f t="shared" si="162"/>
        <v/>
      </c>
      <c r="BE280" s="38" t="str">
        <f t="shared" si="163"/>
        <v/>
      </c>
      <c r="BF280" s="38" t="b">
        <f t="shared" si="164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65"/>
        <v/>
      </c>
      <c r="BS280" s="36" t="str">
        <f>IFERROR(INDEX('Level Multipliers'!$D:$D,MATCH(BR280,'Level Multipliers'!$A:$A,0)),"")</f>
        <v/>
      </c>
      <c r="BT280" s="37" t="str">
        <f t="shared" si="166"/>
        <v/>
      </c>
      <c r="BU280" s="37" t="str">
        <f t="shared" si="167"/>
        <v/>
      </c>
      <c r="BV280" s="38" t="str">
        <f t="shared" si="168"/>
        <v/>
      </c>
      <c r="BW280" s="38" t="str">
        <f t="shared" si="169"/>
        <v/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71"/>
        <v/>
      </c>
      <c r="CK280" s="41" t="str">
        <f t="shared" si="172"/>
        <v/>
      </c>
      <c r="CL280" s="66" t="str">
        <f t="shared" si="173"/>
        <v/>
      </c>
      <c r="CM280" s="39" t="str">
        <f t="shared" si="174"/>
        <v/>
      </c>
      <c r="CN280" s="39" t="str">
        <f t="shared" si="175"/>
        <v/>
      </c>
      <c r="CO280" s="42" t="str">
        <f t="shared" si="176"/>
        <v/>
      </c>
      <c r="CP280" s="42" t="str">
        <f t="shared" si="177"/>
        <v/>
      </c>
      <c r="CQ280" s="42" t="str">
        <f t="shared" si="178"/>
        <v/>
      </c>
      <c r="CR280" s="42" t="str">
        <f t="shared" si="179"/>
        <v/>
      </c>
      <c r="CS280" s="42" t="str">
        <f t="shared" si="180"/>
        <v/>
      </c>
      <c r="CT280" s="42" t="str">
        <f t="shared" si="181"/>
        <v/>
      </c>
      <c r="CU280" s="43" t="str">
        <f t="shared" si="182"/>
        <v/>
      </c>
      <c r="CV280" s="43" t="str">
        <f t="shared" si="183"/>
        <v/>
      </c>
      <c r="CW280" s="43" t="str">
        <f t="shared" si="184"/>
        <v/>
      </c>
      <c r="CX280" s="13"/>
    </row>
    <row r="281" spans="1:102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48"/>
        <v/>
      </c>
      <c r="S281" s="37" t="str">
        <f t="shared" si="149"/>
        <v/>
      </c>
      <c r="T281" s="38" t="str">
        <f t="shared" si="150"/>
        <v/>
      </c>
      <c r="U281" s="38" t="str">
        <f t="shared" si="151"/>
        <v/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53"/>
        <v/>
      </c>
      <c r="AI281" s="36" t="str">
        <f>IFERROR(INDEX('Level Multipliers'!$D:$D,MATCH(AH281,'Level Multipliers'!$A:$A,0)),"")</f>
        <v/>
      </c>
      <c r="AJ281" s="37" t="str">
        <f t="shared" si="154"/>
        <v/>
      </c>
      <c r="AK281" s="37" t="str">
        <f t="shared" si="155"/>
        <v/>
      </c>
      <c r="AL281" s="38" t="str">
        <f t="shared" si="156"/>
        <v/>
      </c>
      <c r="AM281" s="38" t="str">
        <f t="shared" si="157"/>
        <v/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9"/>
        <v/>
      </c>
      <c r="BA281" s="36" t="str">
        <f>IFERROR(INDEX('Level Multipliers'!$D:$D,MATCH(AZ281,'Level Multipliers'!$A:$A,0)),"")</f>
        <v/>
      </c>
      <c r="BB281" s="37" t="str">
        <f t="shared" si="160"/>
        <v/>
      </c>
      <c r="BC281" s="37" t="str">
        <f t="shared" si="161"/>
        <v/>
      </c>
      <c r="BD281" s="38" t="str">
        <f t="shared" si="162"/>
        <v/>
      </c>
      <c r="BE281" s="38" t="str">
        <f t="shared" si="163"/>
        <v/>
      </c>
      <c r="BF281" s="38" t="b">
        <f t="shared" si="164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65"/>
        <v/>
      </c>
      <c r="BS281" s="36" t="str">
        <f>IFERROR(INDEX('Level Multipliers'!$D:$D,MATCH(BR281,'Level Multipliers'!$A:$A,0)),"")</f>
        <v/>
      </c>
      <c r="BT281" s="37" t="str">
        <f t="shared" si="166"/>
        <v/>
      </c>
      <c r="BU281" s="37" t="str">
        <f t="shared" si="167"/>
        <v/>
      </c>
      <c r="BV281" s="38" t="str">
        <f t="shared" si="168"/>
        <v/>
      </c>
      <c r="BW281" s="38" t="str">
        <f t="shared" si="169"/>
        <v/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71"/>
        <v/>
      </c>
      <c r="CK281" s="41" t="str">
        <f t="shared" si="172"/>
        <v/>
      </c>
      <c r="CL281" s="66" t="str">
        <f t="shared" si="173"/>
        <v/>
      </c>
      <c r="CM281" s="39" t="str">
        <f t="shared" si="174"/>
        <v/>
      </c>
      <c r="CN281" s="39" t="str">
        <f t="shared" si="175"/>
        <v/>
      </c>
      <c r="CO281" s="42" t="str">
        <f t="shared" si="176"/>
        <v/>
      </c>
      <c r="CP281" s="42" t="str">
        <f t="shared" si="177"/>
        <v/>
      </c>
      <c r="CQ281" s="42" t="str">
        <f t="shared" si="178"/>
        <v/>
      </c>
      <c r="CR281" s="42" t="str">
        <f t="shared" si="179"/>
        <v/>
      </c>
      <c r="CS281" s="42" t="str">
        <f t="shared" si="180"/>
        <v/>
      </c>
      <c r="CT281" s="42" t="str">
        <f t="shared" si="181"/>
        <v/>
      </c>
      <c r="CU281" s="43" t="str">
        <f t="shared" si="182"/>
        <v/>
      </c>
      <c r="CV281" s="43" t="str">
        <f t="shared" si="183"/>
        <v/>
      </c>
      <c r="CW281" s="43" t="str">
        <f t="shared" si="184"/>
        <v/>
      </c>
      <c r="CX281" s="13"/>
    </row>
    <row r="282" spans="1:102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48"/>
        <v/>
      </c>
      <c r="S282" s="37" t="str">
        <f t="shared" si="149"/>
        <v/>
      </c>
      <c r="T282" s="38" t="str">
        <f t="shared" si="150"/>
        <v/>
      </c>
      <c r="U282" s="38" t="str">
        <f t="shared" si="151"/>
        <v/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53"/>
        <v/>
      </c>
      <c r="AI282" s="36" t="str">
        <f>IFERROR(INDEX('Level Multipliers'!$D:$D,MATCH(AH282,'Level Multipliers'!$A:$A,0)),"")</f>
        <v/>
      </c>
      <c r="AJ282" s="37" t="str">
        <f t="shared" si="154"/>
        <v/>
      </c>
      <c r="AK282" s="37" t="str">
        <f t="shared" si="155"/>
        <v/>
      </c>
      <c r="AL282" s="38" t="str">
        <f t="shared" si="156"/>
        <v/>
      </c>
      <c r="AM282" s="38" t="str">
        <f t="shared" si="157"/>
        <v/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9"/>
        <v/>
      </c>
      <c r="BA282" s="36" t="str">
        <f>IFERROR(INDEX('Level Multipliers'!$D:$D,MATCH(AZ282,'Level Multipliers'!$A:$A,0)),"")</f>
        <v/>
      </c>
      <c r="BB282" s="37" t="str">
        <f t="shared" si="160"/>
        <v/>
      </c>
      <c r="BC282" s="37" t="str">
        <f t="shared" si="161"/>
        <v/>
      </c>
      <c r="BD282" s="38" t="str">
        <f t="shared" si="162"/>
        <v/>
      </c>
      <c r="BE282" s="38" t="str">
        <f t="shared" si="163"/>
        <v/>
      </c>
      <c r="BF282" s="38" t="b">
        <f t="shared" si="164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65"/>
        <v/>
      </c>
      <c r="BS282" s="36" t="str">
        <f>IFERROR(INDEX('Level Multipliers'!$D:$D,MATCH(BR282,'Level Multipliers'!$A:$A,0)),"")</f>
        <v/>
      </c>
      <c r="BT282" s="37" t="str">
        <f t="shared" si="166"/>
        <v/>
      </c>
      <c r="BU282" s="37" t="str">
        <f t="shared" si="167"/>
        <v/>
      </c>
      <c r="BV282" s="38" t="str">
        <f t="shared" si="168"/>
        <v/>
      </c>
      <c r="BW282" s="38" t="str">
        <f t="shared" si="169"/>
        <v/>
      </c>
      <c r="BX282" s="38" t="b">
        <f t="shared" si="170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71"/>
        <v/>
      </c>
      <c r="CK282" s="41" t="str">
        <f t="shared" si="172"/>
        <v/>
      </c>
      <c r="CL282" s="66" t="str">
        <f t="shared" si="173"/>
        <v/>
      </c>
      <c r="CM282" s="39" t="str">
        <f t="shared" si="174"/>
        <v/>
      </c>
      <c r="CN282" s="39" t="str">
        <f t="shared" si="175"/>
        <v/>
      </c>
      <c r="CO282" s="42" t="str">
        <f t="shared" si="176"/>
        <v/>
      </c>
      <c r="CP282" s="42" t="str">
        <f t="shared" si="177"/>
        <v/>
      </c>
      <c r="CQ282" s="42" t="str">
        <f t="shared" si="178"/>
        <v/>
      </c>
      <c r="CR282" s="42" t="str">
        <f t="shared" si="179"/>
        <v/>
      </c>
      <c r="CS282" s="42" t="str">
        <f t="shared" si="180"/>
        <v/>
      </c>
      <c r="CT282" s="42" t="str">
        <f t="shared" si="181"/>
        <v/>
      </c>
      <c r="CU282" s="43" t="str">
        <f t="shared" si="182"/>
        <v/>
      </c>
      <c r="CV282" s="43" t="str">
        <f t="shared" si="183"/>
        <v/>
      </c>
      <c r="CW282" s="43" t="str">
        <f t="shared" si="184"/>
        <v/>
      </c>
      <c r="CX282" s="13"/>
    </row>
    <row r="283" spans="1:102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48"/>
        <v/>
      </c>
      <c r="S283" s="37" t="str">
        <f t="shared" si="149"/>
        <v/>
      </c>
      <c r="T283" s="38" t="str">
        <f t="shared" si="150"/>
        <v/>
      </c>
      <c r="U283" s="38" t="str">
        <f t="shared" si="151"/>
        <v/>
      </c>
      <c r="V283" s="38" t="b">
        <f t="shared" si="152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53"/>
        <v/>
      </c>
      <c r="AI283" s="36" t="str">
        <f>IFERROR(INDEX('Level Multipliers'!$D:$D,MATCH(AH283,'Level Multipliers'!$A:$A,0)),"")</f>
        <v/>
      </c>
      <c r="AJ283" s="37" t="str">
        <f t="shared" si="154"/>
        <v/>
      </c>
      <c r="AK283" s="37" t="str">
        <f t="shared" si="155"/>
        <v/>
      </c>
      <c r="AL283" s="38" t="str">
        <f t="shared" si="156"/>
        <v/>
      </c>
      <c r="AM283" s="38" t="str">
        <f t="shared" si="157"/>
        <v/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9"/>
        <v/>
      </c>
      <c r="BA283" s="36" t="str">
        <f>IFERROR(INDEX('Level Multipliers'!$D:$D,MATCH(AZ283,'Level Multipliers'!$A:$A,0)),"")</f>
        <v/>
      </c>
      <c r="BB283" s="37" t="str">
        <f t="shared" si="160"/>
        <v/>
      </c>
      <c r="BC283" s="37" t="str">
        <f t="shared" si="161"/>
        <v/>
      </c>
      <c r="BD283" s="38" t="str">
        <f t="shared" si="162"/>
        <v/>
      </c>
      <c r="BE283" s="38" t="str">
        <f t="shared" si="163"/>
        <v/>
      </c>
      <c r="BF283" s="38" t="b">
        <f t="shared" si="164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65"/>
        <v/>
      </c>
      <c r="BS283" s="36" t="str">
        <f>IFERROR(INDEX('Level Multipliers'!$D:$D,MATCH(BR283,'Level Multipliers'!$A:$A,0)),"")</f>
        <v/>
      </c>
      <c r="BT283" s="37" t="str">
        <f t="shared" si="166"/>
        <v/>
      </c>
      <c r="BU283" s="37" t="str">
        <f t="shared" si="167"/>
        <v/>
      </c>
      <c r="BV283" s="38" t="str">
        <f t="shared" si="168"/>
        <v/>
      </c>
      <c r="BW283" s="38" t="str">
        <f t="shared" si="169"/>
        <v/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71"/>
        <v/>
      </c>
      <c r="CK283" s="41" t="str">
        <f t="shared" si="172"/>
        <v/>
      </c>
      <c r="CL283" s="66" t="str">
        <f t="shared" si="173"/>
        <v/>
      </c>
      <c r="CM283" s="39" t="str">
        <f t="shared" si="174"/>
        <v/>
      </c>
      <c r="CN283" s="39" t="str">
        <f t="shared" si="175"/>
        <v/>
      </c>
      <c r="CO283" s="42" t="str">
        <f t="shared" si="176"/>
        <v/>
      </c>
      <c r="CP283" s="42" t="str">
        <f t="shared" si="177"/>
        <v/>
      </c>
      <c r="CQ283" s="42" t="str">
        <f t="shared" si="178"/>
        <v/>
      </c>
      <c r="CR283" s="42" t="str">
        <f t="shared" si="179"/>
        <v/>
      </c>
      <c r="CS283" s="42" t="str">
        <f t="shared" si="180"/>
        <v/>
      </c>
      <c r="CT283" s="42" t="str">
        <f t="shared" si="181"/>
        <v/>
      </c>
      <c r="CU283" s="43" t="str">
        <f t="shared" si="182"/>
        <v/>
      </c>
      <c r="CV283" s="43" t="str">
        <f t="shared" si="183"/>
        <v/>
      </c>
      <c r="CW283" s="43" t="str">
        <f t="shared" si="184"/>
        <v/>
      </c>
      <c r="CX283" s="13"/>
    </row>
    <row r="284" spans="1:102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48"/>
        <v/>
      </c>
      <c r="S284" s="37" t="str">
        <f t="shared" si="149"/>
        <v/>
      </c>
      <c r="T284" s="38" t="str">
        <f t="shared" si="150"/>
        <v/>
      </c>
      <c r="U284" s="38" t="str">
        <f t="shared" si="151"/>
        <v/>
      </c>
      <c r="V284" s="38" t="b">
        <f t="shared" si="152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53"/>
        <v/>
      </c>
      <c r="AI284" s="36" t="str">
        <f>IFERROR(INDEX('Level Multipliers'!$D:$D,MATCH(AH284,'Level Multipliers'!$A:$A,0)),"")</f>
        <v/>
      </c>
      <c r="AJ284" s="37" t="str">
        <f t="shared" si="154"/>
        <v/>
      </c>
      <c r="AK284" s="37" t="str">
        <f t="shared" si="155"/>
        <v/>
      </c>
      <c r="AL284" s="38" t="str">
        <f t="shared" si="156"/>
        <v/>
      </c>
      <c r="AM284" s="38" t="str">
        <f t="shared" si="157"/>
        <v/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9"/>
        <v/>
      </c>
      <c r="BA284" s="36" t="str">
        <f>IFERROR(INDEX('Level Multipliers'!$D:$D,MATCH(AZ284,'Level Multipliers'!$A:$A,0)),"")</f>
        <v/>
      </c>
      <c r="BB284" s="37" t="str">
        <f t="shared" si="160"/>
        <v/>
      </c>
      <c r="BC284" s="37" t="str">
        <f t="shared" si="161"/>
        <v/>
      </c>
      <c r="BD284" s="38" t="str">
        <f t="shared" si="162"/>
        <v/>
      </c>
      <c r="BE284" s="38" t="str">
        <f t="shared" si="163"/>
        <v/>
      </c>
      <c r="BF284" s="38" t="b">
        <f t="shared" si="164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65"/>
        <v/>
      </c>
      <c r="BS284" s="36" t="str">
        <f>IFERROR(INDEX('Level Multipliers'!$D:$D,MATCH(BR284,'Level Multipliers'!$A:$A,0)),"")</f>
        <v/>
      </c>
      <c r="BT284" s="37" t="str">
        <f t="shared" si="166"/>
        <v/>
      </c>
      <c r="BU284" s="37" t="str">
        <f t="shared" si="167"/>
        <v/>
      </c>
      <c r="BV284" s="38" t="str">
        <f t="shared" si="168"/>
        <v/>
      </c>
      <c r="BW284" s="38" t="str">
        <f t="shared" si="169"/>
        <v/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71"/>
        <v/>
      </c>
      <c r="CK284" s="41" t="str">
        <f t="shared" si="172"/>
        <v/>
      </c>
      <c r="CL284" s="66" t="str">
        <f t="shared" si="173"/>
        <v/>
      </c>
      <c r="CM284" s="39" t="str">
        <f t="shared" si="174"/>
        <v/>
      </c>
      <c r="CN284" s="39" t="str">
        <f t="shared" si="175"/>
        <v/>
      </c>
      <c r="CO284" s="42" t="str">
        <f t="shared" si="176"/>
        <v/>
      </c>
      <c r="CP284" s="42" t="str">
        <f t="shared" si="177"/>
        <v/>
      </c>
      <c r="CQ284" s="42" t="str">
        <f t="shared" si="178"/>
        <v/>
      </c>
      <c r="CR284" s="42" t="str">
        <f t="shared" si="179"/>
        <v/>
      </c>
      <c r="CS284" s="42" t="str">
        <f t="shared" si="180"/>
        <v/>
      </c>
      <c r="CT284" s="42" t="str">
        <f t="shared" si="181"/>
        <v/>
      </c>
      <c r="CU284" s="43" t="str">
        <f t="shared" si="182"/>
        <v/>
      </c>
      <c r="CV284" s="43" t="str">
        <f t="shared" si="183"/>
        <v/>
      </c>
      <c r="CW284" s="43" t="str">
        <f t="shared" si="184"/>
        <v/>
      </c>
      <c r="CX284" s="13"/>
    </row>
    <row r="285" spans="1:102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48"/>
        <v/>
      </c>
      <c r="S285" s="37" t="str">
        <f t="shared" si="149"/>
        <v/>
      </c>
      <c r="T285" s="38" t="str">
        <f t="shared" si="150"/>
        <v/>
      </c>
      <c r="U285" s="38" t="str">
        <f t="shared" si="151"/>
        <v/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53"/>
        <v/>
      </c>
      <c r="AI285" s="36" t="str">
        <f>IFERROR(INDEX('Level Multipliers'!$D:$D,MATCH(AH285,'Level Multipliers'!$A:$A,0)),"")</f>
        <v/>
      </c>
      <c r="AJ285" s="37" t="str">
        <f t="shared" si="154"/>
        <v/>
      </c>
      <c r="AK285" s="37" t="str">
        <f t="shared" si="155"/>
        <v/>
      </c>
      <c r="AL285" s="38" t="str">
        <f t="shared" si="156"/>
        <v/>
      </c>
      <c r="AM285" s="38" t="str">
        <f t="shared" si="157"/>
        <v/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9"/>
        <v/>
      </c>
      <c r="BA285" s="36" t="str">
        <f>IFERROR(INDEX('Level Multipliers'!$D:$D,MATCH(AZ285,'Level Multipliers'!$A:$A,0)),"")</f>
        <v/>
      </c>
      <c r="BB285" s="37" t="str">
        <f t="shared" si="160"/>
        <v/>
      </c>
      <c r="BC285" s="37" t="str">
        <f t="shared" si="161"/>
        <v/>
      </c>
      <c r="BD285" s="38" t="str">
        <f t="shared" si="162"/>
        <v/>
      </c>
      <c r="BE285" s="38" t="str">
        <f t="shared" si="163"/>
        <v/>
      </c>
      <c r="BF285" s="38" t="b">
        <f t="shared" si="164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65"/>
        <v/>
      </c>
      <c r="BS285" s="36" t="str">
        <f>IFERROR(INDEX('Level Multipliers'!$D:$D,MATCH(BR285,'Level Multipliers'!$A:$A,0)),"")</f>
        <v/>
      </c>
      <c r="BT285" s="37" t="str">
        <f t="shared" si="166"/>
        <v/>
      </c>
      <c r="BU285" s="37" t="str">
        <f t="shared" si="167"/>
        <v/>
      </c>
      <c r="BV285" s="38" t="str">
        <f t="shared" si="168"/>
        <v/>
      </c>
      <c r="BW285" s="38" t="str">
        <f t="shared" si="169"/>
        <v/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71"/>
        <v/>
      </c>
      <c r="CK285" s="41" t="str">
        <f t="shared" si="172"/>
        <v/>
      </c>
      <c r="CL285" s="66" t="str">
        <f t="shared" si="173"/>
        <v/>
      </c>
      <c r="CM285" s="39" t="str">
        <f t="shared" si="174"/>
        <v/>
      </c>
      <c r="CN285" s="39" t="str">
        <f t="shared" si="175"/>
        <v/>
      </c>
      <c r="CO285" s="42" t="str">
        <f t="shared" si="176"/>
        <v/>
      </c>
      <c r="CP285" s="42" t="str">
        <f t="shared" si="177"/>
        <v/>
      </c>
      <c r="CQ285" s="42" t="str">
        <f t="shared" si="178"/>
        <v/>
      </c>
      <c r="CR285" s="42" t="str">
        <f t="shared" si="179"/>
        <v/>
      </c>
      <c r="CS285" s="42" t="str">
        <f t="shared" si="180"/>
        <v/>
      </c>
      <c r="CT285" s="42" t="str">
        <f t="shared" si="181"/>
        <v/>
      </c>
      <c r="CU285" s="43" t="str">
        <f t="shared" si="182"/>
        <v/>
      </c>
      <c r="CV285" s="43" t="str">
        <f t="shared" si="183"/>
        <v/>
      </c>
      <c r="CW285" s="43" t="str">
        <f t="shared" si="184"/>
        <v/>
      </c>
      <c r="CX285" s="13"/>
    </row>
    <row r="286" spans="1:102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48"/>
        <v/>
      </c>
      <c r="S286" s="37" t="str">
        <f t="shared" si="149"/>
        <v/>
      </c>
      <c r="T286" s="38" t="str">
        <f t="shared" si="150"/>
        <v/>
      </c>
      <c r="U286" s="38" t="str">
        <f t="shared" si="151"/>
        <v/>
      </c>
      <c r="V286" s="38" t="b">
        <f t="shared" si="152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53"/>
        <v/>
      </c>
      <c r="AI286" s="36" t="str">
        <f>IFERROR(INDEX('Level Multipliers'!$D:$D,MATCH(AH286,'Level Multipliers'!$A:$A,0)),"")</f>
        <v/>
      </c>
      <c r="AJ286" s="37" t="str">
        <f t="shared" si="154"/>
        <v/>
      </c>
      <c r="AK286" s="37" t="str">
        <f t="shared" si="155"/>
        <v/>
      </c>
      <c r="AL286" s="38" t="str">
        <f t="shared" si="156"/>
        <v/>
      </c>
      <c r="AM286" s="38" t="str">
        <f t="shared" si="157"/>
        <v/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9"/>
        <v/>
      </c>
      <c r="BA286" s="36" t="str">
        <f>IFERROR(INDEX('Level Multipliers'!$D:$D,MATCH(AZ286,'Level Multipliers'!$A:$A,0)),"")</f>
        <v/>
      </c>
      <c r="BB286" s="37" t="str">
        <f t="shared" si="160"/>
        <v/>
      </c>
      <c r="BC286" s="37" t="str">
        <f t="shared" si="161"/>
        <v/>
      </c>
      <c r="BD286" s="38" t="str">
        <f t="shared" si="162"/>
        <v/>
      </c>
      <c r="BE286" s="38" t="str">
        <f t="shared" si="163"/>
        <v/>
      </c>
      <c r="BF286" s="38" t="b">
        <f t="shared" si="164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65"/>
        <v/>
      </c>
      <c r="BS286" s="36" t="str">
        <f>IFERROR(INDEX('Level Multipliers'!$D:$D,MATCH(BR286,'Level Multipliers'!$A:$A,0)),"")</f>
        <v/>
      </c>
      <c r="BT286" s="37" t="str">
        <f t="shared" si="166"/>
        <v/>
      </c>
      <c r="BU286" s="37" t="str">
        <f t="shared" si="167"/>
        <v/>
      </c>
      <c r="BV286" s="38" t="str">
        <f t="shared" si="168"/>
        <v/>
      </c>
      <c r="BW286" s="38" t="str">
        <f t="shared" si="169"/>
        <v/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71"/>
        <v/>
      </c>
      <c r="CK286" s="41" t="str">
        <f t="shared" si="172"/>
        <v/>
      </c>
      <c r="CL286" s="66" t="str">
        <f t="shared" si="173"/>
        <v/>
      </c>
      <c r="CM286" s="39" t="str">
        <f t="shared" si="174"/>
        <v/>
      </c>
      <c r="CN286" s="39" t="str">
        <f t="shared" si="175"/>
        <v/>
      </c>
      <c r="CO286" s="42" t="str">
        <f t="shared" si="176"/>
        <v/>
      </c>
      <c r="CP286" s="42" t="str">
        <f t="shared" si="177"/>
        <v/>
      </c>
      <c r="CQ286" s="42" t="str">
        <f t="shared" si="178"/>
        <v/>
      </c>
      <c r="CR286" s="42" t="str">
        <f t="shared" si="179"/>
        <v/>
      </c>
      <c r="CS286" s="42" t="str">
        <f t="shared" si="180"/>
        <v/>
      </c>
      <c r="CT286" s="42" t="str">
        <f t="shared" si="181"/>
        <v/>
      </c>
      <c r="CU286" s="43" t="str">
        <f t="shared" si="182"/>
        <v/>
      </c>
      <c r="CV286" s="43" t="str">
        <f t="shared" si="183"/>
        <v/>
      </c>
      <c r="CW286" s="43" t="str">
        <f t="shared" si="184"/>
        <v/>
      </c>
      <c r="CX286" s="13"/>
    </row>
    <row r="287" spans="1:102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48"/>
        <v/>
      </c>
      <c r="S287" s="37" t="str">
        <f t="shared" si="149"/>
        <v/>
      </c>
      <c r="T287" s="38" t="str">
        <f t="shared" si="150"/>
        <v/>
      </c>
      <c r="U287" s="38" t="str">
        <f t="shared" si="151"/>
        <v/>
      </c>
      <c r="V287" s="38" t="b">
        <f t="shared" si="152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53"/>
        <v/>
      </c>
      <c r="AI287" s="36" t="str">
        <f>IFERROR(INDEX('Level Multipliers'!$D:$D,MATCH(AH287,'Level Multipliers'!$A:$A,0)),"")</f>
        <v/>
      </c>
      <c r="AJ287" s="37" t="str">
        <f t="shared" si="154"/>
        <v/>
      </c>
      <c r="AK287" s="37" t="str">
        <f t="shared" si="155"/>
        <v/>
      </c>
      <c r="AL287" s="38" t="str">
        <f t="shared" si="156"/>
        <v/>
      </c>
      <c r="AM287" s="38" t="str">
        <f t="shared" si="157"/>
        <v/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9"/>
        <v/>
      </c>
      <c r="BA287" s="36" t="str">
        <f>IFERROR(INDEX('Level Multipliers'!$D:$D,MATCH(AZ287,'Level Multipliers'!$A:$A,0)),"")</f>
        <v/>
      </c>
      <c r="BB287" s="37" t="str">
        <f t="shared" si="160"/>
        <v/>
      </c>
      <c r="BC287" s="37" t="str">
        <f t="shared" si="161"/>
        <v/>
      </c>
      <c r="BD287" s="38" t="str">
        <f t="shared" si="162"/>
        <v/>
      </c>
      <c r="BE287" s="38" t="str">
        <f t="shared" si="163"/>
        <v/>
      </c>
      <c r="BF287" s="38" t="b">
        <f t="shared" si="164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65"/>
        <v/>
      </c>
      <c r="BS287" s="36" t="str">
        <f>IFERROR(INDEX('Level Multipliers'!$D:$D,MATCH(BR287,'Level Multipliers'!$A:$A,0)),"")</f>
        <v/>
      </c>
      <c r="BT287" s="37" t="str">
        <f t="shared" si="166"/>
        <v/>
      </c>
      <c r="BU287" s="37" t="str">
        <f t="shared" si="167"/>
        <v/>
      </c>
      <c r="BV287" s="38" t="str">
        <f t="shared" si="168"/>
        <v/>
      </c>
      <c r="BW287" s="38" t="str">
        <f t="shared" si="169"/>
        <v/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71"/>
        <v/>
      </c>
      <c r="CK287" s="41" t="str">
        <f t="shared" si="172"/>
        <v/>
      </c>
      <c r="CL287" s="66" t="str">
        <f t="shared" si="173"/>
        <v/>
      </c>
      <c r="CM287" s="39" t="str">
        <f t="shared" si="174"/>
        <v/>
      </c>
      <c r="CN287" s="39" t="str">
        <f t="shared" si="175"/>
        <v/>
      </c>
      <c r="CO287" s="42" t="str">
        <f t="shared" si="176"/>
        <v/>
      </c>
      <c r="CP287" s="42" t="str">
        <f t="shared" si="177"/>
        <v/>
      </c>
      <c r="CQ287" s="42" t="str">
        <f t="shared" si="178"/>
        <v/>
      </c>
      <c r="CR287" s="42" t="str">
        <f t="shared" si="179"/>
        <v/>
      </c>
      <c r="CS287" s="42" t="str">
        <f t="shared" si="180"/>
        <v/>
      </c>
      <c r="CT287" s="42" t="str">
        <f t="shared" si="181"/>
        <v/>
      </c>
      <c r="CU287" s="43" t="str">
        <f t="shared" si="182"/>
        <v/>
      </c>
      <c r="CV287" s="43" t="str">
        <f t="shared" si="183"/>
        <v/>
      </c>
      <c r="CW287" s="43" t="str">
        <f t="shared" si="184"/>
        <v/>
      </c>
      <c r="CX287" s="13"/>
    </row>
    <row r="288" spans="1:102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48"/>
        <v/>
      </c>
      <c r="S288" s="37" t="str">
        <f t="shared" si="149"/>
        <v/>
      </c>
      <c r="T288" s="38" t="str">
        <f t="shared" si="150"/>
        <v/>
      </c>
      <c r="U288" s="38" t="str">
        <f t="shared" si="151"/>
        <v/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53"/>
        <v/>
      </c>
      <c r="AI288" s="36" t="str">
        <f>IFERROR(INDEX('Level Multipliers'!$D:$D,MATCH(AH288,'Level Multipliers'!$A:$A,0)),"")</f>
        <v/>
      </c>
      <c r="AJ288" s="37" t="str">
        <f t="shared" si="154"/>
        <v/>
      </c>
      <c r="AK288" s="37" t="str">
        <f t="shared" si="155"/>
        <v/>
      </c>
      <c r="AL288" s="38" t="str">
        <f t="shared" si="156"/>
        <v/>
      </c>
      <c r="AM288" s="38" t="str">
        <f t="shared" si="157"/>
        <v/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9"/>
        <v/>
      </c>
      <c r="BA288" s="36" t="str">
        <f>IFERROR(INDEX('Level Multipliers'!$D:$D,MATCH(AZ288,'Level Multipliers'!$A:$A,0)),"")</f>
        <v/>
      </c>
      <c r="BB288" s="37" t="str">
        <f t="shared" si="160"/>
        <v/>
      </c>
      <c r="BC288" s="37" t="str">
        <f t="shared" si="161"/>
        <v/>
      </c>
      <c r="BD288" s="38" t="str">
        <f t="shared" si="162"/>
        <v/>
      </c>
      <c r="BE288" s="38" t="str">
        <f t="shared" si="163"/>
        <v/>
      </c>
      <c r="BF288" s="38" t="b">
        <f t="shared" si="164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65"/>
        <v/>
      </c>
      <c r="BS288" s="36" t="str">
        <f>IFERROR(INDEX('Level Multipliers'!$D:$D,MATCH(BR288,'Level Multipliers'!$A:$A,0)),"")</f>
        <v/>
      </c>
      <c r="BT288" s="37" t="str">
        <f t="shared" si="166"/>
        <v/>
      </c>
      <c r="BU288" s="37" t="str">
        <f t="shared" si="167"/>
        <v/>
      </c>
      <c r="BV288" s="38" t="str">
        <f t="shared" si="168"/>
        <v/>
      </c>
      <c r="BW288" s="38" t="str">
        <f t="shared" si="169"/>
        <v/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71"/>
        <v/>
      </c>
      <c r="CK288" s="41" t="str">
        <f t="shared" si="172"/>
        <v/>
      </c>
      <c r="CL288" s="66" t="str">
        <f t="shared" si="173"/>
        <v/>
      </c>
      <c r="CM288" s="39" t="str">
        <f t="shared" si="174"/>
        <v/>
      </c>
      <c r="CN288" s="39" t="str">
        <f t="shared" si="175"/>
        <v/>
      </c>
      <c r="CO288" s="42" t="str">
        <f t="shared" si="176"/>
        <v/>
      </c>
      <c r="CP288" s="42" t="str">
        <f t="shared" si="177"/>
        <v/>
      </c>
      <c r="CQ288" s="42" t="str">
        <f t="shared" si="178"/>
        <v/>
      </c>
      <c r="CR288" s="42" t="str">
        <f t="shared" si="179"/>
        <v/>
      </c>
      <c r="CS288" s="42" t="str">
        <f t="shared" si="180"/>
        <v/>
      </c>
      <c r="CT288" s="42" t="str">
        <f t="shared" si="181"/>
        <v/>
      </c>
      <c r="CU288" s="43" t="str">
        <f t="shared" si="182"/>
        <v/>
      </c>
      <c r="CV288" s="43" t="str">
        <f t="shared" si="183"/>
        <v/>
      </c>
      <c r="CW288" s="43" t="str">
        <f t="shared" si="184"/>
        <v/>
      </c>
      <c r="CX288" s="13"/>
    </row>
    <row r="289" spans="1:102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48"/>
        <v/>
      </c>
      <c r="S289" s="37" t="str">
        <f t="shared" si="149"/>
        <v/>
      </c>
      <c r="T289" s="38" t="str">
        <f t="shared" si="150"/>
        <v/>
      </c>
      <c r="U289" s="38" t="str">
        <f t="shared" si="151"/>
        <v/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53"/>
        <v/>
      </c>
      <c r="AI289" s="36" t="str">
        <f>IFERROR(INDEX('Level Multipliers'!$D:$D,MATCH(AH289,'Level Multipliers'!$A:$A,0)),"")</f>
        <v/>
      </c>
      <c r="AJ289" s="37" t="str">
        <f t="shared" si="154"/>
        <v/>
      </c>
      <c r="AK289" s="37" t="str">
        <f t="shared" si="155"/>
        <v/>
      </c>
      <c r="AL289" s="38" t="str">
        <f t="shared" si="156"/>
        <v/>
      </c>
      <c r="AM289" s="38" t="str">
        <f t="shared" si="157"/>
        <v/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9"/>
        <v/>
      </c>
      <c r="BA289" s="36" t="str">
        <f>IFERROR(INDEX('Level Multipliers'!$D:$D,MATCH(AZ289,'Level Multipliers'!$A:$A,0)),"")</f>
        <v/>
      </c>
      <c r="BB289" s="37" t="str">
        <f t="shared" si="160"/>
        <v/>
      </c>
      <c r="BC289" s="37" t="str">
        <f t="shared" si="161"/>
        <v/>
      </c>
      <c r="BD289" s="38" t="str">
        <f t="shared" si="162"/>
        <v/>
      </c>
      <c r="BE289" s="38" t="str">
        <f t="shared" si="163"/>
        <v/>
      </c>
      <c r="BF289" s="38" t="b">
        <f t="shared" si="164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65"/>
        <v/>
      </c>
      <c r="BS289" s="36" t="str">
        <f>IFERROR(INDEX('Level Multipliers'!$D:$D,MATCH(BR289,'Level Multipliers'!$A:$A,0)),"")</f>
        <v/>
      </c>
      <c r="BT289" s="37" t="str">
        <f t="shared" si="166"/>
        <v/>
      </c>
      <c r="BU289" s="37" t="str">
        <f t="shared" si="167"/>
        <v/>
      </c>
      <c r="BV289" s="38" t="str">
        <f t="shared" si="168"/>
        <v/>
      </c>
      <c r="BW289" s="38" t="str">
        <f t="shared" si="169"/>
        <v/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71"/>
        <v/>
      </c>
      <c r="CK289" s="41" t="str">
        <f t="shared" si="172"/>
        <v/>
      </c>
      <c r="CL289" s="66" t="str">
        <f t="shared" si="173"/>
        <v/>
      </c>
      <c r="CM289" s="39" t="str">
        <f t="shared" si="174"/>
        <v/>
      </c>
      <c r="CN289" s="39" t="str">
        <f t="shared" si="175"/>
        <v/>
      </c>
      <c r="CO289" s="42" t="str">
        <f t="shared" si="176"/>
        <v/>
      </c>
      <c r="CP289" s="42" t="str">
        <f t="shared" si="177"/>
        <v/>
      </c>
      <c r="CQ289" s="42" t="str">
        <f t="shared" si="178"/>
        <v/>
      </c>
      <c r="CR289" s="42" t="str">
        <f t="shared" si="179"/>
        <v/>
      </c>
      <c r="CS289" s="42" t="str">
        <f t="shared" si="180"/>
        <v/>
      </c>
      <c r="CT289" s="42" t="str">
        <f t="shared" si="181"/>
        <v/>
      </c>
      <c r="CU289" s="43" t="str">
        <f t="shared" si="182"/>
        <v/>
      </c>
      <c r="CV289" s="43" t="str">
        <f t="shared" si="183"/>
        <v/>
      </c>
      <c r="CW289" s="43" t="str">
        <f t="shared" si="184"/>
        <v/>
      </c>
      <c r="CX289" s="13"/>
    </row>
    <row r="290" spans="1:102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48"/>
        <v/>
      </c>
      <c r="S290" s="37" t="str">
        <f t="shared" si="149"/>
        <v/>
      </c>
      <c r="T290" s="38" t="str">
        <f t="shared" si="150"/>
        <v/>
      </c>
      <c r="U290" s="38" t="str">
        <f t="shared" si="151"/>
        <v/>
      </c>
      <c r="V290" s="38" t="b">
        <f t="shared" si="152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53"/>
        <v/>
      </c>
      <c r="AI290" s="36" t="str">
        <f>IFERROR(INDEX('Level Multipliers'!$D:$D,MATCH(AH290,'Level Multipliers'!$A:$A,0)),"")</f>
        <v/>
      </c>
      <c r="AJ290" s="37" t="str">
        <f t="shared" si="154"/>
        <v/>
      </c>
      <c r="AK290" s="37" t="str">
        <f t="shared" si="155"/>
        <v/>
      </c>
      <c r="AL290" s="38" t="str">
        <f t="shared" si="156"/>
        <v/>
      </c>
      <c r="AM290" s="38" t="str">
        <f t="shared" si="157"/>
        <v/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9"/>
        <v/>
      </c>
      <c r="BA290" s="36" t="str">
        <f>IFERROR(INDEX('Level Multipliers'!$D:$D,MATCH(AZ290,'Level Multipliers'!$A:$A,0)),"")</f>
        <v/>
      </c>
      <c r="BB290" s="37" t="str">
        <f t="shared" si="160"/>
        <v/>
      </c>
      <c r="BC290" s="37" t="str">
        <f t="shared" si="161"/>
        <v/>
      </c>
      <c r="BD290" s="38" t="str">
        <f t="shared" si="162"/>
        <v/>
      </c>
      <c r="BE290" s="38" t="str">
        <f t="shared" si="163"/>
        <v/>
      </c>
      <c r="BF290" s="38" t="b">
        <f t="shared" si="164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65"/>
        <v/>
      </c>
      <c r="BS290" s="36" t="str">
        <f>IFERROR(INDEX('Level Multipliers'!$D:$D,MATCH(BR290,'Level Multipliers'!$A:$A,0)),"")</f>
        <v/>
      </c>
      <c r="BT290" s="37" t="str">
        <f t="shared" si="166"/>
        <v/>
      </c>
      <c r="BU290" s="37" t="str">
        <f t="shared" si="167"/>
        <v/>
      </c>
      <c r="BV290" s="38" t="str">
        <f t="shared" si="168"/>
        <v/>
      </c>
      <c r="BW290" s="38" t="str">
        <f t="shared" si="169"/>
        <v/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71"/>
        <v/>
      </c>
      <c r="CK290" s="41" t="str">
        <f t="shared" si="172"/>
        <v/>
      </c>
      <c r="CL290" s="66" t="str">
        <f t="shared" si="173"/>
        <v/>
      </c>
      <c r="CM290" s="39" t="str">
        <f t="shared" si="174"/>
        <v/>
      </c>
      <c r="CN290" s="39" t="str">
        <f t="shared" si="175"/>
        <v/>
      </c>
      <c r="CO290" s="42" t="str">
        <f t="shared" si="176"/>
        <v/>
      </c>
      <c r="CP290" s="42" t="str">
        <f t="shared" si="177"/>
        <v/>
      </c>
      <c r="CQ290" s="42" t="str">
        <f t="shared" si="178"/>
        <v/>
      </c>
      <c r="CR290" s="42" t="str">
        <f t="shared" si="179"/>
        <v/>
      </c>
      <c r="CS290" s="42" t="str">
        <f t="shared" si="180"/>
        <v/>
      </c>
      <c r="CT290" s="42" t="str">
        <f t="shared" si="181"/>
        <v/>
      </c>
      <c r="CU290" s="43" t="str">
        <f t="shared" si="182"/>
        <v/>
      </c>
      <c r="CV290" s="43" t="str">
        <f t="shared" si="183"/>
        <v/>
      </c>
      <c r="CW290" s="43" t="str">
        <f t="shared" si="184"/>
        <v/>
      </c>
      <c r="CX290" s="13"/>
    </row>
    <row r="291" spans="1:102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48"/>
        <v/>
      </c>
      <c r="S291" s="37" t="str">
        <f t="shared" si="149"/>
        <v/>
      </c>
      <c r="T291" s="38" t="str">
        <f t="shared" si="150"/>
        <v/>
      </c>
      <c r="U291" s="38" t="str">
        <f t="shared" si="151"/>
        <v/>
      </c>
      <c r="V291" s="38" t="b">
        <f t="shared" si="152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53"/>
        <v/>
      </c>
      <c r="AI291" s="36" t="str">
        <f>IFERROR(INDEX('Level Multipliers'!$D:$D,MATCH(AH291,'Level Multipliers'!$A:$A,0)),"")</f>
        <v/>
      </c>
      <c r="AJ291" s="37" t="str">
        <f t="shared" si="154"/>
        <v/>
      </c>
      <c r="AK291" s="37" t="str">
        <f t="shared" si="155"/>
        <v/>
      </c>
      <c r="AL291" s="38" t="str">
        <f t="shared" si="156"/>
        <v/>
      </c>
      <c r="AM291" s="38" t="str">
        <f t="shared" si="157"/>
        <v/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9"/>
        <v/>
      </c>
      <c r="BA291" s="36" t="str">
        <f>IFERROR(INDEX('Level Multipliers'!$D:$D,MATCH(AZ291,'Level Multipliers'!$A:$A,0)),"")</f>
        <v/>
      </c>
      <c r="BB291" s="37" t="str">
        <f t="shared" si="160"/>
        <v/>
      </c>
      <c r="BC291" s="37" t="str">
        <f t="shared" si="161"/>
        <v/>
      </c>
      <c r="BD291" s="38" t="str">
        <f t="shared" si="162"/>
        <v/>
      </c>
      <c r="BE291" s="38" t="str">
        <f t="shared" si="163"/>
        <v/>
      </c>
      <c r="BF291" s="38" t="b">
        <f t="shared" si="164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65"/>
        <v/>
      </c>
      <c r="BS291" s="36" t="str">
        <f>IFERROR(INDEX('Level Multipliers'!$D:$D,MATCH(BR291,'Level Multipliers'!$A:$A,0)),"")</f>
        <v/>
      </c>
      <c r="BT291" s="37" t="str">
        <f t="shared" si="166"/>
        <v/>
      </c>
      <c r="BU291" s="37" t="str">
        <f t="shared" si="167"/>
        <v/>
      </c>
      <c r="BV291" s="38" t="str">
        <f t="shared" si="168"/>
        <v/>
      </c>
      <c r="BW291" s="38" t="str">
        <f t="shared" si="169"/>
        <v/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71"/>
        <v/>
      </c>
      <c r="CK291" s="41" t="str">
        <f t="shared" si="172"/>
        <v/>
      </c>
      <c r="CL291" s="66" t="str">
        <f t="shared" si="173"/>
        <v/>
      </c>
      <c r="CM291" s="39" t="str">
        <f t="shared" si="174"/>
        <v/>
      </c>
      <c r="CN291" s="39" t="str">
        <f t="shared" si="175"/>
        <v/>
      </c>
      <c r="CO291" s="42" t="str">
        <f t="shared" si="176"/>
        <v/>
      </c>
      <c r="CP291" s="42" t="str">
        <f t="shared" si="177"/>
        <v/>
      </c>
      <c r="CQ291" s="42" t="str">
        <f t="shared" si="178"/>
        <v/>
      </c>
      <c r="CR291" s="42" t="str">
        <f t="shared" si="179"/>
        <v/>
      </c>
      <c r="CS291" s="42" t="str">
        <f t="shared" si="180"/>
        <v/>
      </c>
      <c r="CT291" s="42" t="str">
        <f t="shared" si="181"/>
        <v/>
      </c>
      <c r="CU291" s="43" t="str">
        <f t="shared" si="182"/>
        <v/>
      </c>
      <c r="CV291" s="43" t="str">
        <f t="shared" si="183"/>
        <v/>
      </c>
      <c r="CW291" s="43" t="str">
        <f t="shared" si="184"/>
        <v/>
      </c>
      <c r="CX291" s="13"/>
    </row>
    <row r="292" spans="1:102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8"/>
        <v/>
      </c>
      <c r="S292" s="37" t="str">
        <f t="shared" si="149"/>
        <v/>
      </c>
      <c r="T292" s="38" t="str">
        <f t="shared" si="150"/>
        <v/>
      </c>
      <c r="U292" s="38" t="str">
        <f t="shared" si="151"/>
        <v/>
      </c>
      <c r="V292" s="38" t="b">
        <f t="shared" si="152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3"/>
        <v/>
      </c>
      <c r="AI292" s="36" t="str">
        <f>IFERROR(INDEX('Level Multipliers'!$D:$D,MATCH(AH292,'Level Multipliers'!$A:$A,0)),"")</f>
        <v/>
      </c>
      <c r="AJ292" s="37" t="str">
        <f t="shared" si="154"/>
        <v/>
      </c>
      <c r="AK292" s="37" t="str">
        <f t="shared" si="155"/>
        <v/>
      </c>
      <c r="AL292" s="38" t="str">
        <f t="shared" si="156"/>
        <v/>
      </c>
      <c r="AM292" s="38" t="str">
        <f t="shared" si="157"/>
        <v/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9"/>
        <v/>
      </c>
      <c r="BA292" s="36" t="str">
        <f>IFERROR(INDEX('Level Multipliers'!$D:$D,MATCH(AZ292,'Level Multipliers'!$A:$A,0)),"")</f>
        <v/>
      </c>
      <c r="BB292" s="37" t="str">
        <f t="shared" si="160"/>
        <v/>
      </c>
      <c r="BC292" s="37" t="str">
        <f t="shared" si="161"/>
        <v/>
      </c>
      <c r="BD292" s="38" t="str">
        <f t="shared" si="162"/>
        <v/>
      </c>
      <c r="BE292" s="38" t="str">
        <f t="shared" si="163"/>
        <v/>
      </c>
      <c r="BF292" s="38" t="b">
        <f t="shared" si="164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5"/>
        <v/>
      </c>
      <c r="BS292" s="36" t="str">
        <f>IFERROR(INDEX('Level Multipliers'!$D:$D,MATCH(BR292,'Level Multipliers'!$A:$A,0)),"")</f>
        <v/>
      </c>
      <c r="BT292" s="37" t="str">
        <f t="shared" si="166"/>
        <v/>
      </c>
      <c r="BU292" s="37" t="str">
        <f t="shared" si="167"/>
        <v/>
      </c>
      <c r="BV292" s="38" t="str">
        <f t="shared" si="168"/>
        <v/>
      </c>
      <c r="BW292" s="38" t="str">
        <f t="shared" si="169"/>
        <v/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71"/>
        <v/>
      </c>
      <c r="CK292" s="41" t="str">
        <f t="shared" si="172"/>
        <v/>
      </c>
      <c r="CL292" s="66" t="str">
        <f t="shared" si="173"/>
        <v/>
      </c>
      <c r="CM292" s="39" t="str">
        <f t="shared" si="174"/>
        <v/>
      </c>
      <c r="CN292" s="39" t="str">
        <f t="shared" si="175"/>
        <v/>
      </c>
      <c r="CO292" s="42" t="str">
        <f t="shared" si="176"/>
        <v/>
      </c>
      <c r="CP292" s="42" t="str">
        <f t="shared" si="177"/>
        <v/>
      </c>
      <c r="CQ292" s="42" t="str">
        <f t="shared" si="178"/>
        <v/>
      </c>
      <c r="CR292" s="42" t="str">
        <f t="shared" si="179"/>
        <v/>
      </c>
      <c r="CS292" s="42" t="str">
        <f t="shared" si="180"/>
        <v/>
      </c>
      <c r="CT292" s="42" t="str">
        <f t="shared" si="181"/>
        <v/>
      </c>
      <c r="CU292" s="43" t="str">
        <f t="shared" si="182"/>
        <v/>
      </c>
      <c r="CV292" s="43" t="str">
        <f t="shared" si="183"/>
        <v/>
      </c>
      <c r="CW292" s="43" t="str">
        <f t="shared" si="184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8"/>
        <v/>
      </c>
      <c r="S293" s="37" t="str">
        <f t="shared" si="149"/>
        <v/>
      </c>
      <c r="T293" s="38" t="str">
        <f t="shared" si="150"/>
        <v/>
      </c>
      <c r="U293" s="38" t="str">
        <f t="shared" si="151"/>
        <v/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3"/>
        <v/>
      </c>
      <c r="AI293" s="36" t="str">
        <f>IFERROR(INDEX('Level Multipliers'!$D:$D,MATCH(AH293,'Level Multipliers'!$A:$A,0)),"")</f>
        <v/>
      </c>
      <c r="AJ293" s="37" t="str">
        <f t="shared" si="154"/>
        <v/>
      </c>
      <c r="AK293" s="37" t="str">
        <f t="shared" si="155"/>
        <v/>
      </c>
      <c r="AL293" s="38" t="str">
        <f t="shared" si="156"/>
        <v/>
      </c>
      <c r="AM293" s="38" t="str">
        <f t="shared" si="157"/>
        <v/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9"/>
        <v/>
      </c>
      <c r="BA293" s="36" t="str">
        <f>IFERROR(INDEX('Level Multipliers'!$D:$D,MATCH(AZ293,'Level Multipliers'!$A:$A,0)),"")</f>
        <v/>
      </c>
      <c r="BB293" s="37" t="str">
        <f t="shared" si="160"/>
        <v/>
      </c>
      <c r="BC293" s="37" t="str">
        <f t="shared" si="161"/>
        <v/>
      </c>
      <c r="BD293" s="38" t="str">
        <f t="shared" si="162"/>
        <v/>
      </c>
      <c r="BE293" s="38" t="str">
        <f t="shared" si="163"/>
        <v/>
      </c>
      <c r="BF293" s="38" t="b">
        <f t="shared" si="164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5"/>
        <v/>
      </c>
      <c r="BS293" s="36" t="str">
        <f>IFERROR(INDEX('Level Multipliers'!$D:$D,MATCH(BR293,'Level Multipliers'!$A:$A,0)),"")</f>
        <v/>
      </c>
      <c r="BT293" s="37" t="str">
        <f t="shared" si="166"/>
        <v/>
      </c>
      <c r="BU293" s="37" t="str">
        <f t="shared" si="167"/>
        <v/>
      </c>
      <c r="BV293" s="38" t="str">
        <f t="shared" si="168"/>
        <v/>
      </c>
      <c r="BW293" s="38" t="str">
        <f t="shared" si="169"/>
        <v/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71"/>
        <v/>
      </c>
      <c r="CK293" s="41" t="str">
        <f t="shared" si="172"/>
        <v/>
      </c>
      <c r="CL293" s="66" t="str">
        <f t="shared" si="173"/>
        <v/>
      </c>
      <c r="CM293" s="39" t="str">
        <f t="shared" si="174"/>
        <v/>
      </c>
      <c r="CN293" s="39" t="str">
        <f t="shared" si="175"/>
        <v/>
      </c>
      <c r="CO293" s="42" t="str">
        <f t="shared" si="176"/>
        <v/>
      </c>
      <c r="CP293" s="42" t="str">
        <f t="shared" si="177"/>
        <v/>
      </c>
      <c r="CQ293" s="42" t="str">
        <f t="shared" si="178"/>
        <v/>
      </c>
      <c r="CR293" s="42" t="str">
        <f t="shared" si="179"/>
        <v/>
      </c>
      <c r="CS293" s="42" t="str">
        <f t="shared" si="180"/>
        <v/>
      </c>
      <c r="CT293" s="42" t="str">
        <f t="shared" si="181"/>
        <v/>
      </c>
      <c r="CU293" s="43" t="str">
        <f t="shared" si="182"/>
        <v/>
      </c>
      <c r="CV293" s="43" t="str">
        <f t="shared" si="183"/>
        <v/>
      </c>
      <c r="CW293" s="43" t="str">
        <f t="shared" si="184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8"/>
        <v/>
      </c>
      <c r="S294" s="37" t="str">
        <f t="shared" si="149"/>
        <v/>
      </c>
      <c r="T294" s="38" t="str">
        <f t="shared" si="150"/>
        <v/>
      </c>
      <c r="U294" s="38" t="str">
        <f t="shared" si="151"/>
        <v/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3"/>
        <v/>
      </c>
      <c r="AI294" s="36" t="str">
        <f>IFERROR(INDEX('Level Multipliers'!$D:$D,MATCH(AH294,'Level Multipliers'!$A:$A,0)),"")</f>
        <v/>
      </c>
      <c r="AJ294" s="37" t="str">
        <f t="shared" si="154"/>
        <v/>
      </c>
      <c r="AK294" s="37" t="str">
        <f t="shared" si="155"/>
        <v/>
      </c>
      <c r="AL294" s="38" t="str">
        <f t="shared" si="156"/>
        <v/>
      </c>
      <c r="AM294" s="38" t="str">
        <f t="shared" si="157"/>
        <v/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9"/>
        <v/>
      </c>
      <c r="BA294" s="36" t="str">
        <f>IFERROR(INDEX('Level Multipliers'!$D:$D,MATCH(AZ294,'Level Multipliers'!$A:$A,0)),"")</f>
        <v/>
      </c>
      <c r="BB294" s="37" t="str">
        <f t="shared" si="160"/>
        <v/>
      </c>
      <c r="BC294" s="37" t="str">
        <f t="shared" si="161"/>
        <v/>
      </c>
      <c r="BD294" s="38" t="str">
        <f t="shared" si="162"/>
        <v/>
      </c>
      <c r="BE294" s="38" t="str">
        <f t="shared" si="163"/>
        <v/>
      </c>
      <c r="BF294" s="38" t="b">
        <f t="shared" si="164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5"/>
        <v/>
      </c>
      <c r="BS294" s="36" t="str">
        <f>IFERROR(INDEX('Level Multipliers'!$D:$D,MATCH(BR294,'Level Multipliers'!$A:$A,0)),"")</f>
        <v/>
      </c>
      <c r="BT294" s="37" t="str">
        <f t="shared" si="166"/>
        <v/>
      </c>
      <c r="BU294" s="37" t="str">
        <f t="shared" si="167"/>
        <v/>
      </c>
      <c r="BV294" s="38" t="str">
        <f t="shared" si="168"/>
        <v/>
      </c>
      <c r="BW294" s="38" t="str">
        <f t="shared" si="169"/>
        <v/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71"/>
        <v/>
      </c>
      <c r="CK294" s="41" t="str">
        <f t="shared" si="172"/>
        <v/>
      </c>
      <c r="CL294" s="66" t="str">
        <f t="shared" si="173"/>
        <v/>
      </c>
      <c r="CM294" s="39" t="str">
        <f t="shared" si="174"/>
        <v/>
      </c>
      <c r="CN294" s="39" t="str">
        <f t="shared" si="175"/>
        <v/>
      </c>
      <c r="CO294" s="42" t="str">
        <f t="shared" si="176"/>
        <v/>
      </c>
      <c r="CP294" s="42" t="str">
        <f t="shared" si="177"/>
        <v/>
      </c>
      <c r="CQ294" s="42" t="str">
        <f t="shared" si="178"/>
        <v/>
      </c>
      <c r="CR294" s="42" t="str">
        <f t="shared" si="179"/>
        <v/>
      </c>
      <c r="CS294" s="42" t="str">
        <f t="shared" si="180"/>
        <v/>
      </c>
      <c r="CT294" s="42" t="str">
        <f t="shared" si="181"/>
        <v/>
      </c>
      <c r="CU294" s="43" t="str">
        <f t="shared" si="182"/>
        <v/>
      </c>
      <c r="CV294" s="43" t="str">
        <f t="shared" si="183"/>
        <v/>
      </c>
      <c r="CW294" s="43" t="str">
        <f t="shared" si="184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8"/>
        <v/>
      </c>
      <c r="S295" s="37" t="str">
        <f t="shared" si="149"/>
        <v/>
      </c>
      <c r="T295" s="38" t="str">
        <f t="shared" si="150"/>
        <v/>
      </c>
      <c r="U295" s="38" t="str">
        <f t="shared" si="151"/>
        <v/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3"/>
        <v/>
      </c>
      <c r="AI295" s="36" t="str">
        <f>IFERROR(INDEX('Level Multipliers'!$D:$D,MATCH(AH295,'Level Multipliers'!$A:$A,0)),"")</f>
        <v/>
      </c>
      <c r="AJ295" s="37" t="str">
        <f t="shared" si="154"/>
        <v/>
      </c>
      <c r="AK295" s="37" t="str">
        <f t="shared" si="155"/>
        <v/>
      </c>
      <c r="AL295" s="38" t="str">
        <f t="shared" si="156"/>
        <v/>
      </c>
      <c r="AM295" s="38" t="str">
        <f t="shared" si="157"/>
        <v/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9"/>
        <v/>
      </c>
      <c r="BA295" s="36" t="str">
        <f>IFERROR(INDEX('Level Multipliers'!$D:$D,MATCH(AZ295,'Level Multipliers'!$A:$A,0)),"")</f>
        <v/>
      </c>
      <c r="BB295" s="37" t="str">
        <f t="shared" si="160"/>
        <v/>
      </c>
      <c r="BC295" s="37" t="str">
        <f t="shared" si="161"/>
        <v/>
      </c>
      <c r="BD295" s="38" t="str">
        <f t="shared" si="162"/>
        <v/>
      </c>
      <c r="BE295" s="38" t="str">
        <f t="shared" si="163"/>
        <v/>
      </c>
      <c r="BF295" s="38" t="b">
        <f t="shared" si="164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5"/>
        <v/>
      </c>
      <c r="BS295" s="36" t="str">
        <f>IFERROR(INDEX('Level Multipliers'!$D:$D,MATCH(BR295,'Level Multipliers'!$A:$A,0)),"")</f>
        <v/>
      </c>
      <c r="BT295" s="37" t="str">
        <f t="shared" si="166"/>
        <v/>
      </c>
      <c r="BU295" s="37" t="str">
        <f t="shared" si="167"/>
        <v/>
      </c>
      <c r="BV295" s="38" t="str">
        <f t="shared" si="168"/>
        <v/>
      </c>
      <c r="BW295" s="38" t="str">
        <f t="shared" si="169"/>
        <v/>
      </c>
      <c r="BX295" s="38" t="b">
        <f t="shared" si="170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71"/>
        <v/>
      </c>
      <c r="CK295" s="41" t="str">
        <f t="shared" si="172"/>
        <v/>
      </c>
      <c r="CL295" s="66" t="str">
        <f t="shared" si="173"/>
        <v/>
      </c>
      <c r="CM295" s="39" t="str">
        <f t="shared" si="174"/>
        <v/>
      </c>
      <c r="CN295" s="39" t="str">
        <f t="shared" si="175"/>
        <v/>
      </c>
      <c r="CO295" s="42" t="str">
        <f t="shared" si="176"/>
        <v/>
      </c>
      <c r="CP295" s="42" t="str">
        <f t="shared" si="177"/>
        <v/>
      </c>
      <c r="CQ295" s="42" t="str">
        <f t="shared" si="178"/>
        <v/>
      </c>
      <c r="CR295" s="42" t="str">
        <f t="shared" si="179"/>
        <v/>
      </c>
      <c r="CS295" s="42" t="str">
        <f t="shared" si="180"/>
        <v/>
      </c>
      <c r="CT295" s="42" t="str">
        <f t="shared" si="181"/>
        <v/>
      </c>
      <c r="CU295" s="43" t="str">
        <f t="shared" si="182"/>
        <v/>
      </c>
      <c r="CV295" s="43" t="str">
        <f t="shared" si="183"/>
        <v/>
      </c>
      <c r="CW295" s="43" t="str">
        <f t="shared" si="184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8"/>
        <v/>
      </c>
      <c r="S296" s="37" t="str">
        <f t="shared" si="149"/>
        <v/>
      </c>
      <c r="T296" s="38" t="str">
        <f t="shared" si="150"/>
        <v/>
      </c>
      <c r="U296" s="38" t="str">
        <f t="shared" si="151"/>
        <v/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3"/>
        <v/>
      </c>
      <c r="AI296" s="36" t="str">
        <f>IFERROR(INDEX('Level Multipliers'!$D:$D,MATCH(AH296,'Level Multipliers'!$A:$A,0)),"")</f>
        <v/>
      </c>
      <c r="AJ296" s="37" t="str">
        <f t="shared" si="154"/>
        <v/>
      </c>
      <c r="AK296" s="37" t="str">
        <f t="shared" si="155"/>
        <v/>
      </c>
      <c r="AL296" s="38" t="str">
        <f t="shared" si="156"/>
        <v/>
      </c>
      <c r="AM296" s="38" t="str">
        <f t="shared" si="157"/>
        <v/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9"/>
        <v/>
      </c>
      <c r="BA296" s="36" t="str">
        <f>IFERROR(INDEX('Level Multipliers'!$D:$D,MATCH(AZ296,'Level Multipliers'!$A:$A,0)),"")</f>
        <v/>
      </c>
      <c r="BB296" s="37" t="str">
        <f t="shared" si="160"/>
        <v/>
      </c>
      <c r="BC296" s="37" t="str">
        <f t="shared" si="161"/>
        <v/>
      </c>
      <c r="BD296" s="38" t="str">
        <f t="shared" si="162"/>
        <v/>
      </c>
      <c r="BE296" s="38" t="str">
        <f t="shared" si="163"/>
        <v/>
      </c>
      <c r="BF296" s="38" t="b">
        <f t="shared" si="164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5"/>
        <v/>
      </c>
      <c r="BS296" s="36" t="str">
        <f>IFERROR(INDEX('Level Multipliers'!$D:$D,MATCH(BR296,'Level Multipliers'!$A:$A,0)),"")</f>
        <v/>
      </c>
      <c r="BT296" s="37" t="str">
        <f t="shared" si="166"/>
        <v/>
      </c>
      <c r="BU296" s="37" t="str">
        <f t="shared" si="167"/>
        <v/>
      </c>
      <c r="BV296" s="38" t="str">
        <f t="shared" si="168"/>
        <v/>
      </c>
      <c r="BW296" s="38" t="str">
        <f t="shared" si="169"/>
        <v/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71"/>
        <v/>
      </c>
      <c r="CK296" s="41" t="str">
        <f t="shared" si="172"/>
        <v/>
      </c>
      <c r="CL296" s="66" t="str">
        <f t="shared" si="173"/>
        <v/>
      </c>
      <c r="CM296" s="39" t="str">
        <f t="shared" si="174"/>
        <v/>
      </c>
      <c r="CN296" s="39" t="str">
        <f t="shared" si="175"/>
        <v/>
      </c>
      <c r="CO296" s="42" t="str">
        <f t="shared" si="176"/>
        <v/>
      </c>
      <c r="CP296" s="42" t="str">
        <f t="shared" si="177"/>
        <v/>
      </c>
      <c r="CQ296" s="42" t="str">
        <f t="shared" si="178"/>
        <v/>
      </c>
      <c r="CR296" s="42" t="str">
        <f t="shared" si="179"/>
        <v/>
      </c>
      <c r="CS296" s="42" t="str">
        <f t="shared" si="180"/>
        <v/>
      </c>
      <c r="CT296" s="42" t="str">
        <f t="shared" si="181"/>
        <v/>
      </c>
      <c r="CU296" s="43" t="str">
        <f t="shared" si="182"/>
        <v/>
      </c>
      <c r="CV296" s="43" t="str">
        <f t="shared" si="183"/>
        <v/>
      </c>
      <c r="CW296" s="43" t="str">
        <f t="shared" si="184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8"/>
        <v/>
      </c>
      <c r="S297" s="37" t="str">
        <f t="shared" si="149"/>
        <v/>
      </c>
      <c r="T297" s="38" t="str">
        <f t="shared" si="150"/>
        <v/>
      </c>
      <c r="U297" s="38" t="str">
        <f t="shared" si="151"/>
        <v/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3"/>
        <v/>
      </c>
      <c r="AI297" s="36" t="str">
        <f>IFERROR(INDEX('Level Multipliers'!$D:$D,MATCH(AH297,'Level Multipliers'!$A:$A,0)),"")</f>
        <v/>
      </c>
      <c r="AJ297" s="37" t="str">
        <f t="shared" si="154"/>
        <v/>
      </c>
      <c r="AK297" s="37" t="str">
        <f t="shared" si="155"/>
        <v/>
      </c>
      <c r="AL297" s="38" t="str">
        <f t="shared" si="156"/>
        <v/>
      </c>
      <c r="AM297" s="38" t="str">
        <f t="shared" si="157"/>
        <v/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9"/>
        <v/>
      </c>
      <c r="BA297" s="36" t="str">
        <f>IFERROR(INDEX('Level Multipliers'!$D:$D,MATCH(AZ297,'Level Multipliers'!$A:$A,0)),"")</f>
        <v/>
      </c>
      <c r="BB297" s="37" t="str">
        <f t="shared" si="160"/>
        <v/>
      </c>
      <c r="BC297" s="37" t="str">
        <f t="shared" si="161"/>
        <v/>
      </c>
      <c r="BD297" s="38" t="str">
        <f t="shared" si="162"/>
        <v/>
      </c>
      <c r="BE297" s="38" t="str">
        <f t="shared" si="163"/>
        <v/>
      </c>
      <c r="BF297" s="38" t="b">
        <f t="shared" si="164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5"/>
        <v/>
      </c>
      <c r="BS297" s="36" t="str">
        <f>IFERROR(INDEX('Level Multipliers'!$D:$D,MATCH(BR297,'Level Multipliers'!$A:$A,0)),"")</f>
        <v/>
      </c>
      <c r="BT297" s="37" t="str">
        <f t="shared" si="166"/>
        <v/>
      </c>
      <c r="BU297" s="37" t="str">
        <f t="shared" si="167"/>
        <v/>
      </c>
      <c r="BV297" s="38" t="str">
        <f t="shared" si="168"/>
        <v/>
      </c>
      <c r="BW297" s="38" t="str">
        <f t="shared" si="169"/>
        <v/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71"/>
        <v/>
      </c>
      <c r="CK297" s="41" t="str">
        <f t="shared" si="172"/>
        <v/>
      </c>
      <c r="CL297" s="66" t="str">
        <f t="shared" si="173"/>
        <v/>
      </c>
      <c r="CM297" s="39" t="str">
        <f t="shared" si="174"/>
        <v/>
      </c>
      <c r="CN297" s="39" t="str">
        <f t="shared" si="175"/>
        <v/>
      </c>
      <c r="CO297" s="42" t="str">
        <f t="shared" si="176"/>
        <v/>
      </c>
      <c r="CP297" s="42" t="str">
        <f t="shared" si="177"/>
        <v/>
      </c>
      <c r="CQ297" s="42" t="str">
        <f t="shared" si="178"/>
        <v/>
      </c>
      <c r="CR297" s="42" t="str">
        <f t="shared" si="179"/>
        <v/>
      </c>
      <c r="CS297" s="42" t="str">
        <f t="shared" si="180"/>
        <v/>
      </c>
      <c r="CT297" s="42" t="str">
        <f t="shared" si="181"/>
        <v/>
      </c>
      <c r="CU297" s="43" t="str">
        <f t="shared" si="182"/>
        <v/>
      </c>
      <c r="CV297" s="43" t="str">
        <f t="shared" si="183"/>
        <v/>
      </c>
      <c r="CW297" s="43" t="str">
        <f t="shared" si="184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8"/>
        <v/>
      </c>
      <c r="S298" s="37" t="str">
        <f t="shared" si="149"/>
        <v/>
      </c>
      <c r="T298" s="38" t="str">
        <f t="shared" si="150"/>
        <v/>
      </c>
      <c r="U298" s="38" t="str">
        <f t="shared" si="151"/>
        <v/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3"/>
        <v/>
      </c>
      <c r="AI298" s="36" t="str">
        <f>IFERROR(INDEX('Level Multipliers'!$D:$D,MATCH(AH298,'Level Multipliers'!$A:$A,0)),"")</f>
        <v/>
      </c>
      <c r="AJ298" s="37" t="str">
        <f t="shared" si="154"/>
        <v/>
      </c>
      <c r="AK298" s="37" t="str">
        <f t="shared" si="155"/>
        <v/>
      </c>
      <c r="AL298" s="38" t="str">
        <f t="shared" si="156"/>
        <v/>
      </c>
      <c r="AM298" s="38" t="str">
        <f t="shared" si="157"/>
        <v/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9"/>
        <v/>
      </c>
      <c r="BA298" s="36" t="str">
        <f>IFERROR(INDEX('Level Multipliers'!$D:$D,MATCH(AZ298,'Level Multipliers'!$A:$A,0)),"")</f>
        <v/>
      </c>
      <c r="BB298" s="37" t="str">
        <f t="shared" si="160"/>
        <v/>
      </c>
      <c r="BC298" s="37" t="str">
        <f t="shared" si="161"/>
        <v/>
      </c>
      <c r="BD298" s="38" t="str">
        <f t="shared" si="162"/>
        <v/>
      </c>
      <c r="BE298" s="38" t="str">
        <f t="shared" si="163"/>
        <v/>
      </c>
      <c r="BF298" s="38" t="b">
        <f t="shared" si="164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5"/>
        <v/>
      </c>
      <c r="BS298" s="36" t="str">
        <f>IFERROR(INDEX('Level Multipliers'!$D:$D,MATCH(BR298,'Level Multipliers'!$A:$A,0)),"")</f>
        <v/>
      </c>
      <c r="BT298" s="37" t="str">
        <f t="shared" si="166"/>
        <v/>
      </c>
      <c r="BU298" s="37" t="str">
        <f t="shared" si="167"/>
        <v/>
      </c>
      <c r="BV298" s="38" t="str">
        <f t="shared" si="168"/>
        <v/>
      </c>
      <c r="BW298" s="38" t="str">
        <f t="shared" si="169"/>
        <v/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71"/>
        <v/>
      </c>
      <c r="CK298" s="41" t="str">
        <f t="shared" si="172"/>
        <v/>
      </c>
      <c r="CL298" s="66" t="str">
        <f t="shared" si="173"/>
        <v/>
      </c>
      <c r="CM298" s="39" t="str">
        <f t="shared" si="174"/>
        <v/>
      </c>
      <c r="CN298" s="39" t="str">
        <f t="shared" si="175"/>
        <v/>
      </c>
      <c r="CO298" s="42" t="str">
        <f t="shared" si="176"/>
        <v/>
      </c>
      <c r="CP298" s="42" t="str">
        <f t="shared" si="177"/>
        <v/>
      </c>
      <c r="CQ298" s="42" t="str">
        <f t="shared" si="178"/>
        <v/>
      </c>
      <c r="CR298" s="42" t="str">
        <f t="shared" si="179"/>
        <v/>
      </c>
      <c r="CS298" s="42" t="str">
        <f t="shared" si="180"/>
        <v/>
      </c>
      <c r="CT298" s="42" t="str">
        <f t="shared" si="181"/>
        <v/>
      </c>
      <c r="CU298" s="43" t="str">
        <f t="shared" si="182"/>
        <v/>
      </c>
      <c r="CV298" s="43" t="str">
        <f t="shared" si="183"/>
        <v/>
      </c>
      <c r="CW298" s="43" t="str">
        <f t="shared" si="184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6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6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6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6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6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6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6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6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6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6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6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6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6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6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6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6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6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6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6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6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6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6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6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6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86" si="185">IF(P323="","",IF($C323&gt;10,MAX(0,ROUNDUP(Q323*$C323-$M323+1000,0)-1000),0))</f>
        <v/>
      </c>
      <c r="S323" s="37" t="str">
        <f t="shared" ref="S323:S386" si="186">IF(P323="","",MIN(15,ROUNDDOWN(Q323*($C323+1)-$M323+1000,0)-1000))</f>
        <v/>
      </c>
      <c r="T323" s="38" t="str">
        <f t="shared" ref="T323:T386" si="187">IFERROR(IF($B323&gt;10,100*Q323^4*$B323^2,$N323^2*$O323*($M323+R323)),"")</f>
        <v/>
      </c>
      <c r="U323" s="38" t="str">
        <f t="shared" ref="U323:U386" si="188">IFERROR(100*Q323^4*($B323+1)^2,"")</f>
        <v/>
      </c>
      <c r="V323" s="38" t="b">
        <f t="shared" ref="V323:V386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86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86" si="191">IF(AH323="","",IF($C323&gt;10,MAX(0,ROUNDUP(AI323*$C323-$M323+1000,0)-1000),0))</f>
        <v/>
      </c>
      <c r="AK323" s="37" t="str">
        <f t="shared" ref="AK323:AK386" si="192">IF(AH323="","",MIN(15,ROUNDDOWN(AI323*($C323+1)-$M323+1000,0)-1000))</f>
        <v/>
      </c>
      <c r="AL323" s="38" t="str">
        <f t="shared" ref="AL323:AL386" si="193">IFERROR(IF($B323&gt;10,100*AI323^4*$B323^2,$N323^2*$O323*($M323+AJ323)),"")</f>
        <v/>
      </c>
      <c r="AM323" s="38" t="str">
        <f t="shared" ref="AM323:AM386" si="194">IFERROR(100*AI323^4*($B323+1)^2,"")</f>
        <v/>
      </c>
      <c r="AN323" s="38" t="b">
        <f t="shared" ref="AN323:AN386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86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86" si="197">IF(AZ323="","",IF($C323&gt;10,MAX(0,ROUNDUP(BA323*$C323-$M323+1000,0)-1000),0))</f>
        <v/>
      </c>
      <c r="BC323" s="37" t="str">
        <f t="shared" ref="BC323:BC386" si="198">IF(AZ323="","",MIN(15,ROUNDDOWN(BA323*($C323+1)-$M323+1000,0)-1000))</f>
        <v/>
      </c>
      <c r="BD323" s="38" t="str">
        <f t="shared" ref="BD323:BD386" si="199">IFERROR(IF($B323&gt;10,100*BA323^4*$B323^2,$N323^2*$O323*($M323+BB323)),"")</f>
        <v/>
      </c>
      <c r="BE323" s="38" t="str">
        <f t="shared" ref="BE323:BE386" si="200">IFERROR(100*BA323^4*($B323+1)^2,"")</f>
        <v/>
      </c>
      <c r="BF323" s="38" t="b">
        <f t="shared" ref="BF323:BF386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86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86" si="203">IF(BR323="","",IF($C323&gt;10,MAX(0,ROUNDUP(BS323*$C323-$M323+1000,0)-1000),0))</f>
        <v/>
      </c>
      <c r="BU323" s="37" t="str">
        <f t="shared" ref="BU323:BU386" si="204">IF(BR323="","",MIN(15,ROUNDDOWN(BS323*($C323+1)-$M323+1000,0)-1000))</f>
        <v/>
      </c>
      <c r="BV323" s="38" t="str">
        <f t="shared" ref="BV323:BV386" si="205">IFERROR(IF($B323&gt;10,100*BS323^4*$B323^2,$N323^2*$O323*($M323+BT323)),"")</f>
        <v/>
      </c>
      <c r="BW323" s="38" t="str">
        <f t="shared" ref="BW323:BW386" si="206">IFERROR(100*BS323^4*($B323+1)^2,"")</f>
        <v/>
      </c>
      <c r="BX323" s="38" t="b">
        <f t="shared" ref="BX323:BX386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86" si="208">IF(IFERROR(W323*1,0)&gt;0,P323,IF(IFERROR(AO323*1,0)&gt;0,AH323,IF(IFERROR(BG323*1,0)&gt;0,AZ323,IF(IFERROR(BY323*1,0)&gt;0,BR323,""))))</f>
        <v/>
      </c>
      <c r="CK323" s="41" t="str">
        <f t="shared" ref="CK323:CK386" si="209">IF(IFERROR(BY323*1,0)&gt;0,BR323,IF(IFERROR(BG323*1,0)&gt;0,AZ323,IF(IFERROR(AO323*1,0)&gt;0,AH323,IF(IFERROR(W323*1,0)&gt;0,P323,""))))</f>
        <v/>
      </c>
      <c r="CL323" s="66" t="str">
        <f t="shared" ref="CL323:CL386" si="210">IF(OR(CJ323="",CK323=""),"",(CM323+CN323)/2)</f>
        <v/>
      </c>
      <c r="CM323" s="39" t="str">
        <f t="shared" ref="CM323:CM386" si="211">IF(OR(CJ323="",CK323=""),"",MIN(Z323,AR323,BJ323,CB323))</f>
        <v/>
      </c>
      <c r="CN323" s="39" t="str">
        <f t="shared" ref="CN323:CN386" si="212">IF(OR(CJ323="",CK323=""),"",MAX(AA323,AS323,BK323,CC323))</f>
        <v/>
      </c>
      <c r="CO323" s="42" t="str">
        <f t="shared" ref="CO323:CO386" si="213">IF(OR(CJ323="",CK323=""),"",MIN(AB323,AT323,BL323,CD323))</f>
        <v/>
      </c>
      <c r="CP323" s="42" t="str">
        <f t="shared" ref="CP323:CP386" si="214">IF(OR(CJ323="",CK323=""),"",MAX(AC323,AU323,BM323,CE323))</f>
        <v/>
      </c>
      <c r="CQ323" s="42" t="str">
        <f t="shared" ref="CQ323:CQ386" si="215">IF(OR(CJ323="",CK323=""),"",MIN(AD323,AV323,BN323,CF323))</f>
        <v/>
      </c>
      <c r="CR323" s="42" t="str">
        <f t="shared" ref="CR323:CR386" si="216">IF(OR(CJ323="",CK323=""),"",MAX(AE323,AW323,BO323,CG323))</f>
        <v/>
      </c>
      <c r="CS323" s="42" t="str">
        <f t="shared" ref="CS323:CS386" si="217">IF(OR(CJ323="",CK323=""),"",MIN(AF323,AX323,BP323,CH323))</f>
        <v/>
      </c>
      <c r="CT323" s="42" t="str">
        <f t="shared" ref="CT323:CT386" si="218">IF(OR(CJ323="",CK323=""),"",MAX(AG323,AY323,BQ323,CI323))</f>
        <v/>
      </c>
      <c r="CU323" s="43" t="str">
        <f t="shared" ref="CU323:CU386" si="219">IF(CO323=CP323,CP323,CO323&amp;"-"&amp;CP323)</f>
        <v/>
      </c>
      <c r="CV323" s="43" t="str">
        <f t="shared" ref="CV323:CV386" si="220">IF(CQ323=CR323,CR323,CQ323&amp;"-"&amp;CR323)</f>
        <v/>
      </c>
      <c r="CW323" s="43" t="str">
        <f t="shared" ref="CW323:CW386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6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6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6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6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6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6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6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6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6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6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6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6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6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6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6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6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6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6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6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6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6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6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6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6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6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6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6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6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6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spans="1:102" x14ac:dyDescent="0.25">
      <c r="A353" s="31"/>
      <c r="B353" s="13"/>
      <c r="C353" s="13"/>
      <c r="D353" s="13"/>
      <c r="E353" s="32"/>
      <c r="F353" s="32"/>
      <c r="G353" s="32"/>
      <c r="H353" s="32"/>
      <c r="I353" s="32"/>
      <c r="J353" s="13"/>
      <c r="K353" s="33"/>
      <c r="L353" s="34" t="str">
        <f>IFERROR(INDEX('Pokemon Data'!A:A,MATCH($A353,'Pokemon Data'!$B:$B,0)),"")</f>
        <v/>
      </c>
      <c r="M353" s="34" t="str">
        <f>IFERROR(INDEX('Pokemon Data'!I:I,MATCH($A353,'Pokemon Data'!$B:$B,0)),"")</f>
        <v/>
      </c>
      <c r="N353" s="34" t="str">
        <f>IFERROR(INDEX('Pokemon Data'!J:J,MATCH($A353,'Pokemon Data'!$B:$B,0)),"")</f>
        <v/>
      </c>
      <c r="O353" s="34" t="str">
        <f>IFERROR(INDEX('Pokemon Data'!K:K,MATCH($A353,'Pokemon Data'!$B:$B,0)),"")</f>
        <v/>
      </c>
      <c r="P353" s="35" t="str">
        <f>IFERROR(INDEX('Level Multipliers'!$A:$A,MATCH($D353,'Level Multipliers'!$B:$B,0)),"")</f>
        <v/>
      </c>
      <c r="Q353" s="36" t="str">
        <f>IFERROR(INDEX('Level Multipliers'!$D:$D,MATCH(P353,'Level Multipliers'!$A:$A,0)),"")</f>
        <v/>
      </c>
      <c r="R353" s="37" t="str">
        <f t="shared" si="185"/>
        <v/>
      </c>
      <c r="S353" s="37" t="str">
        <f t="shared" si="186"/>
        <v/>
      </c>
      <c r="T353" s="38" t="str">
        <f t="shared" si="187"/>
        <v/>
      </c>
      <c r="U353" s="38" t="str">
        <f t="shared" si="188"/>
        <v/>
      </c>
      <c r="V353" s="38" t="b">
        <f t="shared" si="189"/>
        <v>1</v>
      </c>
      <c r="W353" s="37" t="str">
        <f t="array" ref="W353:AG353">IF(V353,"",IVSolution($M353,$N353,$O353,R353,S353,T353,U353,$E353,$F353,$G353,$H353,$I353))</f>
        <v/>
      </c>
      <c r="X353" s="37" t="str">
        <v/>
      </c>
      <c r="Y353" s="37" t="str">
        <v/>
      </c>
      <c r="Z353" s="39" t="str">
        <v/>
      </c>
      <c r="AA353" s="39" t="str">
        <v/>
      </c>
      <c r="AB353" s="37" t="str">
        <v/>
      </c>
      <c r="AC353" s="37" t="str">
        <v/>
      </c>
      <c r="AD353" s="37" t="str">
        <v/>
      </c>
      <c r="AE353" s="37" t="str">
        <v/>
      </c>
      <c r="AF353" s="37" t="str">
        <v/>
      </c>
      <c r="AG353" s="37" t="str">
        <v/>
      </c>
      <c r="AH353" s="40" t="str">
        <f t="shared" si="190"/>
        <v/>
      </c>
      <c r="AI353" s="36" t="str">
        <f>IFERROR(INDEX('Level Multipliers'!$D:$D,MATCH(AH353,'Level Multipliers'!$A:$A,0)),"")</f>
        <v/>
      </c>
      <c r="AJ353" s="37" t="str">
        <f t="shared" si="191"/>
        <v/>
      </c>
      <c r="AK353" s="37" t="str">
        <f t="shared" si="192"/>
        <v/>
      </c>
      <c r="AL353" s="38" t="str">
        <f t="shared" si="193"/>
        <v/>
      </c>
      <c r="AM353" s="38" t="str">
        <f t="shared" si="194"/>
        <v/>
      </c>
      <c r="AN353" s="38" t="b">
        <f t="shared" si="195"/>
        <v>1</v>
      </c>
      <c r="AO353" s="37" t="str">
        <f t="array" ref="AO353:AY353">IF(AN353,"",IVSolution($M353,$N353,$O353,AJ353,AK353,AL353,AM353,$E353,$F353,$G353,$H353,$I353))</f>
        <v/>
      </c>
      <c r="AP353" s="37" t="str">
        <v/>
      </c>
      <c r="AQ353" s="37" t="str">
        <v/>
      </c>
      <c r="AR353" s="39" t="str">
        <v/>
      </c>
      <c r="AS353" s="39" t="str">
        <v/>
      </c>
      <c r="AT353" s="37" t="str">
        <v/>
      </c>
      <c r="AU353" s="37" t="str">
        <v/>
      </c>
      <c r="AV353" s="37" t="str">
        <v/>
      </c>
      <c r="AW353" s="37" t="str">
        <v/>
      </c>
      <c r="AX353" s="37" t="str">
        <v/>
      </c>
      <c r="AY353" s="37" t="str">
        <v/>
      </c>
      <c r="AZ353" s="40" t="str">
        <f t="shared" si="196"/>
        <v/>
      </c>
      <c r="BA353" s="36" t="str">
        <f>IFERROR(INDEX('Level Multipliers'!$D:$D,MATCH(AZ353,'Level Multipliers'!$A:$A,0)),"")</f>
        <v/>
      </c>
      <c r="BB353" s="37" t="str">
        <f t="shared" si="197"/>
        <v/>
      </c>
      <c r="BC353" s="37" t="str">
        <f t="shared" si="198"/>
        <v/>
      </c>
      <c r="BD353" s="38" t="str">
        <f t="shared" si="199"/>
        <v/>
      </c>
      <c r="BE353" s="38" t="str">
        <f t="shared" si="200"/>
        <v/>
      </c>
      <c r="BF353" s="38" t="b">
        <f t="shared" si="201"/>
        <v>1</v>
      </c>
      <c r="BG353" s="37" t="str">
        <f t="array" ref="BG353:BQ353">IF(BF353,"",IVSolution($M353,$N353,$O353,BB353,BC353,BD353,BE353,$E353,$F353,$G353,$H353,$I353))</f>
        <v/>
      </c>
      <c r="BH353" s="37" t="str">
        <v/>
      </c>
      <c r="BI353" s="37" t="str">
        <v/>
      </c>
      <c r="BJ353" s="39" t="str">
        <v/>
      </c>
      <c r="BK353" s="39" t="str">
        <v/>
      </c>
      <c r="BL353" s="37" t="str">
        <v/>
      </c>
      <c r="BM353" s="37" t="str">
        <v/>
      </c>
      <c r="BN353" s="37" t="str">
        <v/>
      </c>
      <c r="BO353" s="37" t="str">
        <v/>
      </c>
      <c r="BP353" s="37" t="str">
        <v/>
      </c>
      <c r="BQ353" s="37" t="str">
        <v/>
      </c>
      <c r="BR353" s="40" t="str">
        <f t="shared" si="202"/>
        <v/>
      </c>
      <c r="BS353" s="36" t="str">
        <f>IFERROR(INDEX('Level Multipliers'!$D:$D,MATCH(BR353,'Level Multipliers'!$A:$A,0)),"")</f>
        <v/>
      </c>
      <c r="BT353" s="37" t="str">
        <f t="shared" si="203"/>
        <v/>
      </c>
      <c r="BU353" s="37" t="str">
        <f t="shared" si="204"/>
        <v/>
      </c>
      <c r="BV353" s="38" t="str">
        <f t="shared" si="205"/>
        <v/>
      </c>
      <c r="BW353" s="38" t="str">
        <f t="shared" si="206"/>
        <v/>
      </c>
      <c r="BX353" s="38" t="b">
        <f t="shared" si="207"/>
        <v>1</v>
      </c>
      <c r="BY353" s="37" t="str">
        <f t="array" ref="BY353:CI353">IF(BX353,"",IVSolution($M353,$N353,$O353,BT353,BU353,BV353,BW353,$E353,$F353,$G353,$H353,$I353))</f>
        <v/>
      </c>
      <c r="BZ353" s="37" t="str">
        <v/>
      </c>
      <c r="CA353" s="37" t="str">
        <v/>
      </c>
      <c r="CB353" s="39" t="str">
        <v/>
      </c>
      <c r="CC353" s="39" t="str">
        <v/>
      </c>
      <c r="CD353" s="37" t="str">
        <v/>
      </c>
      <c r="CE353" s="37" t="str">
        <v/>
      </c>
      <c r="CF353" s="37" t="str">
        <v/>
      </c>
      <c r="CG353" s="37" t="str">
        <v/>
      </c>
      <c r="CH353" s="37" t="str">
        <v/>
      </c>
      <c r="CI353" s="37" t="str">
        <v/>
      </c>
      <c r="CJ353" s="41" t="str">
        <f t="shared" si="208"/>
        <v/>
      </c>
      <c r="CK353" s="41" t="str">
        <f t="shared" si="209"/>
        <v/>
      </c>
      <c r="CL353" s="66" t="str">
        <f t="shared" si="210"/>
        <v/>
      </c>
      <c r="CM353" s="39" t="str">
        <f t="shared" si="211"/>
        <v/>
      </c>
      <c r="CN353" s="39" t="str">
        <f t="shared" si="212"/>
        <v/>
      </c>
      <c r="CO353" s="42" t="str">
        <f t="shared" si="213"/>
        <v/>
      </c>
      <c r="CP353" s="42" t="str">
        <f t="shared" si="214"/>
        <v/>
      </c>
      <c r="CQ353" s="42" t="str">
        <f t="shared" si="215"/>
        <v/>
      </c>
      <c r="CR353" s="42" t="str">
        <f t="shared" si="216"/>
        <v/>
      </c>
      <c r="CS353" s="42" t="str">
        <f t="shared" si="217"/>
        <v/>
      </c>
      <c r="CT353" s="42" t="str">
        <f t="shared" si="218"/>
        <v/>
      </c>
      <c r="CU353" s="43" t="str">
        <f t="shared" si="219"/>
        <v/>
      </c>
      <c r="CV353" s="43" t="str">
        <f t="shared" si="220"/>
        <v/>
      </c>
      <c r="CW353" s="43" t="str">
        <f t="shared" si="221"/>
        <v/>
      </c>
      <c r="CX353" s="13"/>
    </row>
    <row r="354" spans="1:102" x14ac:dyDescent="0.25">
      <c r="A354" s="31"/>
      <c r="B354" s="13"/>
      <c r="C354" s="13"/>
      <c r="D354" s="13"/>
      <c r="E354" s="32"/>
      <c r="F354" s="32"/>
      <c r="G354" s="32"/>
      <c r="H354" s="32"/>
      <c r="I354" s="32"/>
      <c r="J354" s="13"/>
      <c r="K354" s="33"/>
      <c r="L354" s="34" t="str">
        <f>IFERROR(INDEX('Pokemon Data'!A:A,MATCH($A354,'Pokemon Data'!$B:$B,0)),"")</f>
        <v/>
      </c>
      <c r="M354" s="34" t="str">
        <f>IFERROR(INDEX('Pokemon Data'!I:I,MATCH($A354,'Pokemon Data'!$B:$B,0)),"")</f>
        <v/>
      </c>
      <c r="N354" s="34" t="str">
        <f>IFERROR(INDEX('Pokemon Data'!J:J,MATCH($A354,'Pokemon Data'!$B:$B,0)),"")</f>
        <v/>
      </c>
      <c r="O354" s="34" t="str">
        <f>IFERROR(INDEX('Pokemon Data'!K:K,MATCH($A354,'Pokemon Data'!$B:$B,0)),"")</f>
        <v/>
      </c>
      <c r="P354" s="35" t="str">
        <f>IFERROR(INDEX('Level Multipliers'!$A:$A,MATCH($D354,'Level Multipliers'!$B:$B,0)),"")</f>
        <v/>
      </c>
      <c r="Q354" s="36" t="str">
        <f>IFERROR(INDEX('Level Multipliers'!$D:$D,MATCH(P354,'Level Multipliers'!$A:$A,0)),"")</f>
        <v/>
      </c>
      <c r="R354" s="37" t="str">
        <f t="shared" si="185"/>
        <v/>
      </c>
      <c r="S354" s="37" t="str">
        <f t="shared" si="186"/>
        <v/>
      </c>
      <c r="T354" s="38" t="str">
        <f t="shared" si="187"/>
        <v/>
      </c>
      <c r="U354" s="38" t="str">
        <f t="shared" si="188"/>
        <v/>
      </c>
      <c r="V354" s="38" t="b">
        <f t="shared" si="189"/>
        <v>1</v>
      </c>
      <c r="W354" s="37" t="str">
        <f t="array" ref="W354:AG354">IF(V354,"",IVSolution($M354,$N354,$O354,R354,S354,T354,U354,$E354,$F354,$G354,$H354,$I354))</f>
        <v/>
      </c>
      <c r="X354" s="37" t="str">
        <v/>
      </c>
      <c r="Y354" s="37" t="str">
        <v/>
      </c>
      <c r="Z354" s="39" t="str">
        <v/>
      </c>
      <c r="AA354" s="39" t="str">
        <v/>
      </c>
      <c r="AB354" s="37" t="str">
        <v/>
      </c>
      <c r="AC354" s="37" t="str">
        <v/>
      </c>
      <c r="AD354" s="37" t="str">
        <v/>
      </c>
      <c r="AE354" s="37" t="str">
        <v/>
      </c>
      <c r="AF354" s="37" t="str">
        <v/>
      </c>
      <c r="AG354" s="37" t="str">
        <v/>
      </c>
      <c r="AH354" s="40" t="str">
        <f t="shared" si="190"/>
        <v/>
      </c>
      <c r="AI354" s="36" t="str">
        <f>IFERROR(INDEX('Level Multipliers'!$D:$D,MATCH(AH354,'Level Multipliers'!$A:$A,0)),"")</f>
        <v/>
      </c>
      <c r="AJ354" s="37" t="str">
        <f t="shared" si="191"/>
        <v/>
      </c>
      <c r="AK354" s="37" t="str">
        <f t="shared" si="192"/>
        <v/>
      </c>
      <c r="AL354" s="38" t="str">
        <f t="shared" si="193"/>
        <v/>
      </c>
      <c r="AM354" s="38" t="str">
        <f t="shared" si="194"/>
        <v/>
      </c>
      <c r="AN354" s="38" t="b">
        <f t="shared" si="195"/>
        <v>1</v>
      </c>
      <c r="AO354" s="37" t="str">
        <f t="array" ref="AO354:AY354">IF(AN354,"",IVSolution($M354,$N354,$O354,AJ354,AK354,AL354,AM354,$E354,$F354,$G354,$H354,$I354))</f>
        <v/>
      </c>
      <c r="AP354" s="37" t="str">
        <v/>
      </c>
      <c r="AQ354" s="37" t="str">
        <v/>
      </c>
      <c r="AR354" s="39" t="str">
        <v/>
      </c>
      <c r="AS354" s="39" t="str">
        <v/>
      </c>
      <c r="AT354" s="37" t="str">
        <v/>
      </c>
      <c r="AU354" s="37" t="str">
        <v/>
      </c>
      <c r="AV354" s="37" t="str">
        <v/>
      </c>
      <c r="AW354" s="37" t="str">
        <v/>
      </c>
      <c r="AX354" s="37" t="str">
        <v/>
      </c>
      <c r="AY354" s="37" t="str">
        <v/>
      </c>
      <c r="AZ354" s="40" t="str">
        <f t="shared" si="196"/>
        <v/>
      </c>
      <c r="BA354" s="36" t="str">
        <f>IFERROR(INDEX('Level Multipliers'!$D:$D,MATCH(AZ354,'Level Multipliers'!$A:$A,0)),"")</f>
        <v/>
      </c>
      <c r="BB354" s="37" t="str">
        <f t="shared" si="197"/>
        <v/>
      </c>
      <c r="BC354" s="37" t="str">
        <f t="shared" si="198"/>
        <v/>
      </c>
      <c r="BD354" s="38" t="str">
        <f t="shared" si="199"/>
        <v/>
      </c>
      <c r="BE354" s="38" t="str">
        <f t="shared" si="200"/>
        <v/>
      </c>
      <c r="BF354" s="38" t="b">
        <f t="shared" si="201"/>
        <v>1</v>
      </c>
      <c r="BG354" s="37" t="str">
        <f t="array" ref="BG354:BQ354">IF(BF354,"",IVSolution($M354,$N354,$O354,BB354,BC354,BD354,BE354,$E354,$F354,$G354,$H354,$I354))</f>
        <v/>
      </c>
      <c r="BH354" s="37" t="str">
        <v/>
      </c>
      <c r="BI354" s="37" t="str">
        <v/>
      </c>
      <c r="BJ354" s="39" t="str">
        <v/>
      </c>
      <c r="BK354" s="39" t="str">
        <v/>
      </c>
      <c r="BL354" s="37" t="str">
        <v/>
      </c>
      <c r="BM354" s="37" t="str">
        <v/>
      </c>
      <c r="BN354" s="37" t="str">
        <v/>
      </c>
      <c r="BO354" s="37" t="str">
        <v/>
      </c>
      <c r="BP354" s="37" t="str">
        <v/>
      </c>
      <c r="BQ354" s="37" t="str">
        <v/>
      </c>
      <c r="BR354" s="40" t="str">
        <f t="shared" si="202"/>
        <v/>
      </c>
      <c r="BS354" s="36" t="str">
        <f>IFERROR(INDEX('Level Multipliers'!$D:$D,MATCH(BR354,'Level Multipliers'!$A:$A,0)),"")</f>
        <v/>
      </c>
      <c r="BT354" s="37" t="str">
        <f t="shared" si="203"/>
        <v/>
      </c>
      <c r="BU354" s="37" t="str">
        <f t="shared" si="204"/>
        <v/>
      </c>
      <c r="BV354" s="38" t="str">
        <f t="shared" si="205"/>
        <v/>
      </c>
      <c r="BW354" s="38" t="str">
        <f t="shared" si="206"/>
        <v/>
      </c>
      <c r="BX354" s="38" t="b">
        <f t="shared" si="207"/>
        <v>1</v>
      </c>
      <c r="BY354" s="37" t="str">
        <f t="array" ref="BY354:CI354">IF(BX354,"",IVSolution($M354,$N354,$O354,BT354,BU354,BV354,BW354,$E354,$F354,$G354,$H354,$I354))</f>
        <v/>
      </c>
      <c r="BZ354" s="37" t="str">
        <v/>
      </c>
      <c r="CA354" s="37" t="str">
        <v/>
      </c>
      <c r="CB354" s="39" t="str">
        <v/>
      </c>
      <c r="CC354" s="39" t="str">
        <v/>
      </c>
      <c r="CD354" s="37" t="str">
        <v/>
      </c>
      <c r="CE354" s="37" t="str">
        <v/>
      </c>
      <c r="CF354" s="37" t="str">
        <v/>
      </c>
      <c r="CG354" s="37" t="str">
        <v/>
      </c>
      <c r="CH354" s="37" t="str">
        <v/>
      </c>
      <c r="CI354" s="37" t="str">
        <v/>
      </c>
      <c r="CJ354" s="41" t="str">
        <f t="shared" si="208"/>
        <v/>
      </c>
      <c r="CK354" s="41" t="str">
        <f t="shared" si="209"/>
        <v/>
      </c>
      <c r="CL354" s="66" t="str">
        <f t="shared" si="210"/>
        <v/>
      </c>
      <c r="CM354" s="39" t="str">
        <f t="shared" si="211"/>
        <v/>
      </c>
      <c r="CN354" s="39" t="str">
        <f t="shared" si="212"/>
        <v/>
      </c>
      <c r="CO354" s="42" t="str">
        <f t="shared" si="213"/>
        <v/>
      </c>
      <c r="CP354" s="42" t="str">
        <f t="shared" si="214"/>
        <v/>
      </c>
      <c r="CQ354" s="42" t="str">
        <f t="shared" si="215"/>
        <v/>
      </c>
      <c r="CR354" s="42" t="str">
        <f t="shared" si="216"/>
        <v/>
      </c>
      <c r="CS354" s="42" t="str">
        <f t="shared" si="217"/>
        <v/>
      </c>
      <c r="CT354" s="42" t="str">
        <f t="shared" si="218"/>
        <v/>
      </c>
      <c r="CU354" s="43" t="str">
        <f t="shared" si="219"/>
        <v/>
      </c>
      <c r="CV354" s="43" t="str">
        <f t="shared" si="220"/>
        <v/>
      </c>
      <c r="CW354" s="43" t="str">
        <f t="shared" si="221"/>
        <v/>
      </c>
      <c r="CX354" s="13"/>
    </row>
    <row r="355" spans="1:102" x14ac:dyDescent="0.25">
      <c r="A355" s="31"/>
      <c r="B355" s="13"/>
      <c r="C355" s="13"/>
      <c r="D355" s="13"/>
      <c r="E355" s="32"/>
      <c r="F355" s="32"/>
      <c r="G355" s="32"/>
      <c r="H355" s="32"/>
      <c r="I355" s="32"/>
      <c r="J355" s="13"/>
      <c r="K355" s="33"/>
      <c r="L355" s="34" t="str">
        <f>IFERROR(INDEX('Pokemon Data'!A:A,MATCH($A355,'Pokemon Data'!$B:$B,0)),"")</f>
        <v/>
      </c>
      <c r="M355" s="34" t="str">
        <f>IFERROR(INDEX('Pokemon Data'!I:I,MATCH($A355,'Pokemon Data'!$B:$B,0)),"")</f>
        <v/>
      </c>
      <c r="N355" s="34" t="str">
        <f>IFERROR(INDEX('Pokemon Data'!J:J,MATCH($A355,'Pokemon Data'!$B:$B,0)),"")</f>
        <v/>
      </c>
      <c r="O355" s="34" t="str">
        <f>IFERROR(INDEX('Pokemon Data'!K:K,MATCH($A355,'Pokemon Data'!$B:$B,0)),"")</f>
        <v/>
      </c>
      <c r="P355" s="35" t="str">
        <f>IFERROR(INDEX('Level Multipliers'!$A:$A,MATCH($D355,'Level Multipliers'!$B:$B,0)),"")</f>
        <v/>
      </c>
      <c r="Q355" s="36" t="str">
        <f>IFERROR(INDEX('Level Multipliers'!$D:$D,MATCH(P355,'Level Multipliers'!$A:$A,0)),"")</f>
        <v/>
      </c>
      <c r="R355" s="37" t="str">
        <f t="shared" si="185"/>
        <v/>
      </c>
      <c r="S355" s="37" t="str">
        <f t="shared" si="186"/>
        <v/>
      </c>
      <c r="T355" s="38" t="str">
        <f t="shared" si="187"/>
        <v/>
      </c>
      <c r="U355" s="38" t="str">
        <f t="shared" si="188"/>
        <v/>
      </c>
      <c r="V355" s="38" t="b">
        <f t="shared" si="189"/>
        <v>1</v>
      </c>
      <c r="W355" s="37" t="str">
        <f t="array" ref="W355:AG355">IF(V355,"",IVSolution($M355,$N355,$O355,R355,S355,T355,U355,$E355,$F355,$G355,$H355,$I355))</f>
        <v/>
      </c>
      <c r="X355" s="37" t="str">
        <v/>
      </c>
      <c r="Y355" s="37" t="str">
        <v/>
      </c>
      <c r="Z355" s="39" t="str">
        <v/>
      </c>
      <c r="AA355" s="39" t="str">
        <v/>
      </c>
      <c r="AB355" s="37" t="str">
        <v/>
      </c>
      <c r="AC355" s="37" t="str">
        <v/>
      </c>
      <c r="AD355" s="37" t="str">
        <v/>
      </c>
      <c r="AE355" s="37" t="str">
        <v/>
      </c>
      <c r="AF355" s="37" t="str">
        <v/>
      </c>
      <c r="AG355" s="37" t="str">
        <v/>
      </c>
      <c r="AH355" s="40" t="str">
        <f t="shared" si="190"/>
        <v/>
      </c>
      <c r="AI355" s="36" t="str">
        <f>IFERROR(INDEX('Level Multipliers'!$D:$D,MATCH(AH355,'Level Multipliers'!$A:$A,0)),"")</f>
        <v/>
      </c>
      <c r="AJ355" s="37" t="str">
        <f t="shared" si="191"/>
        <v/>
      </c>
      <c r="AK355" s="37" t="str">
        <f t="shared" si="192"/>
        <v/>
      </c>
      <c r="AL355" s="38" t="str">
        <f t="shared" si="193"/>
        <v/>
      </c>
      <c r="AM355" s="38" t="str">
        <f t="shared" si="194"/>
        <v/>
      </c>
      <c r="AN355" s="38" t="b">
        <f t="shared" si="195"/>
        <v>1</v>
      </c>
      <c r="AO355" s="37" t="str">
        <f t="array" ref="AO355:AY355">IF(AN355,"",IVSolution($M355,$N355,$O355,AJ355,AK355,AL355,AM355,$E355,$F355,$G355,$H355,$I355))</f>
        <v/>
      </c>
      <c r="AP355" s="37" t="str">
        <v/>
      </c>
      <c r="AQ355" s="37" t="str">
        <v/>
      </c>
      <c r="AR355" s="39" t="str">
        <v/>
      </c>
      <c r="AS355" s="39" t="str">
        <v/>
      </c>
      <c r="AT355" s="37" t="str">
        <v/>
      </c>
      <c r="AU355" s="37" t="str">
        <v/>
      </c>
      <c r="AV355" s="37" t="str">
        <v/>
      </c>
      <c r="AW355" s="37" t="str">
        <v/>
      </c>
      <c r="AX355" s="37" t="str">
        <v/>
      </c>
      <c r="AY355" s="37" t="str">
        <v/>
      </c>
      <c r="AZ355" s="40" t="str">
        <f t="shared" si="196"/>
        <v/>
      </c>
      <c r="BA355" s="36" t="str">
        <f>IFERROR(INDEX('Level Multipliers'!$D:$D,MATCH(AZ355,'Level Multipliers'!$A:$A,0)),"")</f>
        <v/>
      </c>
      <c r="BB355" s="37" t="str">
        <f t="shared" si="197"/>
        <v/>
      </c>
      <c r="BC355" s="37" t="str">
        <f t="shared" si="198"/>
        <v/>
      </c>
      <c r="BD355" s="38" t="str">
        <f t="shared" si="199"/>
        <v/>
      </c>
      <c r="BE355" s="38" t="str">
        <f t="shared" si="200"/>
        <v/>
      </c>
      <c r="BF355" s="38" t="b">
        <f t="shared" si="201"/>
        <v>1</v>
      </c>
      <c r="BG355" s="37" t="str">
        <f t="array" ref="BG355:BQ355">IF(BF355,"",IVSolution($M355,$N355,$O355,BB355,BC355,BD355,BE355,$E355,$F355,$G355,$H355,$I355))</f>
        <v/>
      </c>
      <c r="BH355" s="37" t="str">
        <v/>
      </c>
      <c r="BI355" s="37" t="str">
        <v/>
      </c>
      <c r="BJ355" s="39" t="str">
        <v/>
      </c>
      <c r="BK355" s="39" t="str">
        <v/>
      </c>
      <c r="BL355" s="37" t="str">
        <v/>
      </c>
      <c r="BM355" s="37" t="str">
        <v/>
      </c>
      <c r="BN355" s="37" t="str">
        <v/>
      </c>
      <c r="BO355" s="37" t="str">
        <v/>
      </c>
      <c r="BP355" s="37" t="str">
        <v/>
      </c>
      <c r="BQ355" s="37" t="str">
        <v/>
      </c>
      <c r="BR355" s="40" t="str">
        <f t="shared" si="202"/>
        <v/>
      </c>
      <c r="BS355" s="36" t="str">
        <f>IFERROR(INDEX('Level Multipliers'!$D:$D,MATCH(BR355,'Level Multipliers'!$A:$A,0)),"")</f>
        <v/>
      </c>
      <c r="BT355" s="37" t="str">
        <f t="shared" si="203"/>
        <v/>
      </c>
      <c r="BU355" s="37" t="str">
        <f t="shared" si="204"/>
        <v/>
      </c>
      <c r="BV355" s="38" t="str">
        <f t="shared" si="205"/>
        <v/>
      </c>
      <c r="BW355" s="38" t="str">
        <f t="shared" si="206"/>
        <v/>
      </c>
      <c r="BX355" s="38" t="b">
        <f t="shared" si="207"/>
        <v>1</v>
      </c>
      <c r="BY355" s="37" t="str">
        <f t="array" ref="BY355:CI355">IF(BX355,"",IVSolution($M355,$N355,$O355,BT355,BU355,BV355,BW355,$E355,$F355,$G355,$H355,$I355))</f>
        <v/>
      </c>
      <c r="BZ355" s="37" t="str">
        <v/>
      </c>
      <c r="CA355" s="37" t="str">
        <v/>
      </c>
      <c r="CB355" s="39" t="str">
        <v/>
      </c>
      <c r="CC355" s="39" t="str">
        <v/>
      </c>
      <c r="CD355" s="37" t="str">
        <v/>
      </c>
      <c r="CE355" s="37" t="str">
        <v/>
      </c>
      <c r="CF355" s="37" t="str">
        <v/>
      </c>
      <c r="CG355" s="37" t="str">
        <v/>
      </c>
      <c r="CH355" s="37" t="str">
        <v/>
      </c>
      <c r="CI355" s="37" t="str">
        <v/>
      </c>
      <c r="CJ355" s="41" t="str">
        <f t="shared" si="208"/>
        <v/>
      </c>
      <c r="CK355" s="41" t="str">
        <f t="shared" si="209"/>
        <v/>
      </c>
      <c r="CL355" s="66" t="str">
        <f t="shared" si="210"/>
        <v/>
      </c>
      <c r="CM355" s="39" t="str">
        <f t="shared" si="211"/>
        <v/>
      </c>
      <c r="CN355" s="39" t="str">
        <f t="shared" si="212"/>
        <v/>
      </c>
      <c r="CO355" s="42" t="str">
        <f t="shared" si="213"/>
        <v/>
      </c>
      <c r="CP355" s="42" t="str">
        <f t="shared" si="214"/>
        <v/>
      </c>
      <c r="CQ355" s="42" t="str">
        <f t="shared" si="215"/>
        <v/>
      </c>
      <c r="CR355" s="42" t="str">
        <f t="shared" si="216"/>
        <v/>
      </c>
      <c r="CS355" s="42" t="str">
        <f t="shared" si="217"/>
        <v/>
      </c>
      <c r="CT355" s="42" t="str">
        <f t="shared" si="218"/>
        <v/>
      </c>
      <c r="CU355" s="43" t="str">
        <f t="shared" si="219"/>
        <v/>
      </c>
      <c r="CV355" s="43" t="str">
        <f t="shared" si="220"/>
        <v/>
      </c>
      <c r="CW355" s="43" t="str">
        <f t="shared" si="221"/>
        <v/>
      </c>
      <c r="CX355" s="13"/>
    </row>
    <row r="356" spans="1:102" x14ac:dyDescent="0.25">
      <c r="A356" s="31"/>
      <c r="B356" s="13"/>
      <c r="C356" s="13"/>
      <c r="D356" s="13"/>
      <c r="E356" s="32"/>
      <c r="F356" s="32"/>
      <c r="G356" s="32"/>
      <c r="H356" s="32"/>
      <c r="I356" s="32"/>
      <c r="J356" s="13"/>
      <c r="K356" s="33"/>
      <c r="L356" s="34" t="str">
        <f>IFERROR(INDEX('Pokemon Data'!A:A,MATCH($A356,'Pokemon Data'!$B:$B,0)),"")</f>
        <v/>
      </c>
      <c r="M356" s="34" t="str">
        <f>IFERROR(INDEX('Pokemon Data'!I:I,MATCH($A356,'Pokemon Data'!$B:$B,0)),"")</f>
        <v/>
      </c>
      <c r="N356" s="34" t="str">
        <f>IFERROR(INDEX('Pokemon Data'!J:J,MATCH($A356,'Pokemon Data'!$B:$B,0)),"")</f>
        <v/>
      </c>
      <c r="O356" s="34" t="str">
        <f>IFERROR(INDEX('Pokemon Data'!K:K,MATCH($A356,'Pokemon Data'!$B:$B,0)),"")</f>
        <v/>
      </c>
      <c r="P356" s="35" t="str">
        <f>IFERROR(INDEX('Level Multipliers'!$A:$A,MATCH($D356,'Level Multipliers'!$B:$B,0)),"")</f>
        <v/>
      </c>
      <c r="Q356" s="36" t="str">
        <f>IFERROR(INDEX('Level Multipliers'!$D:$D,MATCH(P356,'Level Multipliers'!$A:$A,0)),"")</f>
        <v/>
      </c>
      <c r="R356" s="37" t="str">
        <f t="shared" si="185"/>
        <v/>
      </c>
      <c r="S356" s="37" t="str">
        <f t="shared" si="186"/>
        <v/>
      </c>
      <c r="T356" s="38" t="str">
        <f t="shared" si="187"/>
        <v/>
      </c>
      <c r="U356" s="38" t="str">
        <f t="shared" si="188"/>
        <v/>
      </c>
      <c r="V356" s="38" t="b">
        <f t="shared" si="189"/>
        <v>1</v>
      </c>
      <c r="W356" s="37" t="str">
        <f t="array" ref="W356:AG356">IF(V356,"",IVSolution($M356,$N356,$O356,R356,S356,T356,U356,$E356,$F356,$G356,$H356,$I356))</f>
        <v/>
      </c>
      <c r="X356" s="37" t="str">
        <v/>
      </c>
      <c r="Y356" s="37" t="str">
        <v/>
      </c>
      <c r="Z356" s="39" t="str">
        <v/>
      </c>
      <c r="AA356" s="39" t="str">
        <v/>
      </c>
      <c r="AB356" s="37" t="str">
        <v/>
      </c>
      <c r="AC356" s="37" t="str">
        <v/>
      </c>
      <c r="AD356" s="37" t="str">
        <v/>
      </c>
      <c r="AE356" s="37" t="str">
        <v/>
      </c>
      <c r="AF356" s="37" t="str">
        <v/>
      </c>
      <c r="AG356" s="37" t="str">
        <v/>
      </c>
      <c r="AH356" s="40" t="str">
        <f t="shared" si="190"/>
        <v/>
      </c>
      <c r="AI356" s="36" t="str">
        <f>IFERROR(INDEX('Level Multipliers'!$D:$D,MATCH(AH356,'Level Multipliers'!$A:$A,0)),"")</f>
        <v/>
      </c>
      <c r="AJ356" s="37" t="str">
        <f t="shared" si="191"/>
        <v/>
      </c>
      <c r="AK356" s="37" t="str">
        <f t="shared" si="192"/>
        <v/>
      </c>
      <c r="AL356" s="38" t="str">
        <f t="shared" si="193"/>
        <v/>
      </c>
      <c r="AM356" s="38" t="str">
        <f t="shared" si="194"/>
        <v/>
      </c>
      <c r="AN356" s="38" t="b">
        <f t="shared" si="195"/>
        <v>1</v>
      </c>
      <c r="AO356" s="37" t="str">
        <f t="array" ref="AO356:AY356">IF(AN356,"",IVSolution($M356,$N356,$O356,AJ356,AK356,AL356,AM356,$E356,$F356,$G356,$H356,$I356))</f>
        <v/>
      </c>
      <c r="AP356" s="37" t="str">
        <v/>
      </c>
      <c r="AQ356" s="37" t="str">
        <v/>
      </c>
      <c r="AR356" s="39" t="str">
        <v/>
      </c>
      <c r="AS356" s="39" t="str">
        <v/>
      </c>
      <c r="AT356" s="37" t="str">
        <v/>
      </c>
      <c r="AU356" s="37" t="str">
        <v/>
      </c>
      <c r="AV356" s="37" t="str">
        <v/>
      </c>
      <c r="AW356" s="37" t="str">
        <v/>
      </c>
      <c r="AX356" s="37" t="str">
        <v/>
      </c>
      <c r="AY356" s="37" t="str">
        <v/>
      </c>
      <c r="AZ356" s="40" t="str">
        <f t="shared" si="196"/>
        <v/>
      </c>
      <c r="BA356" s="36" t="str">
        <f>IFERROR(INDEX('Level Multipliers'!$D:$D,MATCH(AZ356,'Level Multipliers'!$A:$A,0)),"")</f>
        <v/>
      </c>
      <c r="BB356" s="37" t="str">
        <f t="shared" si="197"/>
        <v/>
      </c>
      <c r="BC356" s="37" t="str">
        <f t="shared" si="198"/>
        <v/>
      </c>
      <c r="BD356" s="38" t="str">
        <f t="shared" si="199"/>
        <v/>
      </c>
      <c r="BE356" s="38" t="str">
        <f t="shared" si="200"/>
        <v/>
      </c>
      <c r="BF356" s="38" t="b">
        <f t="shared" si="201"/>
        <v>1</v>
      </c>
      <c r="BG356" s="37" t="str">
        <f t="array" ref="BG356:BQ356">IF(BF356,"",IVSolution($M356,$N356,$O356,BB356,BC356,BD356,BE356,$E356,$F356,$G356,$H356,$I356))</f>
        <v/>
      </c>
      <c r="BH356" s="37" t="str">
        <v/>
      </c>
      <c r="BI356" s="37" t="str">
        <v/>
      </c>
      <c r="BJ356" s="39" t="str">
        <v/>
      </c>
      <c r="BK356" s="39" t="str">
        <v/>
      </c>
      <c r="BL356" s="37" t="str">
        <v/>
      </c>
      <c r="BM356" s="37" t="str">
        <v/>
      </c>
      <c r="BN356" s="37" t="str">
        <v/>
      </c>
      <c r="BO356" s="37" t="str">
        <v/>
      </c>
      <c r="BP356" s="37" t="str">
        <v/>
      </c>
      <c r="BQ356" s="37" t="str">
        <v/>
      </c>
      <c r="BR356" s="40" t="str">
        <f t="shared" si="202"/>
        <v/>
      </c>
      <c r="BS356" s="36" t="str">
        <f>IFERROR(INDEX('Level Multipliers'!$D:$D,MATCH(BR356,'Level Multipliers'!$A:$A,0)),"")</f>
        <v/>
      </c>
      <c r="BT356" s="37" t="str">
        <f t="shared" si="203"/>
        <v/>
      </c>
      <c r="BU356" s="37" t="str">
        <f t="shared" si="204"/>
        <v/>
      </c>
      <c r="BV356" s="38" t="str">
        <f t="shared" si="205"/>
        <v/>
      </c>
      <c r="BW356" s="38" t="str">
        <f t="shared" si="206"/>
        <v/>
      </c>
      <c r="BX356" s="38" t="b">
        <f t="shared" si="207"/>
        <v>1</v>
      </c>
      <c r="BY356" s="37" t="str">
        <f t="array" ref="BY356:CI356">IF(BX356,"",IVSolution($M356,$N356,$O356,BT356,BU356,BV356,BW356,$E356,$F356,$G356,$H356,$I356))</f>
        <v/>
      </c>
      <c r="BZ356" s="37" t="str">
        <v/>
      </c>
      <c r="CA356" s="37" t="str">
        <v/>
      </c>
      <c r="CB356" s="39" t="str">
        <v/>
      </c>
      <c r="CC356" s="39" t="str">
        <v/>
      </c>
      <c r="CD356" s="37" t="str">
        <v/>
      </c>
      <c r="CE356" s="37" t="str">
        <v/>
      </c>
      <c r="CF356" s="37" t="str">
        <v/>
      </c>
      <c r="CG356" s="37" t="str">
        <v/>
      </c>
      <c r="CH356" s="37" t="str">
        <v/>
      </c>
      <c r="CI356" s="37" t="str">
        <v/>
      </c>
      <c r="CJ356" s="41" t="str">
        <f t="shared" si="208"/>
        <v/>
      </c>
      <c r="CK356" s="41" t="str">
        <f t="shared" si="209"/>
        <v/>
      </c>
      <c r="CL356" s="66" t="str">
        <f t="shared" si="210"/>
        <v/>
      </c>
      <c r="CM356" s="39" t="str">
        <f t="shared" si="211"/>
        <v/>
      </c>
      <c r="CN356" s="39" t="str">
        <f t="shared" si="212"/>
        <v/>
      </c>
      <c r="CO356" s="42" t="str">
        <f t="shared" si="213"/>
        <v/>
      </c>
      <c r="CP356" s="42" t="str">
        <f t="shared" si="214"/>
        <v/>
      </c>
      <c r="CQ356" s="42" t="str">
        <f t="shared" si="215"/>
        <v/>
      </c>
      <c r="CR356" s="42" t="str">
        <f t="shared" si="216"/>
        <v/>
      </c>
      <c r="CS356" s="42" t="str">
        <f t="shared" si="217"/>
        <v/>
      </c>
      <c r="CT356" s="42" t="str">
        <f t="shared" si="218"/>
        <v/>
      </c>
      <c r="CU356" s="43" t="str">
        <f t="shared" si="219"/>
        <v/>
      </c>
      <c r="CV356" s="43" t="str">
        <f t="shared" si="220"/>
        <v/>
      </c>
      <c r="CW356" s="43" t="str">
        <f t="shared" si="221"/>
        <v/>
      </c>
      <c r="CX356" s="13"/>
    </row>
    <row r="357" spans="1:102" x14ac:dyDescent="0.25">
      <c r="A357" s="31"/>
      <c r="B357" s="13"/>
      <c r="C357" s="13"/>
      <c r="D357" s="13"/>
      <c r="E357" s="32"/>
      <c r="F357" s="32"/>
      <c r="G357" s="32"/>
      <c r="H357" s="32"/>
      <c r="I357" s="32"/>
      <c r="J357" s="13"/>
      <c r="K357" s="33"/>
      <c r="L357" s="34" t="str">
        <f>IFERROR(INDEX('Pokemon Data'!A:A,MATCH($A357,'Pokemon Data'!$B:$B,0)),"")</f>
        <v/>
      </c>
      <c r="M357" s="34" t="str">
        <f>IFERROR(INDEX('Pokemon Data'!I:I,MATCH($A357,'Pokemon Data'!$B:$B,0)),"")</f>
        <v/>
      </c>
      <c r="N357" s="34" t="str">
        <f>IFERROR(INDEX('Pokemon Data'!J:J,MATCH($A357,'Pokemon Data'!$B:$B,0)),"")</f>
        <v/>
      </c>
      <c r="O357" s="34" t="str">
        <f>IFERROR(INDEX('Pokemon Data'!K:K,MATCH($A357,'Pokemon Data'!$B:$B,0)),"")</f>
        <v/>
      </c>
      <c r="P357" s="35" t="str">
        <f>IFERROR(INDEX('Level Multipliers'!$A:$A,MATCH($D357,'Level Multipliers'!$B:$B,0)),"")</f>
        <v/>
      </c>
      <c r="Q357" s="36" t="str">
        <f>IFERROR(INDEX('Level Multipliers'!$D:$D,MATCH(P357,'Level Multipliers'!$A:$A,0)),"")</f>
        <v/>
      </c>
      <c r="R357" s="37" t="str">
        <f t="shared" si="185"/>
        <v/>
      </c>
      <c r="S357" s="37" t="str">
        <f t="shared" si="186"/>
        <v/>
      </c>
      <c r="T357" s="38" t="str">
        <f t="shared" si="187"/>
        <v/>
      </c>
      <c r="U357" s="38" t="str">
        <f t="shared" si="188"/>
        <v/>
      </c>
      <c r="V357" s="38" t="b">
        <f t="shared" si="189"/>
        <v>1</v>
      </c>
      <c r="W357" s="37" t="str">
        <f t="array" ref="W357:AG357">IF(V357,"",IVSolution($M357,$N357,$O357,R357,S357,T357,U357,$E357,$F357,$G357,$H357,$I357))</f>
        <v/>
      </c>
      <c r="X357" s="37" t="str">
        <v/>
      </c>
      <c r="Y357" s="37" t="str">
        <v/>
      </c>
      <c r="Z357" s="39" t="str">
        <v/>
      </c>
      <c r="AA357" s="39" t="str">
        <v/>
      </c>
      <c r="AB357" s="37" t="str">
        <v/>
      </c>
      <c r="AC357" s="37" t="str">
        <v/>
      </c>
      <c r="AD357" s="37" t="str">
        <v/>
      </c>
      <c r="AE357" s="37" t="str">
        <v/>
      </c>
      <c r="AF357" s="37" t="str">
        <v/>
      </c>
      <c r="AG357" s="37" t="str">
        <v/>
      </c>
      <c r="AH357" s="40" t="str">
        <f t="shared" si="190"/>
        <v/>
      </c>
      <c r="AI357" s="36" t="str">
        <f>IFERROR(INDEX('Level Multipliers'!$D:$D,MATCH(AH357,'Level Multipliers'!$A:$A,0)),"")</f>
        <v/>
      </c>
      <c r="AJ357" s="37" t="str">
        <f t="shared" si="191"/>
        <v/>
      </c>
      <c r="AK357" s="37" t="str">
        <f t="shared" si="192"/>
        <v/>
      </c>
      <c r="AL357" s="38" t="str">
        <f t="shared" si="193"/>
        <v/>
      </c>
      <c r="AM357" s="38" t="str">
        <f t="shared" si="194"/>
        <v/>
      </c>
      <c r="AN357" s="38" t="b">
        <f t="shared" si="195"/>
        <v>1</v>
      </c>
      <c r="AO357" s="37" t="str">
        <f t="array" ref="AO357:AY357">IF(AN357,"",IVSolution($M357,$N357,$O357,AJ357,AK357,AL357,AM357,$E357,$F357,$G357,$H357,$I357))</f>
        <v/>
      </c>
      <c r="AP357" s="37" t="str">
        <v/>
      </c>
      <c r="AQ357" s="37" t="str">
        <v/>
      </c>
      <c r="AR357" s="39" t="str">
        <v/>
      </c>
      <c r="AS357" s="39" t="str">
        <v/>
      </c>
      <c r="AT357" s="37" t="str">
        <v/>
      </c>
      <c r="AU357" s="37" t="str">
        <v/>
      </c>
      <c r="AV357" s="37" t="str">
        <v/>
      </c>
      <c r="AW357" s="37" t="str">
        <v/>
      </c>
      <c r="AX357" s="37" t="str">
        <v/>
      </c>
      <c r="AY357" s="37" t="str">
        <v/>
      </c>
      <c r="AZ357" s="40" t="str">
        <f t="shared" si="196"/>
        <v/>
      </c>
      <c r="BA357" s="36" t="str">
        <f>IFERROR(INDEX('Level Multipliers'!$D:$D,MATCH(AZ357,'Level Multipliers'!$A:$A,0)),"")</f>
        <v/>
      </c>
      <c r="BB357" s="37" t="str">
        <f t="shared" si="197"/>
        <v/>
      </c>
      <c r="BC357" s="37" t="str">
        <f t="shared" si="198"/>
        <v/>
      </c>
      <c r="BD357" s="38" t="str">
        <f t="shared" si="199"/>
        <v/>
      </c>
      <c r="BE357" s="38" t="str">
        <f t="shared" si="200"/>
        <v/>
      </c>
      <c r="BF357" s="38" t="b">
        <f t="shared" si="201"/>
        <v>1</v>
      </c>
      <c r="BG357" s="37" t="str">
        <f t="array" ref="BG357:BQ357">IF(BF357,"",IVSolution($M357,$N357,$O357,BB357,BC357,BD357,BE357,$E357,$F357,$G357,$H357,$I357))</f>
        <v/>
      </c>
      <c r="BH357" s="37" t="str">
        <v/>
      </c>
      <c r="BI357" s="37" t="str">
        <v/>
      </c>
      <c r="BJ357" s="39" t="str">
        <v/>
      </c>
      <c r="BK357" s="39" t="str">
        <v/>
      </c>
      <c r="BL357" s="37" t="str">
        <v/>
      </c>
      <c r="BM357" s="37" t="str">
        <v/>
      </c>
      <c r="BN357" s="37" t="str">
        <v/>
      </c>
      <c r="BO357" s="37" t="str">
        <v/>
      </c>
      <c r="BP357" s="37" t="str">
        <v/>
      </c>
      <c r="BQ357" s="37" t="str">
        <v/>
      </c>
      <c r="BR357" s="40" t="str">
        <f t="shared" si="202"/>
        <v/>
      </c>
      <c r="BS357" s="36" t="str">
        <f>IFERROR(INDEX('Level Multipliers'!$D:$D,MATCH(BR357,'Level Multipliers'!$A:$A,0)),"")</f>
        <v/>
      </c>
      <c r="BT357" s="37" t="str">
        <f t="shared" si="203"/>
        <v/>
      </c>
      <c r="BU357" s="37" t="str">
        <f t="shared" si="204"/>
        <v/>
      </c>
      <c r="BV357" s="38" t="str">
        <f t="shared" si="205"/>
        <v/>
      </c>
      <c r="BW357" s="38" t="str">
        <f t="shared" si="206"/>
        <v/>
      </c>
      <c r="BX357" s="38" t="b">
        <f t="shared" si="207"/>
        <v>1</v>
      </c>
      <c r="BY357" s="37" t="str">
        <f t="array" ref="BY357:CI357">IF(BX357,"",IVSolution($M357,$N357,$O357,BT357,BU357,BV357,BW357,$E357,$F357,$G357,$H357,$I357))</f>
        <v/>
      </c>
      <c r="BZ357" s="37" t="str">
        <v/>
      </c>
      <c r="CA357" s="37" t="str">
        <v/>
      </c>
      <c r="CB357" s="39" t="str">
        <v/>
      </c>
      <c r="CC357" s="39" t="str">
        <v/>
      </c>
      <c r="CD357" s="37" t="str">
        <v/>
      </c>
      <c r="CE357" s="37" t="str">
        <v/>
      </c>
      <c r="CF357" s="37" t="str">
        <v/>
      </c>
      <c r="CG357" s="37" t="str">
        <v/>
      </c>
      <c r="CH357" s="37" t="str">
        <v/>
      </c>
      <c r="CI357" s="37" t="str">
        <v/>
      </c>
      <c r="CJ357" s="41" t="str">
        <f t="shared" si="208"/>
        <v/>
      </c>
      <c r="CK357" s="41" t="str">
        <f t="shared" si="209"/>
        <v/>
      </c>
      <c r="CL357" s="66" t="str">
        <f t="shared" si="210"/>
        <v/>
      </c>
      <c r="CM357" s="39" t="str">
        <f t="shared" si="211"/>
        <v/>
      </c>
      <c r="CN357" s="39" t="str">
        <f t="shared" si="212"/>
        <v/>
      </c>
      <c r="CO357" s="42" t="str">
        <f t="shared" si="213"/>
        <v/>
      </c>
      <c r="CP357" s="42" t="str">
        <f t="shared" si="214"/>
        <v/>
      </c>
      <c r="CQ357" s="42" t="str">
        <f t="shared" si="215"/>
        <v/>
      </c>
      <c r="CR357" s="42" t="str">
        <f t="shared" si="216"/>
        <v/>
      </c>
      <c r="CS357" s="42" t="str">
        <f t="shared" si="217"/>
        <v/>
      </c>
      <c r="CT357" s="42" t="str">
        <f t="shared" si="218"/>
        <v/>
      </c>
      <c r="CU357" s="43" t="str">
        <f t="shared" si="219"/>
        <v/>
      </c>
      <c r="CV357" s="43" t="str">
        <f t="shared" si="220"/>
        <v/>
      </c>
      <c r="CW357" s="43" t="str">
        <f t="shared" si="221"/>
        <v/>
      </c>
      <c r="CX357" s="13"/>
    </row>
    <row r="358" spans="1:102" x14ac:dyDescent="0.25">
      <c r="A358" s="31"/>
      <c r="B358" s="13"/>
      <c r="C358" s="13"/>
      <c r="D358" s="13"/>
      <c r="E358" s="32"/>
      <c r="F358" s="32"/>
      <c r="G358" s="32"/>
      <c r="H358" s="32"/>
      <c r="I358" s="32"/>
      <c r="J358" s="13"/>
      <c r="K358" s="33"/>
      <c r="L358" s="34" t="str">
        <f>IFERROR(INDEX('Pokemon Data'!A:A,MATCH($A358,'Pokemon Data'!$B:$B,0)),"")</f>
        <v/>
      </c>
      <c r="M358" s="34" t="str">
        <f>IFERROR(INDEX('Pokemon Data'!I:I,MATCH($A358,'Pokemon Data'!$B:$B,0)),"")</f>
        <v/>
      </c>
      <c r="N358" s="34" t="str">
        <f>IFERROR(INDEX('Pokemon Data'!J:J,MATCH($A358,'Pokemon Data'!$B:$B,0)),"")</f>
        <v/>
      </c>
      <c r="O358" s="34" t="str">
        <f>IFERROR(INDEX('Pokemon Data'!K:K,MATCH($A358,'Pokemon Data'!$B:$B,0)),"")</f>
        <v/>
      </c>
      <c r="P358" s="35" t="str">
        <f>IFERROR(INDEX('Level Multipliers'!$A:$A,MATCH($D358,'Level Multipliers'!$B:$B,0)),"")</f>
        <v/>
      </c>
      <c r="Q358" s="36" t="str">
        <f>IFERROR(INDEX('Level Multipliers'!$D:$D,MATCH(P358,'Level Multipliers'!$A:$A,0)),"")</f>
        <v/>
      </c>
      <c r="R358" s="37" t="str">
        <f t="shared" si="185"/>
        <v/>
      </c>
      <c r="S358" s="37" t="str">
        <f t="shared" si="186"/>
        <v/>
      </c>
      <c r="T358" s="38" t="str">
        <f t="shared" si="187"/>
        <v/>
      </c>
      <c r="U358" s="38" t="str">
        <f t="shared" si="188"/>
        <v/>
      </c>
      <c r="V358" s="38" t="b">
        <f t="shared" si="189"/>
        <v>1</v>
      </c>
      <c r="W358" s="37" t="str">
        <f t="array" ref="W358:AG358">IF(V358,"",IVSolution($M358,$N358,$O358,R358,S358,T358,U358,$E358,$F358,$G358,$H358,$I358))</f>
        <v/>
      </c>
      <c r="X358" s="37" t="str">
        <v/>
      </c>
      <c r="Y358" s="37" t="str">
        <v/>
      </c>
      <c r="Z358" s="39" t="str">
        <v/>
      </c>
      <c r="AA358" s="39" t="str">
        <v/>
      </c>
      <c r="AB358" s="37" t="str">
        <v/>
      </c>
      <c r="AC358" s="37" t="str">
        <v/>
      </c>
      <c r="AD358" s="37" t="str">
        <v/>
      </c>
      <c r="AE358" s="37" t="str">
        <v/>
      </c>
      <c r="AF358" s="37" t="str">
        <v/>
      </c>
      <c r="AG358" s="37" t="str">
        <v/>
      </c>
      <c r="AH358" s="40" t="str">
        <f t="shared" si="190"/>
        <v/>
      </c>
      <c r="AI358" s="36" t="str">
        <f>IFERROR(INDEX('Level Multipliers'!$D:$D,MATCH(AH358,'Level Multipliers'!$A:$A,0)),"")</f>
        <v/>
      </c>
      <c r="AJ358" s="37" t="str">
        <f t="shared" si="191"/>
        <v/>
      </c>
      <c r="AK358" s="37" t="str">
        <f t="shared" si="192"/>
        <v/>
      </c>
      <c r="AL358" s="38" t="str">
        <f t="shared" si="193"/>
        <v/>
      </c>
      <c r="AM358" s="38" t="str">
        <f t="shared" si="194"/>
        <v/>
      </c>
      <c r="AN358" s="38" t="b">
        <f t="shared" si="195"/>
        <v>1</v>
      </c>
      <c r="AO358" s="37" t="str">
        <f t="array" ref="AO358:AY358">IF(AN358,"",IVSolution($M358,$N358,$O358,AJ358,AK358,AL358,AM358,$E358,$F358,$G358,$H358,$I358))</f>
        <v/>
      </c>
      <c r="AP358" s="37" t="str">
        <v/>
      </c>
      <c r="AQ358" s="37" t="str">
        <v/>
      </c>
      <c r="AR358" s="39" t="str">
        <v/>
      </c>
      <c r="AS358" s="39" t="str">
        <v/>
      </c>
      <c r="AT358" s="37" t="str">
        <v/>
      </c>
      <c r="AU358" s="37" t="str">
        <v/>
      </c>
      <c r="AV358" s="37" t="str">
        <v/>
      </c>
      <c r="AW358" s="37" t="str">
        <v/>
      </c>
      <c r="AX358" s="37" t="str">
        <v/>
      </c>
      <c r="AY358" s="37" t="str">
        <v/>
      </c>
      <c r="AZ358" s="40" t="str">
        <f t="shared" si="196"/>
        <v/>
      </c>
      <c r="BA358" s="36" t="str">
        <f>IFERROR(INDEX('Level Multipliers'!$D:$D,MATCH(AZ358,'Level Multipliers'!$A:$A,0)),"")</f>
        <v/>
      </c>
      <c r="BB358" s="37" t="str">
        <f t="shared" si="197"/>
        <v/>
      </c>
      <c r="BC358" s="37" t="str">
        <f t="shared" si="198"/>
        <v/>
      </c>
      <c r="BD358" s="38" t="str">
        <f t="shared" si="199"/>
        <v/>
      </c>
      <c r="BE358" s="38" t="str">
        <f t="shared" si="200"/>
        <v/>
      </c>
      <c r="BF358" s="38" t="b">
        <f t="shared" si="201"/>
        <v>1</v>
      </c>
      <c r="BG358" s="37" t="str">
        <f t="array" ref="BG358:BQ358">IF(BF358,"",IVSolution($M358,$N358,$O358,BB358,BC358,BD358,BE358,$E358,$F358,$G358,$H358,$I358))</f>
        <v/>
      </c>
      <c r="BH358" s="37" t="str">
        <v/>
      </c>
      <c r="BI358" s="37" t="str">
        <v/>
      </c>
      <c r="BJ358" s="39" t="str">
        <v/>
      </c>
      <c r="BK358" s="39" t="str">
        <v/>
      </c>
      <c r="BL358" s="37" t="str">
        <v/>
      </c>
      <c r="BM358" s="37" t="str">
        <v/>
      </c>
      <c r="BN358" s="37" t="str">
        <v/>
      </c>
      <c r="BO358" s="37" t="str">
        <v/>
      </c>
      <c r="BP358" s="37" t="str">
        <v/>
      </c>
      <c r="BQ358" s="37" t="str">
        <v/>
      </c>
      <c r="BR358" s="40" t="str">
        <f t="shared" si="202"/>
        <v/>
      </c>
      <c r="BS358" s="36" t="str">
        <f>IFERROR(INDEX('Level Multipliers'!$D:$D,MATCH(BR358,'Level Multipliers'!$A:$A,0)),"")</f>
        <v/>
      </c>
      <c r="BT358" s="37" t="str">
        <f t="shared" si="203"/>
        <v/>
      </c>
      <c r="BU358" s="37" t="str">
        <f t="shared" si="204"/>
        <v/>
      </c>
      <c r="BV358" s="38" t="str">
        <f t="shared" si="205"/>
        <v/>
      </c>
      <c r="BW358" s="38" t="str">
        <f t="shared" si="206"/>
        <v/>
      </c>
      <c r="BX358" s="38" t="b">
        <f t="shared" si="207"/>
        <v>1</v>
      </c>
      <c r="BY358" s="37" t="str">
        <f t="array" ref="BY358:CI358">IF(BX358,"",IVSolution($M358,$N358,$O358,BT358,BU358,BV358,BW358,$E358,$F358,$G358,$H358,$I358))</f>
        <v/>
      </c>
      <c r="BZ358" s="37" t="str">
        <v/>
      </c>
      <c r="CA358" s="37" t="str">
        <v/>
      </c>
      <c r="CB358" s="39" t="str">
        <v/>
      </c>
      <c r="CC358" s="39" t="str">
        <v/>
      </c>
      <c r="CD358" s="37" t="str">
        <v/>
      </c>
      <c r="CE358" s="37" t="str">
        <v/>
      </c>
      <c r="CF358" s="37" t="str">
        <v/>
      </c>
      <c r="CG358" s="37" t="str">
        <v/>
      </c>
      <c r="CH358" s="37" t="str">
        <v/>
      </c>
      <c r="CI358" s="37" t="str">
        <v/>
      </c>
      <c r="CJ358" s="41" t="str">
        <f t="shared" si="208"/>
        <v/>
      </c>
      <c r="CK358" s="41" t="str">
        <f t="shared" si="209"/>
        <v/>
      </c>
      <c r="CL358" s="66" t="str">
        <f t="shared" si="210"/>
        <v/>
      </c>
      <c r="CM358" s="39" t="str">
        <f t="shared" si="211"/>
        <v/>
      </c>
      <c r="CN358" s="39" t="str">
        <f t="shared" si="212"/>
        <v/>
      </c>
      <c r="CO358" s="42" t="str">
        <f t="shared" si="213"/>
        <v/>
      </c>
      <c r="CP358" s="42" t="str">
        <f t="shared" si="214"/>
        <v/>
      </c>
      <c r="CQ358" s="42" t="str">
        <f t="shared" si="215"/>
        <v/>
      </c>
      <c r="CR358" s="42" t="str">
        <f t="shared" si="216"/>
        <v/>
      </c>
      <c r="CS358" s="42" t="str">
        <f t="shared" si="217"/>
        <v/>
      </c>
      <c r="CT358" s="42" t="str">
        <f t="shared" si="218"/>
        <v/>
      </c>
      <c r="CU358" s="43" t="str">
        <f t="shared" si="219"/>
        <v/>
      </c>
      <c r="CV358" s="43" t="str">
        <f t="shared" si="220"/>
        <v/>
      </c>
      <c r="CW358" s="43" t="str">
        <f t="shared" si="221"/>
        <v/>
      </c>
      <c r="CX358" s="13"/>
    </row>
    <row r="359" spans="1:102" x14ac:dyDescent="0.25">
      <c r="A359" s="31"/>
      <c r="B359" s="13"/>
      <c r="C359" s="13"/>
      <c r="D359" s="13"/>
      <c r="E359" s="32"/>
      <c r="F359" s="32"/>
      <c r="G359" s="32"/>
      <c r="H359" s="32"/>
      <c r="I359" s="32"/>
      <c r="J359" s="13"/>
      <c r="K359" s="33"/>
      <c r="L359" s="34" t="str">
        <f>IFERROR(INDEX('Pokemon Data'!A:A,MATCH($A359,'Pokemon Data'!$B:$B,0)),"")</f>
        <v/>
      </c>
      <c r="M359" s="34" t="str">
        <f>IFERROR(INDEX('Pokemon Data'!I:I,MATCH($A359,'Pokemon Data'!$B:$B,0)),"")</f>
        <v/>
      </c>
      <c r="N359" s="34" t="str">
        <f>IFERROR(INDEX('Pokemon Data'!J:J,MATCH($A359,'Pokemon Data'!$B:$B,0)),"")</f>
        <v/>
      </c>
      <c r="O359" s="34" t="str">
        <f>IFERROR(INDEX('Pokemon Data'!K:K,MATCH($A359,'Pokemon Data'!$B:$B,0)),"")</f>
        <v/>
      </c>
      <c r="P359" s="35" t="str">
        <f>IFERROR(INDEX('Level Multipliers'!$A:$A,MATCH($D359,'Level Multipliers'!$B:$B,0)),"")</f>
        <v/>
      </c>
      <c r="Q359" s="36" t="str">
        <f>IFERROR(INDEX('Level Multipliers'!$D:$D,MATCH(P359,'Level Multipliers'!$A:$A,0)),"")</f>
        <v/>
      </c>
      <c r="R359" s="37" t="str">
        <f t="shared" si="185"/>
        <v/>
      </c>
      <c r="S359" s="37" t="str">
        <f t="shared" si="186"/>
        <v/>
      </c>
      <c r="T359" s="38" t="str">
        <f t="shared" si="187"/>
        <v/>
      </c>
      <c r="U359" s="38" t="str">
        <f t="shared" si="188"/>
        <v/>
      </c>
      <c r="V359" s="38" t="b">
        <f t="shared" si="189"/>
        <v>1</v>
      </c>
      <c r="W359" s="37" t="str">
        <f t="array" ref="W359:AG359">IF(V359,"",IVSolution($M359,$N359,$O359,R359,S359,T359,U359,$E359,$F359,$G359,$H359,$I359))</f>
        <v/>
      </c>
      <c r="X359" s="37" t="str">
        <v/>
      </c>
      <c r="Y359" s="37" t="str">
        <v/>
      </c>
      <c r="Z359" s="39" t="str">
        <v/>
      </c>
      <c r="AA359" s="39" t="str">
        <v/>
      </c>
      <c r="AB359" s="37" t="str">
        <v/>
      </c>
      <c r="AC359" s="37" t="str">
        <v/>
      </c>
      <c r="AD359" s="37" t="str">
        <v/>
      </c>
      <c r="AE359" s="37" t="str">
        <v/>
      </c>
      <c r="AF359" s="37" t="str">
        <v/>
      </c>
      <c r="AG359" s="37" t="str">
        <v/>
      </c>
      <c r="AH359" s="40" t="str">
        <f t="shared" si="190"/>
        <v/>
      </c>
      <c r="AI359" s="36" t="str">
        <f>IFERROR(INDEX('Level Multipliers'!$D:$D,MATCH(AH359,'Level Multipliers'!$A:$A,0)),"")</f>
        <v/>
      </c>
      <c r="AJ359" s="37" t="str">
        <f t="shared" si="191"/>
        <v/>
      </c>
      <c r="AK359" s="37" t="str">
        <f t="shared" si="192"/>
        <v/>
      </c>
      <c r="AL359" s="38" t="str">
        <f t="shared" si="193"/>
        <v/>
      </c>
      <c r="AM359" s="38" t="str">
        <f t="shared" si="194"/>
        <v/>
      </c>
      <c r="AN359" s="38" t="b">
        <f t="shared" si="195"/>
        <v>1</v>
      </c>
      <c r="AO359" s="37" t="str">
        <f t="array" ref="AO359:AY359">IF(AN359,"",IVSolution($M359,$N359,$O359,AJ359,AK359,AL359,AM359,$E359,$F359,$G359,$H359,$I359))</f>
        <v/>
      </c>
      <c r="AP359" s="37" t="str">
        <v/>
      </c>
      <c r="AQ359" s="37" t="str">
        <v/>
      </c>
      <c r="AR359" s="39" t="str">
        <v/>
      </c>
      <c r="AS359" s="39" t="str">
        <v/>
      </c>
      <c r="AT359" s="37" t="str">
        <v/>
      </c>
      <c r="AU359" s="37" t="str">
        <v/>
      </c>
      <c r="AV359" s="37" t="str">
        <v/>
      </c>
      <c r="AW359" s="37" t="str">
        <v/>
      </c>
      <c r="AX359" s="37" t="str">
        <v/>
      </c>
      <c r="AY359" s="37" t="str">
        <v/>
      </c>
      <c r="AZ359" s="40" t="str">
        <f t="shared" si="196"/>
        <v/>
      </c>
      <c r="BA359" s="36" t="str">
        <f>IFERROR(INDEX('Level Multipliers'!$D:$D,MATCH(AZ359,'Level Multipliers'!$A:$A,0)),"")</f>
        <v/>
      </c>
      <c r="BB359" s="37" t="str">
        <f t="shared" si="197"/>
        <v/>
      </c>
      <c r="BC359" s="37" t="str">
        <f t="shared" si="198"/>
        <v/>
      </c>
      <c r="BD359" s="38" t="str">
        <f t="shared" si="199"/>
        <v/>
      </c>
      <c r="BE359" s="38" t="str">
        <f t="shared" si="200"/>
        <v/>
      </c>
      <c r="BF359" s="38" t="b">
        <f t="shared" si="201"/>
        <v>1</v>
      </c>
      <c r="BG359" s="37" t="str">
        <f t="array" ref="BG359:BQ359">IF(BF359,"",IVSolution($M359,$N359,$O359,BB359,BC359,BD359,BE359,$E359,$F359,$G359,$H359,$I359))</f>
        <v/>
      </c>
      <c r="BH359" s="37" t="str">
        <v/>
      </c>
      <c r="BI359" s="37" t="str">
        <v/>
      </c>
      <c r="BJ359" s="39" t="str">
        <v/>
      </c>
      <c r="BK359" s="39" t="str">
        <v/>
      </c>
      <c r="BL359" s="37" t="str">
        <v/>
      </c>
      <c r="BM359" s="37" t="str">
        <v/>
      </c>
      <c r="BN359" s="37" t="str">
        <v/>
      </c>
      <c r="BO359" s="37" t="str">
        <v/>
      </c>
      <c r="BP359" s="37" t="str">
        <v/>
      </c>
      <c r="BQ359" s="37" t="str">
        <v/>
      </c>
      <c r="BR359" s="40" t="str">
        <f t="shared" si="202"/>
        <v/>
      </c>
      <c r="BS359" s="36" t="str">
        <f>IFERROR(INDEX('Level Multipliers'!$D:$D,MATCH(BR359,'Level Multipliers'!$A:$A,0)),"")</f>
        <v/>
      </c>
      <c r="BT359" s="37" t="str">
        <f t="shared" si="203"/>
        <v/>
      </c>
      <c r="BU359" s="37" t="str">
        <f t="shared" si="204"/>
        <v/>
      </c>
      <c r="BV359" s="38" t="str">
        <f t="shared" si="205"/>
        <v/>
      </c>
      <c r="BW359" s="38" t="str">
        <f t="shared" si="206"/>
        <v/>
      </c>
      <c r="BX359" s="38" t="b">
        <f t="shared" si="207"/>
        <v>1</v>
      </c>
      <c r="BY359" s="37" t="str">
        <f t="array" ref="BY359:CI359">IF(BX359,"",IVSolution($M359,$N359,$O359,BT359,BU359,BV359,BW359,$E359,$F359,$G359,$H359,$I359))</f>
        <v/>
      </c>
      <c r="BZ359" s="37" t="str">
        <v/>
      </c>
      <c r="CA359" s="37" t="str">
        <v/>
      </c>
      <c r="CB359" s="39" t="str">
        <v/>
      </c>
      <c r="CC359" s="39" t="str">
        <v/>
      </c>
      <c r="CD359" s="37" t="str">
        <v/>
      </c>
      <c r="CE359" s="37" t="str">
        <v/>
      </c>
      <c r="CF359" s="37" t="str">
        <v/>
      </c>
      <c r="CG359" s="37" t="str">
        <v/>
      </c>
      <c r="CH359" s="37" t="str">
        <v/>
      </c>
      <c r="CI359" s="37" t="str">
        <v/>
      </c>
      <c r="CJ359" s="41" t="str">
        <f t="shared" si="208"/>
        <v/>
      </c>
      <c r="CK359" s="41" t="str">
        <f t="shared" si="209"/>
        <v/>
      </c>
      <c r="CL359" s="66" t="str">
        <f t="shared" si="210"/>
        <v/>
      </c>
      <c r="CM359" s="39" t="str">
        <f t="shared" si="211"/>
        <v/>
      </c>
      <c r="CN359" s="39" t="str">
        <f t="shared" si="212"/>
        <v/>
      </c>
      <c r="CO359" s="42" t="str">
        <f t="shared" si="213"/>
        <v/>
      </c>
      <c r="CP359" s="42" t="str">
        <f t="shared" si="214"/>
        <v/>
      </c>
      <c r="CQ359" s="42" t="str">
        <f t="shared" si="215"/>
        <v/>
      </c>
      <c r="CR359" s="42" t="str">
        <f t="shared" si="216"/>
        <v/>
      </c>
      <c r="CS359" s="42" t="str">
        <f t="shared" si="217"/>
        <v/>
      </c>
      <c r="CT359" s="42" t="str">
        <f t="shared" si="218"/>
        <v/>
      </c>
      <c r="CU359" s="43" t="str">
        <f t="shared" si="219"/>
        <v/>
      </c>
      <c r="CV359" s="43" t="str">
        <f t="shared" si="220"/>
        <v/>
      </c>
      <c r="CW359" s="43" t="str">
        <f t="shared" si="221"/>
        <v/>
      </c>
      <c r="CX359" s="13"/>
    </row>
    <row r="360" spans="1:102" x14ac:dyDescent="0.25">
      <c r="A360" s="31"/>
      <c r="B360" s="13"/>
      <c r="C360" s="13"/>
      <c r="D360" s="13"/>
      <c r="E360" s="32"/>
      <c r="F360" s="32"/>
      <c r="G360" s="32"/>
      <c r="H360" s="32"/>
      <c r="I360" s="32"/>
      <c r="J360" s="13"/>
      <c r="K360" s="33"/>
      <c r="L360" s="34" t="str">
        <f>IFERROR(INDEX('Pokemon Data'!A:A,MATCH($A360,'Pokemon Data'!$B:$B,0)),"")</f>
        <v/>
      </c>
      <c r="M360" s="34" t="str">
        <f>IFERROR(INDEX('Pokemon Data'!I:I,MATCH($A360,'Pokemon Data'!$B:$B,0)),"")</f>
        <v/>
      </c>
      <c r="N360" s="34" t="str">
        <f>IFERROR(INDEX('Pokemon Data'!J:J,MATCH($A360,'Pokemon Data'!$B:$B,0)),"")</f>
        <v/>
      </c>
      <c r="O360" s="34" t="str">
        <f>IFERROR(INDEX('Pokemon Data'!K:K,MATCH($A360,'Pokemon Data'!$B:$B,0)),"")</f>
        <v/>
      </c>
      <c r="P360" s="35" t="str">
        <f>IFERROR(INDEX('Level Multipliers'!$A:$A,MATCH($D360,'Level Multipliers'!$B:$B,0)),"")</f>
        <v/>
      </c>
      <c r="Q360" s="36" t="str">
        <f>IFERROR(INDEX('Level Multipliers'!$D:$D,MATCH(P360,'Level Multipliers'!$A:$A,0)),"")</f>
        <v/>
      </c>
      <c r="R360" s="37" t="str">
        <f t="shared" si="185"/>
        <v/>
      </c>
      <c r="S360" s="37" t="str">
        <f t="shared" si="186"/>
        <v/>
      </c>
      <c r="T360" s="38" t="str">
        <f t="shared" si="187"/>
        <v/>
      </c>
      <c r="U360" s="38" t="str">
        <f t="shared" si="188"/>
        <v/>
      </c>
      <c r="V360" s="38" t="b">
        <f t="shared" si="189"/>
        <v>1</v>
      </c>
      <c r="W360" s="37" t="str">
        <f t="array" ref="W360:AG360">IF(V360,"",IVSolution($M360,$N360,$O360,R360,S360,T360,U360,$E360,$F360,$G360,$H360,$I360))</f>
        <v/>
      </c>
      <c r="X360" s="37" t="str">
        <v/>
      </c>
      <c r="Y360" s="37" t="str">
        <v/>
      </c>
      <c r="Z360" s="39" t="str">
        <v/>
      </c>
      <c r="AA360" s="39" t="str">
        <v/>
      </c>
      <c r="AB360" s="37" t="str">
        <v/>
      </c>
      <c r="AC360" s="37" t="str">
        <v/>
      </c>
      <c r="AD360" s="37" t="str">
        <v/>
      </c>
      <c r="AE360" s="37" t="str">
        <v/>
      </c>
      <c r="AF360" s="37" t="str">
        <v/>
      </c>
      <c r="AG360" s="37" t="str">
        <v/>
      </c>
      <c r="AH360" s="40" t="str">
        <f t="shared" si="190"/>
        <v/>
      </c>
      <c r="AI360" s="36" t="str">
        <f>IFERROR(INDEX('Level Multipliers'!$D:$D,MATCH(AH360,'Level Multipliers'!$A:$A,0)),"")</f>
        <v/>
      </c>
      <c r="AJ360" s="37" t="str">
        <f t="shared" si="191"/>
        <v/>
      </c>
      <c r="AK360" s="37" t="str">
        <f t="shared" si="192"/>
        <v/>
      </c>
      <c r="AL360" s="38" t="str">
        <f t="shared" si="193"/>
        <v/>
      </c>
      <c r="AM360" s="38" t="str">
        <f t="shared" si="194"/>
        <v/>
      </c>
      <c r="AN360" s="38" t="b">
        <f t="shared" si="195"/>
        <v>1</v>
      </c>
      <c r="AO360" s="37" t="str">
        <f t="array" ref="AO360:AY360">IF(AN360,"",IVSolution($M360,$N360,$O360,AJ360,AK360,AL360,AM360,$E360,$F360,$G360,$H360,$I360))</f>
        <v/>
      </c>
      <c r="AP360" s="37" t="str">
        <v/>
      </c>
      <c r="AQ360" s="37" t="str">
        <v/>
      </c>
      <c r="AR360" s="39" t="str">
        <v/>
      </c>
      <c r="AS360" s="39" t="str">
        <v/>
      </c>
      <c r="AT360" s="37" t="str">
        <v/>
      </c>
      <c r="AU360" s="37" t="str">
        <v/>
      </c>
      <c r="AV360" s="37" t="str">
        <v/>
      </c>
      <c r="AW360" s="37" t="str">
        <v/>
      </c>
      <c r="AX360" s="37" t="str">
        <v/>
      </c>
      <c r="AY360" s="37" t="str">
        <v/>
      </c>
      <c r="AZ360" s="40" t="str">
        <f t="shared" si="196"/>
        <v/>
      </c>
      <c r="BA360" s="36" t="str">
        <f>IFERROR(INDEX('Level Multipliers'!$D:$D,MATCH(AZ360,'Level Multipliers'!$A:$A,0)),"")</f>
        <v/>
      </c>
      <c r="BB360" s="37" t="str">
        <f t="shared" si="197"/>
        <v/>
      </c>
      <c r="BC360" s="37" t="str">
        <f t="shared" si="198"/>
        <v/>
      </c>
      <c r="BD360" s="38" t="str">
        <f t="shared" si="199"/>
        <v/>
      </c>
      <c r="BE360" s="38" t="str">
        <f t="shared" si="200"/>
        <v/>
      </c>
      <c r="BF360" s="38" t="b">
        <f t="shared" si="201"/>
        <v>1</v>
      </c>
      <c r="BG360" s="37" t="str">
        <f t="array" ref="BG360:BQ360">IF(BF360,"",IVSolution($M360,$N360,$O360,BB360,BC360,BD360,BE360,$E360,$F360,$G360,$H360,$I360))</f>
        <v/>
      </c>
      <c r="BH360" s="37" t="str">
        <v/>
      </c>
      <c r="BI360" s="37" t="str">
        <v/>
      </c>
      <c r="BJ360" s="39" t="str">
        <v/>
      </c>
      <c r="BK360" s="39" t="str">
        <v/>
      </c>
      <c r="BL360" s="37" t="str">
        <v/>
      </c>
      <c r="BM360" s="37" t="str">
        <v/>
      </c>
      <c r="BN360" s="37" t="str">
        <v/>
      </c>
      <c r="BO360" s="37" t="str">
        <v/>
      </c>
      <c r="BP360" s="37" t="str">
        <v/>
      </c>
      <c r="BQ360" s="37" t="str">
        <v/>
      </c>
      <c r="BR360" s="40" t="str">
        <f t="shared" si="202"/>
        <v/>
      </c>
      <c r="BS360" s="36" t="str">
        <f>IFERROR(INDEX('Level Multipliers'!$D:$D,MATCH(BR360,'Level Multipliers'!$A:$A,0)),"")</f>
        <v/>
      </c>
      <c r="BT360" s="37" t="str">
        <f t="shared" si="203"/>
        <v/>
      </c>
      <c r="BU360" s="37" t="str">
        <f t="shared" si="204"/>
        <v/>
      </c>
      <c r="BV360" s="38" t="str">
        <f t="shared" si="205"/>
        <v/>
      </c>
      <c r="BW360" s="38" t="str">
        <f t="shared" si="206"/>
        <v/>
      </c>
      <c r="BX360" s="38" t="b">
        <f t="shared" si="207"/>
        <v>1</v>
      </c>
      <c r="BY360" s="37" t="str">
        <f t="array" ref="BY360:CI360">IF(BX360,"",IVSolution($M360,$N360,$O360,BT360,BU360,BV360,BW360,$E360,$F360,$G360,$H360,$I360))</f>
        <v/>
      </c>
      <c r="BZ360" s="37" t="str">
        <v/>
      </c>
      <c r="CA360" s="37" t="str">
        <v/>
      </c>
      <c r="CB360" s="39" t="str">
        <v/>
      </c>
      <c r="CC360" s="39" t="str">
        <v/>
      </c>
      <c r="CD360" s="37" t="str">
        <v/>
      </c>
      <c r="CE360" s="37" t="str">
        <v/>
      </c>
      <c r="CF360" s="37" t="str">
        <v/>
      </c>
      <c r="CG360" s="37" t="str">
        <v/>
      </c>
      <c r="CH360" s="37" t="str">
        <v/>
      </c>
      <c r="CI360" s="37" t="str">
        <v/>
      </c>
      <c r="CJ360" s="41" t="str">
        <f t="shared" si="208"/>
        <v/>
      </c>
      <c r="CK360" s="41" t="str">
        <f t="shared" si="209"/>
        <v/>
      </c>
      <c r="CL360" s="66" t="str">
        <f t="shared" si="210"/>
        <v/>
      </c>
      <c r="CM360" s="39" t="str">
        <f t="shared" si="211"/>
        <v/>
      </c>
      <c r="CN360" s="39" t="str">
        <f t="shared" si="212"/>
        <v/>
      </c>
      <c r="CO360" s="42" t="str">
        <f t="shared" si="213"/>
        <v/>
      </c>
      <c r="CP360" s="42" t="str">
        <f t="shared" si="214"/>
        <v/>
      </c>
      <c r="CQ360" s="42" t="str">
        <f t="shared" si="215"/>
        <v/>
      </c>
      <c r="CR360" s="42" t="str">
        <f t="shared" si="216"/>
        <v/>
      </c>
      <c r="CS360" s="42" t="str">
        <f t="shared" si="217"/>
        <v/>
      </c>
      <c r="CT360" s="42" t="str">
        <f t="shared" si="218"/>
        <v/>
      </c>
      <c r="CU360" s="43" t="str">
        <f t="shared" si="219"/>
        <v/>
      </c>
      <c r="CV360" s="43" t="str">
        <f t="shared" si="220"/>
        <v/>
      </c>
      <c r="CW360" s="43" t="str">
        <f t="shared" si="221"/>
        <v/>
      </c>
      <c r="CX360" s="13"/>
    </row>
    <row r="361" spans="1:102" x14ac:dyDescent="0.25">
      <c r="A361" s="31"/>
      <c r="B361" s="13"/>
      <c r="C361" s="13"/>
      <c r="D361" s="13"/>
      <c r="E361" s="32"/>
      <c r="F361" s="32"/>
      <c r="G361" s="32"/>
      <c r="H361" s="32"/>
      <c r="I361" s="32"/>
      <c r="J361" s="13"/>
      <c r="K361" s="33"/>
      <c r="L361" s="34" t="str">
        <f>IFERROR(INDEX('Pokemon Data'!A:A,MATCH($A361,'Pokemon Data'!$B:$B,0)),"")</f>
        <v/>
      </c>
      <c r="M361" s="34" t="str">
        <f>IFERROR(INDEX('Pokemon Data'!I:I,MATCH($A361,'Pokemon Data'!$B:$B,0)),"")</f>
        <v/>
      </c>
      <c r="N361" s="34" t="str">
        <f>IFERROR(INDEX('Pokemon Data'!J:J,MATCH($A361,'Pokemon Data'!$B:$B,0)),"")</f>
        <v/>
      </c>
      <c r="O361" s="34" t="str">
        <f>IFERROR(INDEX('Pokemon Data'!K:K,MATCH($A361,'Pokemon Data'!$B:$B,0)),"")</f>
        <v/>
      </c>
      <c r="P361" s="35" t="str">
        <f>IFERROR(INDEX('Level Multipliers'!$A:$A,MATCH($D361,'Level Multipliers'!$B:$B,0)),"")</f>
        <v/>
      </c>
      <c r="Q361" s="36" t="str">
        <f>IFERROR(INDEX('Level Multipliers'!$D:$D,MATCH(P361,'Level Multipliers'!$A:$A,0)),"")</f>
        <v/>
      </c>
      <c r="R361" s="37" t="str">
        <f t="shared" si="185"/>
        <v/>
      </c>
      <c r="S361" s="37" t="str">
        <f t="shared" si="186"/>
        <v/>
      </c>
      <c r="T361" s="38" t="str">
        <f t="shared" si="187"/>
        <v/>
      </c>
      <c r="U361" s="38" t="str">
        <f t="shared" si="188"/>
        <v/>
      </c>
      <c r="V361" s="38" t="b">
        <f t="shared" si="189"/>
        <v>1</v>
      </c>
      <c r="W361" s="37" t="str">
        <f t="array" ref="W361:AG361">IF(V361,"",IVSolution($M361,$N361,$O361,R361,S361,T361,U361,$E361,$F361,$G361,$H361,$I361))</f>
        <v/>
      </c>
      <c r="X361" s="37" t="str">
        <v/>
      </c>
      <c r="Y361" s="37" t="str">
        <v/>
      </c>
      <c r="Z361" s="39" t="str">
        <v/>
      </c>
      <c r="AA361" s="39" t="str">
        <v/>
      </c>
      <c r="AB361" s="37" t="str">
        <v/>
      </c>
      <c r="AC361" s="37" t="str">
        <v/>
      </c>
      <c r="AD361" s="37" t="str">
        <v/>
      </c>
      <c r="AE361" s="37" t="str">
        <v/>
      </c>
      <c r="AF361" s="37" t="str">
        <v/>
      </c>
      <c r="AG361" s="37" t="str">
        <v/>
      </c>
      <c r="AH361" s="40" t="str">
        <f t="shared" si="190"/>
        <v/>
      </c>
      <c r="AI361" s="36" t="str">
        <f>IFERROR(INDEX('Level Multipliers'!$D:$D,MATCH(AH361,'Level Multipliers'!$A:$A,0)),"")</f>
        <v/>
      </c>
      <c r="AJ361" s="37" t="str">
        <f t="shared" si="191"/>
        <v/>
      </c>
      <c r="AK361" s="37" t="str">
        <f t="shared" si="192"/>
        <v/>
      </c>
      <c r="AL361" s="38" t="str">
        <f t="shared" si="193"/>
        <v/>
      </c>
      <c r="AM361" s="38" t="str">
        <f t="shared" si="194"/>
        <v/>
      </c>
      <c r="AN361" s="38" t="b">
        <f t="shared" si="195"/>
        <v>1</v>
      </c>
      <c r="AO361" s="37" t="str">
        <f t="array" ref="AO361:AY361">IF(AN361,"",IVSolution($M361,$N361,$O361,AJ361,AK361,AL361,AM361,$E361,$F361,$G361,$H361,$I361))</f>
        <v/>
      </c>
      <c r="AP361" s="37" t="str">
        <v/>
      </c>
      <c r="AQ361" s="37" t="str">
        <v/>
      </c>
      <c r="AR361" s="39" t="str">
        <v/>
      </c>
      <c r="AS361" s="39" t="str">
        <v/>
      </c>
      <c r="AT361" s="37" t="str">
        <v/>
      </c>
      <c r="AU361" s="37" t="str">
        <v/>
      </c>
      <c r="AV361" s="37" t="str">
        <v/>
      </c>
      <c r="AW361" s="37" t="str">
        <v/>
      </c>
      <c r="AX361" s="37" t="str">
        <v/>
      </c>
      <c r="AY361" s="37" t="str">
        <v/>
      </c>
      <c r="AZ361" s="40" t="str">
        <f t="shared" si="196"/>
        <v/>
      </c>
      <c r="BA361" s="36" t="str">
        <f>IFERROR(INDEX('Level Multipliers'!$D:$D,MATCH(AZ361,'Level Multipliers'!$A:$A,0)),"")</f>
        <v/>
      </c>
      <c r="BB361" s="37" t="str">
        <f t="shared" si="197"/>
        <v/>
      </c>
      <c r="BC361" s="37" t="str">
        <f t="shared" si="198"/>
        <v/>
      </c>
      <c r="BD361" s="38" t="str">
        <f t="shared" si="199"/>
        <v/>
      </c>
      <c r="BE361" s="38" t="str">
        <f t="shared" si="200"/>
        <v/>
      </c>
      <c r="BF361" s="38" t="b">
        <f t="shared" si="201"/>
        <v>1</v>
      </c>
      <c r="BG361" s="37" t="str">
        <f t="array" ref="BG361:BQ361">IF(BF361,"",IVSolution($M361,$N361,$O361,BB361,BC361,BD361,BE361,$E361,$F361,$G361,$H361,$I361))</f>
        <v/>
      </c>
      <c r="BH361" s="37" t="str">
        <v/>
      </c>
      <c r="BI361" s="37" t="str">
        <v/>
      </c>
      <c r="BJ361" s="39" t="str">
        <v/>
      </c>
      <c r="BK361" s="39" t="str">
        <v/>
      </c>
      <c r="BL361" s="37" t="str">
        <v/>
      </c>
      <c r="BM361" s="37" t="str">
        <v/>
      </c>
      <c r="BN361" s="37" t="str">
        <v/>
      </c>
      <c r="BO361" s="37" t="str">
        <v/>
      </c>
      <c r="BP361" s="37" t="str">
        <v/>
      </c>
      <c r="BQ361" s="37" t="str">
        <v/>
      </c>
      <c r="BR361" s="40" t="str">
        <f t="shared" si="202"/>
        <v/>
      </c>
      <c r="BS361" s="36" t="str">
        <f>IFERROR(INDEX('Level Multipliers'!$D:$D,MATCH(BR361,'Level Multipliers'!$A:$A,0)),"")</f>
        <v/>
      </c>
      <c r="BT361" s="37" t="str">
        <f t="shared" si="203"/>
        <v/>
      </c>
      <c r="BU361" s="37" t="str">
        <f t="shared" si="204"/>
        <v/>
      </c>
      <c r="BV361" s="38" t="str">
        <f t="shared" si="205"/>
        <v/>
      </c>
      <c r="BW361" s="38" t="str">
        <f t="shared" si="206"/>
        <v/>
      </c>
      <c r="BX361" s="38" t="b">
        <f t="shared" si="207"/>
        <v>1</v>
      </c>
      <c r="BY361" s="37" t="str">
        <f t="array" ref="BY361:CI361">IF(BX361,"",IVSolution($M361,$N361,$O361,BT361,BU361,BV361,BW361,$E361,$F361,$G361,$H361,$I361))</f>
        <v/>
      </c>
      <c r="BZ361" s="37" t="str">
        <v/>
      </c>
      <c r="CA361" s="37" t="str">
        <v/>
      </c>
      <c r="CB361" s="39" t="str">
        <v/>
      </c>
      <c r="CC361" s="39" t="str">
        <v/>
      </c>
      <c r="CD361" s="37" t="str">
        <v/>
      </c>
      <c r="CE361" s="37" t="str">
        <v/>
      </c>
      <c r="CF361" s="37" t="str">
        <v/>
      </c>
      <c r="CG361" s="37" t="str">
        <v/>
      </c>
      <c r="CH361" s="37" t="str">
        <v/>
      </c>
      <c r="CI361" s="37" t="str">
        <v/>
      </c>
      <c r="CJ361" s="41" t="str">
        <f t="shared" si="208"/>
        <v/>
      </c>
      <c r="CK361" s="41" t="str">
        <f t="shared" si="209"/>
        <v/>
      </c>
      <c r="CL361" s="66" t="str">
        <f t="shared" si="210"/>
        <v/>
      </c>
      <c r="CM361" s="39" t="str">
        <f t="shared" si="211"/>
        <v/>
      </c>
      <c r="CN361" s="39" t="str">
        <f t="shared" si="212"/>
        <v/>
      </c>
      <c r="CO361" s="42" t="str">
        <f t="shared" si="213"/>
        <v/>
      </c>
      <c r="CP361" s="42" t="str">
        <f t="shared" si="214"/>
        <v/>
      </c>
      <c r="CQ361" s="42" t="str">
        <f t="shared" si="215"/>
        <v/>
      </c>
      <c r="CR361" s="42" t="str">
        <f t="shared" si="216"/>
        <v/>
      </c>
      <c r="CS361" s="42" t="str">
        <f t="shared" si="217"/>
        <v/>
      </c>
      <c r="CT361" s="42" t="str">
        <f t="shared" si="218"/>
        <v/>
      </c>
      <c r="CU361" s="43" t="str">
        <f t="shared" si="219"/>
        <v/>
      </c>
      <c r="CV361" s="43" t="str">
        <f t="shared" si="220"/>
        <v/>
      </c>
      <c r="CW361" s="43" t="str">
        <f t="shared" si="221"/>
        <v/>
      </c>
      <c r="CX361" s="13"/>
    </row>
    <row r="362" spans="1:102" x14ac:dyDescent="0.25">
      <c r="A362" s="31"/>
      <c r="B362" s="13"/>
      <c r="C362" s="13"/>
      <c r="D362" s="13"/>
      <c r="E362" s="32"/>
      <c r="F362" s="32"/>
      <c r="G362" s="32"/>
      <c r="H362" s="32"/>
      <c r="I362" s="32"/>
      <c r="J362" s="13"/>
      <c r="K362" s="33"/>
      <c r="L362" s="34" t="str">
        <f>IFERROR(INDEX('Pokemon Data'!A:A,MATCH($A362,'Pokemon Data'!$B:$B,0)),"")</f>
        <v/>
      </c>
      <c r="M362" s="34" t="str">
        <f>IFERROR(INDEX('Pokemon Data'!I:I,MATCH($A362,'Pokemon Data'!$B:$B,0)),"")</f>
        <v/>
      </c>
      <c r="N362" s="34" t="str">
        <f>IFERROR(INDEX('Pokemon Data'!J:J,MATCH($A362,'Pokemon Data'!$B:$B,0)),"")</f>
        <v/>
      </c>
      <c r="O362" s="34" t="str">
        <f>IFERROR(INDEX('Pokemon Data'!K:K,MATCH($A362,'Pokemon Data'!$B:$B,0)),"")</f>
        <v/>
      </c>
      <c r="P362" s="35" t="str">
        <f>IFERROR(INDEX('Level Multipliers'!$A:$A,MATCH($D362,'Level Multipliers'!$B:$B,0)),"")</f>
        <v/>
      </c>
      <c r="Q362" s="36" t="str">
        <f>IFERROR(INDEX('Level Multipliers'!$D:$D,MATCH(P362,'Level Multipliers'!$A:$A,0)),"")</f>
        <v/>
      </c>
      <c r="R362" s="37" t="str">
        <f t="shared" si="185"/>
        <v/>
      </c>
      <c r="S362" s="37" t="str">
        <f t="shared" si="186"/>
        <v/>
      </c>
      <c r="T362" s="38" t="str">
        <f t="shared" si="187"/>
        <v/>
      </c>
      <c r="U362" s="38" t="str">
        <f t="shared" si="188"/>
        <v/>
      </c>
      <c r="V362" s="38" t="b">
        <f t="shared" si="189"/>
        <v>1</v>
      </c>
      <c r="W362" s="37" t="str">
        <f t="array" ref="W362:AG362">IF(V362,"",IVSolution($M362,$N362,$O362,R362,S362,T362,U362,$E362,$F362,$G362,$H362,$I362))</f>
        <v/>
      </c>
      <c r="X362" s="37" t="str">
        <v/>
      </c>
      <c r="Y362" s="37" t="str">
        <v/>
      </c>
      <c r="Z362" s="39" t="str">
        <v/>
      </c>
      <c r="AA362" s="39" t="str">
        <v/>
      </c>
      <c r="AB362" s="37" t="str">
        <v/>
      </c>
      <c r="AC362" s="37" t="str">
        <v/>
      </c>
      <c r="AD362" s="37" t="str">
        <v/>
      </c>
      <c r="AE362" s="37" t="str">
        <v/>
      </c>
      <c r="AF362" s="37" t="str">
        <v/>
      </c>
      <c r="AG362" s="37" t="str">
        <v/>
      </c>
      <c r="AH362" s="40" t="str">
        <f t="shared" si="190"/>
        <v/>
      </c>
      <c r="AI362" s="36" t="str">
        <f>IFERROR(INDEX('Level Multipliers'!$D:$D,MATCH(AH362,'Level Multipliers'!$A:$A,0)),"")</f>
        <v/>
      </c>
      <c r="AJ362" s="37" t="str">
        <f t="shared" si="191"/>
        <v/>
      </c>
      <c r="AK362" s="37" t="str">
        <f t="shared" si="192"/>
        <v/>
      </c>
      <c r="AL362" s="38" t="str">
        <f t="shared" si="193"/>
        <v/>
      </c>
      <c r="AM362" s="38" t="str">
        <f t="shared" si="194"/>
        <v/>
      </c>
      <c r="AN362" s="38" t="b">
        <f t="shared" si="195"/>
        <v>1</v>
      </c>
      <c r="AO362" s="37" t="str">
        <f t="array" ref="AO362:AY362">IF(AN362,"",IVSolution($M362,$N362,$O362,AJ362,AK362,AL362,AM362,$E362,$F362,$G362,$H362,$I362))</f>
        <v/>
      </c>
      <c r="AP362" s="37" t="str">
        <v/>
      </c>
      <c r="AQ362" s="37" t="str">
        <v/>
      </c>
      <c r="AR362" s="39" t="str">
        <v/>
      </c>
      <c r="AS362" s="39" t="str">
        <v/>
      </c>
      <c r="AT362" s="37" t="str">
        <v/>
      </c>
      <c r="AU362" s="37" t="str">
        <v/>
      </c>
      <c r="AV362" s="37" t="str">
        <v/>
      </c>
      <c r="AW362" s="37" t="str">
        <v/>
      </c>
      <c r="AX362" s="37" t="str">
        <v/>
      </c>
      <c r="AY362" s="37" t="str">
        <v/>
      </c>
      <c r="AZ362" s="40" t="str">
        <f t="shared" si="196"/>
        <v/>
      </c>
      <c r="BA362" s="36" t="str">
        <f>IFERROR(INDEX('Level Multipliers'!$D:$D,MATCH(AZ362,'Level Multipliers'!$A:$A,0)),"")</f>
        <v/>
      </c>
      <c r="BB362" s="37" t="str">
        <f t="shared" si="197"/>
        <v/>
      </c>
      <c r="BC362" s="37" t="str">
        <f t="shared" si="198"/>
        <v/>
      </c>
      <c r="BD362" s="38" t="str">
        <f t="shared" si="199"/>
        <v/>
      </c>
      <c r="BE362" s="38" t="str">
        <f t="shared" si="200"/>
        <v/>
      </c>
      <c r="BF362" s="38" t="b">
        <f t="shared" si="201"/>
        <v>1</v>
      </c>
      <c r="BG362" s="37" t="str">
        <f t="array" ref="BG362:BQ362">IF(BF362,"",IVSolution($M362,$N362,$O362,BB362,BC362,BD362,BE362,$E362,$F362,$G362,$H362,$I362))</f>
        <v/>
      </c>
      <c r="BH362" s="37" t="str">
        <v/>
      </c>
      <c r="BI362" s="37" t="str">
        <v/>
      </c>
      <c r="BJ362" s="39" t="str">
        <v/>
      </c>
      <c r="BK362" s="39" t="str">
        <v/>
      </c>
      <c r="BL362" s="37" t="str">
        <v/>
      </c>
      <c r="BM362" s="37" t="str">
        <v/>
      </c>
      <c r="BN362" s="37" t="str">
        <v/>
      </c>
      <c r="BO362" s="37" t="str">
        <v/>
      </c>
      <c r="BP362" s="37" t="str">
        <v/>
      </c>
      <c r="BQ362" s="37" t="str">
        <v/>
      </c>
      <c r="BR362" s="40" t="str">
        <f t="shared" si="202"/>
        <v/>
      </c>
      <c r="BS362" s="36" t="str">
        <f>IFERROR(INDEX('Level Multipliers'!$D:$D,MATCH(BR362,'Level Multipliers'!$A:$A,0)),"")</f>
        <v/>
      </c>
      <c r="BT362" s="37" t="str">
        <f t="shared" si="203"/>
        <v/>
      </c>
      <c r="BU362" s="37" t="str">
        <f t="shared" si="204"/>
        <v/>
      </c>
      <c r="BV362" s="38" t="str">
        <f t="shared" si="205"/>
        <v/>
      </c>
      <c r="BW362" s="38" t="str">
        <f t="shared" si="206"/>
        <v/>
      </c>
      <c r="BX362" s="38" t="b">
        <f t="shared" si="207"/>
        <v>1</v>
      </c>
      <c r="BY362" s="37" t="str">
        <f t="array" ref="BY362:CI362">IF(BX362,"",IVSolution($M362,$N362,$O362,BT362,BU362,BV362,BW362,$E362,$F362,$G362,$H362,$I362))</f>
        <v/>
      </c>
      <c r="BZ362" s="37" t="str">
        <v/>
      </c>
      <c r="CA362" s="37" t="str">
        <v/>
      </c>
      <c r="CB362" s="39" t="str">
        <v/>
      </c>
      <c r="CC362" s="39" t="str">
        <v/>
      </c>
      <c r="CD362" s="37" t="str">
        <v/>
      </c>
      <c r="CE362" s="37" t="str">
        <v/>
      </c>
      <c r="CF362" s="37" t="str">
        <v/>
      </c>
      <c r="CG362" s="37" t="str">
        <v/>
      </c>
      <c r="CH362" s="37" t="str">
        <v/>
      </c>
      <c r="CI362" s="37" t="str">
        <v/>
      </c>
      <c r="CJ362" s="41" t="str">
        <f t="shared" si="208"/>
        <v/>
      </c>
      <c r="CK362" s="41" t="str">
        <f t="shared" si="209"/>
        <v/>
      </c>
      <c r="CL362" s="66" t="str">
        <f t="shared" si="210"/>
        <v/>
      </c>
      <c r="CM362" s="39" t="str">
        <f t="shared" si="211"/>
        <v/>
      </c>
      <c r="CN362" s="39" t="str">
        <f t="shared" si="212"/>
        <v/>
      </c>
      <c r="CO362" s="42" t="str">
        <f t="shared" si="213"/>
        <v/>
      </c>
      <c r="CP362" s="42" t="str">
        <f t="shared" si="214"/>
        <v/>
      </c>
      <c r="CQ362" s="42" t="str">
        <f t="shared" si="215"/>
        <v/>
      </c>
      <c r="CR362" s="42" t="str">
        <f t="shared" si="216"/>
        <v/>
      </c>
      <c r="CS362" s="42" t="str">
        <f t="shared" si="217"/>
        <v/>
      </c>
      <c r="CT362" s="42" t="str">
        <f t="shared" si="218"/>
        <v/>
      </c>
      <c r="CU362" s="43" t="str">
        <f t="shared" si="219"/>
        <v/>
      </c>
      <c r="CV362" s="43" t="str">
        <f t="shared" si="220"/>
        <v/>
      </c>
      <c r="CW362" s="43" t="str">
        <f t="shared" si="221"/>
        <v/>
      </c>
      <c r="CX362" s="13"/>
    </row>
    <row r="363" spans="1:102" x14ac:dyDescent="0.25">
      <c r="A363" s="31"/>
      <c r="B363" s="13"/>
      <c r="C363" s="13"/>
      <c r="D363" s="13"/>
      <c r="E363" s="32"/>
      <c r="F363" s="32"/>
      <c r="G363" s="32"/>
      <c r="H363" s="32"/>
      <c r="I363" s="32"/>
      <c r="J363" s="13"/>
      <c r="K363" s="33"/>
      <c r="L363" s="34" t="str">
        <f>IFERROR(INDEX('Pokemon Data'!A:A,MATCH($A363,'Pokemon Data'!$B:$B,0)),"")</f>
        <v/>
      </c>
      <c r="M363" s="34" t="str">
        <f>IFERROR(INDEX('Pokemon Data'!I:I,MATCH($A363,'Pokemon Data'!$B:$B,0)),"")</f>
        <v/>
      </c>
      <c r="N363" s="34" t="str">
        <f>IFERROR(INDEX('Pokemon Data'!J:J,MATCH($A363,'Pokemon Data'!$B:$B,0)),"")</f>
        <v/>
      </c>
      <c r="O363" s="34" t="str">
        <f>IFERROR(INDEX('Pokemon Data'!K:K,MATCH($A363,'Pokemon Data'!$B:$B,0)),"")</f>
        <v/>
      </c>
      <c r="P363" s="35" t="str">
        <f>IFERROR(INDEX('Level Multipliers'!$A:$A,MATCH($D363,'Level Multipliers'!$B:$B,0)),"")</f>
        <v/>
      </c>
      <c r="Q363" s="36" t="str">
        <f>IFERROR(INDEX('Level Multipliers'!$D:$D,MATCH(P363,'Level Multipliers'!$A:$A,0)),"")</f>
        <v/>
      </c>
      <c r="R363" s="37" t="str">
        <f t="shared" si="185"/>
        <v/>
      </c>
      <c r="S363" s="37" t="str">
        <f t="shared" si="186"/>
        <v/>
      </c>
      <c r="T363" s="38" t="str">
        <f t="shared" si="187"/>
        <v/>
      </c>
      <c r="U363" s="38" t="str">
        <f t="shared" si="188"/>
        <v/>
      </c>
      <c r="V363" s="38" t="b">
        <f t="shared" si="189"/>
        <v>1</v>
      </c>
      <c r="W363" s="37" t="str">
        <f t="array" ref="W363:AG363">IF(V363,"",IVSolution($M363,$N363,$O363,R363,S363,T363,U363,$E363,$F363,$G363,$H363,$I363))</f>
        <v/>
      </c>
      <c r="X363" s="37" t="str">
        <v/>
      </c>
      <c r="Y363" s="37" t="str">
        <v/>
      </c>
      <c r="Z363" s="39" t="str">
        <v/>
      </c>
      <c r="AA363" s="39" t="str">
        <v/>
      </c>
      <c r="AB363" s="37" t="str">
        <v/>
      </c>
      <c r="AC363" s="37" t="str">
        <v/>
      </c>
      <c r="AD363" s="37" t="str">
        <v/>
      </c>
      <c r="AE363" s="37" t="str">
        <v/>
      </c>
      <c r="AF363" s="37" t="str">
        <v/>
      </c>
      <c r="AG363" s="37" t="str">
        <v/>
      </c>
      <c r="AH363" s="40" t="str">
        <f t="shared" si="190"/>
        <v/>
      </c>
      <c r="AI363" s="36" t="str">
        <f>IFERROR(INDEX('Level Multipliers'!$D:$D,MATCH(AH363,'Level Multipliers'!$A:$A,0)),"")</f>
        <v/>
      </c>
      <c r="AJ363" s="37" t="str">
        <f t="shared" si="191"/>
        <v/>
      </c>
      <c r="AK363" s="37" t="str">
        <f t="shared" si="192"/>
        <v/>
      </c>
      <c r="AL363" s="38" t="str">
        <f t="shared" si="193"/>
        <v/>
      </c>
      <c r="AM363" s="38" t="str">
        <f t="shared" si="194"/>
        <v/>
      </c>
      <c r="AN363" s="38" t="b">
        <f t="shared" si="195"/>
        <v>1</v>
      </c>
      <c r="AO363" s="37" t="str">
        <f t="array" ref="AO363:AY363">IF(AN363,"",IVSolution($M363,$N363,$O363,AJ363,AK363,AL363,AM363,$E363,$F363,$G363,$H363,$I363))</f>
        <v/>
      </c>
      <c r="AP363" s="37" t="str">
        <v/>
      </c>
      <c r="AQ363" s="37" t="str">
        <v/>
      </c>
      <c r="AR363" s="39" t="str">
        <v/>
      </c>
      <c r="AS363" s="39" t="str">
        <v/>
      </c>
      <c r="AT363" s="37" t="str">
        <v/>
      </c>
      <c r="AU363" s="37" t="str">
        <v/>
      </c>
      <c r="AV363" s="37" t="str">
        <v/>
      </c>
      <c r="AW363" s="37" t="str">
        <v/>
      </c>
      <c r="AX363" s="37" t="str">
        <v/>
      </c>
      <c r="AY363" s="37" t="str">
        <v/>
      </c>
      <c r="AZ363" s="40" t="str">
        <f t="shared" si="196"/>
        <v/>
      </c>
      <c r="BA363" s="36" t="str">
        <f>IFERROR(INDEX('Level Multipliers'!$D:$D,MATCH(AZ363,'Level Multipliers'!$A:$A,0)),"")</f>
        <v/>
      </c>
      <c r="BB363" s="37" t="str">
        <f t="shared" si="197"/>
        <v/>
      </c>
      <c r="BC363" s="37" t="str">
        <f t="shared" si="198"/>
        <v/>
      </c>
      <c r="BD363" s="38" t="str">
        <f t="shared" si="199"/>
        <v/>
      </c>
      <c r="BE363" s="38" t="str">
        <f t="shared" si="200"/>
        <v/>
      </c>
      <c r="BF363" s="38" t="b">
        <f t="shared" si="201"/>
        <v>1</v>
      </c>
      <c r="BG363" s="37" t="str">
        <f t="array" ref="BG363:BQ363">IF(BF363,"",IVSolution($M363,$N363,$O363,BB363,BC363,BD363,BE363,$E363,$F363,$G363,$H363,$I363))</f>
        <v/>
      </c>
      <c r="BH363" s="37" t="str">
        <v/>
      </c>
      <c r="BI363" s="37" t="str">
        <v/>
      </c>
      <c r="BJ363" s="39" t="str">
        <v/>
      </c>
      <c r="BK363" s="39" t="str">
        <v/>
      </c>
      <c r="BL363" s="37" t="str">
        <v/>
      </c>
      <c r="BM363" s="37" t="str">
        <v/>
      </c>
      <c r="BN363" s="37" t="str">
        <v/>
      </c>
      <c r="BO363" s="37" t="str">
        <v/>
      </c>
      <c r="BP363" s="37" t="str">
        <v/>
      </c>
      <c r="BQ363" s="37" t="str">
        <v/>
      </c>
      <c r="BR363" s="40" t="str">
        <f t="shared" si="202"/>
        <v/>
      </c>
      <c r="BS363" s="36" t="str">
        <f>IFERROR(INDEX('Level Multipliers'!$D:$D,MATCH(BR363,'Level Multipliers'!$A:$A,0)),"")</f>
        <v/>
      </c>
      <c r="BT363" s="37" t="str">
        <f t="shared" si="203"/>
        <v/>
      </c>
      <c r="BU363" s="37" t="str">
        <f t="shared" si="204"/>
        <v/>
      </c>
      <c r="BV363" s="38" t="str">
        <f t="shared" si="205"/>
        <v/>
      </c>
      <c r="BW363" s="38" t="str">
        <f t="shared" si="206"/>
        <v/>
      </c>
      <c r="BX363" s="38" t="b">
        <f t="shared" si="207"/>
        <v>1</v>
      </c>
      <c r="BY363" s="37" t="str">
        <f t="array" ref="BY363:CI363">IF(BX363,"",IVSolution($M363,$N363,$O363,BT363,BU363,BV363,BW363,$E363,$F363,$G363,$H363,$I363))</f>
        <v/>
      </c>
      <c r="BZ363" s="37" t="str">
        <v/>
      </c>
      <c r="CA363" s="37" t="str">
        <v/>
      </c>
      <c r="CB363" s="39" t="str">
        <v/>
      </c>
      <c r="CC363" s="39" t="str">
        <v/>
      </c>
      <c r="CD363" s="37" t="str">
        <v/>
      </c>
      <c r="CE363" s="37" t="str">
        <v/>
      </c>
      <c r="CF363" s="37" t="str">
        <v/>
      </c>
      <c r="CG363" s="37" t="str">
        <v/>
      </c>
      <c r="CH363" s="37" t="str">
        <v/>
      </c>
      <c r="CI363" s="37" t="str">
        <v/>
      </c>
      <c r="CJ363" s="41" t="str">
        <f t="shared" si="208"/>
        <v/>
      </c>
      <c r="CK363" s="41" t="str">
        <f t="shared" si="209"/>
        <v/>
      </c>
      <c r="CL363" s="66" t="str">
        <f t="shared" si="210"/>
        <v/>
      </c>
      <c r="CM363" s="39" t="str">
        <f t="shared" si="211"/>
        <v/>
      </c>
      <c r="CN363" s="39" t="str">
        <f t="shared" si="212"/>
        <v/>
      </c>
      <c r="CO363" s="42" t="str">
        <f t="shared" si="213"/>
        <v/>
      </c>
      <c r="CP363" s="42" t="str">
        <f t="shared" si="214"/>
        <v/>
      </c>
      <c r="CQ363" s="42" t="str">
        <f t="shared" si="215"/>
        <v/>
      </c>
      <c r="CR363" s="42" t="str">
        <f t="shared" si="216"/>
        <v/>
      </c>
      <c r="CS363" s="42" t="str">
        <f t="shared" si="217"/>
        <v/>
      </c>
      <c r="CT363" s="42" t="str">
        <f t="shared" si="218"/>
        <v/>
      </c>
      <c r="CU363" s="43" t="str">
        <f t="shared" si="219"/>
        <v/>
      </c>
      <c r="CV363" s="43" t="str">
        <f t="shared" si="220"/>
        <v/>
      </c>
      <c r="CW363" s="43" t="str">
        <f t="shared" si="221"/>
        <v/>
      </c>
      <c r="CX363" s="13"/>
    </row>
    <row r="364" spans="1:102" x14ac:dyDescent="0.25">
      <c r="A364" s="31"/>
      <c r="B364" s="13"/>
      <c r="C364" s="13"/>
      <c r="D364" s="13"/>
      <c r="E364" s="32"/>
      <c r="F364" s="32"/>
      <c r="G364" s="32"/>
      <c r="H364" s="32"/>
      <c r="I364" s="32"/>
      <c r="J364" s="13"/>
      <c r="K364" s="33"/>
      <c r="L364" s="34" t="str">
        <f>IFERROR(INDEX('Pokemon Data'!A:A,MATCH($A364,'Pokemon Data'!$B:$B,0)),"")</f>
        <v/>
      </c>
      <c r="M364" s="34" t="str">
        <f>IFERROR(INDEX('Pokemon Data'!I:I,MATCH($A364,'Pokemon Data'!$B:$B,0)),"")</f>
        <v/>
      </c>
      <c r="N364" s="34" t="str">
        <f>IFERROR(INDEX('Pokemon Data'!J:J,MATCH($A364,'Pokemon Data'!$B:$B,0)),"")</f>
        <v/>
      </c>
      <c r="O364" s="34" t="str">
        <f>IFERROR(INDEX('Pokemon Data'!K:K,MATCH($A364,'Pokemon Data'!$B:$B,0)),"")</f>
        <v/>
      </c>
      <c r="P364" s="35" t="str">
        <f>IFERROR(INDEX('Level Multipliers'!$A:$A,MATCH($D364,'Level Multipliers'!$B:$B,0)),"")</f>
        <v/>
      </c>
      <c r="Q364" s="36" t="str">
        <f>IFERROR(INDEX('Level Multipliers'!$D:$D,MATCH(P364,'Level Multipliers'!$A:$A,0)),"")</f>
        <v/>
      </c>
      <c r="R364" s="37" t="str">
        <f t="shared" si="185"/>
        <v/>
      </c>
      <c r="S364" s="37" t="str">
        <f t="shared" si="186"/>
        <v/>
      </c>
      <c r="T364" s="38" t="str">
        <f t="shared" si="187"/>
        <v/>
      </c>
      <c r="U364" s="38" t="str">
        <f t="shared" si="188"/>
        <v/>
      </c>
      <c r="V364" s="38" t="b">
        <f t="shared" si="189"/>
        <v>1</v>
      </c>
      <c r="W364" s="37" t="str">
        <f t="array" ref="W364:AG364">IF(V364,"",IVSolution($M364,$N364,$O364,R364,S364,T364,U364,$E364,$F364,$G364,$H364,$I364))</f>
        <v/>
      </c>
      <c r="X364" s="37" t="str">
        <v/>
      </c>
      <c r="Y364" s="37" t="str">
        <v/>
      </c>
      <c r="Z364" s="39" t="str">
        <v/>
      </c>
      <c r="AA364" s="39" t="str">
        <v/>
      </c>
      <c r="AB364" s="37" t="str">
        <v/>
      </c>
      <c r="AC364" s="37" t="str">
        <v/>
      </c>
      <c r="AD364" s="37" t="str">
        <v/>
      </c>
      <c r="AE364" s="37" t="str">
        <v/>
      </c>
      <c r="AF364" s="37" t="str">
        <v/>
      </c>
      <c r="AG364" s="37" t="str">
        <v/>
      </c>
      <c r="AH364" s="40" t="str">
        <f t="shared" si="190"/>
        <v/>
      </c>
      <c r="AI364" s="36" t="str">
        <f>IFERROR(INDEX('Level Multipliers'!$D:$D,MATCH(AH364,'Level Multipliers'!$A:$A,0)),"")</f>
        <v/>
      </c>
      <c r="AJ364" s="37" t="str">
        <f t="shared" si="191"/>
        <v/>
      </c>
      <c r="AK364" s="37" t="str">
        <f t="shared" si="192"/>
        <v/>
      </c>
      <c r="AL364" s="38" t="str">
        <f t="shared" si="193"/>
        <v/>
      </c>
      <c r="AM364" s="38" t="str">
        <f t="shared" si="194"/>
        <v/>
      </c>
      <c r="AN364" s="38" t="b">
        <f t="shared" si="195"/>
        <v>1</v>
      </c>
      <c r="AO364" s="37" t="str">
        <f t="array" ref="AO364:AY364">IF(AN364,"",IVSolution($M364,$N364,$O364,AJ364,AK364,AL364,AM364,$E364,$F364,$G364,$H364,$I364))</f>
        <v/>
      </c>
      <c r="AP364" s="37" t="str">
        <v/>
      </c>
      <c r="AQ364" s="37" t="str">
        <v/>
      </c>
      <c r="AR364" s="39" t="str">
        <v/>
      </c>
      <c r="AS364" s="39" t="str">
        <v/>
      </c>
      <c r="AT364" s="37" t="str">
        <v/>
      </c>
      <c r="AU364" s="37" t="str">
        <v/>
      </c>
      <c r="AV364" s="37" t="str">
        <v/>
      </c>
      <c r="AW364" s="37" t="str">
        <v/>
      </c>
      <c r="AX364" s="37" t="str">
        <v/>
      </c>
      <c r="AY364" s="37" t="str">
        <v/>
      </c>
      <c r="AZ364" s="40" t="str">
        <f t="shared" si="196"/>
        <v/>
      </c>
      <c r="BA364" s="36" t="str">
        <f>IFERROR(INDEX('Level Multipliers'!$D:$D,MATCH(AZ364,'Level Multipliers'!$A:$A,0)),"")</f>
        <v/>
      </c>
      <c r="BB364" s="37" t="str">
        <f t="shared" si="197"/>
        <v/>
      </c>
      <c r="BC364" s="37" t="str">
        <f t="shared" si="198"/>
        <v/>
      </c>
      <c r="BD364" s="38" t="str">
        <f t="shared" si="199"/>
        <v/>
      </c>
      <c r="BE364" s="38" t="str">
        <f t="shared" si="200"/>
        <v/>
      </c>
      <c r="BF364" s="38" t="b">
        <f t="shared" si="201"/>
        <v>1</v>
      </c>
      <c r="BG364" s="37" t="str">
        <f t="array" ref="BG364:BQ364">IF(BF364,"",IVSolution($M364,$N364,$O364,BB364,BC364,BD364,BE364,$E364,$F364,$G364,$H364,$I364))</f>
        <v/>
      </c>
      <c r="BH364" s="37" t="str">
        <v/>
      </c>
      <c r="BI364" s="37" t="str">
        <v/>
      </c>
      <c r="BJ364" s="39" t="str">
        <v/>
      </c>
      <c r="BK364" s="39" t="str">
        <v/>
      </c>
      <c r="BL364" s="37" t="str">
        <v/>
      </c>
      <c r="BM364" s="37" t="str">
        <v/>
      </c>
      <c r="BN364" s="37" t="str">
        <v/>
      </c>
      <c r="BO364" s="37" t="str">
        <v/>
      </c>
      <c r="BP364" s="37" t="str">
        <v/>
      </c>
      <c r="BQ364" s="37" t="str">
        <v/>
      </c>
      <c r="BR364" s="40" t="str">
        <f t="shared" si="202"/>
        <v/>
      </c>
      <c r="BS364" s="36" t="str">
        <f>IFERROR(INDEX('Level Multipliers'!$D:$D,MATCH(BR364,'Level Multipliers'!$A:$A,0)),"")</f>
        <v/>
      </c>
      <c r="BT364" s="37" t="str">
        <f t="shared" si="203"/>
        <v/>
      </c>
      <c r="BU364" s="37" t="str">
        <f t="shared" si="204"/>
        <v/>
      </c>
      <c r="BV364" s="38" t="str">
        <f t="shared" si="205"/>
        <v/>
      </c>
      <c r="BW364" s="38" t="str">
        <f t="shared" si="206"/>
        <v/>
      </c>
      <c r="BX364" s="38" t="b">
        <f t="shared" si="207"/>
        <v>1</v>
      </c>
      <c r="BY364" s="37" t="str">
        <f t="array" ref="BY364:CI364">IF(BX364,"",IVSolution($M364,$N364,$O364,BT364,BU364,BV364,BW364,$E364,$F364,$G364,$H364,$I364))</f>
        <v/>
      </c>
      <c r="BZ364" s="37" t="str">
        <v/>
      </c>
      <c r="CA364" s="37" t="str">
        <v/>
      </c>
      <c r="CB364" s="39" t="str">
        <v/>
      </c>
      <c r="CC364" s="39" t="str">
        <v/>
      </c>
      <c r="CD364" s="37" t="str">
        <v/>
      </c>
      <c r="CE364" s="37" t="str">
        <v/>
      </c>
      <c r="CF364" s="37" t="str">
        <v/>
      </c>
      <c r="CG364" s="37" t="str">
        <v/>
      </c>
      <c r="CH364" s="37" t="str">
        <v/>
      </c>
      <c r="CI364" s="37" t="str">
        <v/>
      </c>
      <c r="CJ364" s="41" t="str">
        <f t="shared" si="208"/>
        <v/>
      </c>
      <c r="CK364" s="41" t="str">
        <f t="shared" si="209"/>
        <v/>
      </c>
      <c r="CL364" s="66" t="str">
        <f t="shared" si="210"/>
        <v/>
      </c>
      <c r="CM364" s="39" t="str">
        <f t="shared" si="211"/>
        <v/>
      </c>
      <c r="CN364" s="39" t="str">
        <f t="shared" si="212"/>
        <v/>
      </c>
      <c r="CO364" s="42" t="str">
        <f t="shared" si="213"/>
        <v/>
      </c>
      <c r="CP364" s="42" t="str">
        <f t="shared" si="214"/>
        <v/>
      </c>
      <c r="CQ364" s="42" t="str">
        <f t="shared" si="215"/>
        <v/>
      </c>
      <c r="CR364" s="42" t="str">
        <f t="shared" si="216"/>
        <v/>
      </c>
      <c r="CS364" s="42" t="str">
        <f t="shared" si="217"/>
        <v/>
      </c>
      <c r="CT364" s="42" t="str">
        <f t="shared" si="218"/>
        <v/>
      </c>
      <c r="CU364" s="43" t="str">
        <f t="shared" si="219"/>
        <v/>
      </c>
      <c r="CV364" s="43" t="str">
        <f t="shared" si="220"/>
        <v/>
      </c>
      <c r="CW364" s="43" t="str">
        <f t="shared" si="221"/>
        <v/>
      </c>
      <c r="CX364" s="13"/>
    </row>
    <row r="365" spans="1:102" x14ac:dyDescent="0.25">
      <c r="A365" s="31"/>
      <c r="B365" s="13"/>
      <c r="C365" s="13"/>
      <c r="D365" s="13"/>
      <c r="E365" s="32"/>
      <c r="F365" s="32"/>
      <c r="G365" s="32"/>
      <c r="H365" s="32"/>
      <c r="I365" s="32"/>
      <c r="J365" s="13"/>
      <c r="K365" s="33"/>
      <c r="L365" s="34" t="str">
        <f>IFERROR(INDEX('Pokemon Data'!A:A,MATCH($A365,'Pokemon Data'!$B:$B,0)),"")</f>
        <v/>
      </c>
      <c r="M365" s="34" t="str">
        <f>IFERROR(INDEX('Pokemon Data'!I:I,MATCH($A365,'Pokemon Data'!$B:$B,0)),"")</f>
        <v/>
      </c>
      <c r="N365" s="34" t="str">
        <f>IFERROR(INDEX('Pokemon Data'!J:J,MATCH($A365,'Pokemon Data'!$B:$B,0)),"")</f>
        <v/>
      </c>
      <c r="O365" s="34" t="str">
        <f>IFERROR(INDEX('Pokemon Data'!K:K,MATCH($A365,'Pokemon Data'!$B:$B,0)),"")</f>
        <v/>
      </c>
      <c r="P365" s="35" t="str">
        <f>IFERROR(INDEX('Level Multipliers'!$A:$A,MATCH($D365,'Level Multipliers'!$B:$B,0)),"")</f>
        <v/>
      </c>
      <c r="Q365" s="36" t="str">
        <f>IFERROR(INDEX('Level Multipliers'!$D:$D,MATCH(P365,'Level Multipliers'!$A:$A,0)),"")</f>
        <v/>
      </c>
      <c r="R365" s="37" t="str">
        <f t="shared" si="185"/>
        <v/>
      </c>
      <c r="S365" s="37" t="str">
        <f t="shared" si="186"/>
        <v/>
      </c>
      <c r="T365" s="38" t="str">
        <f t="shared" si="187"/>
        <v/>
      </c>
      <c r="U365" s="38" t="str">
        <f t="shared" si="188"/>
        <v/>
      </c>
      <c r="V365" s="38" t="b">
        <f t="shared" si="189"/>
        <v>1</v>
      </c>
      <c r="W365" s="37" t="str">
        <f t="array" ref="W365:AG365">IF(V365,"",IVSolution($M365,$N365,$O365,R365,S365,T365,U365,$E365,$F365,$G365,$H365,$I365))</f>
        <v/>
      </c>
      <c r="X365" s="37" t="str">
        <v/>
      </c>
      <c r="Y365" s="37" t="str">
        <v/>
      </c>
      <c r="Z365" s="39" t="str">
        <v/>
      </c>
      <c r="AA365" s="39" t="str">
        <v/>
      </c>
      <c r="AB365" s="37" t="str">
        <v/>
      </c>
      <c r="AC365" s="37" t="str">
        <v/>
      </c>
      <c r="AD365" s="37" t="str">
        <v/>
      </c>
      <c r="AE365" s="37" t="str">
        <v/>
      </c>
      <c r="AF365" s="37" t="str">
        <v/>
      </c>
      <c r="AG365" s="37" t="str">
        <v/>
      </c>
      <c r="AH365" s="40" t="str">
        <f t="shared" si="190"/>
        <v/>
      </c>
      <c r="AI365" s="36" t="str">
        <f>IFERROR(INDEX('Level Multipliers'!$D:$D,MATCH(AH365,'Level Multipliers'!$A:$A,0)),"")</f>
        <v/>
      </c>
      <c r="AJ365" s="37" t="str">
        <f t="shared" si="191"/>
        <v/>
      </c>
      <c r="AK365" s="37" t="str">
        <f t="shared" si="192"/>
        <v/>
      </c>
      <c r="AL365" s="38" t="str">
        <f t="shared" si="193"/>
        <v/>
      </c>
      <c r="AM365" s="38" t="str">
        <f t="shared" si="194"/>
        <v/>
      </c>
      <c r="AN365" s="38" t="b">
        <f t="shared" si="195"/>
        <v>1</v>
      </c>
      <c r="AO365" s="37" t="str">
        <f t="array" ref="AO365:AY365">IF(AN365,"",IVSolution($M365,$N365,$O365,AJ365,AK365,AL365,AM365,$E365,$F365,$G365,$H365,$I365))</f>
        <v/>
      </c>
      <c r="AP365" s="37" t="str">
        <v/>
      </c>
      <c r="AQ365" s="37" t="str">
        <v/>
      </c>
      <c r="AR365" s="39" t="str">
        <v/>
      </c>
      <c r="AS365" s="39" t="str">
        <v/>
      </c>
      <c r="AT365" s="37" t="str">
        <v/>
      </c>
      <c r="AU365" s="37" t="str">
        <v/>
      </c>
      <c r="AV365" s="37" t="str">
        <v/>
      </c>
      <c r="AW365" s="37" t="str">
        <v/>
      </c>
      <c r="AX365" s="37" t="str">
        <v/>
      </c>
      <c r="AY365" s="37" t="str">
        <v/>
      </c>
      <c r="AZ365" s="40" t="str">
        <f t="shared" si="196"/>
        <v/>
      </c>
      <c r="BA365" s="36" t="str">
        <f>IFERROR(INDEX('Level Multipliers'!$D:$D,MATCH(AZ365,'Level Multipliers'!$A:$A,0)),"")</f>
        <v/>
      </c>
      <c r="BB365" s="37" t="str">
        <f t="shared" si="197"/>
        <v/>
      </c>
      <c r="BC365" s="37" t="str">
        <f t="shared" si="198"/>
        <v/>
      </c>
      <c r="BD365" s="38" t="str">
        <f t="shared" si="199"/>
        <v/>
      </c>
      <c r="BE365" s="38" t="str">
        <f t="shared" si="200"/>
        <v/>
      </c>
      <c r="BF365" s="38" t="b">
        <f t="shared" si="201"/>
        <v>1</v>
      </c>
      <c r="BG365" s="37" t="str">
        <f t="array" ref="BG365:BQ365">IF(BF365,"",IVSolution($M365,$N365,$O365,BB365,BC365,BD365,BE365,$E365,$F365,$G365,$H365,$I365))</f>
        <v/>
      </c>
      <c r="BH365" s="37" t="str">
        <v/>
      </c>
      <c r="BI365" s="37" t="str">
        <v/>
      </c>
      <c r="BJ365" s="39" t="str">
        <v/>
      </c>
      <c r="BK365" s="39" t="str">
        <v/>
      </c>
      <c r="BL365" s="37" t="str">
        <v/>
      </c>
      <c r="BM365" s="37" t="str">
        <v/>
      </c>
      <c r="BN365" s="37" t="str">
        <v/>
      </c>
      <c r="BO365" s="37" t="str">
        <v/>
      </c>
      <c r="BP365" s="37" t="str">
        <v/>
      </c>
      <c r="BQ365" s="37" t="str">
        <v/>
      </c>
      <c r="BR365" s="40" t="str">
        <f t="shared" si="202"/>
        <v/>
      </c>
      <c r="BS365" s="36" t="str">
        <f>IFERROR(INDEX('Level Multipliers'!$D:$D,MATCH(BR365,'Level Multipliers'!$A:$A,0)),"")</f>
        <v/>
      </c>
      <c r="BT365" s="37" t="str">
        <f t="shared" si="203"/>
        <v/>
      </c>
      <c r="BU365" s="37" t="str">
        <f t="shared" si="204"/>
        <v/>
      </c>
      <c r="BV365" s="38" t="str">
        <f t="shared" si="205"/>
        <v/>
      </c>
      <c r="BW365" s="38" t="str">
        <f t="shared" si="206"/>
        <v/>
      </c>
      <c r="BX365" s="38" t="b">
        <f t="shared" si="207"/>
        <v>1</v>
      </c>
      <c r="BY365" s="37" t="str">
        <f t="array" ref="BY365:CI365">IF(BX365,"",IVSolution($M365,$N365,$O365,BT365,BU365,BV365,BW365,$E365,$F365,$G365,$H365,$I365))</f>
        <v/>
      </c>
      <c r="BZ365" s="37" t="str">
        <v/>
      </c>
      <c r="CA365" s="37" t="str">
        <v/>
      </c>
      <c r="CB365" s="39" t="str">
        <v/>
      </c>
      <c r="CC365" s="39" t="str">
        <v/>
      </c>
      <c r="CD365" s="37" t="str">
        <v/>
      </c>
      <c r="CE365" s="37" t="str">
        <v/>
      </c>
      <c r="CF365" s="37" t="str">
        <v/>
      </c>
      <c r="CG365" s="37" t="str">
        <v/>
      </c>
      <c r="CH365" s="37" t="str">
        <v/>
      </c>
      <c r="CI365" s="37" t="str">
        <v/>
      </c>
      <c r="CJ365" s="41" t="str">
        <f t="shared" si="208"/>
        <v/>
      </c>
      <c r="CK365" s="41" t="str">
        <f t="shared" si="209"/>
        <v/>
      </c>
      <c r="CL365" s="66" t="str">
        <f t="shared" si="210"/>
        <v/>
      </c>
      <c r="CM365" s="39" t="str">
        <f t="shared" si="211"/>
        <v/>
      </c>
      <c r="CN365" s="39" t="str">
        <f t="shared" si="212"/>
        <v/>
      </c>
      <c r="CO365" s="42" t="str">
        <f t="shared" si="213"/>
        <v/>
      </c>
      <c r="CP365" s="42" t="str">
        <f t="shared" si="214"/>
        <v/>
      </c>
      <c r="CQ365" s="42" t="str">
        <f t="shared" si="215"/>
        <v/>
      </c>
      <c r="CR365" s="42" t="str">
        <f t="shared" si="216"/>
        <v/>
      </c>
      <c r="CS365" s="42" t="str">
        <f t="shared" si="217"/>
        <v/>
      </c>
      <c r="CT365" s="42" t="str">
        <f t="shared" si="218"/>
        <v/>
      </c>
      <c r="CU365" s="43" t="str">
        <f t="shared" si="219"/>
        <v/>
      </c>
      <c r="CV365" s="43" t="str">
        <f t="shared" si="220"/>
        <v/>
      </c>
      <c r="CW365" s="43" t="str">
        <f t="shared" si="221"/>
        <v/>
      </c>
      <c r="CX365" s="13"/>
    </row>
    <row r="366" spans="1:102" x14ac:dyDescent="0.25">
      <c r="A366" s="31"/>
      <c r="B366" s="13"/>
      <c r="C366" s="13"/>
      <c r="D366" s="13"/>
      <c r="E366" s="32"/>
      <c r="F366" s="32"/>
      <c r="G366" s="32"/>
      <c r="H366" s="32"/>
      <c r="I366" s="32"/>
      <c r="J366" s="13"/>
      <c r="K366" s="33"/>
      <c r="L366" s="34" t="str">
        <f>IFERROR(INDEX('Pokemon Data'!A:A,MATCH($A366,'Pokemon Data'!$B:$B,0)),"")</f>
        <v/>
      </c>
      <c r="M366" s="34" t="str">
        <f>IFERROR(INDEX('Pokemon Data'!I:I,MATCH($A366,'Pokemon Data'!$B:$B,0)),"")</f>
        <v/>
      </c>
      <c r="N366" s="34" t="str">
        <f>IFERROR(INDEX('Pokemon Data'!J:J,MATCH($A366,'Pokemon Data'!$B:$B,0)),"")</f>
        <v/>
      </c>
      <c r="O366" s="34" t="str">
        <f>IFERROR(INDEX('Pokemon Data'!K:K,MATCH($A366,'Pokemon Data'!$B:$B,0)),"")</f>
        <v/>
      </c>
      <c r="P366" s="35" t="str">
        <f>IFERROR(INDEX('Level Multipliers'!$A:$A,MATCH($D366,'Level Multipliers'!$B:$B,0)),"")</f>
        <v/>
      </c>
      <c r="Q366" s="36" t="str">
        <f>IFERROR(INDEX('Level Multipliers'!$D:$D,MATCH(P366,'Level Multipliers'!$A:$A,0)),"")</f>
        <v/>
      </c>
      <c r="R366" s="37" t="str">
        <f t="shared" si="185"/>
        <v/>
      </c>
      <c r="S366" s="37" t="str">
        <f t="shared" si="186"/>
        <v/>
      </c>
      <c r="T366" s="38" t="str">
        <f t="shared" si="187"/>
        <v/>
      </c>
      <c r="U366" s="38" t="str">
        <f t="shared" si="188"/>
        <v/>
      </c>
      <c r="V366" s="38" t="b">
        <f t="shared" si="189"/>
        <v>1</v>
      </c>
      <c r="W366" s="37" t="str">
        <f t="array" ref="W366:AG366">IF(V366,"",IVSolution($M366,$N366,$O366,R366,S366,T366,U366,$E366,$F366,$G366,$H366,$I366))</f>
        <v/>
      </c>
      <c r="X366" s="37" t="str">
        <v/>
      </c>
      <c r="Y366" s="37" t="str">
        <v/>
      </c>
      <c r="Z366" s="39" t="str">
        <v/>
      </c>
      <c r="AA366" s="39" t="str">
        <v/>
      </c>
      <c r="AB366" s="37" t="str">
        <v/>
      </c>
      <c r="AC366" s="37" t="str">
        <v/>
      </c>
      <c r="AD366" s="37" t="str">
        <v/>
      </c>
      <c r="AE366" s="37" t="str">
        <v/>
      </c>
      <c r="AF366" s="37" t="str">
        <v/>
      </c>
      <c r="AG366" s="37" t="str">
        <v/>
      </c>
      <c r="AH366" s="40" t="str">
        <f t="shared" si="190"/>
        <v/>
      </c>
      <c r="AI366" s="36" t="str">
        <f>IFERROR(INDEX('Level Multipliers'!$D:$D,MATCH(AH366,'Level Multipliers'!$A:$A,0)),"")</f>
        <v/>
      </c>
      <c r="AJ366" s="37" t="str">
        <f t="shared" si="191"/>
        <v/>
      </c>
      <c r="AK366" s="37" t="str">
        <f t="shared" si="192"/>
        <v/>
      </c>
      <c r="AL366" s="38" t="str">
        <f t="shared" si="193"/>
        <v/>
      </c>
      <c r="AM366" s="38" t="str">
        <f t="shared" si="194"/>
        <v/>
      </c>
      <c r="AN366" s="38" t="b">
        <f t="shared" si="195"/>
        <v>1</v>
      </c>
      <c r="AO366" s="37" t="str">
        <f t="array" ref="AO366:AY366">IF(AN366,"",IVSolution($M366,$N366,$O366,AJ366,AK366,AL366,AM366,$E366,$F366,$G366,$H366,$I366))</f>
        <v/>
      </c>
      <c r="AP366" s="37" t="str">
        <v/>
      </c>
      <c r="AQ366" s="37" t="str">
        <v/>
      </c>
      <c r="AR366" s="39" t="str">
        <v/>
      </c>
      <c r="AS366" s="39" t="str">
        <v/>
      </c>
      <c r="AT366" s="37" t="str">
        <v/>
      </c>
      <c r="AU366" s="37" t="str">
        <v/>
      </c>
      <c r="AV366" s="37" t="str">
        <v/>
      </c>
      <c r="AW366" s="37" t="str">
        <v/>
      </c>
      <c r="AX366" s="37" t="str">
        <v/>
      </c>
      <c r="AY366" s="37" t="str">
        <v/>
      </c>
      <c r="AZ366" s="40" t="str">
        <f t="shared" si="196"/>
        <v/>
      </c>
      <c r="BA366" s="36" t="str">
        <f>IFERROR(INDEX('Level Multipliers'!$D:$D,MATCH(AZ366,'Level Multipliers'!$A:$A,0)),"")</f>
        <v/>
      </c>
      <c r="BB366" s="37" t="str">
        <f t="shared" si="197"/>
        <v/>
      </c>
      <c r="BC366" s="37" t="str">
        <f t="shared" si="198"/>
        <v/>
      </c>
      <c r="BD366" s="38" t="str">
        <f t="shared" si="199"/>
        <v/>
      </c>
      <c r="BE366" s="38" t="str">
        <f t="shared" si="200"/>
        <v/>
      </c>
      <c r="BF366" s="38" t="b">
        <f t="shared" si="201"/>
        <v>1</v>
      </c>
      <c r="BG366" s="37" t="str">
        <f t="array" ref="BG366:BQ366">IF(BF366,"",IVSolution($M366,$N366,$O366,BB366,BC366,BD366,BE366,$E366,$F366,$G366,$H366,$I366))</f>
        <v/>
      </c>
      <c r="BH366" s="37" t="str">
        <v/>
      </c>
      <c r="BI366" s="37" t="str">
        <v/>
      </c>
      <c r="BJ366" s="39" t="str">
        <v/>
      </c>
      <c r="BK366" s="39" t="str">
        <v/>
      </c>
      <c r="BL366" s="37" t="str">
        <v/>
      </c>
      <c r="BM366" s="37" t="str">
        <v/>
      </c>
      <c r="BN366" s="37" t="str">
        <v/>
      </c>
      <c r="BO366" s="37" t="str">
        <v/>
      </c>
      <c r="BP366" s="37" t="str">
        <v/>
      </c>
      <c r="BQ366" s="37" t="str">
        <v/>
      </c>
      <c r="BR366" s="40" t="str">
        <f t="shared" si="202"/>
        <v/>
      </c>
      <c r="BS366" s="36" t="str">
        <f>IFERROR(INDEX('Level Multipliers'!$D:$D,MATCH(BR366,'Level Multipliers'!$A:$A,0)),"")</f>
        <v/>
      </c>
      <c r="BT366" s="37" t="str">
        <f t="shared" si="203"/>
        <v/>
      </c>
      <c r="BU366" s="37" t="str">
        <f t="shared" si="204"/>
        <v/>
      </c>
      <c r="BV366" s="38" t="str">
        <f t="shared" si="205"/>
        <v/>
      </c>
      <c r="BW366" s="38" t="str">
        <f t="shared" si="206"/>
        <v/>
      </c>
      <c r="BX366" s="38" t="b">
        <f t="shared" si="207"/>
        <v>1</v>
      </c>
      <c r="BY366" s="37" t="str">
        <f t="array" ref="BY366:CI366">IF(BX366,"",IVSolution($M366,$N366,$O366,BT366,BU366,BV366,BW366,$E366,$F366,$G366,$H366,$I366))</f>
        <v/>
      </c>
      <c r="BZ366" s="37" t="str">
        <v/>
      </c>
      <c r="CA366" s="37" t="str">
        <v/>
      </c>
      <c r="CB366" s="39" t="str">
        <v/>
      </c>
      <c r="CC366" s="39" t="str">
        <v/>
      </c>
      <c r="CD366" s="37" t="str">
        <v/>
      </c>
      <c r="CE366" s="37" t="str">
        <v/>
      </c>
      <c r="CF366" s="37" t="str">
        <v/>
      </c>
      <c r="CG366" s="37" t="str">
        <v/>
      </c>
      <c r="CH366" s="37" t="str">
        <v/>
      </c>
      <c r="CI366" s="37" t="str">
        <v/>
      </c>
      <c r="CJ366" s="41" t="str">
        <f t="shared" si="208"/>
        <v/>
      </c>
      <c r="CK366" s="41" t="str">
        <f t="shared" si="209"/>
        <v/>
      </c>
      <c r="CL366" s="66" t="str">
        <f t="shared" si="210"/>
        <v/>
      </c>
      <c r="CM366" s="39" t="str">
        <f t="shared" si="211"/>
        <v/>
      </c>
      <c r="CN366" s="39" t="str">
        <f t="shared" si="212"/>
        <v/>
      </c>
      <c r="CO366" s="42" t="str">
        <f t="shared" si="213"/>
        <v/>
      </c>
      <c r="CP366" s="42" t="str">
        <f t="shared" si="214"/>
        <v/>
      </c>
      <c r="CQ366" s="42" t="str">
        <f t="shared" si="215"/>
        <v/>
      </c>
      <c r="CR366" s="42" t="str">
        <f t="shared" si="216"/>
        <v/>
      </c>
      <c r="CS366" s="42" t="str">
        <f t="shared" si="217"/>
        <v/>
      </c>
      <c r="CT366" s="42" t="str">
        <f t="shared" si="218"/>
        <v/>
      </c>
      <c r="CU366" s="43" t="str">
        <f t="shared" si="219"/>
        <v/>
      </c>
      <c r="CV366" s="43" t="str">
        <f t="shared" si="220"/>
        <v/>
      </c>
      <c r="CW366" s="43" t="str">
        <f t="shared" si="221"/>
        <v/>
      </c>
      <c r="CX366" s="13"/>
    </row>
    <row r="367" spans="1:102" x14ac:dyDescent="0.25">
      <c r="A367" s="31"/>
      <c r="B367" s="13"/>
      <c r="C367" s="13"/>
      <c r="D367" s="13"/>
      <c r="E367" s="32"/>
      <c r="F367" s="32"/>
      <c r="G367" s="32"/>
      <c r="H367" s="32"/>
      <c r="I367" s="32"/>
      <c r="J367" s="13"/>
      <c r="K367" s="33"/>
      <c r="L367" s="34" t="str">
        <f>IFERROR(INDEX('Pokemon Data'!A:A,MATCH($A367,'Pokemon Data'!$B:$B,0)),"")</f>
        <v/>
      </c>
      <c r="M367" s="34" t="str">
        <f>IFERROR(INDEX('Pokemon Data'!I:I,MATCH($A367,'Pokemon Data'!$B:$B,0)),"")</f>
        <v/>
      </c>
      <c r="N367" s="34" t="str">
        <f>IFERROR(INDEX('Pokemon Data'!J:J,MATCH($A367,'Pokemon Data'!$B:$B,0)),"")</f>
        <v/>
      </c>
      <c r="O367" s="34" t="str">
        <f>IFERROR(INDEX('Pokemon Data'!K:K,MATCH($A367,'Pokemon Data'!$B:$B,0)),"")</f>
        <v/>
      </c>
      <c r="P367" s="35" t="str">
        <f>IFERROR(INDEX('Level Multipliers'!$A:$A,MATCH($D367,'Level Multipliers'!$B:$B,0)),"")</f>
        <v/>
      </c>
      <c r="Q367" s="36" t="str">
        <f>IFERROR(INDEX('Level Multipliers'!$D:$D,MATCH(P367,'Level Multipliers'!$A:$A,0)),"")</f>
        <v/>
      </c>
      <c r="R367" s="37" t="str">
        <f t="shared" si="185"/>
        <v/>
      </c>
      <c r="S367" s="37" t="str">
        <f t="shared" si="186"/>
        <v/>
      </c>
      <c r="T367" s="38" t="str">
        <f t="shared" si="187"/>
        <v/>
      </c>
      <c r="U367" s="38" t="str">
        <f t="shared" si="188"/>
        <v/>
      </c>
      <c r="V367" s="38" t="b">
        <f t="shared" si="189"/>
        <v>1</v>
      </c>
      <c r="W367" s="37" t="str">
        <f t="array" ref="W367:AG367">IF(V367,"",IVSolution($M367,$N367,$O367,R367,S367,T367,U367,$E367,$F367,$G367,$H367,$I367))</f>
        <v/>
      </c>
      <c r="X367" s="37" t="str">
        <v/>
      </c>
      <c r="Y367" s="37" t="str">
        <v/>
      </c>
      <c r="Z367" s="39" t="str">
        <v/>
      </c>
      <c r="AA367" s="39" t="str">
        <v/>
      </c>
      <c r="AB367" s="37" t="str">
        <v/>
      </c>
      <c r="AC367" s="37" t="str">
        <v/>
      </c>
      <c r="AD367" s="37" t="str">
        <v/>
      </c>
      <c r="AE367" s="37" t="str">
        <v/>
      </c>
      <c r="AF367" s="37" t="str">
        <v/>
      </c>
      <c r="AG367" s="37" t="str">
        <v/>
      </c>
      <c r="AH367" s="40" t="str">
        <f t="shared" si="190"/>
        <v/>
      </c>
      <c r="AI367" s="36" t="str">
        <f>IFERROR(INDEX('Level Multipliers'!$D:$D,MATCH(AH367,'Level Multipliers'!$A:$A,0)),"")</f>
        <v/>
      </c>
      <c r="AJ367" s="37" t="str">
        <f t="shared" si="191"/>
        <v/>
      </c>
      <c r="AK367" s="37" t="str">
        <f t="shared" si="192"/>
        <v/>
      </c>
      <c r="AL367" s="38" t="str">
        <f t="shared" si="193"/>
        <v/>
      </c>
      <c r="AM367" s="38" t="str">
        <f t="shared" si="194"/>
        <v/>
      </c>
      <c r="AN367" s="38" t="b">
        <f t="shared" si="195"/>
        <v>1</v>
      </c>
      <c r="AO367" s="37" t="str">
        <f t="array" ref="AO367:AY367">IF(AN367,"",IVSolution($M367,$N367,$O367,AJ367,AK367,AL367,AM367,$E367,$F367,$G367,$H367,$I367))</f>
        <v/>
      </c>
      <c r="AP367" s="37" t="str">
        <v/>
      </c>
      <c r="AQ367" s="37" t="str">
        <v/>
      </c>
      <c r="AR367" s="39" t="str">
        <v/>
      </c>
      <c r="AS367" s="39" t="str">
        <v/>
      </c>
      <c r="AT367" s="37" t="str">
        <v/>
      </c>
      <c r="AU367" s="37" t="str">
        <v/>
      </c>
      <c r="AV367" s="37" t="str">
        <v/>
      </c>
      <c r="AW367" s="37" t="str">
        <v/>
      </c>
      <c r="AX367" s="37" t="str">
        <v/>
      </c>
      <c r="AY367" s="37" t="str">
        <v/>
      </c>
      <c r="AZ367" s="40" t="str">
        <f t="shared" si="196"/>
        <v/>
      </c>
      <c r="BA367" s="36" t="str">
        <f>IFERROR(INDEX('Level Multipliers'!$D:$D,MATCH(AZ367,'Level Multipliers'!$A:$A,0)),"")</f>
        <v/>
      </c>
      <c r="BB367" s="37" t="str">
        <f t="shared" si="197"/>
        <v/>
      </c>
      <c r="BC367" s="37" t="str">
        <f t="shared" si="198"/>
        <v/>
      </c>
      <c r="BD367" s="38" t="str">
        <f t="shared" si="199"/>
        <v/>
      </c>
      <c r="BE367" s="38" t="str">
        <f t="shared" si="200"/>
        <v/>
      </c>
      <c r="BF367" s="38" t="b">
        <f t="shared" si="201"/>
        <v>1</v>
      </c>
      <c r="BG367" s="37" t="str">
        <f t="array" ref="BG367:BQ367">IF(BF367,"",IVSolution($M367,$N367,$O367,BB367,BC367,BD367,BE367,$E367,$F367,$G367,$H367,$I367))</f>
        <v/>
      </c>
      <c r="BH367" s="37" t="str">
        <v/>
      </c>
      <c r="BI367" s="37" t="str">
        <v/>
      </c>
      <c r="BJ367" s="39" t="str">
        <v/>
      </c>
      <c r="BK367" s="39" t="str">
        <v/>
      </c>
      <c r="BL367" s="37" t="str">
        <v/>
      </c>
      <c r="BM367" s="37" t="str">
        <v/>
      </c>
      <c r="BN367" s="37" t="str">
        <v/>
      </c>
      <c r="BO367" s="37" t="str">
        <v/>
      </c>
      <c r="BP367" s="37" t="str">
        <v/>
      </c>
      <c r="BQ367" s="37" t="str">
        <v/>
      </c>
      <c r="BR367" s="40" t="str">
        <f t="shared" si="202"/>
        <v/>
      </c>
      <c r="BS367" s="36" t="str">
        <f>IFERROR(INDEX('Level Multipliers'!$D:$D,MATCH(BR367,'Level Multipliers'!$A:$A,0)),"")</f>
        <v/>
      </c>
      <c r="BT367" s="37" t="str">
        <f t="shared" si="203"/>
        <v/>
      </c>
      <c r="BU367" s="37" t="str">
        <f t="shared" si="204"/>
        <v/>
      </c>
      <c r="BV367" s="38" t="str">
        <f t="shared" si="205"/>
        <v/>
      </c>
      <c r="BW367" s="38" t="str">
        <f t="shared" si="206"/>
        <v/>
      </c>
      <c r="BX367" s="38" t="b">
        <f t="shared" si="207"/>
        <v>1</v>
      </c>
      <c r="BY367" s="37" t="str">
        <f t="array" ref="BY367:CI367">IF(BX367,"",IVSolution($M367,$N367,$O367,BT367,BU367,BV367,BW367,$E367,$F367,$G367,$H367,$I367))</f>
        <v/>
      </c>
      <c r="BZ367" s="37" t="str">
        <v/>
      </c>
      <c r="CA367" s="37" t="str">
        <v/>
      </c>
      <c r="CB367" s="39" t="str">
        <v/>
      </c>
      <c r="CC367" s="39" t="str">
        <v/>
      </c>
      <c r="CD367" s="37" t="str">
        <v/>
      </c>
      <c r="CE367" s="37" t="str">
        <v/>
      </c>
      <c r="CF367" s="37" t="str">
        <v/>
      </c>
      <c r="CG367" s="37" t="str">
        <v/>
      </c>
      <c r="CH367" s="37" t="str">
        <v/>
      </c>
      <c r="CI367" s="37" t="str">
        <v/>
      </c>
      <c r="CJ367" s="41" t="str">
        <f t="shared" si="208"/>
        <v/>
      </c>
      <c r="CK367" s="41" t="str">
        <f t="shared" si="209"/>
        <v/>
      </c>
      <c r="CL367" s="66" t="str">
        <f t="shared" si="210"/>
        <v/>
      </c>
      <c r="CM367" s="39" t="str">
        <f t="shared" si="211"/>
        <v/>
      </c>
      <c r="CN367" s="39" t="str">
        <f t="shared" si="212"/>
        <v/>
      </c>
      <c r="CO367" s="42" t="str">
        <f t="shared" si="213"/>
        <v/>
      </c>
      <c r="CP367" s="42" t="str">
        <f t="shared" si="214"/>
        <v/>
      </c>
      <c r="CQ367" s="42" t="str">
        <f t="shared" si="215"/>
        <v/>
      </c>
      <c r="CR367" s="42" t="str">
        <f t="shared" si="216"/>
        <v/>
      </c>
      <c r="CS367" s="42" t="str">
        <f t="shared" si="217"/>
        <v/>
      </c>
      <c r="CT367" s="42" t="str">
        <f t="shared" si="218"/>
        <v/>
      </c>
      <c r="CU367" s="43" t="str">
        <f t="shared" si="219"/>
        <v/>
      </c>
      <c r="CV367" s="43" t="str">
        <f t="shared" si="220"/>
        <v/>
      </c>
      <c r="CW367" s="43" t="str">
        <f t="shared" si="221"/>
        <v/>
      </c>
      <c r="CX367" s="13"/>
    </row>
    <row r="368" spans="1:102" x14ac:dyDescent="0.25">
      <c r="A368" s="31"/>
      <c r="B368" s="13"/>
      <c r="C368" s="13"/>
      <c r="D368" s="13"/>
      <c r="E368" s="32"/>
      <c r="F368" s="32"/>
      <c r="G368" s="32"/>
      <c r="H368" s="32"/>
      <c r="I368" s="32"/>
      <c r="J368" s="13"/>
      <c r="K368" s="33"/>
      <c r="L368" s="34" t="str">
        <f>IFERROR(INDEX('Pokemon Data'!A:A,MATCH($A368,'Pokemon Data'!$B:$B,0)),"")</f>
        <v/>
      </c>
      <c r="M368" s="34" t="str">
        <f>IFERROR(INDEX('Pokemon Data'!I:I,MATCH($A368,'Pokemon Data'!$B:$B,0)),"")</f>
        <v/>
      </c>
      <c r="N368" s="34" t="str">
        <f>IFERROR(INDEX('Pokemon Data'!J:J,MATCH($A368,'Pokemon Data'!$B:$B,0)),"")</f>
        <v/>
      </c>
      <c r="O368" s="34" t="str">
        <f>IFERROR(INDEX('Pokemon Data'!K:K,MATCH($A368,'Pokemon Data'!$B:$B,0)),"")</f>
        <v/>
      </c>
      <c r="P368" s="35" t="str">
        <f>IFERROR(INDEX('Level Multipliers'!$A:$A,MATCH($D368,'Level Multipliers'!$B:$B,0)),"")</f>
        <v/>
      </c>
      <c r="Q368" s="36" t="str">
        <f>IFERROR(INDEX('Level Multipliers'!$D:$D,MATCH(P368,'Level Multipliers'!$A:$A,0)),"")</f>
        <v/>
      </c>
      <c r="R368" s="37" t="str">
        <f t="shared" si="185"/>
        <v/>
      </c>
      <c r="S368" s="37" t="str">
        <f t="shared" si="186"/>
        <v/>
      </c>
      <c r="T368" s="38" t="str">
        <f t="shared" si="187"/>
        <v/>
      </c>
      <c r="U368" s="38" t="str">
        <f t="shared" si="188"/>
        <v/>
      </c>
      <c r="V368" s="38" t="b">
        <f t="shared" si="189"/>
        <v>1</v>
      </c>
      <c r="W368" s="37" t="str">
        <f t="array" ref="W368:AG368">IF(V368,"",IVSolution($M368,$N368,$O368,R368,S368,T368,U368,$E368,$F368,$G368,$H368,$I368))</f>
        <v/>
      </c>
      <c r="X368" s="37" t="str">
        <v/>
      </c>
      <c r="Y368" s="37" t="str">
        <v/>
      </c>
      <c r="Z368" s="39" t="str">
        <v/>
      </c>
      <c r="AA368" s="39" t="str">
        <v/>
      </c>
      <c r="AB368" s="37" t="str">
        <v/>
      </c>
      <c r="AC368" s="37" t="str">
        <v/>
      </c>
      <c r="AD368" s="37" t="str">
        <v/>
      </c>
      <c r="AE368" s="37" t="str">
        <v/>
      </c>
      <c r="AF368" s="37" t="str">
        <v/>
      </c>
      <c r="AG368" s="37" t="str">
        <v/>
      </c>
      <c r="AH368" s="40" t="str">
        <f t="shared" si="190"/>
        <v/>
      </c>
      <c r="AI368" s="36" t="str">
        <f>IFERROR(INDEX('Level Multipliers'!$D:$D,MATCH(AH368,'Level Multipliers'!$A:$A,0)),"")</f>
        <v/>
      </c>
      <c r="AJ368" s="37" t="str">
        <f t="shared" si="191"/>
        <v/>
      </c>
      <c r="AK368" s="37" t="str">
        <f t="shared" si="192"/>
        <v/>
      </c>
      <c r="AL368" s="38" t="str">
        <f t="shared" si="193"/>
        <v/>
      </c>
      <c r="AM368" s="38" t="str">
        <f t="shared" si="194"/>
        <v/>
      </c>
      <c r="AN368" s="38" t="b">
        <f t="shared" si="195"/>
        <v>1</v>
      </c>
      <c r="AO368" s="37" t="str">
        <f t="array" ref="AO368:AY368">IF(AN368,"",IVSolution($M368,$N368,$O368,AJ368,AK368,AL368,AM368,$E368,$F368,$G368,$H368,$I368))</f>
        <v/>
      </c>
      <c r="AP368" s="37" t="str">
        <v/>
      </c>
      <c r="AQ368" s="37" t="str">
        <v/>
      </c>
      <c r="AR368" s="39" t="str">
        <v/>
      </c>
      <c r="AS368" s="39" t="str">
        <v/>
      </c>
      <c r="AT368" s="37" t="str">
        <v/>
      </c>
      <c r="AU368" s="37" t="str">
        <v/>
      </c>
      <c r="AV368" s="37" t="str">
        <v/>
      </c>
      <c r="AW368" s="37" t="str">
        <v/>
      </c>
      <c r="AX368" s="37" t="str">
        <v/>
      </c>
      <c r="AY368" s="37" t="str">
        <v/>
      </c>
      <c r="AZ368" s="40" t="str">
        <f t="shared" si="196"/>
        <v/>
      </c>
      <c r="BA368" s="36" t="str">
        <f>IFERROR(INDEX('Level Multipliers'!$D:$D,MATCH(AZ368,'Level Multipliers'!$A:$A,0)),"")</f>
        <v/>
      </c>
      <c r="BB368" s="37" t="str">
        <f t="shared" si="197"/>
        <v/>
      </c>
      <c r="BC368" s="37" t="str">
        <f t="shared" si="198"/>
        <v/>
      </c>
      <c r="BD368" s="38" t="str">
        <f t="shared" si="199"/>
        <v/>
      </c>
      <c r="BE368" s="38" t="str">
        <f t="shared" si="200"/>
        <v/>
      </c>
      <c r="BF368" s="38" t="b">
        <f t="shared" si="201"/>
        <v>1</v>
      </c>
      <c r="BG368" s="37" t="str">
        <f t="array" ref="BG368:BQ368">IF(BF368,"",IVSolution($M368,$N368,$O368,BB368,BC368,BD368,BE368,$E368,$F368,$G368,$H368,$I368))</f>
        <v/>
      </c>
      <c r="BH368" s="37" t="str">
        <v/>
      </c>
      <c r="BI368" s="37" t="str">
        <v/>
      </c>
      <c r="BJ368" s="39" t="str">
        <v/>
      </c>
      <c r="BK368" s="39" t="str">
        <v/>
      </c>
      <c r="BL368" s="37" t="str">
        <v/>
      </c>
      <c r="BM368" s="37" t="str">
        <v/>
      </c>
      <c r="BN368" s="37" t="str">
        <v/>
      </c>
      <c r="BO368" s="37" t="str">
        <v/>
      </c>
      <c r="BP368" s="37" t="str">
        <v/>
      </c>
      <c r="BQ368" s="37" t="str">
        <v/>
      </c>
      <c r="BR368" s="40" t="str">
        <f t="shared" si="202"/>
        <v/>
      </c>
      <c r="BS368" s="36" t="str">
        <f>IFERROR(INDEX('Level Multipliers'!$D:$D,MATCH(BR368,'Level Multipliers'!$A:$A,0)),"")</f>
        <v/>
      </c>
      <c r="BT368" s="37" t="str">
        <f t="shared" si="203"/>
        <v/>
      </c>
      <c r="BU368" s="37" t="str">
        <f t="shared" si="204"/>
        <v/>
      </c>
      <c r="BV368" s="38" t="str">
        <f t="shared" si="205"/>
        <v/>
      </c>
      <c r="BW368" s="38" t="str">
        <f t="shared" si="206"/>
        <v/>
      </c>
      <c r="BX368" s="38" t="b">
        <f t="shared" si="207"/>
        <v>1</v>
      </c>
      <c r="BY368" s="37" t="str">
        <f t="array" ref="BY368:CI368">IF(BX368,"",IVSolution($M368,$N368,$O368,BT368,BU368,BV368,BW368,$E368,$F368,$G368,$H368,$I368))</f>
        <v/>
      </c>
      <c r="BZ368" s="37" t="str">
        <v/>
      </c>
      <c r="CA368" s="37" t="str">
        <v/>
      </c>
      <c r="CB368" s="39" t="str">
        <v/>
      </c>
      <c r="CC368" s="39" t="str">
        <v/>
      </c>
      <c r="CD368" s="37" t="str">
        <v/>
      </c>
      <c r="CE368" s="37" t="str">
        <v/>
      </c>
      <c r="CF368" s="37" t="str">
        <v/>
      </c>
      <c r="CG368" s="37" t="str">
        <v/>
      </c>
      <c r="CH368" s="37" t="str">
        <v/>
      </c>
      <c r="CI368" s="37" t="str">
        <v/>
      </c>
      <c r="CJ368" s="41" t="str">
        <f t="shared" si="208"/>
        <v/>
      </c>
      <c r="CK368" s="41" t="str">
        <f t="shared" si="209"/>
        <v/>
      </c>
      <c r="CL368" s="66" t="str">
        <f t="shared" si="210"/>
        <v/>
      </c>
      <c r="CM368" s="39" t="str">
        <f t="shared" si="211"/>
        <v/>
      </c>
      <c r="CN368" s="39" t="str">
        <f t="shared" si="212"/>
        <v/>
      </c>
      <c r="CO368" s="42" t="str">
        <f t="shared" si="213"/>
        <v/>
      </c>
      <c r="CP368" s="42" t="str">
        <f t="shared" si="214"/>
        <v/>
      </c>
      <c r="CQ368" s="42" t="str">
        <f t="shared" si="215"/>
        <v/>
      </c>
      <c r="CR368" s="42" t="str">
        <f t="shared" si="216"/>
        <v/>
      </c>
      <c r="CS368" s="42" t="str">
        <f t="shared" si="217"/>
        <v/>
      </c>
      <c r="CT368" s="42" t="str">
        <f t="shared" si="218"/>
        <v/>
      </c>
      <c r="CU368" s="43" t="str">
        <f t="shared" si="219"/>
        <v/>
      </c>
      <c r="CV368" s="43" t="str">
        <f t="shared" si="220"/>
        <v/>
      </c>
      <c r="CW368" s="43" t="str">
        <f t="shared" si="221"/>
        <v/>
      </c>
      <c r="CX368" s="13"/>
    </row>
    <row r="369" spans="1:102" x14ac:dyDescent="0.25">
      <c r="A369" s="31"/>
      <c r="B369" s="13"/>
      <c r="C369" s="13"/>
      <c r="D369" s="13"/>
      <c r="E369" s="32"/>
      <c r="F369" s="32"/>
      <c r="G369" s="32"/>
      <c r="H369" s="32"/>
      <c r="I369" s="32"/>
      <c r="J369" s="13"/>
      <c r="K369" s="33"/>
      <c r="L369" s="34" t="str">
        <f>IFERROR(INDEX('Pokemon Data'!A:A,MATCH($A369,'Pokemon Data'!$B:$B,0)),"")</f>
        <v/>
      </c>
      <c r="M369" s="34" t="str">
        <f>IFERROR(INDEX('Pokemon Data'!I:I,MATCH($A369,'Pokemon Data'!$B:$B,0)),"")</f>
        <v/>
      </c>
      <c r="N369" s="34" t="str">
        <f>IFERROR(INDEX('Pokemon Data'!J:J,MATCH($A369,'Pokemon Data'!$B:$B,0)),"")</f>
        <v/>
      </c>
      <c r="O369" s="34" t="str">
        <f>IFERROR(INDEX('Pokemon Data'!K:K,MATCH($A369,'Pokemon Data'!$B:$B,0)),"")</f>
        <v/>
      </c>
      <c r="P369" s="35" t="str">
        <f>IFERROR(INDEX('Level Multipliers'!$A:$A,MATCH($D369,'Level Multipliers'!$B:$B,0)),"")</f>
        <v/>
      </c>
      <c r="Q369" s="36" t="str">
        <f>IFERROR(INDEX('Level Multipliers'!$D:$D,MATCH(P369,'Level Multipliers'!$A:$A,0)),"")</f>
        <v/>
      </c>
      <c r="R369" s="37" t="str">
        <f t="shared" si="185"/>
        <v/>
      </c>
      <c r="S369" s="37" t="str">
        <f t="shared" si="186"/>
        <v/>
      </c>
      <c r="T369" s="38" t="str">
        <f t="shared" si="187"/>
        <v/>
      </c>
      <c r="U369" s="38" t="str">
        <f t="shared" si="188"/>
        <v/>
      </c>
      <c r="V369" s="38" t="b">
        <f t="shared" si="189"/>
        <v>1</v>
      </c>
      <c r="W369" s="37" t="str">
        <f t="array" ref="W369:AG369">IF(V369,"",IVSolution($M369,$N369,$O369,R369,S369,T369,U369,$E369,$F369,$G369,$H369,$I369))</f>
        <v/>
      </c>
      <c r="X369" s="37" t="str">
        <v/>
      </c>
      <c r="Y369" s="37" t="str">
        <v/>
      </c>
      <c r="Z369" s="39" t="str">
        <v/>
      </c>
      <c r="AA369" s="39" t="str">
        <v/>
      </c>
      <c r="AB369" s="37" t="str">
        <v/>
      </c>
      <c r="AC369" s="37" t="str">
        <v/>
      </c>
      <c r="AD369" s="37" t="str">
        <v/>
      </c>
      <c r="AE369" s="37" t="str">
        <v/>
      </c>
      <c r="AF369" s="37" t="str">
        <v/>
      </c>
      <c r="AG369" s="37" t="str">
        <v/>
      </c>
      <c r="AH369" s="40" t="str">
        <f t="shared" si="190"/>
        <v/>
      </c>
      <c r="AI369" s="36" t="str">
        <f>IFERROR(INDEX('Level Multipliers'!$D:$D,MATCH(AH369,'Level Multipliers'!$A:$A,0)),"")</f>
        <v/>
      </c>
      <c r="AJ369" s="37" t="str">
        <f t="shared" si="191"/>
        <v/>
      </c>
      <c r="AK369" s="37" t="str">
        <f t="shared" si="192"/>
        <v/>
      </c>
      <c r="AL369" s="38" t="str">
        <f t="shared" si="193"/>
        <v/>
      </c>
      <c r="AM369" s="38" t="str">
        <f t="shared" si="194"/>
        <v/>
      </c>
      <c r="AN369" s="38" t="b">
        <f t="shared" si="195"/>
        <v>1</v>
      </c>
      <c r="AO369" s="37" t="str">
        <f t="array" ref="AO369:AY369">IF(AN369,"",IVSolution($M369,$N369,$O369,AJ369,AK369,AL369,AM369,$E369,$F369,$G369,$H369,$I369))</f>
        <v/>
      </c>
      <c r="AP369" s="37" t="str">
        <v/>
      </c>
      <c r="AQ369" s="37" t="str">
        <v/>
      </c>
      <c r="AR369" s="39" t="str">
        <v/>
      </c>
      <c r="AS369" s="39" t="str">
        <v/>
      </c>
      <c r="AT369" s="37" t="str">
        <v/>
      </c>
      <c r="AU369" s="37" t="str">
        <v/>
      </c>
      <c r="AV369" s="37" t="str">
        <v/>
      </c>
      <c r="AW369" s="37" t="str">
        <v/>
      </c>
      <c r="AX369" s="37" t="str">
        <v/>
      </c>
      <c r="AY369" s="37" t="str">
        <v/>
      </c>
      <c r="AZ369" s="40" t="str">
        <f t="shared" si="196"/>
        <v/>
      </c>
      <c r="BA369" s="36" t="str">
        <f>IFERROR(INDEX('Level Multipliers'!$D:$D,MATCH(AZ369,'Level Multipliers'!$A:$A,0)),"")</f>
        <v/>
      </c>
      <c r="BB369" s="37" t="str">
        <f t="shared" si="197"/>
        <v/>
      </c>
      <c r="BC369" s="37" t="str">
        <f t="shared" si="198"/>
        <v/>
      </c>
      <c r="BD369" s="38" t="str">
        <f t="shared" si="199"/>
        <v/>
      </c>
      <c r="BE369" s="38" t="str">
        <f t="shared" si="200"/>
        <v/>
      </c>
      <c r="BF369" s="38" t="b">
        <f t="shared" si="201"/>
        <v>1</v>
      </c>
      <c r="BG369" s="37" t="str">
        <f t="array" ref="BG369:BQ369">IF(BF369,"",IVSolution($M369,$N369,$O369,BB369,BC369,BD369,BE369,$E369,$F369,$G369,$H369,$I369))</f>
        <v/>
      </c>
      <c r="BH369" s="37" t="str">
        <v/>
      </c>
      <c r="BI369" s="37" t="str">
        <v/>
      </c>
      <c r="BJ369" s="39" t="str">
        <v/>
      </c>
      <c r="BK369" s="39" t="str">
        <v/>
      </c>
      <c r="BL369" s="37" t="str">
        <v/>
      </c>
      <c r="BM369" s="37" t="str">
        <v/>
      </c>
      <c r="BN369" s="37" t="str">
        <v/>
      </c>
      <c r="BO369" s="37" t="str">
        <v/>
      </c>
      <c r="BP369" s="37" t="str">
        <v/>
      </c>
      <c r="BQ369" s="37" t="str">
        <v/>
      </c>
      <c r="BR369" s="40" t="str">
        <f t="shared" si="202"/>
        <v/>
      </c>
      <c r="BS369" s="36" t="str">
        <f>IFERROR(INDEX('Level Multipliers'!$D:$D,MATCH(BR369,'Level Multipliers'!$A:$A,0)),"")</f>
        <v/>
      </c>
      <c r="BT369" s="37" t="str">
        <f t="shared" si="203"/>
        <v/>
      </c>
      <c r="BU369" s="37" t="str">
        <f t="shared" si="204"/>
        <v/>
      </c>
      <c r="BV369" s="38" t="str">
        <f t="shared" si="205"/>
        <v/>
      </c>
      <c r="BW369" s="38" t="str">
        <f t="shared" si="206"/>
        <v/>
      </c>
      <c r="BX369" s="38" t="b">
        <f t="shared" si="207"/>
        <v>1</v>
      </c>
      <c r="BY369" s="37" t="str">
        <f t="array" ref="BY369:CI369">IF(BX369,"",IVSolution($M369,$N369,$O369,BT369,BU369,BV369,BW369,$E369,$F369,$G369,$H369,$I369))</f>
        <v/>
      </c>
      <c r="BZ369" s="37" t="str">
        <v/>
      </c>
      <c r="CA369" s="37" t="str">
        <v/>
      </c>
      <c r="CB369" s="39" t="str">
        <v/>
      </c>
      <c r="CC369" s="39" t="str">
        <v/>
      </c>
      <c r="CD369" s="37" t="str">
        <v/>
      </c>
      <c r="CE369" s="37" t="str">
        <v/>
      </c>
      <c r="CF369" s="37" t="str">
        <v/>
      </c>
      <c r="CG369" s="37" t="str">
        <v/>
      </c>
      <c r="CH369" s="37" t="str">
        <v/>
      </c>
      <c r="CI369" s="37" t="str">
        <v/>
      </c>
      <c r="CJ369" s="41" t="str">
        <f t="shared" si="208"/>
        <v/>
      </c>
      <c r="CK369" s="41" t="str">
        <f t="shared" si="209"/>
        <v/>
      </c>
      <c r="CL369" s="66" t="str">
        <f t="shared" si="210"/>
        <v/>
      </c>
      <c r="CM369" s="39" t="str">
        <f t="shared" si="211"/>
        <v/>
      </c>
      <c r="CN369" s="39" t="str">
        <f t="shared" si="212"/>
        <v/>
      </c>
      <c r="CO369" s="42" t="str">
        <f t="shared" si="213"/>
        <v/>
      </c>
      <c r="CP369" s="42" t="str">
        <f t="shared" si="214"/>
        <v/>
      </c>
      <c r="CQ369" s="42" t="str">
        <f t="shared" si="215"/>
        <v/>
      </c>
      <c r="CR369" s="42" t="str">
        <f t="shared" si="216"/>
        <v/>
      </c>
      <c r="CS369" s="42" t="str">
        <f t="shared" si="217"/>
        <v/>
      </c>
      <c r="CT369" s="42" t="str">
        <f t="shared" si="218"/>
        <v/>
      </c>
      <c r="CU369" s="43" t="str">
        <f t="shared" si="219"/>
        <v/>
      </c>
      <c r="CV369" s="43" t="str">
        <f t="shared" si="220"/>
        <v/>
      </c>
      <c r="CW369" s="43" t="str">
        <f t="shared" si="221"/>
        <v/>
      </c>
      <c r="CX369" s="13"/>
    </row>
    <row r="370" spans="1:102" x14ac:dyDescent="0.25">
      <c r="A370" s="31"/>
      <c r="B370" s="13"/>
      <c r="C370" s="13"/>
      <c r="D370" s="13"/>
      <c r="E370" s="32"/>
      <c r="F370" s="32"/>
      <c r="G370" s="32"/>
      <c r="H370" s="32"/>
      <c r="I370" s="32"/>
      <c r="J370" s="13"/>
      <c r="K370" s="33"/>
      <c r="L370" s="34" t="str">
        <f>IFERROR(INDEX('Pokemon Data'!A:A,MATCH($A370,'Pokemon Data'!$B:$B,0)),"")</f>
        <v/>
      </c>
      <c r="M370" s="34" t="str">
        <f>IFERROR(INDEX('Pokemon Data'!I:I,MATCH($A370,'Pokemon Data'!$B:$B,0)),"")</f>
        <v/>
      </c>
      <c r="N370" s="34" t="str">
        <f>IFERROR(INDEX('Pokemon Data'!J:J,MATCH($A370,'Pokemon Data'!$B:$B,0)),"")</f>
        <v/>
      </c>
      <c r="O370" s="34" t="str">
        <f>IFERROR(INDEX('Pokemon Data'!K:K,MATCH($A370,'Pokemon Data'!$B:$B,0)),"")</f>
        <v/>
      </c>
      <c r="P370" s="35" t="str">
        <f>IFERROR(INDEX('Level Multipliers'!$A:$A,MATCH($D370,'Level Multipliers'!$B:$B,0)),"")</f>
        <v/>
      </c>
      <c r="Q370" s="36" t="str">
        <f>IFERROR(INDEX('Level Multipliers'!$D:$D,MATCH(P370,'Level Multipliers'!$A:$A,0)),"")</f>
        <v/>
      </c>
      <c r="R370" s="37" t="str">
        <f t="shared" si="185"/>
        <v/>
      </c>
      <c r="S370" s="37" t="str">
        <f t="shared" si="186"/>
        <v/>
      </c>
      <c r="T370" s="38" t="str">
        <f t="shared" si="187"/>
        <v/>
      </c>
      <c r="U370" s="38" t="str">
        <f t="shared" si="188"/>
        <v/>
      </c>
      <c r="V370" s="38" t="b">
        <f t="shared" si="189"/>
        <v>1</v>
      </c>
      <c r="W370" s="37" t="str">
        <f t="array" ref="W370:AG370">IF(V370,"",IVSolution($M370,$N370,$O370,R370,S370,T370,U370,$E370,$F370,$G370,$H370,$I370))</f>
        <v/>
      </c>
      <c r="X370" s="37" t="str">
        <v/>
      </c>
      <c r="Y370" s="37" t="str">
        <v/>
      </c>
      <c r="Z370" s="39" t="str">
        <v/>
      </c>
      <c r="AA370" s="39" t="str">
        <v/>
      </c>
      <c r="AB370" s="37" t="str">
        <v/>
      </c>
      <c r="AC370" s="37" t="str">
        <v/>
      </c>
      <c r="AD370" s="37" t="str">
        <v/>
      </c>
      <c r="AE370" s="37" t="str">
        <v/>
      </c>
      <c r="AF370" s="37" t="str">
        <v/>
      </c>
      <c r="AG370" s="37" t="str">
        <v/>
      </c>
      <c r="AH370" s="40" t="str">
        <f t="shared" si="190"/>
        <v/>
      </c>
      <c r="AI370" s="36" t="str">
        <f>IFERROR(INDEX('Level Multipliers'!$D:$D,MATCH(AH370,'Level Multipliers'!$A:$A,0)),"")</f>
        <v/>
      </c>
      <c r="AJ370" s="37" t="str">
        <f t="shared" si="191"/>
        <v/>
      </c>
      <c r="AK370" s="37" t="str">
        <f t="shared" si="192"/>
        <v/>
      </c>
      <c r="AL370" s="38" t="str">
        <f t="shared" si="193"/>
        <v/>
      </c>
      <c r="AM370" s="38" t="str">
        <f t="shared" si="194"/>
        <v/>
      </c>
      <c r="AN370" s="38" t="b">
        <f t="shared" si="195"/>
        <v>1</v>
      </c>
      <c r="AO370" s="37" t="str">
        <f t="array" ref="AO370:AY370">IF(AN370,"",IVSolution($M370,$N370,$O370,AJ370,AK370,AL370,AM370,$E370,$F370,$G370,$H370,$I370))</f>
        <v/>
      </c>
      <c r="AP370" s="37" t="str">
        <v/>
      </c>
      <c r="AQ370" s="37" t="str">
        <v/>
      </c>
      <c r="AR370" s="39" t="str">
        <v/>
      </c>
      <c r="AS370" s="39" t="str">
        <v/>
      </c>
      <c r="AT370" s="37" t="str">
        <v/>
      </c>
      <c r="AU370" s="37" t="str">
        <v/>
      </c>
      <c r="AV370" s="37" t="str">
        <v/>
      </c>
      <c r="AW370" s="37" t="str">
        <v/>
      </c>
      <c r="AX370" s="37" t="str">
        <v/>
      </c>
      <c r="AY370" s="37" t="str">
        <v/>
      </c>
      <c r="AZ370" s="40" t="str">
        <f t="shared" si="196"/>
        <v/>
      </c>
      <c r="BA370" s="36" t="str">
        <f>IFERROR(INDEX('Level Multipliers'!$D:$D,MATCH(AZ370,'Level Multipliers'!$A:$A,0)),"")</f>
        <v/>
      </c>
      <c r="BB370" s="37" t="str">
        <f t="shared" si="197"/>
        <v/>
      </c>
      <c r="BC370" s="37" t="str">
        <f t="shared" si="198"/>
        <v/>
      </c>
      <c r="BD370" s="38" t="str">
        <f t="shared" si="199"/>
        <v/>
      </c>
      <c r="BE370" s="38" t="str">
        <f t="shared" si="200"/>
        <v/>
      </c>
      <c r="BF370" s="38" t="b">
        <f t="shared" si="201"/>
        <v>1</v>
      </c>
      <c r="BG370" s="37" t="str">
        <f t="array" ref="BG370:BQ370">IF(BF370,"",IVSolution($M370,$N370,$O370,BB370,BC370,BD370,BE370,$E370,$F370,$G370,$H370,$I370))</f>
        <v/>
      </c>
      <c r="BH370" s="37" t="str">
        <v/>
      </c>
      <c r="BI370" s="37" t="str">
        <v/>
      </c>
      <c r="BJ370" s="39" t="str">
        <v/>
      </c>
      <c r="BK370" s="39" t="str">
        <v/>
      </c>
      <c r="BL370" s="37" t="str">
        <v/>
      </c>
      <c r="BM370" s="37" t="str">
        <v/>
      </c>
      <c r="BN370" s="37" t="str">
        <v/>
      </c>
      <c r="BO370" s="37" t="str">
        <v/>
      </c>
      <c r="BP370" s="37" t="str">
        <v/>
      </c>
      <c r="BQ370" s="37" t="str">
        <v/>
      </c>
      <c r="BR370" s="40" t="str">
        <f t="shared" si="202"/>
        <v/>
      </c>
      <c r="BS370" s="36" t="str">
        <f>IFERROR(INDEX('Level Multipliers'!$D:$D,MATCH(BR370,'Level Multipliers'!$A:$A,0)),"")</f>
        <v/>
      </c>
      <c r="BT370" s="37" t="str">
        <f t="shared" si="203"/>
        <v/>
      </c>
      <c r="BU370" s="37" t="str">
        <f t="shared" si="204"/>
        <v/>
      </c>
      <c r="BV370" s="38" t="str">
        <f t="shared" si="205"/>
        <v/>
      </c>
      <c r="BW370" s="38" t="str">
        <f t="shared" si="206"/>
        <v/>
      </c>
      <c r="BX370" s="38" t="b">
        <f t="shared" si="207"/>
        <v>1</v>
      </c>
      <c r="BY370" s="37" t="str">
        <f t="array" ref="BY370:CI370">IF(BX370,"",IVSolution($M370,$N370,$O370,BT370,BU370,BV370,BW370,$E370,$F370,$G370,$H370,$I370))</f>
        <v/>
      </c>
      <c r="BZ370" s="37" t="str">
        <v/>
      </c>
      <c r="CA370" s="37" t="str">
        <v/>
      </c>
      <c r="CB370" s="39" t="str">
        <v/>
      </c>
      <c r="CC370" s="39" t="str">
        <v/>
      </c>
      <c r="CD370" s="37" t="str">
        <v/>
      </c>
      <c r="CE370" s="37" t="str">
        <v/>
      </c>
      <c r="CF370" s="37" t="str">
        <v/>
      </c>
      <c r="CG370" s="37" t="str">
        <v/>
      </c>
      <c r="CH370" s="37" t="str">
        <v/>
      </c>
      <c r="CI370" s="37" t="str">
        <v/>
      </c>
      <c r="CJ370" s="41" t="str">
        <f t="shared" si="208"/>
        <v/>
      </c>
      <c r="CK370" s="41" t="str">
        <f t="shared" si="209"/>
        <v/>
      </c>
      <c r="CL370" s="66" t="str">
        <f t="shared" si="210"/>
        <v/>
      </c>
      <c r="CM370" s="39" t="str">
        <f t="shared" si="211"/>
        <v/>
      </c>
      <c r="CN370" s="39" t="str">
        <f t="shared" si="212"/>
        <v/>
      </c>
      <c r="CO370" s="42" t="str">
        <f t="shared" si="213"/>
        <v/>
      </c>
      <c r="CP370" s="42" t="str">
        <f t="shared" si="214"/>
        <v/>
      </c>
      <c r="CQ370" s="42" t="str">
        <f t="shared" si="215"/>
        <v/>
      </c>
      <c r="CR370" s="42" t="str">
        <f t="shared" si="216"/>
        <v/>
      </c>
      <c r="CS370" s="42" t="str">
        <f t="shared" si="217"/>
        <v/>
      </c>
      <c r="CT370" s="42" t="str">
        <f t="shared" si="218"/>
        <v/>
      </c>
      <c r="CU370" s="43" t="str">
        <f t="shared" si="219"/>
        <v/>
      </c>
      <c r="CV370" s="43" t="str">
        <f t="shared" si="220"/>
        <v/>
      </c>
      <c r="CW370" s="43" t="str">
        <f t="shared" si="221"/>
        <v/>
      </c>
      <c r="CX370" s="13"/>
    </row>
    <row r="371" spans="1:102" x14ac:dyDescent="0.25">
      <c r="A371" s="31"/>
      <c r="B371" s="13"/>
      <c r="C371" s="13"/>
      <c r="D371" s="13"/>
      <c r="E371" s="32"/>
      <c r="F371" s="32"/>
      <c r="G371" s="32"/>
      <c r="H371" s="32"/>
      <c r="I371" s="32"/>
      <c r="J371" s="13"/>
      <c r="K371" s="33"/>
      <c r="L371" s="34" t="str">
        <f>IFERROR(INDEX('Pokemon Data'!A:A,MATCH($A371,'Pokemon Data'!$B:$B,0)),"")</f>
        <v/>
      </c>
      <c r="M371" s="34" t="str">
        <f>IFERROR(INDEX('Pokemon Data'!I:I,MATCH($A371,'Pokemon Data'!$B:$B,0)),"")</f>
        <v/>
      </c>
      <c r="N371" s="34" t="str">
        <f>IFERROR(INDEX('Pokemon Data'!J:J,MATCH($A371,'Pokemon Data'!$B:$B,0)),"")</f>
        <v/>
      </c>
      <c r="O371" s="34" t="str">
        <f>IFERROR(INDEX('Pokemon Data'!K:K,MATCH($A371,'Pokemon Data'!$B:$B,0)),"")</f>
        <v/>
      </c>
      <c r="P371" s="35" t="str">
        <f>IFERROR(INDEX('Level Multipliers'!$A:$A,MATCH($D371,'Level Multipliers'!$B:$B,0)),"")</f>
        <v/>
      </c>
      <c r="Q371" s="36" t="str">
        <f>IFERROR(INDEX('Level Multipliers'!$D:$D,MATCH(P371,'Level Multipliers'!$A:$A,0)),"")</f>
        <v/>
      </c>
      <c r="R371" s="37" t="str">
        <f t="shared" si="185"/>
        <v/>
      </c>
      <c r="S371" s="37" t="str">
        <f t="shared" si="186"/>
        <v/>
      </c>
      <c r="T371" s="38" t="str">
        <f t="shared" si="187"/>
        <v/>
      </c>
      <c r="U371" s="38" t="str">
        <f t="shared" si="188"/>
        <v/>
      </c>
      <c r="V371" s="38" t="b">
        <f t="shared" si="189"/>
        <v>1</v>
      </c>
      <c r="W371" s="37" t="str">
        <f t="array" ref="W371:AG371">IF(V371,"",IVSolution($M371,$N371,$O371,R371,S371,T371,U371,$E371,$F371,$G371,$H371,$I371))</f>
        <v/>
      </c>
      <c r="X371" s="37" t="str">
        <v/>
      </c>
      <c r="Y371" s="37" t="str">
        <v/>
      </c>
      <c r="Z371" s="39" t="str">
        <v/>
      </c>
      <c r="AA371" s="39" t="str">
        <v/>
      </c>
      <c r="AB371" s="37" t="str">
        <v/>
      </c>
      <c r="AC371" s="37" t="str">
        <v/>
      </c>
      <c r="AD371" s="37" t="str">
        <v/>
      </c>
      <c r="AE371" s="37" t="str">
        <v/>
      </c>
      <c r="AF371" s="37" t="str">
        <v/>
      </c>
      <c r="AG371" s="37" t="str">
        <v/>
      </c>
      <c r="AH371" s="40" t="str">
        <f t="shared" si="190"/>
        <v/>
      </c>
      <c r="AI371" s="36" t="str">
        <f>IFERROR(INDEX('Level Multipliers'!$D:$D,MATCH(AH371,'Level Multipliers'!$A:$A,0)),"")</f>
        <v/>
      </c>
      <c r="AJ371" s="37" t="str">
        <f t="shared" si="191"/>
        <v/>
      </c>
      <c r="AK371" s="37" t="str">
        <f t="shared" si="192"/>
        <v/>
      </c>
      <c r="AL371" s="38" t="str">
        <f t="shared" si="193"/>
        <v/>
      </c>
      <c r="AM371" s="38" t="str">
        <f t="shared" si="194"/>
        <v/>
      </c>
      <c r="AN371" s="38" t="b">
        <f t="shared" si="195"/>
        <v>1</v>
      </c>
      <c r="AO371" s="37" t="str">
        <f t="array" ref="AO371:AY371">IF(AN371,"",IVSolution($M371,$N371,$O371,AJ371,AK371,AL371,AM371,$E371,$F371,$G371,$H371,$I371))</f>
        <v/>
      </c>
      <c r="AP371" s="37" t="str">
        <v/>
      </c>
      <c r="AQ371" s="37" t="str">
        <v/>
      </c>
      <c r="AR371" s="39" t="str">
        <v/>
      </c>
      <c r="AS371" s="39" t="str">
        <v/>
      </c>
      <c r="AT371" s="37" t="str">
        <v/>
      </c>
      <c r="AU371" s="37" t="str">
        <v/>
      </c>
      <c r="AV371" s="37" t="str">
        <v/>
      </c>
      <c r="AW371" s="37" t="str">
        <v/>
      </c>
      <c r="AX371" s="37" t="str">
        <v/>
      </c>
      <c r="AY371" s="37" t="str">
        <v/>
      </c>
      <c r="AZ371" s="40" t="str">
        <f t="shared" si="196"/>
        <v/>
      </c>
      <c r="BA371" s="36" t="str">
        <f>IFERROR(INDEX('Level Multipliers'!$D:$D,MATCH(AZ371,'Level Multipliers'!$A:$A,0)),"")</f>
        <v/>
      </c>
      <c r="BB371" s="37" t="str">
        <f t="shared" si="197"/>
        <v/>
      </c>
      <c r="BC371" s="37" t="str">
        <f t="shared" si="198"/>
        <v/>
      </c>
      <c r="BD371" s="38" t="str">
        <f t="shared" si="199"/>
        <v/>
      </c>
      <c r="BE371" s="38" t="str">
        <f t="shared" si="200"/>
        <v/>
      </c>
      <c r="BF371" s="38" t="b">
        <f t="shared" si="201"/>
        <v>1</v>
      </c>
      <c r="BG371" s="37" t="str">
        <f t="array" ref="BG371:BQ371">IF(BF371,"",IVSolution($M371,$N371,$O371,BB371,BC371,BD371,BE371,$E371,$F371,$G371,$H371,$I371))</f>
        <v/>
      </c>
      <c r="BH371" s="37" t="str">
        <v/>
      </c>
      <c r="BI371" s="37" t="str">
        <v/>
      </c>
      <c r="BJ371" s="39" t="str">
        <v/>
      </c>
      <c r="BK371" s="39" t="str">
        <v/>
      </c>
      <c r="BL371" s="37" t="str">
        <v/>
      </c>
      <c r="BM371" s="37" t="str">
        <v/>
      </c>
      <c r="BN371" s="37" t="str">
        <v/>
      </c>
      <c r="BO371" s="37" t="str">
        <v/>
      </c>
      <c r="BP371" s="37" t="str">
        <v/>
      </c>
      <c r="BQ371" s="37" t="str">
        <v/>
      </c>
      <c r="BR371" s="40" t="str">
        <f t="shared" si="202"/>
        <v/>
      </c>
      <c r="BS371" s="36" t="str">
        <f>IFERROR(INDEX('Level Multipliers'!$D:$D,MATCH(BR371,'Level Multipliers'!$A:$A,0)),"")</f>
        <v/>
      </c>
      <c r="BT371" s="37" t="str">
        <f t="shared" si="203"/>
        <v/>
      </c>
      <c r="BU371" s="37" t="str">
        <f t="shared" si="204"/>
        <v/>
      </c>
      <c r="BV371" s="38" t="str">
        <f t="shared" si="205"/>
        <v/>
      </c>
      <c r="BW371" s="38" t="str">
        <f t="shared" si="206"/>
        <v/>
      </c>
      <c r="BX371" s="38" t="b">
        <f t="shared" si="207"/>
        <v>1</v>
      </c>
      <c r="BY371" s="37" t="str">
        <f t="array" ref="BY371:CI371">IF(BX371,"",IVSolution($M371,$N371,$O371,BT371,BU371,BV371,BW371,$E371,$F371,$G371,$H371,$I371))</f>
        <v/>
      </c>
      <c r="BZ371" s="37" t="str">
        <v/>
      </c>
      <c r="CA371" s="37" t="str">
        <v/>
      </c>
      <c r="CB371" s="39" t="str">
        <v/>
      </c>
      <c r="CC371" s="39" t="str">
        <v/>
      </c>
      <c r="CD371" s="37" t="str">
        <v/>
      </c>
      <c r="CE371" s="37" t="str">
        <v/>
      </c>
      <c r="CF371" s="37" t="str">
        <v/>
      </c>
      <c r="CG371" s="37" t="str">
        <v/>
      </c>
      <c r="CH371" s="37" t="str">
        <v/>
      </c>
      <c r="CI371" s="37" t="str">
        <v/>
      </c>
      <c r="CJ371" s="41" t="str">
        <f t="shared" si="208"/>
        <v/>
      </c>
      <c r="CK371" s="41" t="str">
        <f t="shared" si="209"/>
        <v/>
      </c>
      <c r="CL371" s="66" t="str">
        <f t="shared" si="210"/>
        <v/>
      </c>
      <c r="CM371" s="39" t="str">
        <f t="shared" si="211"/>
        <v/>
      </c>
      <c r="CN371" s="39" t="str">
        <f t="shared" si="212"/>
        <v/>
      </c>
      <c r="CO371" s="42" t="str">
        <f t="shared" si="213"/>
        <v/>
      </c>
      <c r="CP371" s="42" t="str">
        <f t="shared" si="214"/>
        <v/>
      </c>
      <c r="CQ371" s="42" t="str">
        <f t="shared" si="215"/>
        <v/>
      </c>
      <c r="CR371" s="42" t="str">
        <f t="shared" si="216"/>
        <v/>
      </c>
      <c r="CS371" s="42" t="str">
        <f t="shared" si="217"/>
        <v/>
      </c>
      <c r="CT371" s="42" t="str">
        <f t="shared" si="218"/>
        <v/>
      </c>
      <c r="CU371" s="43" t="str">
        <f t="shared" si="219"/>
        <v/>
      </c>
      <c r="CV371" s="43" t="str">
        <f t="shared" si="220"/>
        <v/>
      </c>
      <c r="CW371" s="43" t="str">
        <f t="shared" si="221"/>
        <v/>
      </c>
      <c r="CX371" s="13"/>
    </row>
    <row r="372" spans="1:102" x14ac:dyDescent="0.25">
      <c r="A372" s="31"/>
      <c r="B372" s="13"/>
      <c r="C372" s="13"/>
      <c r="D372" s="13"/>
      <c r="E372" s="32"/>
      <c r="F372" s="32"/>
      <c r="G372" s="32"/>
      <c r="H372" s="32"/>
      <c r="I372" s="32"/>
      <c r="J372" s="13"/>
      <c r="K372" s="33"/>
      <c r="L372" s="34" t="str">
        <f>IFERROR(INDEX('Pokemon Data'!A:A,MATCH($A372,'Pokemon Data'!$B:$B,0)),"")</f>
        <v/>
      </c>
      <c r="M372" s="34" t="str">
        <f>IFERROR(INDEX('Pokemon Data'!I:I,MATCH($A372,'Pokemon Data'!$B:$B,0)),"")</f>
        <v/>
      </c>
      <c r="N372" s="34" t="str">
        <f>IFERROR(INDEX('Pokemon Data'!J:J,MATCH($A372,'Pokemon Data'!$B:$B,0)),"")</f>
        <v/>
      </c>
      <c r="O372" s="34" t="str">
        <f>IFERROR(INDEX('Pokemon Data'!K:K,MATCH($A372,'Pokemon Data'!$B:$B,0)),"")</f>
        <v/>
      </c>
      <c r="P372" s="35" t="str">
        <f>IFERROR(INDEX('Level Multipliers'!$A:$A,MATCH($D372,'Level Multipliers'!$B:$B,0)),"")</f>
        <v/>
      </c>
      <c r="Q372" s="36" t="str">
        <f>IFERROR(INDEX('Level Multipliers'!$D:$D,MATCH(P372,'Level Multipliers'!$A:$A,0)),"")</f>
        <v/>
      </c>
      <c r="R372" s="37" t="str">
        <f t="shared" si="185"/>
        <v/>
      </c>
      <c r="S372" s="37" t="str">
        <f t="shared" si="186"/>
        <v/>
      </c>
      <c r="T372" s="38" t="str">
        <f t="shared" si="187"/>
        <v/>
      </c>
      <c r="U372" s="38" t="str">
        <f t="shared" si="188"/>
        <v/>
      </c>
      <c r="V372" s="38" t="b">
        <f t="shared" si="189"/>
        <v>1</v>
      </c>
      <c r="W372" s="37" t="str">
        <f t="array" ref="W372:AG372">IF(V372,"",IVSolution($M372,$N372,$O372,R372,S372,T372,U372,$E372,$F372,$G372,$H372,$I372))</f>
        <v/>
      </c>
      <c r="X372" s="37" t="str">
        <v/>
      </c>
      <c r="Y372" s="37" t="str">
        <v/>
      </c>
      <c r="Z372" s="39" t="str">
        <v/>
      </c>
      <c r="AA372" s="39" t="str">
        <v/>
      </c>
      <c r="AB372" s="37" t="str">
        <v/>
      </c>
      <c r="AC372" s="37" t="str">
        <v/>
      </c>
      <c r="AD372" s="37" t="str">
        <v/>
      </c>
      <c r="AE372" s="37" t="str">
        <v/>
      </c>
      <c r="AF372" s="37" t="str">
        <v/>
      </c>
      <c r="AG372" s="37" t="str">
        <v/>
      </c>
      <c r="AH372" s="40" t="str">
        <f t="shared" si="190"/>
        <v/>
      </c>
      <c r="AI372" s="36" t="str">
        <f>IFERROR(INDEX('Level Multipliers'!$D:$D,MATCH(AH372,'Level Multipliers'!$A:$A,0)),"")</f>
        <v/>
      </c>
      <c r="AJ372" s="37" t="str">
        <f t="shared" si="191"/>
        <v/>
      </c>
      <c r="AK372" s="37" t="str">
        <f t="shared" si="192"/>
        <v/>
      </c>
      <c r="AL372" s="38" t="str">
        <f t="shared" si="193"/>
        <v/>
      </c>
      <c r="AM372" s="38" t="str">
        <f t="shared" si="194"/>
        <v/>
      </c>
      <c r="AN372" s="38" t="b">
        <f t="shared" si="195"/>
        <v>1</v>
      </c>
      <c r="AO372" s="37" t="str">
        <f t="array" ref="AO372:AY372">IF(AN372,"",IVSolution($M372,$N372,$O372,AJ372,AK372,AL372,AM372,$E372,$F372,$G372,$H372,$I372))</f>
        <v/>
      </c>
      <c r="AP372" s="37" t="str">
        <v/>
      </c>
      <c r="AQ372" s="37" t="str">
        <v/>
      </c>
      <c r="AR372" s="39" t="str">
        <v/>
      </c>
      <c r="AS372" s="39" t="str">
        <v/>
      </c>
      <c r="AT372" s="37" t="str">
        <v/>
      </c>
      <c r="AU372" s="37" t="str">
        <v/>
      </c>
      <c r="AV372" s="37" t="str">
        <v/>
      </c>
      <c r="AW372" s="37" t="str">
        <v/>
      </c>
      <c r="AX372" s="37" t="str">
        <v/>
      </c>
      <c r="AY372" s="37" t="str">
        <v/>
      </c>
      <c r="AZ372" s="40" t="str">
        <f t="shared" si="196"/>
        <v/>
      </c>
      <c r="BA372" s="36" t="str">
        <f>IFERROR(INDEX('Level Multipliers'!$D:$D,MATCH(AZ372,'Level Multipliers'!$A:$A,0)),"")</f>
        <v/>
      </c>
      <c r="BB372" s="37" t="str">
        <f t="shared" si="197"/>
        <v/>
      </c>
      <c r="BC372" s="37" t="str">
        <f t="shared" si="198"/>
        <v/>
      </c>
      <c r="BD372" s="38" t="str">
        <f t="shared" si="199"/>
        <v/>
      </c>
      <c r="BE372" s="38" t="str">
        <f t="shared" si="200"/>
        <v/>
      </c>
      <c r="BF372" s="38" t="b">
        <f t="shared" si="201"/>
        <v>1</v>
      </c>
      <c r="BG372" s="37" t="str">
        <f t="array" ref="BG372:BQ372">IF(BF372,"",IVSolution($M372,$N372,$O372,BB372,BC372,BD372,BE372,$E372,$F372,$G372,$H372,$I372))</f>
        <v/>
      </c>
      <c r="BH372" s="37" t="str">
        <v/>
      </c>
      <c r="BI372" s="37" t="str">
        <v/>
      </c>
      <c r="BJ372" s="39" t="str">
        <v/>
      </c>
      <c r="BK372" s="39" t="str">
        <v/>
      </c>
      <c r="BL372" s="37" t="str">
        <v/>
      </c>
      <c r="BM372" s="37" t="str">
        <v/>
      </c>
      <c r="BN372" s="37" t="str">
        <v/>
      </c>
      <c r="BO372" s="37" t="str">
        <v/>
      </c>
      <c r="BP372" s="37" t="str">
        <v/>
      </c>
      <c r="BQ372" s="37" t="str">
        <v/>
      </c>
      <c r="BR372" s="40" t="str">
        <f t="shared" si="202"/>
        <v/>
      </c>
      <c r="BS372" s="36" t="str">
        <f>IFERROR(INDEX('Level Multipliers'!$D:$D,MATCH(BR372,'Level Multipliers'!$A:$A,0)),"")</f>
        <v/>
      </c>
      <c r="BT372" s="37" t="str">
        <f t="shared" si="203"/>
        <v/>
      </c>
      <c r="BU372" s="37" t="str">
        <f t="shared" si="204"/>
        <v/>
      </c>
      <c r="BV372" s="38" t="str">
        <f t="shared" si="205"/>
        <v/>
      </c>
      <c r="BW372" s="38" t="str">
        <f t="shared" si="206"/>
        <v/>
      </c>
      <c r="BX372" s="38" t="b">
        <f t="shared" si="207"/>
        <v>1</v>
      </c>
      <c r="BY372" s="37" t="str">
        <f t="array" ref="BY372:CI372">IF(BX372,"",IVSolution($M372,$N372,$O372,BT372,BU372,BV372,BW372,$E372,$F372,$G372,$H372,$I372))</f>
        <v/>
      </c>
      <c r="BZ372" s="37" t="str">
        <v/>
      </c>
      <c r="CA372" s="37" t="str">
        <v/>
      </c>
      <c r="CB372" s="39" t="str">
        <v/>
      </c>
      <c r="CC372" s="39" t="str">
        <v/>
      </c>
      <c r="CD372" s="37" t="str">
        <v/>
      </c>
      <c r="CE372" s="37" t="str">
        <v/>
      </c>
      <c r="CF372" s="37" t="str">
        <v/>
      </c>
      <c r="CG372" s="37" t="str">
        <v/>
      </c>
      <c r="CH372" s="37" t="str">
        <v/>
      </c>
      <c r="CI372" s="37" t="str">
        <v/>
      </c>
      <c r="CJ372" s="41" t="str">
        <f t="shared" si="208"/>
        <v/>
      </c>
      <c r="CK372" s="41" t="str">
        <f t="shared" si="209"/>
        <v/>
      </c>
      <c r="CL372" s="66" t="str">
        <f t="shared" si="210"/>
        <v/>
      </c>
      <c r="CM372" s="39" t="str">
        <f t="shared" si="211"/>
        <v/>
      </c>
      <c r="CN372" s="39" t="str">
        <f t="shared" si="212"/>
        <v/>
      </c>
      <c r="CO372" s="42" t="str">
        <f t="shared" si="213"/>
        <v/>
      </c>
      <c r="CP372" s="42" t="str">
        <f t="shared" si="214"/>
        <v/>
      </c>
      <c r="CQ372" s="42" t="str">
        <f t="shared" si="215"/>
        <v/>
      </c>
      <c r="CR372" s="42" t="str">
        <f t="shared" si="216"/>
        <v/>
      </c>
      <c r="CS372" s="42" t="str">
        <f t="shared" si="217"/>
        <v/>
      </c>
      <c r="CT372" s="42" t="str">
        <f t="shared" si="218"/>
        <v/>
      </c>
      <c r="CU372" s="43" t="str">
        <f t="shared" si="219"/>
        <v/>
      </c>
      <c r="CV372" s="43" t="str">
        <f t="shared" si="220"/>
        <v/>
      </c>
      <c r="CW372" s="43" t="str">
        <f t="shared" si="221"/>
        <v/>
      </c>
      <c r="CX372" s="13"/>
    </row>
    <row r="373" spans="1:102" x14ac:dyDescent="0.25">
      <c r="A373" s="31"/>
      <c r="B373" s="13"/>
      <c r="C373" s="13"/>
      <c r="D373" s="13"/>
      <c r="E373" s="32"/>
      <c r="F373" s="32"/>
      <c r="G373" s="32"/>
      <c r="H373" s="32"/>
      <c r="I373" s="32"/>
      <c r="J373" s="13"/>
      <c r="K373" s="33"/>
      <c r="L373" s="34" t="str">
        <f>IFERROR(INDEX('Pokemon Data'!A:A,MATCH($A373,'Pokemon Data'!$B:$B,0)),"")</f>
        <v/>
      </c>
      <c r="M373" s="34" t="str">
        <f>IFERROR(INDEX('Pokemon Data'!I:I,MATCH($A373,'Pokemon Data'!$B:$B,0)),"")</f>
        <v/>
      </c>
      <c r="N373" s="34" t="str">
        <f>IFERROR(INDEX('Pokemon Data'!J:J,MATCH($A373,'Pokemon Data'!$B:$B,0)),"")</f>
        <v/>
      </c>
      <c r="O373" s="34" t="str">
        <f>IFERROR(INDEX('Pokemon Data'!K:K,MATCH($A373,'Pokemon Data'!$B:$B,0)),"")</f>
        <v/>
      </c>
      <c r="P373" s="35" t="str">
        <f>IFERROR(INDEX('Level Multipliers'!$A:$A,MATCH($D373,'Level Multipliers'!$B:$B,0)),"")</f>
        <v/>
      </c>
      <c r="Q373" s="36" t="str">
        <f>IFERROR(INDEX('Level Multipliers'!$D:$D,MATCH(P373,'Level Multipliers'!$A:$A,0)),"")</f>
        <v/>
      </c>
      <c r="R373" s="37" t="str">
        <f t="shared" si="185"/>
        <v/>
      </c>
      <c r="S373" s="37" t="str">
        <f t="shared" si="186"/>
        <v/>
      </c>
      <c r="T373" s="38" t="str">
        <f t="shared" si="187"/>
        <v/>
      </c>
      <c r="U373" s="38" t="str">
        <f t="shared" si="188"/>
        <v/>
      </c>
      <c r="V373" s="38" t="b">
        <f t="shared" si="189"/>
        <v>1</v>
      </c>
      <c r="W373" s="37" t="str">
        <f t="array" ref="W373:AG373">IF(V373,"",IVSolution($M373,$N373,$O373,R373,S373,T373,U373,$E373,$F373,$G373,$H373,$I373))</f>
        <v/>
      </c>
      <c r="X373" s="37" t="str">
        <v/>
      </c>
      <c r="Y373" s="37" t="str">
        <v/>
      </c>
      <c r="Z373" s="39" t="str">
        <v/>
      </c>
      <c r="AA373" s="39" t="str">
        <v/>
      </c>
      <c r="AB373" s="37" t="str">
        <v/>
      </c>
      <c r="AC373" s="37" t="str">
        <v/>
      </c>
      <c r="AD373" s="37" t="str">
        <v/>
      </c>
      <c r="AE373" s="37" t="str">
        <v/>
      </c>
      <c r="AF373" s="37" t="str">
        <v/>
      </c>
      <c r="AG373" s="37" t="str">
        <v/>
      </c>
      <c r="AH373" s="40" t="str">
        <f t="shared" si="190"/>
        <v/>
      </c>
      <c r="AI373" s="36" t="str">
        <f>IFERROR(INDEX('Level Multipliers'!$D:$D,MATCH(AH373,'Level Multipliers'!$A:$A,0)),"")</f>
        <v/>
      </c>
      <c r="AJ373" s="37" t="str">
        <f t="shared" si="191"/>
        <v/>
      </c>
      <c r="AK373" s="37" t="str">
        <f t="shared" si="192"/>
        <v/>
      </c>
      <c r="AL373" s="38" t="str">
        <f t="shared" si="193"/>
        <v/>
      </c>
      <c r="AM373" s="38" t="str">
        <f t="shared" si="194"/>
        <v/>
      </c>
      <c r="AN373" s="38" t="b">
        <f t="shared" si="195"/>
        <v>1</v>
      </c>
      <c r="AO373" s="37" t="str">
        <f t="array" ref="AO373:AY373">IF(AN373,"",IVSolution($M373,$N373,$O373,AJ373,AK373,AL373,AM373,$E373,$F373,$G373,$H373,$I373))</f>
        <v/>
      </c>
      <c r="AP373" s="37" t="str">
        <v/>
      </c>
      <c r="AQ373" s="37" t="str">
        <v/>
      </c>
      <c r="AR373" s="39" t="str">
        <v/>
      </c>
      <c r="AS373" s="39" t="str">
        <v/>
      </c>
      <c r="AT373" s="37" t="str">
        <v/>
      </c>
      <c r="AU373" s="37" t="str">
        <v/>
      </c>
      <c r="AV373" s="37" t="str">
        <v/>
      </c>
      <c r="AW373" s="37" t="str">
        <v/>
      </c>
      <c r="AX373" s="37" t="str">
        <v/>
      </c>
      <c r="AY373" s="37" t="str">
        <v/>
      </c>
      <c r="AZ373" s="40" t="str">
        <f t="shared" si="196"/>
        <v/>
      </c>
      <c r="BA373" s="36" t="str">
        <f>IFERROR(INDEX('Level Multipliers'!$D:$D,MATCH(AZ373,'Level Multipliers'!$A:$A,0)),"")</f>
        <v/>
      </c>
      <c r="BB373" s="37" t="str">
        <f t="shared" si="197"/>
        <v/>
      </c>
      <c r="BC373" s="37" t="str">
        <f t="shared" si="198"/>
        <v/>
      </c>
      <c r="BD373" s="38" t="str">
        <f t="shared" si="199"/>
        <v/>
      </c>
      <c r="BE373" s="38" t="str">
        <f t="shared" si="200"/>
        <v/>
      </c>
      <c r="BF373" s="38" t="b">
        <f t="shared" si="201"/>
        <v>1</v>
      </c>
      <c r="BG373" s="37" t="str">
        <f t="array" ref="BG373:BQ373">IF(BF373,"",IVSolution($M373,$N373,$O373,BB373,BC373,BD373,BE373,$E373,$F373,$G373,$H373,$I373))</f>
        <v/>
      </c>
      <c r="BH373" s="37" t="str">
        <v/>
      </c>
      <c r="BI373" s="37" t="str">
        <v/>
      </c>
      <c r="BJ373" s="39" t="str">
        <v/>
      </c>
      <c r="BK373" s="39" t="str">
        <v/>
      </c>
      <c r="BL373" s="37" t="str">
        <v/>
      </c>
      <c r="BM373" s="37" t="str">
        <v/>
      </c>
      <c r="BN373" s="37" t="str">
        <v/>
      </c>
      <c r="BO373" s="37" t="str">
        <v/>
      </c>
      <c r="BP373" s="37" t="str">
        <v/>
      </c>
      <c r="BQ373" s="37" t="str">
        <v/>
      </c>
      <c r="BR373" s="40" t="str">
        <f t="shared" si="202"/>
        <v/>
      </c>
      <c r="BS373" s="36" t="str">
        <f>IFERROR(INDEX('Level Multipliers'!$D:$D,MATCH(BR373,'Level Multipliers'!$A:$A,0)),"")</f>
        <v/>
      </c>
      <c r="BT373" s="37" t="str">
        <f t="shared" si="203"/>
        <v/>
      </c>
      <c r="BU373" s="37" t="str">
        <f t="shared" si="204"/>
        <v/>
      </c>
      <c r="BV373" s="38" t="str">
        <f t="shared" si="205"/>
        <v/>
      </c>
      <c r="BW373" s="38" t="str">
        <f t="shared" si="206"/>
        <v/>
      </c>
      <c r="BX373" s="38" t="b">
        <f t="shared" si="207"/>
        <v>1</v>
      </c>
      <c r="BY373" s="37" t="str">
        <f t="array" ref="BY373:CI373">IF(BX373,"",IVSolution($M373,$N373,$O373,BT373,BU373,BV373,BW373,$E373,$F373,$G373,$H373,$I373))</f>
        <v/>
      </c>
      <c r="BZ373" s="37" t="str">
        <v/>
      </c>
      <c r="CA373" s="37" t="str">
        <v/>
      </c>
      <c r="CB373" s="39" t="str">
        <v/>
      </c>
      <c r="CC373" s="39" t="str">
        <v/>
      </c>
      <c r="CD373" s="37" t="str">
        <v/>
      </c>
      <c r="CE373" s="37" t="str">
        <v/>
      </c>
      <c r="CF373" s="37" t="str">
        <v/>
      </c>
      <c r="CG373" s="37" t="str">
        <v/>
      </c>
      <c r="CH373" s="37" t="str">
        <v/>
      </c>
      <c r="CI373" s="37" t="str">
        <v/>
      </c>
      <c r="CJ373" s="41" t="str">
        <f t="shared" si="208"/>
        <v/>
      </c>
      <c r="CK373" s="41" t="str">
        <f t="shared" si="209"/>
        <v/>
      </c>
      <c r="CL373" s="66" t="str">
        <f t="shared" si="210"/>
        <v/>
      </c>
      <c r="CM373" s="39" t="str">
        <f t="shared" si="211"/>
        <v/>
      </c>
      <c r="CN373" s="39" t="str">
        <f t="shared" si="212"/>
        <v/>
      </c>
      <c r="CO373" s="42" t="str">
        <f t="shared" si="213"/>
        <v/>
      </c>
      <c r="CP373" s="42" t="str">
        <f t="shared" si="214"/>
        <v/>
      </c>
      <c r="CQ373" s="42" t="str">
        <f t="shared" si="215"/>
        <v/>
      </c>
      <c r="CR373" s="42" t="str">
        <f t="shared" si="216"/>
        <v/>
      </c>
      <c r="CS373" s="42" t="str">
        <f t="shared" si="217"/>
        <v/>
      </c>
      <c r="CT373" s="42" t="str">
        <f t="shared" si="218"/>
        <v/>
      </c>
      <c r="CU373" s="43" t="str">
        <f t="shared" si="219"/>
        <v/>
      </c>
      <c r="CV373" s="43" t="str">
        <f t="shared" si="220"/>
        <v/>
      </c>
      <c r="CW373" s="43" t="str">
        <f t="shared" si="221"/>
        <v/>
      </c>
      <c r="CX373" s="13"/>
    </row>
    <row r="374" spans="1:102" x14ac:dyDescent="0.25">
      <c r="A374" s="31"/>
      <c r="B374" s="13"/>
      <c r="C374" s="13"/>
      <c r="D374" s="13"/>
      <c r="E374" s="32"/>
      <c r="F374" s="32"/>
      <c r="G374" s="32"/>
      <c r="H374" s="32"/>
      <c r="I374" s="32"/>
      <c r="J374" s="13"/>
      <c r="K374" s="33"/>
      <c r="L374" s="34" t="str">
        <f>IFERROR(INDEX('Pokemon Data'!A:A,MATCH($A374,'Pokemon Data'!$B:$B,0)),"")</f>
        <v/>
      </c>
      <c r="M374" s="34" t="str">
        <f>IFERROR(INDEX('Pokemon Data'!I:I,MATCH($A374,'Pokemon Data'!$B:$B,0)),"")</f>
        <v/>
      </c>
      <c r="N374" s="34" t="str">
        <f>IFERROR(INDEX('Pokemon Data'!J:J,MATCH($A374,'Pokemon Data'!$B:$B,0)),"")</f>
        <v/>
      </c>
      <c r="O374" s="34" t="str">
        <f>IFERROR(INDEX('Pokemon Data'!K:K,MATCH($A374,'Pokemon Data'!$B:$B,0)),"")</f>
        <v/>
      </c>
      <c r="P374" s="35" t="str">
        <f>IFERROR(INDEX('Level Multipliers'!$A:$A,MATCH($D374,'Level Multipliers'!$B:$B,0)),"")</f>
        <v/>
      </c>
      <c r="Q374" s="36" t="str">
        <f>IFERROR(INDEX('Level Multipliers'!$D:$D,MATCH(P374,'Level Multipliers'!$A:$A,0)),"")</f>
        <v/>
      </c>
      <c r="R374" s="37" t="str">
        <f t="shared" si="185"/>
        <v/>
      </c>
      <c r="S374" s="37" t="str">
        <f t="shared" si="186"/>
        <v/>
      </c>
      <c r="T374" s="38" t="str">
        <f t="shared" si="187"/>
        <v/>
      </c>
      <c r="U374" s="38" t="str">
        <f t="shared" si="188"/>
        <v/>
      </c>
      <c r="V374" s="38" t="b">
        <f t="shared" si="189"/>
        <v>1</v>
      </c>
      <c r="W374" s="37" t="str">
        <f t="array" ref="W374:AG374">IF(V374,"",IVSolution($M374,$N374,$O374,R374,S374,T374,U374,$E374,$F374,$G374,$H374,$I374))</f>
        <v/>
      </c>
      <c r="X374" s="37" t="str">
        <v/>
      </c>
      <c r="Y374" s="37" t="str">
        <v/>
      </c>
      <c r="Z374" s="39" t="str">
        <v/>
      </c>
      <c r="AA374" s="39" t="str">
        <v/>
      </c>
      <c r="AB374" s="37" t="str">
        <v/>
      </c>
      <c r="AC374" s="37" t="str">
        <v/>
      </c>
      <c r="AD374" s="37" t="str">
        <v/>
      </c>
      <c r="AE374" s="37" t="str">
        <v/>
      </c>
      <c r="AF374" s="37" t="str">
        <v/>
      </c>
      <c r="AG374" s="37" t="str">
        <v/>
      </c>
      <c r="AH374" s="40" t="str">
        <f t="shared" si="190"/>
        <v/>
      </c>
      <c r="AI374" s="36" t="str">
        <f>IFERROR(INDEX('Level Multipliers'!$D:$D,MATCH(AH374,'Level Multipliers'!$A:$A,0)),"")</f>
        <v/>
      </c>
      <c r="AJ374" s="37" t="str">
        <f t="shared" si="191"/>
        <v/>
      </c>
      <c r="AK374" s="37" t="str">
        <f t="shared" si="192"/>
        <v/>
      </c>
      <c r="AL374" s="38" t="str">
        <f t="shared" si="193"/>
        <v/>
      </c>
      <c r="AM374" s="38" t="str">
        <f t="shared" si="194"/>
        <v/>
      </c>
      <c r="AN374" s="38" t="b">
        <f t="shared" si="195"/>
        <v>1</v>
      </c>
      <c r="AO374" s="37" t="str">
        <f t="array" ref="AO374:AY374">IF(AN374,"",IVSolution($M374,$N374,$O374,AJ374,AK374,AL374,AM374,$E374,$F374,$G374,$H374,$I374))</f>
        <v/>
      </c>
      <c r="AP374" s="37" t="str">
        <v/>
      </c>
      <c r="AQ374" s="37" t="str">
        <v/>
      </c>
      <c r="AR374" s="39" t="str">
        <v/>
      </c>
      <c r="AS374" s="39" t="str">
        <v/>
      </c>
      <c r="AT374" s="37" t="str">
        <v/>
      </c>
      <c r="AU374" s="37" t="str">
        <v/>
      </c>
      <c r="AV374" s="37" t="str">
        <v/>
      </c>
      <c r="AW374" s="37" t="str">
        <v/>
      </c>
      <c r="AX374" s="37" t="str">
        <v/>
      </c>
      <c r="AY374" s="37" t="str">
        <v/>
      </c>
      <c r="AZ374" s="40" t="str">
        <f t="shared" si="196"/>
        <v/>
      </c>
      <c r="BA374" s="36" t="str">
        <f>IFERROR(INDEX('Level Multipliers'!$D:$D,MATCH(AZ374,'Level Multipliers'!$A:$A,0)),"")</f>
        <v/>
      </c>
      <c r="BB374" s="37" t="str">
        <f t="shared" si="197"/>
        <v/>
      </c>
      <c r="BC374" s="37" t="str">
        <f t="shared" si="198"/>
        <v/>
      </c>
      <c r="BD374" s="38" t="str">
        <f t="shared" si="199"/>
        <v/>
      </c>
      <c r="BE374" s="38" t="str">
        <f t="shared" si="200"/>
        <v/>
      </c>
      <c r="BF374" s="38" t="b">
        <f t="shared" si="201"/>
        <v>1</v>
      </c>
      <c r="BG374" s="37" t="str">
        <f t="array" ref="BG374:BQ374">IF(BF374,"",IVSolution($M374,$N374,$O374,BB374,BC374,BD374,BE374,$E374,$F374,$G374,$H374,$I374))</f>
        <v/>
      </c>
      <c r="BH374" s="37" t="str">
        <v/>
      </c>
      <c r="BI374" s="37" t="str">
        <v/>
      </c>
      <c r="BJ374" s="39" t="str">
        <v/>
      </c>
      <c r="BK374" s="39" t="str">
        <v/>
      </c>
      <c r="BL374" s="37" t="str">
        <v/>
      </c>
      <c r="BM374" s="37" t="str">
        <v/>
      </c>
      <c r="BN374" s="37" t="str">
        <v/>
      </c>
      <c r="BO374" s="37" t="str">
        <v/>
      </c>
      <c r="BP374" s="37" t="str">
        <v/>
      </c>
      <c r="BQ374" s="37" t="str">
        <v/>
      </c>
      <c r="BR374" s="40" t="str">
        <f t="shared" si="202"/>
        <v/>
      </c>
      <c r="BS374" s="36" t="str">
        <f>IFERROR(INDEX('Level Multipliers'!$D:$D,MATCH(BR374,'Level Multipliers'!$A:$A,0)),"")</f>
        <v/>
      </c>
      <c r="BT374" s="37" t="str">
        <f t="shared" si="203"/>
        <v/>
      </c>
      <c r="BU374" s="37" t="str">
        <f t="shared" si="204"/>
        <v/>
      </c>
      <c r="BV374" s="38" t="str">
        <f t="shared" si="205"/>
        <v/>
      </c>
      <c r="BW374" s="38" t="str">
        <f t="shared" si="206"/>
        <v/>
      </c>
      <c r="BX374" s="38" t="b">
        <f t="shared" si="207"/>
        <v>1</v>
      </c>
      <c r="BY374" s="37" t="str">
        <f t="array" ref="BY374:CI374">IF(BX374,"",IVSolution($M374,$N374,$O374,BT374,BU374,BV374,BW374,$E374,$F374,$G374,$H374,$I374))</f>
        <v/>
      </c>
      <c r="BZ374" s="37" t="str">
        <v/>
      </c>
      <c r="CA374" s="37" t="str">
        <v/>
      </c>
      <c r="CB374" s="39" t="str">
        <v/>
      </c>
      <c r="CC374" s="39" t="str">
        <v/>
      </c>
      <c r="CD374" s="37" t="str">
        <v/>
      </c>
      <c r="CE374" s="37" t="str">
        <v/>
      </c>
      <c r="CF374" s="37" t="str">
        <v/>
      </c>
      <c r="CG374" s="37" t="str">
        <v/>
      </c>
      <c r="CH374" s="37" t="str">
        <v/>
      </c>
      <c r="CI374" s="37" t="str">
        <v/>
      </c>
      <c r="CJ374" s="41" t="str">
        <f t="shared" si="208"/>
        <v/>
      </c>
      <c r="CK374" s="41" t="str">
        <f t="shared" si="209"/>
        <v/>
      </c>
      <c r="CL374" s="66" t="str">
        <f t="shared" si="210"/>
        <v/>
      </c>
      <c r="CM374" s="39" t="str">
        <f t="shared" si="211"/>
        <v/>
      </c>
      <c r="CN374" s="39" t="str">
        <f t="shared" si="212"/>
        <v/>
      </c>
      <c r="CO374" s="42" t="str">
        <f t="shared" si="213"/>
        <v/>
      </c>
      <c r="CP374" s="42" t="str">
        <f t="shared" si="214"/>
        <v/>
      </c>
      <c r="CQ374" s="42" t="str">
        <f t="shared" si="215"/>
        <v/>
      </c>
      <c r="CR374" s="42" t="str">
        <f t="shared" si="216"/>
        <v/>
      </c>
      <c r="CS374" s="42" t="str">
        <f t="shared" si="217"/>
        <v/>
      </c>
      <c r="CT374" s="42" t="str">
        <f t="shared" si="218"/>
        <v/>
      </c>
      <c r="CU374" s="43" t="str">
        <f t="shared" si="219"/>
        <v/>
      </c>
      <c r="CV374" s="43" t="str">
        <f t="shared" si="220"/>
        <v/>
      </c>
      <c r="CW374" s="43" t="str">
        <f t="shared" si="221"/>
        <v/>
      </c>
      <c r="CX374" s="13"/>
    </row>
    <row r="375" spans="1:102" x14ac:dyDescent="0.25">
      <c r="A375" s="31"/>
      <c r="B375" s="13"/>
      <c r="C375" s="13"/>
      <c r="D375" s="13"/>
      <c r="E375" s="32"/>
      <c r="F375" s="32"/>
      <c r="G375" s="32"/>
      <c r="H375" s="32"/>
      <c r="I375" s="32"/>
      <c r="J375" s="13"/>
      <c r="K375" s="33"/>
      <c r="L375" s="34" t="str">
        <f>IFERROR(INDEX('Pokemon Data'!A:A,MATCH($A375,'Pokemon Data'!$B:$B,0)),"")</f>
        <v/>
      </c>
      <c r="M375" s="34" t="str">
        <f>IFERROR(INDEX('Pokemon Data'!I:I,MATCH($A375,'Pokemon Data'!$B:$B,0)),"")</f>
        <v/>
      </c>
      <c r="N375" s="34" t="str">
        <f>IFERROR(INDEX('Pokemon Data'!J:J,MATCH($A375,'Pokemon Data'!$B:$B,0)),"")</f>
        <v/>
      </c>
      <c r="O375" s="34" t="str">
        <f>IFERROR(INDEX('Pokemon Data'!K:K,MATCH($A375,'Pokemon Data'!$B:$B,0)),"")</f>
        <v/>
      </c>
      <c r="P375" s="35" t="str">
        <f>IFERROR(INDEX('Level Multipliers'!$A:$A,MATCH($D375,'Level Multipliers'!$B:$B,0)),"")</f>
        <v/>
      </c>
      <c r="Q375" s="36" t="str">
        <f>IFERROR(INDEX('Level Multipliers'!$D:$D,MATCH(P375,'Level Multipliers'!$A:$A,0)),"")</f>
        <v/>
      </c>
      <c r="R375" s="37" t="str">
        <f t="shared" si="185"/>
        <v/>
      </c>
      <c r="S375" s="37" t="str">
        <f t="shared" si="186"/>
        <v/>
      </c>
      <c r="T375" s="38" t="str">
        <f t="shared" si="187"/>
        <v/>
      </c>
      <c r="U375" s="38" t="str">
        <f t="shared" si="188"/>
        <v/>
      </c>
      <c r="V375" s="38" t="b">
        <f t="shared" si="189"/>
        <v>1</v>
      </c>
      <c r="W375" s="37" t="str">
        <f t="array" ref="W375:AG375">IF(V375,"",IVSolution($M375,$N375,$O375,R375,S375,T375,U375,$E375,$F375,$G375,$H375,$I375))</f>
        <v/>
      </c>
      <c r="X375" s="37" t="str">
        <v/>
      </c>
      <c r="Y375" s="37" t="str">
        <v/>
      </c>
      <c r="Z375" s="39" t="str">
        <v/>
      </c>
      <c r="AA375" s="39" t="str">
        <v/>
      </c>
      <c r="AB375" s="37" t="str">
        <v/>
      </c>
      <c r="AC375" s="37" t="str">
        <v/>
      </c>
      <c r="AD375" s="37" t="str">
        <v/>
      </c>
      <c r="AE375" s="37" t="str">
        <v/>
      </c>
      <c r="AF375" s="37" t="str">
        <v/>
      </c>
      <c r="AG375" s="37" t="str">
        <v/>
      </c>
      <c r="AH375" s="40" t="str">
        <f t="shared" si="190"/>
        <v/>
      </c>
      <c r="AI375" s="36" t="str">
        <f>IFERROR(INDEX('Level Multipliers'!$D:$D,MATCH(AH375,'Level Multipliers'!$A:$A,0)),"")</f>
        <v/>
      </c>
      <c r="AJ375" s="37" t="str">
        <f t="shared" si="191"/>
        <v/>
      </c>
      <c r="AK375" s="37" t="str">
        <f t="shared" si="192"/>
        <v/>
      </c>
      <c r="AL375" s="38" t="str">
        <f t="shared" si="193"/>
        <v/>
      </c>
      <c r="AM375" s="38" t="str">
        <f t="shared" si="194"/>
        <v/>
      </c>
      <c r="AN375" s="38" t="b">
        <f t="shared" si="195"/>
        <v>1</v>
      </c>
      <c r="AO375" s="37" t="str">
        <f t="array" ref="AO375:AY375">IF(AN375,"",IVSolution($M375,$N375,$O375,AJ375,AK375,AL375,AM375,$E375,$F375,$G375,$H375,$I375))</f>
        <v/>
      </c>
      <c r="AP375" s="37" t="str">
        <v/>
      </c>
      <c r="AQ375" s="37" t="str">
        <v/>
      </c>
      <c r="AR375" s="39" t="str">
        <v/>
      </c>
      <c r="AS375" s="39" t="str">
        <v/>
      </c>
      <c r="AT375" s="37" t="str">
        <v/>
      </c>
      <c r="AU375" s="37" t="str">
        <v/>
      </c>
      <c r="AV375" s="37" t="str">
        <v/>
      </c>
      <c r="AW375" s="37" t="str">
        <v/>
      </c>
      <c r="AX375" s="37" t="str">
        <v/>
      </c>
      <c r="AY375" s="37" t="str">
        <v/>
      </c>
      <c r="AZ375" s="40" t="str">
        <f t="shared" si="196"/>
        <v/>
      </c>
      <c r="BA375" s="36" t="str">
        <f>IFERROR(INDEX('Level Multipliers'!$D:$D,MATCH(AZ375,'Level Multipliers'!$A:$A,0)),"")</f>
        <v/>
      </c>
      <c r="BB375" s="37" t="str">
        <f t="shared" si="197"/>
        <v/>
      </c>
      <c r="BC375" s="37" t="str">
        <f t="shared" si="198"/>
        <v/>
      </c>
      <c r="BD375" s="38" t="str">
        <f t="shared" si="199"/>
        <v/>
      </c>
      <c r="BE375" s="38" t="str">
        <f t="shared" si="200"/>
        <v/>
      </c>
      <c r="BF375" s="38" t="b">
        <f t="shared" si="201"/>
        <v>1</v>
      </c>
      <c r="BG375" s="37" t="str">
        <f t="array" ref="BG375:BQ375">IF(BF375,"",IVSolution($M375,$N375,$O375,BB375,BC375,BD375,BE375,$E375,$F375,$G375,$H375,$I375))</f>
        <v/>
      </c>
      <c r="BH375" s="37" t="str">
        <v/>
      </c>
      <c r="BI375" s="37" t="str">
        <v/>
      </c>
      <c r="BJ375" s="39" t="str">
        <v/>
      </c>
      <c r="BK375" s="39" t="str">
        <v/>
      </c>
      <c r="BL375" s="37" t="str">
        <v/>
      </c>
      <c r="BM375" s="37" t="str">
        <v/>
      </c>
      <c r="BN375" s="37" t="str">
        <v/>
      </c>
      <c r="BO375" s="37" t="str">
        <v/>
      </c>
      <c r="BP375" s="37" t="str">
        <v/>
      </c>
      <c r="BQ375" s="37" t="str">
        <v/>
      </c>
      <c r="BR375" s="40" t="str">
        <f t="shared" si="202"/>
        <v/>
      </c>
      <c r="BS375" s="36" t="str">
        <f>IFERROR(INDEX('Level Multipliers'!$D:$D,MATCH(BR375,'Level Multipliers'!$A:$A,0)),"")</f>
        <v/>
      </c>
      <c r="BT375" s="37" t="str">
        <f t="shared" si="203"/>
        <v/>
      </c>
      <c r="BU375" s="37" t="str">
        <f t="shared" si="204"/>
        <v/>
      </c>
      <c r="BV375" s="38" t="str">
        <f t="shared" si="205"/>
        <v/>
      </c>
      <c r="BW375" s="38" t="str">
        <f t="shared" si="206"/>
        <v/>
      </c>
      <c r="BX375" s="38" t="b">
        <f t="shared" si="207"/>
        <v>1</v>
      </c>
      <c r="BY375" s="37" t="str">
        <f t="array" ref="BY375:CI375">IF(BX375,"",IVSolution($M375,$N375,$O375,BT375,BU375,BV375,BW375,$E375,$F375,$G375,$H375,$I375))</f>
        <v/>
      </c>
      <c r="BZ375" s="37" t="str">
        <v/>
      </c>
      <c r="CA375" s="37" t="str">
        <v/>
      </c>
      <c r="CB375" s="39" t="str">
        <v/>
      </c>
      <c r="CC375" s="39" t="str">
        <v/>
      </c>
      <c r="CD375" s="37" t="str">
        <v/>
      </c>
      <c r="CE375" s="37" t="str">
        <v/>
      </c>
      <c r="CF375" s="37" t="str">
        <v/>
      </c>
      <c r="CG375" s="37" t="str">
        <v/>
      </c>
      <c r="CH375" s="37" t="str">
        <v/>
      </c>
      <c r="CI375" s="37" t="str">
        <v/>
      </c>
      <c r="CJ375" s="41" t="str">
        <f t="shared" si="208"/>
        <v/>
      </c>
      <c r="CK375" s="41" t="str">
        <f t="shared" si="209"/>
        <v/>
      </c>
      <c r="CL375" s="66" t="str">
        <f t="shared" si="210"/>
        <v/>
      </c>
      <c r="CM375" s="39" t="str">
        <f t="shared" si="211"/>
        <v/>
      </c>
      <c r="CN375" s="39" t="str">
        <f t="shared" si="212"/>
        <v/>
      </c>
      <c r="CO375" s="42" t="str">
        <f t="shared" si="213"/>
        <v/>
      </c>
      <c r="CP375" s="42" t="str">
        <f t="shared" si="214"/>
        <v/>
      </c>
      <c r="CQ375" s="42" t="str">
        <f t="shared" si="215"/>
        <v/>
      </c>
      <c r="CR375" s="42" t="str">
        <f t="shared" si="216"/>
        <v/>
      </c>
      <c r="CS375" s="42" t="str">
        <f t="shared" si="217"/>
        <v/>
      </c>
      <c r="CT375" s="42" t="str">
        <f t="shared" si="218"/>
        <v/>
      </c>
      <c r="CU375" s="43" t="str">
        <f t="shared" si="219"/>
        <v/>
      </c>
      <c r="CV375" s="43" t="str">
        <f t="shared" si="220"/>
        <v/>
      </c>
      <c r="CW375" s="43" t="str">
        <f t="shared" si="221"/>
        <v/>
      </c>
      <c r="CX375" s="13"/>
    </row>
    <row r="376" spans="1:102" x14ac:dyDescent="0.25">
      <c r="A376" s="31"/>
      <c r="B376" s="13"/>
      <c r="C376" s="13"/>
      <c r="D376" s="13"/>
      <c r="E376" s="32"/>
      <c r="F376" s="32"/>
      <c r="G376" s="32"/>
      <c r="H376" s="32"/>
      <c r="I376" s="32"/>
      <c r="J376" s="13"/>
      <c r="K376" s="33"/>
      <c r="L376" s="34" t="str">
        <f>IFERROR(INDEX('Pokemon Data'!A:A,MATCH($A376,'Pokemon Data'!$B:$B,0)),"")</f>
        <v/>
      </c>
      <c r="M376" s="34" t="str">
        <f>IFERROR(INDEX('Pokemon Data'!I:I,MATCH($A376,'Pokemon Data'!$B:$B,0)),"")</f>
        <v/>
      </c>
      <c r="N376" s="34" t="str">
        <f>IFERROR(INDEX('Pokemon Data'!J:J,MATCH($A376,'Pokemon Data'!$B:$B,0)),"")</f>
        <v/>
      </c>
      <c r="O376" s="34" t="str">
        <f>IFERROR(INDEX('Pokemon Data'!K:K,MATCH($A376,'Pokemon Data'!$B:$B,0)),"")</f>
        <v/>
      </c>
      <c r="P376" s="35" t="str">
        <f>IFERROR(INDEX('Level Multipliers'!$A:$A,MATCH($D376,'Level Multipliers'!$B:$B,0)),"")</f>
        <v/>
      </c>
      <c r="Q376" s="36" t="str">
        <f>IFERROR(INDEX('Level Multipliers'!$D:$D,MATCH(P376,'Level Multipliers'!$A:$A,0)),"")</f>
        <v/>
      </c>
      <c r="R376" s="37" t="str">
        <f t="shared" si="185"/>
        <v/>
      </c>
      <c r="S376" s="37" t="str">
        <f t="shared" si="186"/>
        <v/>
      </c>
      <c r="T376" s="38" t="str">
        <f t="shared" si="187"/>
        <v/>
      </c>
      <c r="U376" s="38" t="str">
        <f t="shared" si="188"/>
        <v/>
      </c>
      <c r="V376" s="38" t="b">
        <f t="shared" si="189"/>
        <v>1</v>
      </c>
      <c r="W376" s="37" t="str">
        <f t="array" ref="W376:AG376">IF(V376,"",IVSolution($M376,$N376,$O376,R376,S376,T376,U376,$E376,$F376,$G376,$H376,$I376))</f>
        <v/>
      </c>
      <c r="X376" s="37" t="str">
        <v/>
      </c>
      <c r="Y376" s="37" t="str">
        <v/>
      </c>
      <c r="Z376" s="39" t="str">
        <v/>
      </c>
      <c r="AA376" s="39" t="str">
        <v/>
      </c>
      <c r="AB376" s="37" t="str">
        <v/>
      </c>
      <c r="AC376" s="37" t="str">
        <v/>
      </c>
      <c r="AD376" s="37" t="str">
        <v/>
      </c>
      <c r="AE376" s="37" t="str">
        <v/>
      </c>
      <c r="AF376" s="37" t="str">
        <v/>
      </c>
      <c r="AG376" s="37" t="str">
        <v/>
      </c>
      <c r="AH376" s="40" t="str">
        <f t="shared" si="190"/>
        <v/>
      </c>
      <c r="AI376" s="36" t="str">
        <f>IFERROR(INDEX('Level Multipliers'!$D:$D,MATCH(AH376,'Level Multipliers'!$A:$A,0)),"")</f>
        <v/>
      </c>
      <c r="AJ376" s="37" t="str">
        <f t="shared" si="191"/>
        <v/>
      </c>
      <c r="AK376" s="37" t="str">
        <f t="shared" si="192"/>
        <v/>
      </c>
      <c r="AL376" s="38" t="str">
        <f t="shared" si="193"/>
        <v/>
      </c>
      <c r="AM376" s="38" t="str">
        <f t="shared" si="194"/>
        <v/>
      </c>
      <c r="AN376" s="38" t="b">
        <f t="shared" si="195"/>
        <v>1</v>
      </c>
      <c r="AO376" s="37" t="str">
        <f t="array" ref="AO376:AY376">IF(AN376,"",IVSolution($M376,$N376,$O376,AJ376,AK376,AL376,AM376,$E376,$F376,$G376,$H376,$I376))</f>
        <v/>
      </c>
      <c r="AP376" s="37" t="str">
        <v/>
      </c>
      <c r="AQ376" s="37" t="str">
        <v/>
      </c>
      <c r="AR376" s="39" t="str">
        <v/>
      </c>
      <c r="AS376" s="39" t="str">
        <v/>
      </c>
      <c r="AT376" s="37" t="str">
        <v/>
      </c>
      <c r="AU376" s="37" t="str">
        <v/>
      </c>
      <c r="AV376" s="37" t="str">
        <v/>
      </c>
      <c r="AW376" s="37" t="str">
        <v/>
      </c>
      <c r="AX376" s="37" t="str">
        <v/>
      </c>
      <c r="AY376" s="37" t="str">
        <v/>
      </c>
      <c r="AZ376" s="40" t="str">
        <f t="shared" si="196"/>
        <v/>
      </c>
      <c r="BA376" s="36" t="str">
        <f>IFERROR(INDEX('Level Multipliers'!$D:$D,MATCH(AZ376,'Level Multipliers'!$A:$A,0)),"")</f>
        <v/>
      </c>
      <c r="BB376" s="37" t="str">
        <f t="shared" si="197"/>
        <v/>
      </c>
      <c r="BC376" s="37" t="str">
        <f t="shared" si="198"/>
        <v/>
      </c>
      <c r="BD376" s="38" t="str">
        <f t="shared" si="199"/>
        <v/>
      </c>
      <c r="BE376" s="38" t="str">
        <f t="shared" si="200"/>
        <v/>
      </c>
      <c r="BF376" s="38" t="b">
        <f t="shared" si="201"/>
        <v>1</v>
      </c>
      <c r="BG376" s="37" t="str">
        <f t="array" ref="BG376:BQ376">IF(BF376,"",IVSolution($M376,$N376,$O376,BB376,BC376,BD376,BE376,$E376,$F376,$G376,$H376,$I376))</f>
        <v/>
      </c>
      <c r="BH376" s="37" t="str">
        <v/>
      </c>
      <c r="BI376" s="37" t="str">
        <v/>
      </c>
      <c r="BJ376" s="39" t="str">
        <v/>
      </c>
      <c r="BK376" s="39" t="str">
        <v/>
      </c>
      <c r="BL376" s="37" t="str">
        <v/>
      </c>
      <c r="BM376" s="37" t="str">
        <v/>
      </c>
      <c r="BN376" s="37" t="str">
        <v/>
      </c>
      <c r="BO376" s="37" t="str">
        <v/>
      </c>
      <c r="BP376" s="37" t="str">
        <v/>
      </c>
      <c r="BQ376" s="37" t="str">
        <v/>
      </c>
      <c r="BR376" s="40" t="str">
        <f t="shared" si="202"/>
        <v/>
      </c>
      <c r="BS376" s="36" t="str">
        <f>IFERROR(INDEX('Level Multipliers'!$D:$D,MATCH(BR376,'Level Multipliers'!$A:$A,0)),"")</f>
        <v/>
      </c>
      <c r="BT376" s="37" t="str">
        <f t="shared" si="203"/>
        <v/>
      </c>
      <c r="BU376" s="37" t="str">
        <f t="shared" si="204"/>
        <v/>
      </c>
      <c r="BV376" s="38" t="str">
        <f t="shared" si="205"/>
        <v/>
      </c>
      <c r="BW376" s="38" t="str">
        <f t="shared" si="206"/>
        <v/>
      </c>
      <c r="BX376" s="38" t="b">
        <f t="shared" si="207"/>
        <v>1</v>
      </c>
      <c r="BY376" s="37" t="str">
        <f t="array" ref="BY376:CI376">IF(BX376,"",IVSolution($M376,$N376,$O376,BT376,BU376,BV376,BW376,$E376,$F376,$G376,$H376,$I376))</f>
        <v/>
      </c>
      <c r="BZ376" s="37" t="str">
        <v/>
      </c>
      <c r="CA376" s="37" t="str">
        <v/>
      </c>
      <c r="CB376" s="39" t="str">
        <v/>
      </c>
      <c r="CC376" s="39" t="str">
        <v/>
      </c>
      <c r="CD376" s="37" t="str">
        <v/>
      </c>
      <c r="CE376" s="37" t="str">
        <v/>
      </c>
      <c r="CF376" s="37" t="str">
        <v/>
      </c>
      <c r="CG376" s="37" t="str">
        <v/>
      </c>
      <c r="CH376" s="37" t="str">
        <v/>
      </c>
      <c r="CI376" s="37" t="str">
        <v/>
      </c>
      <c r="CJ376" s="41" t="str">
        <f t="shared" si="208"/>
        <v/>
      </c>
      <c r="CK376" s="41" t="str">
        <f t="shared" si="209"/>
        <v/>
      </c>
      <c r="CL376" s="66" t="str">
        <f t="shared" si="210"/>
        <v/>
      </c>
      <c r="CM376" s="39" t="str">
        <f t="shared" si="211"/>
        <v/>
      </c>
      <c r="CN376" s="39" t="str">
        <f t="shared" si="212"/>
        <v/>
      </c>
      <c r="CO376" s="42" t="str">
        <f t="shared" si="213"/>
        <v/>
      </c>
      <c r="CP376" s="42" t="str">
        <f t="shared" si="214"/>
        <v/>
      </c>
      <c r="CQ376" s="42" t="str">
        <f t="shared" si="215"/>
        <v/>
      </c>
      <c r="CR376" s="42" t="str">
        <f t="shared" si="216"/>
        <v/>
      </c>
      <c r="CS376" s="42" t="str">
        <f t="shared" si="217"/>
        <v/>
      </c>
      <c r="CT376" s="42" t="str">
        <f t="shared" si="218"/>
        <v/>
      </c>
      <c r="CU376" s="43" t="str">
        <f t="shared" si="219"/>
        <v/>
      </c>
      <c r="CV376" s="43" t="str">
        <f t="shared" si="220"/>
        <v/>
      </c>
      <c r="CW376" s="43" t="str">
        <f t="shared" si="221"/>
        <v/>
      </c>
      <c r="CX376" s="13"/>
    </row>
    <row r="377" spans="1:102" x14ac:dyDescent="0.25">
      <c r="A377" s="31"/>
      <c r="B377" s="13"/>
      <c r="C377" s="13"/>
      <c r="D377" s="13"/>
      <c r="E377" s="32"/>
      <c r="F377" s="32"/>
      <c r="G377" s="32"/>
      <c r="H377" s="32"/>
      <c r="I377" s="32"/>
      <c r="J377" s="13"/>
      <c r="K377" s="33"/>
      <c r="L377" s="34" t="str">
        <f>IFERROR(INDEX('Pokemon Data'!A:A,MATCH($A377,'Pokemon Data'!$B:$B,0)),"")</f>
        <v/>
      </c>
      <c r="M377" s="34" t="str">
        <f>IFERROR(INDEX('Pokemon Data'!I:I,MATCH($A377,'Pokemon Data'!$B:$B,0)),"")</f>
        <v/>
      </c>
      <c r="N377" s="34" t="str">
        <f>IFERROR(INDEX('Pokemon Data'!J:J,MATCH($A377,'Pokemon Data'!$B:$B,0)),"")</f>
        <v/>
      </c>
      <c r="O377" s="34" t="str">
        <f>IFERROR(INDEX('Pokemon Data'!K:K,MATCH($A377,'Pokemon Data'!$B:$B,0)),"")</f>
        <v/>
      </c>
      <c r="P377" s="35" t="str">
        <f>IFERROR(INDEX('Level Multipliers'!$A:$A,MATCH($D377,'Level Multipliers'!$B:$B,0)),"")</f>
        <v/>
      </c>
      <c r="Q377" s="36" t="str">
        <f>IFERROR(INDEX('Level Multipliers'!$D:$D,MATCH(P377,'Level Multipliers'!$A:$A,0)),"")</f>
        <v/>
      </c>
      <c r="R377" s="37" t="str">
        <f t="shared" si="185"/>
        <v/>
      </c>
      <c r="S377" s="37" t="str">
        <f t="shared" si="186"/>
        <v/>
      </c>
      <c r="T377" s="38" t="str">
        <f t="shared" si="187"/>
        <v/>
      </c>
      <c r="U377" s="38" t="str">
        <f t="shared" si="188"/>
        <v/>
      </c>
      <c r="V377" s="38" t="b">
        <f t="shared" si="189"/>
        <v>1</v>
      </c>
      <c r="W377" s="37" t="str">
        <f t="array" ref="W377:AG377">IF(V377,"",IVSolution($M377,$N377,$O377,R377,S377,T377,U377,$E377,$F377,$G377,$H377,$I377))</f>
        <v/>
      </c>
      <c r="X377" s="37" t="str">
        <v/>
      </c>
      <c r="Y377" s="37" t="str">
        <v/>
      </c>
      <c r="Z377" s="39" t="str">
        <v/>
      </c>
      <c r="AA377" s="39" t="str">
        <v/>
      </c>
      <c r="AB377" s="37" t="str">
        <v/>
      </c>
      <c r="AC377" s="37" t="str">
        <v/>
      </c>
      <c r="AD377" s="37" t="str">
        <v/>
      </c>
      <c r="AE377" s="37" t="str">
        <v/>
      </c>
      <c r="AF377" s="37" t="str">
        <v/>
      </c>
      <c r="AG377" s="37" t="str">
        <v/>
      </c>
      <c r="AH377" s="40" t="str">
        <f t="shared" si="190"/>
        <v/>
      </c>
      <c r="AI377" s="36" t="str">
        <f>IFERROR(INDEX('Level Multipliers'!$D:$D,MATCH(AH377,'Level Multipliers'!$A:$A,0)),"")</f>
        <v/>
      </c>
      <c r="AJ377" s="37" t="str">
        <f t="shared" si="191"/>
        <v/>
      </c>
      <c r="AK377" s="37" t="str">
        <f t="shared" si="192"/>
        <v/>
      </c>
      <c r="AL377" s="38" t="str">
        <f t="shared" si="193"/>
        <v/>
      </c>
      <c r="AM377" s="38" t="str">
        <f t="shared" si="194"/>
        <v/>
      </c>
      <c r="AN377" s="38" t="b">
        <f t="shared" si="195"/>
        <v>1</v>
      </c>
      <c r="AO377" s="37" t="str">
        <f t="array" ref="AO377:AY377">IF(AN377,"",IVSolution($M377,$N377,$O377,AJ377,AK377,AL377,AM377,$E377,$F377,$G377,$H377,$I377))</f>
        <v/>
      </c>
      <c r="AP377" s="37" t="str">
        <v/>
      </c>
      <c r="AQ377" s="37" t="str">
        <v/>
      </c>
      <c r="AR377" s="39" t="str">
        <v/>
      </c>
      <c r="AS377" s="39" t="str">
        <v/>
      </c>
      <c r="AT377" s="37" t="str">
        <v/>
      </c>
      <c r="AU377" s="37" t="str">
        <v/>
      </c>
      <c r="AV377" s="37" t="str">
        <v/>
      </c>
      <c r="AW377" s="37" t="str">
        <v/>
      </c>
      <c r="AX377" s="37" t="str">
        <v/>
      </c>
      <c r="AY377" s="37" t="str">
        <v/>
      </c>
      <c r="AZ377" s="40" t="str">
        <f t="shared" si="196"/>
        <v/>
      </c>
      <c r="BA377" s="36" t="str">
        <f>IFERROR(INDEX('Level Multipliers'!$D:$D,MATCH(AZ377,'Level Multipliers'!$A:$A,0)),"")</f>
        <v/>
      </c>
      <c r="BB377" s="37" t="str">
        <f t="shared" si="197"/>
        <v/>
      </c>
      <c r="BC377" s="37" t="str">
        <f t="shared" si="198"/>
        <v/>
      </c>
      <c r="BD377" s="38" t="str">
        <f t="shared" si="199"/>
        <v/>
      </c>
      <c r="BE377" s="38" t="str">
        <f t="shared" si="200"/>
        <v/>
      </c>
      <c r="BF377" s="38" t="b">
        <f t="shared" si="201"/>
        <v>1</v>
      </c>
      <c r="BG377" s="37" t="str">
        <f t="array" ref="BG377:BQ377">IF(BF377,"",IVSolution($M377,$N377,$O377,BB377,BC377,BD377,BE377,$E377,$F377,$G377,$H377,$I377))</f>
        <v/>
      </c>
      <c r="BH377" s="37" t="str">
        <v/>
      </c>
      <c r="BI377" s="37" t="str">
        <v/>
      </c>
      <c r="BJ377" s="39" t="str">
        <v/>
      </c>
      <c r="BK377" s="39" t="str">
        <v/>
      </c>
      <c r="BL377" s="37" t="str">
        <v/>
      </c>
      <c r="BM377" s="37" t="str">
        <v/>
      </c>
      <c r="BN377" s="37" t="str">
        <v/>
      </c>
      <c r="BO377" s="37" t="str">
        <v/>
      </c>
      <c r="BP377" s="37" t="str">
        <v/>
      </c>
      <c r="BQ377" s="37" t="str">
        <v/>
      </c>
      <c r="BR377" s="40" t="str">
        <f t="shared" si="202"/>
        <v/>
      </c>
      <c r="BS377" s="36" t="str">
        <f>IFERROR(INDEX('Level Multipliers'!$D:$D,MATCH(BR377,'Level Multipliers'!$A:$A,0)),"")</f>
        <v/>
      </c>
      <c r="BT377" s="37" t="str">
        <f t="shared" si="203"/>
        <v/>
      </c>
      <c r="BU377" s="37" t="str">
        <f t="shared" si="204"/>
        <v/>
      </c>
      <c r="BV377" s="38" t="str">
        <f t="shared" si="205"/>
        <v/>
      </c>
      <c r="BW377" s="38" t="str">
        <f t="shared" si="206"/>
        <v/>
      </c>
      <c r="BX377" s="38" t="b">
        <f t="shared" si="207"/>
        <v>1</v>
      </c>
      <c r="BY377" s="37" t="str">
        <f t="array" ref="BY377:CI377">IF(BX377,"",IVSolution($M377,$N377,$O377,BT377,BU377,BV377,BW377,$E377,$F377,$G377,$H377,$I377))</f>
        <v/>
      </c>
      <c r="BZ377" s="37" t="str">
        <v/>
      </c>
      <c r="CA377" s="37" t="str">
        <v/>
      </c>
      <c r="CB377" s="39" t="str">
        <v/>
      </c>
      <c r="CC377" s="39" t="str">
        <v/>
      </c>
      <c r="CD377" s="37" t="str">
        <v/>
      </c>
      <c r="CE377" s="37" t="str">
        <v/>
      </c>
      <c r="CF377" s="37" t="str">
        <v/>
      </c>
      <c r="CG377" s="37" t="str">
        <v/>
      </c>
      <c r="CH377" s="37" t="str">
        <v/>
      </c>
      <c r="CI377" s="37" t="str">
        <v/>
      </c>
      <c r="CJ377" s="41" t="str">
        <f t="shared" si="208"/>
        <v/>
      </c>
      <c r="CK377" s="41" t="str">
        <f t="shared" si="209"/>
        <v/>
      </c>
      <c r="CL377" s="66" t="str">
        <f t="shared" si="210"/>
        <v/>
      </c>
      <c r="CM377" s="39" t="str">
        <f t="shared" si="211"/>
        <v/>
      </c>
      <c r="CN377" s="39" t="str">
        <f t="shared" si="212"/>
        <v/>
      </c>
      <c r="CO377" s="42" t="str">
        <f t="shared" si="213"/>
        <v/>
      </c>
      <c r="CP377" s="42" t="str">
        <f t="shared" si="214"/>
        <v/>
      </c>
      <c r="CQ377" s="42" t="str">
        <f t="shared" si="215"/>
        <v/>
      </c>
      <c r="CR377" s="42" t="str">
        <f t="shared" si="216"/>
        <v/>
      </c>
      <c r="CS377" s="42" t="str">
        <f t="shared" si="217"/>
        <v/>
      </c>
      <c r="CT377" s="42" t="str">
        <f t="shared" si="218"/>
        <v/>
      </c>
      <c r="CU377" s="43" t="str">
        <f t="shared" si="219"/>
        <v/>
      </c>
      <c r="CV377" s="43" t="str">
        <f t="shared" si="220"/>
        <v/>
      </c>
      <c r="CW377" s="43" t="str">
        <f t="shared" si="221"/>
        <v/>
      </c>
      <c r="CX377" s="13"/>
    </row>
    <row r="378" spans="1:102" x14ac:dyDescent="0.25">
      <c r="A378" s="31"/>
      <c r="B378" s="13"/>
      <c r="C378" s="13"/>
      <c r="D378" s="13"/>
      <c r="E378" s="32"/>
      <c r="F378" s="32"/>
      <c r="G378" s="32"/>
      <c r="H378" s="32"/>
      <c r="I378" s="32"/>
      <c r="J378" s="13"/>
      <c r="K378" s="33"/>
      <c r="L378" s="34" t="str">
        <f>IFERROR(INDEX('Pokemon Data'!A:A,MATCH($A378,'Pokemon Data'!$B:$B,0)),"")</f>
        <v/>
      </c>
      <c r="M378" s="34" t="str">
        <f>IFERROR(INDEX('Pokemon Data'!I:I,MATCH($A378,'Pokemon Data'!$B:$B,0)),"")</f>
        <v/>
      </c>
      <c r="N378" s="34" t="str">
        <f>IFERROR(INDEX('Pokemon Data'!J:J,MATCH($A378,'Pokemon Data'!$B:$B,0)),"")</f>
        <v/>
      </c>
      <c r="O378" s="34" t="str">
        <f>IFERROR(INDEX('Pokemon Data'!K:K,MATCH($A378,'Pokemon Data'!$B:$B,0)),"")</f>
        <v/>
      </c>
      <c r="P378" s="35" t="str">
        <f>IFERROR(INDEX('Level Multipliers'!$A:$A,MATCH($D378,'Level Multipliers'!$B:$B,0)),"")</f>
        <v/>
      </c>
      <c r="Q378" s="36" t="str">
        <f>IFERROR(INDEX('Level Multipliers'!$D:$D,MATCH(P378,'Level Multipliers'!$A:$A,0)),"")</f>
        <v/>
      </c>
      <c r="R378" s="37" t="str">
        <f t="shared" si="185"/>
        <v/>
      </c>
      <c r="S378" s="37" t="str">
        <f t="shared" si="186"/>
        <v/>
      </c>
      <c r="T378" s="38" t="str">
        <f t="shared" si="187"/>
        <v/>
      </c>
      <c r="U378" s="38" t="str">
        <f t="shared" si="188"/>
        <v/>
      </c>
      <c r="V378" s="38" t="b">
        <f t="shared" si="189"/>
        <v>1</v>
      </c>
      <c r="W378" s="37" t="str">
        <f t="array" ref="W378:AG378">IF(V378,"",IVSolution($M378,$N378,$O378,R378,S378,T378,U378,$E378,$F378,$G378,$H378,$I378))</f>
        <v/>
      </c>
      <c r="X378" s="37" t="str">
        <v/>
      </c>
      <c r="Y378" s="37" t="str">
        <v/>
      </c>
      <c r="Z378" s="39" t="str">
        <v/>
      </c>
      <c r="AA378" s="39" t="str">
        <v/>
      </c>
      <c r="AB378" s="37" t="str">
        <v/>
      </c>
      <c r="AC378" s="37" t="str">
        <v/>
      </c>
      <c r="AD378" s="37" t="str">
        <v/>
      </c>
      <c r="AE378" s="37" t="str">
        <v/>
      </c>
      <c r="AF378" s="37" t="str">
        <v/>
      </c>
      <c r="AG378" s="37" t="str">
        <v/>
      </c>
      <c r="AH378" s="40" t="str">
        <f t="shared" si="190"/>
        <v/>
      </c>
      <c r="AI378" s="36" t="str">
        <f>IFERROR(INDEX('Level Multipliers'!$D:$D,MATCH(AH378,'Level Multipliers'!$A:$A,0)),"")</f>
        <v/>
      </c>
      <c r="AJ378" s="37" t="str">
        <f t="shared" si="191"/>
        <v/>
      </c>
      <c r="AK378" s="37" t="str">
        <f t="shared" si="192"/>
        <v/>
      </c>
      <c r="AL378" s="38" t="str">
        <f t="shared" si="193"/>
        <v/>
      </c>
      <c r="AM378" s="38" t="str">
        <f t="shared" si="194"/>
        <v/>
      </c>
      <c r="AN378" s="38" t="b">
        <f t="shared" si="195"/>
        <v>1</v>
      </c>
      <c r="AO378" s="37" t="str">
        <f t="array" ref="AO378:AY378">IF(AN378,"",IVSolution($M378,$N378,$O378,AJ378,AK378,AL378,AM378,$E378,$F378,$G378,$H378,$I378))</f>
        <v/>
      </c>
      <c r="AP378" s="37" t="str">
        <v/>
      </c>
      <c r="AQ378" s="37" t="str">
        <v/>
      </c>
      <c r="AR378" s="39" t="str">
        <v/>
      </c>
      <c r="AS378" s="39" t="str">
        <v/>
      </c>
      <c r="AT378" s="37" t="str">
        <v/>
      </c>
      <c r="AU378" s="37" t="str">
        <v/>
      </c>
      <c r="AV378" s="37" t="str">
        <v/>
      </c>
      <c r="AW378" s="37" t="str">
        <v/>
      </c>
      <c r="AX378" s="37" t="str">
        <v/>
      </c>
      <c r="AY378" s="37" t="str">
        <v/>
      </c>
      <c r="AZ378" s="40" t="str">
        <f t="shared" si="196"/>
        <v/>
      </c>
      <c r="BA378" s="36" t="str">
        <f>IFERROR(INDEX('Level Multipliers'!$D:$D,MATCH(AZ378,'Level Multipliers'!$A:$A,0)),"")</f>
        <v/>
      </c>
      <c r="BB378" s="37" t="str">
        <f t="shared" si="197"/>
        <v/>
      </c>
      <c r="BC378" s="37" t="str">
        <f t="shared" si="198"/>
        <v/>
      </c>
      <c r="BD378" s="38" t="str">
        <f t="shared" si="199"/>
        <v/>
      </c>
      <c r="BE378" s="38" t="str">
        <f t="shared" si="200"/>
        <v/>
      </c>
      <c r="BF378" s="38" t="b">
        <f t="shared" si="201"/>
        <v>1</v>
      </c>
      <c r="BG378" s="37" t="str">
        <f t="array" ref="BG378:BQ378">IF(BF378,"",IVSolution($M378,$N378,$O378,BB378,BC378,BD378,BE378,$E378,$F378,$G378,$H378,$I378))</f>
        <v/>
      </c>
      <c r="BH378" s="37" t="str">
        <v/>
      </c>
      <c r="BI378" s="37" t="str">
        <v/>
      </c>
      <c r="BJ378" s="39" t="str">
        <v/>
      </c>
      <c r="BK378" s="39" t="str">
        <v/>
      </c>
      <c r="BL378" s="37" t="str">
        <v/>
      </c>
      <c r="BM378" s="37" t="str">
        <v/>
      </c>
      <c r="BN378" s="37" t="str">
        <v/>
      </c>
      <c r="BO378" s="37" t="str">
        <v/>
      </c>
      <c r="BP378" s="37" t="str">
        <v/>
      </c>
      <c r="BQ378" s="37" t="str">
        <v/>
      </c>
      <c r="BR378" s="40" t="str">
        <f t="shared" si="202"/>
        <v/>
      </c>
      <c r="BS378" s="36" t="str">
        <f>IFERROR(INDEX('Level Multipliers'!$D:$D,MATCH(BR378,'Level Multipliers'!$A:$A,0)),"")</f>
        <v/>
      </c>
      <c r="BT378" s="37" t="str">
        <f t="shared" si="203"/>
        <v/>
      </c>
      <c r="BU378" s="37" t="str">
        <f t="shared" si="204"/>
        <v/>
      </c>
      <c r="BV378" s="38" t="str">
        <f t="shared" si="205"/>
        <v/>
      </c>
      <c r="BW378" s="38" t="str">
        <f t="shared" si="206"/>
        <v/>
      </c>
      <c r="BX378" s="38" t="b">
        <f t="shared" si="207"/>
        <v>1</v>
      </c>
      <c r="BY378" s="37" t="str">
        <f t="array" ref="BY378:CI378">IF(BX378,"",IVSolution($M378,$N378,$O378,BT378,BU378,BV378,BW378,$E378,$F378,$G378,$H378,$I378))</f>
        <v/>
      </c>
      <c r="BZ378" s="37" t="str">
        <v/>
      </c>
      <c r="CA378" s="37" t="str">
        <v/>
      </c>
      <c r="CB378" s="39" t="str">
        <v/>
      </c>
      <c r="CC378" s="39" t="str">
        <v/>
      </c>
      <c r="CD378" s="37" t="str">
        <v/>
      </c>
      <c r="CE378" s="37" t="str">
        <v/>
      </c>
      <c r="CF378" s="37" t="str">
        <v/>
      </c>
      <c r="CG378" s="37" t="str">
        <v/>
      </c>
      <c r="CH378" s="37" t="str">
        <v/>
      </c>
      <c r="CI378" s="37" t="str">
        <v/>
      </c>
      <c r="CJ378" s="41" t="str">
        <f t="shared" si="208"/>
        <v/>
      </c>
      <c r="CK378" s="41" t="str">
        <f t="shared" si="209"/>
        <v/>
      </c>
      <c r="CL378" s="66" t="str">
        <f t="shared" si="210"/>
        <v/>
      </c>
      <c r="CM378" s="39" t="str">
        <f t="shared" si="211"/>
        <v/>
      </c>
      <c r="CN378" s="39" t="str">
        <f t="shared" si="212"/>
        <v/>
      </c>
      <c r="CO378" s="42" t="str">
        <f t="shared" si="213"/>
        <v/>
      </c>
      <c r="CP378" s="42" t="str">
        <f t="shared" si="214"/>
        <v/>
      </c>
      <c r="CQ378" s="42" t="str">
        <f t="shared" si="215"/>
        <v/>
      </c>
      <c r="CR378" s="42" t="str">
        <f t="shared" si="216"/>
        <v/>
      </c>
      <c r="CS378" s="42" t="str">
        <f t="shared" si="217"/>
        <v/>
      </c>
      <c r="CT378" s="42" t="str">
        <f t="shared" si="218"/>
        <v/>
      </c>
      <c r="CU378" s="43" t="str">
        <f t="shared" si="219"/>
        <v/>
      </c>
      <c r="CV378" s="43" t="str">
        <f t="shared" si="220"/>
        <v/>
      </c>
      <c r="CW378" s="43" t="str">
        <f t="shared" si="221"/>
        <v/>
      </c>
      <c r="CX378" s="13"/>
    </row>
    <row r="379" spans="1:102" x14ac:dyDescent="0.25">
      <c r="A379" s="31"/>
      <c r="B379" s="13"/>
      <c r="C379" s="13"/>
      <c r="D379" s="13"/>
      <c r="E379" s="32"/>
      <c r="F379" s="32"/>
      <c r="G379" s="32"/>
      <c r="H379" s="32"/>
      <c r="I379" s="32"/>
      <c r="J379" s="13"/>
      <c r="K379" s="33"/>
      <c r="L379" s="34" t="str">
        <f>IFERROR(INDEX('Pokemon Data'!A:A,MATCH($A379,'Pokemon Data'!$B:$B,0)),"")</f>
        <v/>
      </c>
      <c r="M379" s="34" t="str">
        <f>IFERROR(INDEX('Pokemon Data'!I:I,MATCH($A379,'Pokemon Data'!$B:$B,0)),"")</f>
        <v/>
      </c>
      <c r="N379" s="34" t="str">
        <f>IFERROR(INDEX('Pokemon Data'!J:J,MATCH($A379,'Pokemon Data'!$B:$B,0)),"")</f>
        <v/>
      </c>
      <c r="O379" s="34" t="str">
        <f>IFERROR(INDEX('Pokemon Data'!K:K,MATCH($A379,'Pokemon Data'!$B:$B,0)),"")</f>
        <v/>
      </c>
      <c r="P379" s="35" t="str">
        <f>IFERROR(INDEX('Level Multipliers'!$A:$A,MATCH($D379,'Level Multipliers'!$B:$B,0)),"")</f>
        <v/>
      </c>
      <c r="Q379" s="36" t="str">
        <f>IFERROR(INDEX('Level Multipliers'!$D:$D,MATCH(P379,'Level Multipliers'!$A:$A,0)),"")</f>
        <v/>
      </c>
      <c r="R379" s="37" t="str">
        <f t="shared" si="185"/>
        <v/>
      </c>
      <c r="S379" s="37" t="str">
        <f t="shared" si="186"/>
        <v/>
      </c>
      <c r="T379" s="38" t="str">
        <f t="shared" si="187"/>
        <v/>
      </c>
      <c r="U379" s="38" t="str">
        <f t="shared" si="188"/>
        <v/>
      </c>
      <c r="V379" s="38" t="b">
        <f t="shared" si="189"/>
        <v>1</v>
      </c>
      <c r="W379" s="37" t="str">
        <f t="array" ref="W379:AG379">IF(V379,"",IVSolution($M379,$N379,$O379,R379,S379,T379,U379,$E379,$F379,$G379,$H379,$I379))</f>
        <v/>
      </c>
      <c r="X379" s="37" t="str">
        <v/>
      </c>
      <c r="Y379" s="37" t="str">
        <v/>
      </c>
      <c r="Z379" s="39" t="str">
        <v/>
      </c>
      <c r="AA379" s="39" t="str">
        <v/>
      </c>
      <c r="AB379" s="37" t="str">
        <v/>
      </c>
      <c r="AC379" s="37" t="str">
        <v/>
      </c>
      <c r="AD379" s="37" t="str">
        <v/>
      </c>
      <c r="AE379" s="37" t="str">
        <v/>
      </c>
      <c r="AF379" s="37" t="str">
        <v/>
      </c>
      <c r="AG379" s="37" t="str">
        <v/>
      </c>
      <c r="AH379" s="40" t="str">
        <f t="shared" si="190"/>
        <v/>
      </c>
      <c r="AI379" s="36" t="str">
        <f>IFERROR(INDEX('Level Multipliers'!$D:$D,MATCH(AH379,'Level Multipliers'!$A:$A,0)),"")</f>
        <v/>
      </c>
      <c r="AJ379" s="37" t="str">
        <f t="shared" si="191"/>
        <v/>
      </c>
      <c r="AK379" s="37" t="str">
        <f t="shared" si="192"/>
        <v/>
      </c>
      <c r="AL379" s="38" t="str">
        <f t="shared" si="193"/>
        <v/>
      </c>
      <c r="AM379" s="38" t="str">
        <f t="shared" si="194"/>
        <v/>
      </c>
      <c r="AN379" s="38" t="b">
        <f t="shared" si="195"/>
        <v>1</v>
      </c>
      <c r="AO379" s="37" t="str">
        <f t="array" ref="AO379:AY379">IF(AN379,"",IVSolution($M379,$N379,$O379,AJ379,AK379,AL379,AM379,$E379,$F379,$G379,$H379,$I379))</f>
        <v/>
      </c>
      <c r="AP379" s="37" t="str">
        <v/>
      </c>
      <c r="AQ379" s="37" t="str">
        <v/>
      </c>
      <c r="AR379" s="39" t="str">
        <v/>
      </c>
      <c r="AS379" s="39" t="str">
        <v/>
      </c>
      <c r="AT379" s="37" t="str">
        <v/>
      </c>
      <c r="AU379" s="37" t="str">
        <v/>
      </c>
      <c r="AV379" s="37" t="str">
        <v/>
      </c>
      <c r="AW379" s="37" t="str">
        <v/>
      </c>
      <c r="AX379" s="37" t="str">
        <v/>
      </c>
      <c r="AY379" s="37" t="str">
        <v/>
      </c>
      <c r="AZ379" s="40" t="str">
        <f t="shared" si="196"/>
        <v/>
      </c>
      <c r="BA379" s="36" t="str">
        <f>IFERROR(INDEX('Level Multipliers'!$D:$D,MATCH(AZ379,'Level Multipliers'!$A:$A,0)),"")</f>
        <v/>
      </c>
      <c r="BB379" s="37" t="str">
        <f t="shared" si="197"/>
        <v/>
      </c>
      <c r="BC379" s="37" t="str">
        <f t="shared" si="198"/>
        <v/>
      </c>
      <c r="BD379" s="38" t="str">
        <f t="shared" si="199"/>
        <v/>
      </c>
      <c r="BE379" s="38" t="str">
        <f t="shared" si="200"/>
        <v/>
      </c>
      <c r="BF379" s="38" t="b">
        <f t="shared" si="201"/>
        <v>1</v>
      </c>
      <c r="BG379" s="37" t="str">
        <f t="array" ref="BG379:BQ379">IF(BF379,"",IVSolution($M379,$N379,$O379,BB379,BC379,BD379,BE379,$E379,$F379,$G379,$H379,$I379))</f>
        <v/>
      </c>
      <c r="BH379" s="37" t="str">
        <v/>
      </c>
      <c r="BI379" s="37" t="str">
        <v/>
      </c>
      <c r="BJ379" s="39" t="str">
        <v/>
      </c>
      <c r="BK379" s="39" t="str">
        <v/>
      </c>
      <c r="BL379" s="37" t="str">
        <v/>
      </c>
      <c r="BM379" s="37" t="str">
        <v/>
      </c>
      <c r="BN379" s="37" t="str">
        <v/>
      </c>
      <c r="BO379" s="37" t="str">
        <v/>
      </c>
      <c r="BP379" s="37" t="str">
        <v/>
      </c>
      <c r="BQ379" s="37" t="str">
        <v/>
      </c>
      <c r="BR379" s="40" t="str">
        <f t="shared" si="202"/>
        <v/>
      </c>
      <c r="BS379" s="36" t="str">
        <f>IFERROR(INDEX('Level Multipliers'!$D:$D,MATCH(BR379,'Level Multipliers'!$A:$A,0)),"")</f>
        <v/>
      </c>
      <c r="BT379" s="37" t="str">
        <f t="shared" si="203"/>
        <v/>
      </c>
      <c r="BU379" s="37" t="str">
        <f t="shared" si="204"/>
        <v/>
      </c>
      <c r="BV379" s="38" t="str">
        <f t="shared" si="205"/>
        <v/>
      </c>
      <c r="BW379" s="38" t="str">
        <f t="shared" si="206"/>
        <v/>
      </c>
      <c r="BX379" s="38" t="b">
        <f t="shared" si="207"/>
        <v>1</v>
      </c>
      <c r="BY379" s="37" t="str">
        <f t="array" ref="BY379:CI379">IF(BX379,"",IVSolution($M379,$N379,$O379,BT379,BU379,BV379,BW379,$E379,$F379,$G379,$H379,$I379))</f>
        <v/>
      </c>
      <c r="BZ379" s="37" t="str">
        <v/>
      </c>
      <c r="CA379" s="37" t="str">
        <v/>
      </c>
      <c r="CB379" s="39" t="str">
        <v/>
      </c>
      <c r="CC379" s="39" t="str">
        <v/>
      </c>
      <c r="CD379" s="37" t="str">
        <v/>
      </c>
      <c r="CE379" s="37" t="str">
        <v/>
      </c>
      <c r="CF379" s="37" t="str">
        <v/>
      </c>
      <c r="CG379" s="37" t="str">
        <v/>
      </c>
      <c r="CH379" s="37" t="str">
        <v/>
      </c>
      <c r="CI379" s="37" t="str">
        <v/>
      </c>
      <c r="CJ379" s="41" t="str">
        <f t="shared" si="208"/>
        <v/>
      </c>
      <c r="CK379" s="41" t="str">
        <f t="shared" si="209"/>
        <v/>
      </c>
      <c r="CL379" s="66" t="str">
        <f t="shared" si="210"/>
        <v/>
      </c>
      <c r="CM379" s="39" t="str">
        <f t="shared" si="211"/>
        <v/>
      </c>
      <c r="CN379" s="39" t="str">
        <f t="shared" si="212"/>
        <v/>
      </c>
      <c r="CO379" s="42" t="str">
        <f t="shared" si="213"/>
        <v/>
      </c>
      <c r="CP379" s="42" t="str">
        <f t="shared" si="214"/>
        <v/>
      </c>
      <c r="CQ379" s="42" t="str">
        <f t="shared" si="215"/>
        <v/>
      </c>
      <c r="CR379" s="42" t="str">
        <f t="shared" si="216"/>
        <v/>
      </c>
      <c r="CS379" s="42" t="str">
        <f t="shared" si="217"/>
        <v/>
      </c>
      <c r="CT379" s="42" t="str">
        <f t="shared" si="218"/>
        <v/>
      </c>
      <c r="CU379" s="43" t="str">
        <f t="shared" si="219"/>
        <v/>
      </c>
      <c r="CV379" s="43" t="str">
        <f t="shared" si="220"/>
        <v/>
      </c>
      <c r="CW379" s="43" t="str">
        <f t="shared" si="221"/>
        <v/>
      </c>
      <c r="CX379" s="13"/>
    </row>
    <row r="380" spans="1:102" x14ac:dyDescent="0.25">
      <c r="A380" s="31"/>
      <c r="B380" s="13"/>
      <c r="C380" s="13"/>
      <c r="D380" s="13"/>
      <c r="E380" s="32"/>
      <c r="F380" s="32"/>
      <c r="G380" s="32"/>
      <c r="H380" s="32"/>
      <c r="I380" s="32"/>
      <c r="J380" s="13"/>
      <c r="K380" s="33"/>
      <c r="L380" s="34" t="str">
        <f>IFERROR(INDEX('Pokemon Data'!A:A,MATCH($A380,'Pokemon Data'!$B:$B,0)),"")</f>
        <v/>
      </c>
      <c r="M380" s="34" t="str">
        <f>IFERROR(INDEX('Pokemon Data'!I:I,MATCH($A380,'Pokemon Data'!$B:$B,0)),"")</f>
        <v/>
      </c>
      <c r="N380" s="34" t="str">
        <f>IFERROR(INDEX('Pokemon Data'!J:J,MATCH($A380,'Pokemon Data'!$B:$B,0)),"")</f>
        <v/>
      </c>
      <c r="O380" s="34" t="str">
        <f>IFERROR(INDEX('Pokemon Data'!K:K,MATCH($A380,'Pokemon Data'!$B:$B,0)),"")</f>
        <v/>
      </c>
      <c r="P380" s="35" t="str">
        <f>IFERROR(INDEX('Level Multipliers'!$A:$A,MATCH($D380,'Level Multipliers'!$B:$B,0)),"")</f>
        <v/>
      </c>
      <c r="Q380" s="36" t="str">
        <f>IFERROR(INDEX('Level Multipliers'!$D:$D,MATCH(P380,'Level Multipliers'!$A:$A,0)),"")</f>
        <v/>
      </c>
      <c r="R380" s="37" t="str">
        <f t="shared" si="185"/>
        <v/>
      </c>
      <c r="S380" s="37" t="str">
        <f t="shared" si="186"/>
        <v/>
      </c>
      <c r="T380" s="38" t="str">
        <f t="shared" si="187"/>
        <v/>
      </c>
      <c r="U380" s="38" t="str">
        <f t="shared" si="188"/>
        <v/>
      </c>
      <c r="V380" s="38" t="b">
        <f t="shared" si="189"/>
        <v>1</v>
      </c>
      <c r="W380" s="37" t="str">
        <f t="array" ref="W380:AG380">IF(V380,"",IVSolution($M380,$N380,$O380,R380,S380,T380,U380,$E380,$F380,$G380,$H380,$I380))</f>
        <v/>
      </c>
      <c r="X380" s="37" t="str">
        <v/>
      </c>
      <c r="Y380" s="37" t="str">
        <v/>
      </c>
      <c r="Z380" s="39" t="str">
        <v/>
      </c>
      <c r="AA380" s="39" t="str">
        <v/>
      </c>
      <c r="AB380" s="37" t="str">
        <v/>
      </c>
      <c r="AC380" s="37" t="str">
        <v/>
      </c>
      <c r="AD380" s="37" t="str">
        <v/>
      </c>
      <c r="AE380" s="37" t="str">
        <v/>
      </c>
      <c r="AF380" s="37" t="str">
        <v/>
      </c>
      <c r="AG380" s="37" t="str">
        <v/>
      </c>
      <c r="AH380" s="40" t="str">
        <f t="shared" si="190"/>
        <v/>
      </c>
      <c r="AI380" s="36" t="str">
        <f>IFERROR(INDEX('Level Multipliers'!$D:$D,MATCH(AH380,'Level Multipliers'!$A:$A,0)),"")</f>
        <v/>
      </c>
      <c r="AJ380" s="37" t="str">
        <f t="shared" si="191"/>
        <v/>
      </c>
      <c r="AK380" s="37" t="str">
        <f t="shared" si="192"/>
        <v/>
      </c>
      <c r="AL380" s="38" t="str">
        <f t="shared" si="193"/>
        <v/>
      </c>
      <c r="AM380" s="38" t="str">
        <f t="shared" si="194"/>
        <v/>
      </c>
      <c r="AN380" s="38" t="b">
        <f t="shared" si="195"/>
        <v>1</v>
      </c>
      <c r="AO380" s="37" t="str">
        <f t="array" ref="AO380:AY380">IF(AN380,"",IVSolution($M380,$N380,$O380,AJ380,AK380,AL380,AM380,$E380,$F380,$G380,$H380,$I380))</f>
        <v/>
      </c>
      <c r="AP380" s="37" t="str">
        <v/>
      </c>
      <c r="AQ380" s="37" t="str">
        <v/>
      </c>
      <c r="AR380" s="39" t="str">
        <v/>
      </c>
      <c r="AS380" s="39" t="str">
        <v/>
      </c>
      <c r="AT380" s="37" t="str">
        <v/>
      </c>
      <c r="AU380" s="37" t="str">
        <v/>
      </c>
      <c r="AV380" s="37" t="str">
        <v/>
      </c>
      <c r="AW380" s="37" t="str">
        <v/>
      </c>
      <c r="AX380" s="37" t="str">
        <v/>
      </c>
      <c r="AY380" s="37" t="str">
        <v/>
      </c>
      <c r="AZ380" s="40" t="str">
        <f t="shared" si="196"/>
        <v/>
      </c>
      <c r="BA380" s="36" t="str">
        <f>IFERROR(INDEX('Level Multipliers'!$D:$D,MATCH(AZ380,'Level Multipliers'!$A:$A,0)),"")</f>
        <v/>
      </c>
      <c r="BB380" s="37" t="str">
        <f t="shared" si="197"/>
        <v/>
      </c>
      <c r="BC380" s="37" t="str">
        <f t="shared" si="198"/>
        <v/>
      </c>
      <c r="BD380" s="38" t="str">
        <f t="shared" si="199"/>
        <v/>
      </c>
      <c r="BE380" s="38" t="str">
        <f t="shared" si="200"/>
        <v/>
      </c>
      <c r="BF380" s="38" t="b">
        <f t="shared" si="201"/>
        <v>1</v>
      </c>
      <c r="BG380" s="37" t="str">
        <f t="array" ref="BG380:BQ380">IF(BF380,"",IVSolution($M380,$N380,$O380,BB380,BC380,BD380,BE380,$E380,$F380,$G380,$H380,$I380))</f>
        <v/>
      </c>
      <c r="BH380" s="37" t="str">
        <v/>
      </c>
      <c r="BI380" s="37" t="str">
        <v/>
      </c>
      <c r="BJ380" s="39" t="str">
        <v/>
      </c>
      <c r="BK380" s="39" t="str">
        <v/>
      </c>
      <c r="BL380" s="37" t="str">
        <v/>
      </c>
      <c r="BM380" s="37" t="str">
        <v/>
      </c>
      <c r="BN380" s="37" t="str">
        <v/>
      </c>
      <c r="BO380" s="37" t="str">
        <v/>
      </c>
      <c r="BP380" s="37" t="str">
        <v/>
      </c>
      <c r="BQ380" s="37" t="str">
        <v/>
      </c>
      <c r="BR380" s="40" t="str">
        <f t="shared" si="202"/>
        <v/>
      </c>
      <c r="BS380" s="36" t="str">
        <f>IFERROR(INDEX('Level Multipliers'!$D:$D,MATCH(BR380,'Level Multipliers'!$A:$A,0)),"")</f>
        <v/>
      </c>
      <c r="BT380" s="37" t="str">
        <f t="shared" si="203"/>
        <v/>
      </c>
      <c r="BU380" s="37" t="str">
        <f t="shared" si="204"/>
        <v/>
      </c>
      <c r="BV380" s="38" t="str">
        <f t="shared" si="205"/>
        <v/>
      </c>
      <c r="BW380" s="38" t="str">
        <f t="shared" si="206"/>
        <v/>
      </c>
      <c r="BX380" s="38" t="b">
        <f t="shared" si="207"/>
        <v>1</v>
      </c>
      <c r="BY380" s="37" t="str">
        <f t="array" ref="BY380:CI380">IF(BX380,"",IVSolution($M380,$N380,$O380,BT380,BU380,BV380,BW380,$E380,$F380,$G380,$H380,$I380))</f>
        <v/>
      </c>
      <c r="BZ380" s="37" t="str">
        <v/>
      </c>
      <c r="CA380" s="37" t="str">
        <v/>
      </c>
      <c r="CB380" s="39" t="str">
        <v/>
      </c>
      <c r="CC380" s="39" t="str">
        <v/>
      </c>
      <c r="CD380" s="37" t="str">
        <v/>
      </c>
      <c r="CE380" s="37" t="str">
        <v/>
      </c>
      <c r="CF380" s="37" t="str">
        <v/>
      </c>
      <c r="CG380" s="37" t="str">
        <v/>
      </c>
      <c r="CH380" s="37" t="str">
        <v/>
      </c>
      <c r="CI380" s="37" t="str">
        <v/>
      </c>
      <c r="CJ380" s="41" t="str">
        <f t="shared" si="208"/>
        <v/>
      </c>
      <c r="CK380" s="41" t="str">
        <f t="shared" si="209"/>
        <v/>
      </c>
      <c r="CL380" s="66" t="str">
        <f t="shared" si="210"/>
        <v/>
      </c>
      <c r="CM380" s="39" t="str">
        <f t="shared" si="211"/>
        <v/>
      </c>
      <c r="CN380" s="39" t="str">
        <f t="shared" si="212"/>
        <v/>
      </c>
      <c r="CO380" s="42" t="str">
        <f t="shared" si="213"/>
        <v/>
      </c>
      <c r="CP380" s="42" t="str">
        <f t="shared" si="214"/>
        <v/>
      </c>
      <c r="CQ380" s="42" t="str">
        <f t="shared" si="215"/>
        <v/>
      </c>
      <c r="CR380" s="42" t="str">
        <f t="shared" si="216"/>
        <v/>
      </c>
      <c r="CS380" s="42" t="str">
        <f t="shared" si="217"/>
        <v/>
      </c>
      <c r="CT380" s="42" t="str">
        <f t="shared" si="218"/>
        <v/>
      </c>
      <c r="CU380" s="43" t="str">
        <f t="shared" si="219"/>
        <v/>
      </c>
      <c r="CV380" s="43" t="str">
        <f t="shared" si="220"/>
        <v/>
      </c>
      <c r="CW380" s="43" t="str">
        <f t="shared" si="221"/>
        <v/>
      </c>
      <c r="CX380" s="13"/>
    </row>
    <row r="381" spans="1:102" x14ac:dyDescent="0.25">
      <c r="A381" s="31"/>
      <c r="B381" s="13"/>
      <c r="C381" s="13"/>
      <c r="D381" s="13"/>
      <c r="E381" s="32"/>
      <c r="F381" s="32"/>
      <c r="G381" s="32"/>
      <c r="H381" s="32"/>
      <c r="I381" s="32"/>
      <c r="J381" s="13"/>
      <c r="K381" s="33"/>
      <c r="L381" s="34" t="str">
        <f>IFERROR(INDEX('Pokemon Data'!A:A,MATCH($A381,'Pokemon Data'!$B:$B,0)),"")</f>
        <v/>
      </c>
      <c r="M381" s="34" t="str">
        <f>IFERROR(INDEX('Pokemon Data'!I:I,MATCH($A381,'Pokemon Data'!$B:$B,0)),"")</f>
        <v/>
      </c>
      <c r="N381" s="34" t="str">
        <f>IFERROR(INDEX('Pokemon Data'!J:J,MATCH($A381,'Pokemon Data'!$B:$B,0)),"")</f>
        <v/>
      </c>
      <c r="O381" s="34" t="str">
        <f>IFERROR(INDEX('Pokemon Data'!K:K,MATCH($A381,'Pokemon Data'!$B:$B,0)),"")</f>
        <v/>
      </c>
      <c r="P381" s="35" t="str">
        <f>IFERROR(INDEX('Level Multipliers'!$A:$A,MATCH($D381,'Level Multipliers'!$B:$B,0)),"")</f>
        <v/>
      </c>
      <c r="Q381" s="36" t="str">
        <f>IFERROR(INDEX('Level Multipliers'!$D:$D,MATCH(P381,'Level Multipliers'!$A:$A,0)),"")</f>
        <v/>
      </c>
      <c r="R381" s="37" t="str">
        <f t="shared" si="185"/>
        <v/>
      </c>
      <c r="S381" s="37" t="str">
        <f t="shared" si="186"/>
        <v/>
      </c>
      <c r="T381" s="38" t="str">
        <f t="shared" si="187"/>
        <v/>
      </c>
      <c r="U381" s="38" t="str">
        <f t="shared" si="188"/>
        <v/>
      </c>
      <c r="V381" s="38" t="b">
        <f t="shared" si="189"/>
        <v>1</v>
      </c>
      <c r="W381" s="37" t="str">
        <f t="array" ref="W381:AG381">IF(V381,"",IVSolution($M381,$N381,$O381,R381,S381,T381,U381,$E381,$F381,$G381,$H381,$I381))</f>
        <v/>
      </c>
      <c r="X381" s="37" t="str">
        <v/>
      </c>
      <c r="Y381" s="37" t="str">
        <v/>
      </c>
      <c r="Z381" s="39" t="str">
        <v/>
      </c>
      <c r="AA381" s="39" t="str">
        <v/>
      </c>
      <c r="AB381" s="37" t="str">
        <v/>
      </c>
      <c r="AC381" s="37" t="str">
        <v/>
      </c>
      <c r="AD381" s="37" t="str">
        <v/>
      </c>
      <c r="AE381" s="37" t="str">
        <v/>
      </c>
      <c r="AF381" s="37" t="str">
        <v/>
      </c>
      <c r="AG381" s="37" t="str">
        <v/>
      </c>
      <c r="AH381" s="40" t="str">
        <f t="shared" si="190"/>
        <v/>
      </c>
      <c r="AI381" s="36" t="str">
        <f>IFERROR(INDEX('Level Multipliers'!$D:$D,MATCH(AH381,'Level Multipliers'!$A:$A,0)),"")</f>
        <v/>
      </c>
      <c r="AJ381" s="37" t="str">
        <f t="shared" si="191"/>
        <v/>
      </c>
      <c r="AK381" s="37" t="str">
        <f t="shared" si="192"/>
        <v/>
      </c>
      <c r="AL381" s="38" t="str">
        <f t="shared" si="193"/>
        <v/>
      </c>
      <c r="AM381" s="38" t="str">
        <f t="shared" si="194"/>
        <v/>
      </c>
      <c r="AN381" s="38" t="b">
        <f t="shared" si="195"/>
        <v>1</v>
      </c>
      <c r="AO381" s="37" t="str">
        <f t="array" ref="AO381:AY381">IF(AN381,"",IVSolution($M381,$N381,$O381,AJ381,AK381,AL381,AM381,$E381,$F381,$G381,$H381,$I381))</f>
        <v/>
      </c>
      <c r="AP381" s="37" t="str">
        <v/>
      </c>
      <c r="AQ381" s="37" t="str">
        <v/>
      </c>
      <c r="AR381" s="39" t="str">
        <v/>
      </c>
      <c r="AS381" s="39" t="str">
        <v/>
      </c>
      <c r="AT381" s="37" t="str">
        <v/>
      </c>
      <c r="AU381" s="37" t="str">
        <v/>
      </c>
      <c r="AV381" s="37" t="str">
        <v/>
      </c>
      <c r="AW381" s="37" t="str">
        <v/>
      </c>
      <c r="AX381" s="37" t="str">
        <v/>
      </c>
      <c r="AY381" s="37" t="str">
        <v/>
      </c>
      <c r="AZ381" s="40" t="str">
        <f t="shared" si="196"/>
        <v/>
      </c>
      <c r="BA381" s="36" t="str">
        <f>IFERROR(INDEX('Level Multipliers'!$D:$D,MATCH(AZ381,'Level Multipliers'!$A:$A,0)),"")</f>
        <v/>
      </c>
      <c r="BB381" s="37" t="str">
        <f t="shared" si="197"/>
        <v/>
      </c>
      <c r="BC381" s="37" t="str">
        <f t="shared" si="198"/>
        <v/>
      </c>
      <c r="BD381" s="38" t="str">
        <f t="shared" si="199"/>
        <v/>
      </c>
      <c r="BE381" s="38" t="str">
        <f t="shared" si="200"/>
        <v/>
      </c>
      <c r="BF381" s="38" t="b">
        <f t="shared" si="201"/>
        <v>1</v>
      </c>
      <c r="BG381" s="37" t="str">
        <f t="array" ref="BG381:BQ381">IF(BF381,"",IVSolution($M381,$N381,$O381,BB381,BC381,BD381,BE381,$E381,$F381,$G381,$H381,$I381))</f>
        <v/>
      </c>
      <c r="BH381" s="37" t="str">
        <v/>
      </c>
      <c r="BI381" s="37" t="str">
        <v/>
      </c>
      <c r="BJ381" s="39" t="str">
        <v/>
      </c>
      <c r="BK381" s="39" t="str">
        <v/>
      </c>
      <c r="BL381" s="37" t="str">
        <v/>
      </c>
      <c r="BM381" s="37" t="str">
        <v/>
      </c>
      <c r="BN381" s="37" t="str">
        <v/>
      </c>
      <c r="BO381" s="37" t="str">
        <v/>
      </c>
      <c r="BP381" s="37" t="str">
        <v/>
      </c>
      <c r="BQ381" s="37" t="str">
        <v/>
      </c>
      <c r="BR381" s="40" t="str">
        <f t="shared" si="202"/>
        <v/>
      </c>
      <c r="BS381" s="36" t="str">
        <f>IFERROR(INDEX('Level Multipliers'!$D:$D,MATCH(BR381,'Level Multipliers'!$A:$A,0)),"")</f>
        <v/>
      </c>
      <c r="BT381" s="37" t="str">
        <f t="shared" si="203"/>
        <v/>
      </c>
      <c r="BU381" s="37" t="str">
        <f t="shared" si="204"/>
        <v/>
      </c>
      <c r="BV381" s="38" t="str">
        <f t="shared" si="205"/>
        <v/>
      </c>
      <c r="BW381" s="38" t="str">
        <f t="shared" si="206"/>
        <v/>
      </c>
      <c r="BX381" s="38" t="b">
        <f t="shared" si="207"/>
        <v>1</v>
      </c>
      <c r="BY381" s="37" t="str">
        <f t="array" ref="BY381:CI381">IF(BX381,"",IVSolution($M381,$N381,$O381,BT381,BU381,BV381,BW381,$E381,$F381,$G381,$H381,$I381))</f>
        <v/>
      </c>
      <c r="BZ381" s="37" t="str">
        <v/>
      </c>
      <c r="CA381" s="37" t="str">
        <v/>
      </c>
      <c r="CB381" s="39" t="str">
        <v/>
      </c>
      <c r="CC381" s="39" t="str">
        <v/>
      </c>
      <c r="CD381" s="37" t="str">
        <v/>
      </c>
      <c r="CE381" s="37" t="str">
        <v/>
      </c>
      <c r="CF381" s="37" t="str">
        <v/>
      </c>
      <c r="CG381" s="37" t="str">
        <v/>
      </c>
      <c r="CH381" s="37" t="str">
        <v/>
      </c>
      <c r="CI381" s="37" t="str">
        <v/>
      </c>
      <c r="CJ381" s="41" t="str">
        <f t="shared" si="208"/>
        <v/>
      </c>
      <c r="CK381" s="41" t="str">
        <f t="shared" si="209"/>
        <v/>
      </c>
      <c r="CL381" s="66" t="str">
        <f t="shared" si="210"/>
        <v/>
      </c>
      <c r="CM381" s="39" t="str">
        <f t="shared" si="211"/>
        <v/>
      </c>
      <c r="CN381" s="39" t="str">
        <f t="shared" si="212"/>
        <v/>
      </c>
      <c r="CO381" s="42" t="str">
        <f t="shared" si="213"/>
        <v/>
      </c>
      <c r="CP381" s="42" t="str">
        <f t="shared" si="214"/>
        <v/>
      </c>
      <c r="CQ381" s="42" t="str">
        <f t="shared" si="215"/>
        <v/>
      </c>
      <c r="CR381" s="42" t="str">
        <f t="shared" si="216"/>
        <v/>
      </c>
      <c r="CS381" s="42" t="str">
        <f t="shared" si="217"/>
        <v/>
      </c>
      <c r="CT381" s="42" t="str">
        <f t="shared" si="218"/>
        <v/>
      </c>
      <c r="CU381" s="43" t="str">
        <f t="shared" si="219"/>
        <v/>
      </c>
      <c r="CV381" s="43" t="str">
        <f t="shared" si="220"/>
        <v/>
      </c>
      <c r="CW381" s="43" t="str">
        <f t="shared" si="221"/>
        <v/>
      </c>
      <c r="CX381" s="13"/>
    </row>
    <row r="382" spans="1:102" x14ac:dyDescent="0.25">
      <c r="A382" s="31"/>
      <c r="B382" s="13"/>
      <c r="C382" s="13"/>
      <c r="D382" s="13"/>
      <c r="E382" s="32"/>
      <c r="F382" s="32"/>
      <c r="G382" s="32"/>
      <c r="H382" s="32"/>
      <c r="I382" s="32"/>
      <c r="J382" s="13"/>
      <c r="K382" s="33"/>
      <c r="L382" s="34" t="str">
        <f>IFERROR(INDEX('Pokemon Data'!A:A,MATCH($A382,'Pokemon Data'!$B:$B,0)),"")</f>
        <v/>
      </c>
      <c r="M382" s="34" t="str">
        <f>IFERROR(INDEX('Pokemon Data'!I:I,MATCH($A382,'Pokemon Data'!$B:$B,0)),"")</f>
        <v/>
      </c>
      <c r="N382" s="34" t="str">
        <f>IFERROR(INDEX('Pokemon Data'!J:J,MATCH($A382,'Pokemon Data'!$B:$B,0)),"")</f>
        <v/>
      </c>
      <c r="O382" s="34" t="str">
        <f>IFERROR(INDEX('Pokemon Data'!K:K,MATCH($A382,'Pokemon Data'!$B:$B,0)),"")</f>
        <v/>
      </c>
      <c r="P382" s="35" t="str">
        <f>IFERROR(INDEX('Level Multipliers'!$A:$A,MATCH($D382,'Level Multipliers'!$B:$B,0)),"")</f>
        <v/>
      </c>
      <c r="Q382" s="36" t="str">
        <f>IFERROR(INDEX('Level Multipliers'!$D:$D,MATCH(P382,'Level Multipliers'!$A:$A,0)),"")</f>
        <v/>
      </c>
      <c r="R382" s="37" t="str">
        <f t="shared" si="185"/>
        <v/>
      </c>
      <c r="S382" s="37" t="str">
        <f t="shared" si="186"/>
        <v/>
      </c>
      <c r="T382" s="38" t="str">
        <f t="shared" si="187"/>
        <v/>
      </c>
      <c r="U382" s="38" t="str">
        <f t="shared" si="188"/>
        <v/>
      </c>
      <c r="V382" s="38" t="b">
        <f t="shared" si="189"/>
        <v>1</v>
      </c>
      <c r="W382" s="37" t="str">
        <f t="array" ref="W382:AG382">IF(V382,"",IVSolution($M382,$N382,$O382,R382,S382,T382,U382,$E382,$F382,$G382,$H382,$I382))</f>
        <v/>
      </c>
      <c r="X382" s="37" t="str">
        <v/>
      </c>
      <c r="Y382" s="37" t="str">
        <v/>
      </c>
      <c r="Z382" s="39" t="str">
        <v/>
      </c>
      <c r="AA382" s="39" t="str">
        <v/>
      </c>
      <c r="AB382" s="37" t="str">
        <v/>
      </c>
      <c r="AC382" s="37" t="str">
        <v/>
      </c>
      <c r="AD382" s="37" t="str">
        <v/>
      </c>
      <c r="AE382" s="37" t="str">
        <v/>
      </c>
      <c r="AF382" s="37" t="str">
        <v/>
      </c>
      <c r="AG382" s="37" t="str">
        <v/>
      </c>
      <c r="AH382" s="40" t="str">
        <f t="shared" si="190"/>
        <v/>
      </c>
      <c r="AI382" s="36" t="str">
        <f>IFERROR(INDEX('Level Multipliers'!$D:$D,MATCH(AH382,'Level Multipliers'!$A:$A,0)),"")</f>
        <v/>
      </c>
      <c r="AJ382" s="37" t="str">
        <f t="shared" si="191"/>
        <v/>
      </c>
      <c r="AK382" s="37" t="str">
        <f t="shared" si="192"/>
        <v/>
      </c>
      <c r="AL382" s="38" t="str">
        <f t="shared" si="193"/>
        <v/>
      </c>
      <c r="AM382" s="38" t="str">
        <f t="shared" si="194"/>
        <v/>
      </c>
      <c r="AN382" s="38" t="b">
        <f t="shared" si="195"/>
        <v>1</v>
      </c>
      <c r="AO382" s="37" t="str">
        <f t="array" ref="AO382:AY382">IF(AN382,"",IVSolution($M382,$N382,$O382,AJ382,AK382,AL382,AM382,$E382,$F382,$G382,$H382,$I382))</f>
        <v/>
      </c>
      <c r="AP382" s="37" t="str">
        <v/>
      </c>
      <c r="AQ382" s="37" t="str">
        <v/>
      </c>
      <c r="AR382" s="39" t="str">
        <v/>
      </c>
      <c r="AS382" s="39" t="str">
        <v/>
      </c>
      <c r="AT382" s="37" t="str">
        <v/>
      </c>
      <c r="AU382" s="37" t="str">
        <v/>
      </c>
      <c r="AV382" s="37" t="str">
        <v/>
      </c>
      <c r="AW382" s="37" t="str">
        <v/>
      </c>
      <c r="AX382" s="37" t="str">
        <v/>
      </c>
      <c r="AY382" s="37" t="str">
        <v/>
      </c>
      <c r="AZ382" s="40" t="str">
        <f t="shared" si="196"/>
        <v/>
      </c>
      <c r="BA382" s="36" t="str">
        <f>IFERROR(INDEX('Level Multipliers'!$D:$D,MATCH(AZ382,'Level Multipliers'!$A:$A,0)),"")</f>
        <v/>
      </c>
      <c r="BB382" s="37" t="str">
        <f t="shared" si="197"/>
        <v/>
      </c>
      <c r="BC382" s="37" t="str">
        <f t="shared" si="198"/>
        <v/>
      </c>
      <c r="BD382" s="38" t="str">
        <f t="shared" si="199"/>
        <v/>
      </c>
      <c r="BE382" s="38" t="str">
        <f t="shared" si="200"/>
        <v/>
      </c>
      <c r="BF382" s="38" t="b">
        <f t="shared" si="201"/>
        <v>1</v>
      </c>
      <c r="BG382" s="37" t="str">
        <f t="array" ref="BG382:BQ382">IF(BF382,"",IVSolution($M382,$N382,$O382,BB382,BC382,BD382,BE382,$E382,$F382,$G382,$H382,$I382))</f>
        <v/>
      </c>
      <c r="BH382" s="37" t="str">
        <v/>
      </c>
      <c r="BI382" s="37" t="str">
        <v/>
      </c>
      <c r="BJ382" s="39" t="str">
        <v/>
      </c>
      <c r="BK382" s="39" t="str">
        <v/>
      </c>
      <c r="BL382" s="37" t="str">
        <v/>
      </c>
      <c r="BM382" s="37" t="str">
        <v/>
      </c>
      <c r="BN382" s="37" t="str">
        <v/>
      </c>
      <c r="BO382" s="37" t="str">
        <v/>
      </c>
      <c r="BP382" s="37" t="str">
        <v/>
      </c>
      <c r="BQ382" s="37" t="str">
        <v/>
      </c>
      <c r="BR382" s="40" t="str">
        <f t="shared" si="202"/>
        <v/>
      </c>
      <c r="BS382" s="36" t="str">
        <f>IFERROR(INDEX('Level Multipliers'!$D:$D,MATCH(BR382,'Level Multipliers'!$A:$A,0)),"")</f>
        <v/>
      </c>
      <c r="BT382" s="37" t="str">
        <f t="shared" si="203"/>
        <v/>
      </c>
      <c r="BU382" s="37" t="str">
        <f t="shared" si="204"/>
        <v/>
      </c>
      <c r="BV382" s="38" t="str">
        <f t="shared" si="205"/>
        <v/>
      </c>
      <c r="BW382" s="38" t="str">
        <f t="shared" si="206"/>
        <v/>
      </c>
      <c r="BX382" s="38" t="b">
        <f t="shared" si="207"/>
        <v>1</v>
      </c>
      <c r="BY382" s="37" t="str">
        <f t="array" ref="BY382:CI382">IF(BX382,"",IVSolution($M382,$N382,$O382,BT382,BU382,BV382,BW382,$E382,$F382,$G382,$H382,$I382))</f>
        <v/>
      </c>
      <c r="BZ382" s="37" t="str">
        <v/>
      </c>
      <c r="CA382" s="37" t="str">
        <v/>
      </c>
      <c r="CB382" s="39" t="str">
        <v/>
      </c>
      <c r="CC382" s="39" t="str">
        <v/>
      </c>
      <c r="CD382" s="37" t="str">
        <v/>
      </c>
      <c r="CE382" s="37" t="str">
        <v/>
      </c>
      <c r="CF382" s="37" t="str">
        <v/>
      </c>
      <c r="CG382" s="37" t="str">
        <v/>
      </c>
      <c r="CH382" s="37" t="str">
        <v/>
      </c>
      <c r="CI382" s="37" t="str">
        <v/>
      </c>
      <c r="CJ382" s="41" t="str">
        <f t="shared" si="208"/>
        <v/>
      </c>
      <c r="CK382" s="41" t="str">
        <f t="shared" si="209"/>
        <v/>
      </c>
      <c r="CL382" s="66" t="str">
        <f t="shared" si="210"/>
        <v/>
      </c>
      <c r="CM382" s="39" t="str">
        <f t="shared" si="211"/>
        <v/>
      </c>
      <c r="CN382" s="39" t="str">
        <f t="shared" si="212"/>
        <v/>
      </c>
      <c r="CO382" s="42" t="str">
        <f t="shared" si="213"/>
        <v/>
      </c>
      <c r="CP382" s="42" t="str">
        <f t="shared" si="214"/>
        <v/>
      </c>
      <c r="CQ382" s="42" t="str">
        <f t="shared" si="215"/>
        <v/>
      </c>
      <c r="CR382" s="42" t="str">
        <f t="shared" si="216"/>
        <v/>
      </c>
      <c r="CS382" s="42" t="str">
        <f t="shared" si="217"/>
        <v/>
      </c>
      <c r="CT382" s="42" t="str">
        <f t="shared" si="218"/>
        <v/>
      </c>
      <c r="CU382" s="43" t="str">
        <f t="shared" si="219"/>
        <v/>
      </c>
      <c r="CV382" s="43" t="str">
        <f t="shared" si="220"/>
        <v/>
      </c>
      <c r="CW382" s="43" t="str">
        <f t="shared" si="221"/>
        <v/>
      </c>
      <c r="CX382" s="13"/>
    </row>
    <row r="383" spans="1:102" x14ac:dyDescent="0.25">
      <c r="A383" s="31"/>
      <c r="B383" s="13"/>
      <c r="C383" s="13"/>
      <c r="D383" s="13"/>
      <c r="E383" s="32"/>
      <c r="F383" s="32"/>
      <c r="G383" s="32"/>
      <c r="H383" s="32"/>
      <c r="I383" s="32"/>
      <c r="J383" s="13"/>
      <c r="K383" s="33"/>
      <c r="L383" s="34" t="str">
        <f>IFERROR(INDEX('Pokemon Data'!A:A,MATCH($A383,'Pokemon Data'!$B:$B,0)),"")</f>
        <v/>
      </c>
      <c r="M383" s="34" t="str">
        <f>IFERROR(INDEX('Pokemon Data'!I:I,MATCH($A383,'Pokemon Data'!$B:$B,0)),"")</f>
        <v/>
      </c>
      <c r="N383" s="34" t="str">
        <f>IFERROR(INDEX('Pokemon Data'!J:J,MATCH($A383,'Pokemon Data'!$B:$B,0)),"")</f>
        <v/>
      </c>
      <c r="O383" s="34" t="str">
        <f>IFERROR(INDEX('Pokemon Data'!K:K,MATCH($A383,'Pokemon Data'!$B:$B,0)),"")</f>
        <v/>
      </c>
      <c r="P383" s="35" t="str">
        <f>IFERROR(INDEX('Level Multipliers'!$A:$A,MATCH($D383,'Level Multipliers'!$B:$B,0)),"")</f>
        <v/>
      </c>
      <c r="Q383" s="36" t="str">
        <f>IFERROR(INDEX('Level Multipliers'!$D:$D,MATCH(P383,'Level Multipliers'!$A:$A,0)),"")</f>
        <v/>
      </c>
      <c r="R383" s="37" t="str">
        <f t="shared" si="185"/>
        <v/>
      </c>
      <c r="S383" s="37" t="str">
        <f t="shared" si="186"/>
        <v/>
      </c>
      <c r="T383" s="38" t="str">
        <f t="shared" si="187"/>
        <v/>
      </c>
      <c r="U383" s="38" t="str">
        <f t="shared" si="188"/>
        <v/>
      </c>
      <c r="V383" s="38" t="b">
        <f t="shared" si="189"/>
        <v>1</v>
      </c>
      <c r="W383" s="37" t="str">
        <f t="array" ref="W383:AG383">IF(V383,"",IVSolution($M383,$N383,$O383,R383,S383,T383,U383,$E383,$F383,$G383,$H383,$I383))</f>
        <v/>
      </c>
      <c r="X383" s="37" t="str">
        <v/>
      </c>
      <c r="Y383" s="37" t="str">
        <v/>
      </c>
      <c r="Z383" s="39" t="str">
        <v/>
      </c>
      <c r="AA383" s="39" t="str">
        <v/>
      </c>
      <c r="AB383" s="37" t="str">
        <v/>
      </c>
      <c r="AC383" s="37" t="str">
        <v/>
      </c>
      <c r="AD383" s="37" t="str">
        <v/>
      </c>
      <c r="AE383" s="37" t="str">
        <v/>
      </c>
      <c r="AF383" s="37" t="str">
        <v/>
      </c>
      <c r="AG383" s="37" t="str">
        <v/>
      </c>
      <c r="AH383" s="40" t="str">
        <f t="shared" si="190"/>
        <v/>
      </c>
      <c r="AI383" s="36" t="str">
        <f>IFERROR(INDEX('Level Multipliers'!$D:$D,MATCH(AH383,'Level Multipliers'!$A:$A,0)),"")</f>
        <v/>
      </c>
      <c r="AJ383" s="37" t="str">
        <f t="shared" si="191"/>
        <v/>
      </c>
      <c r="AK383" s="37" t="str">
        <f t="shared" si="192"/>
        <v/>
      </c>
      <c r="AL383" s="38" t="str">
        <f t="shared" si="193"/>
        <v/>
      </c>
      <c r="AM383" s="38" t="str">
        <f t="shared" si="194"/>
        <v/>
      </c>
      <c r="AN383" s="38" t="b">
        <f t="shared" si="195"/>
        <v>1</v>
      </c>
      <c r="AO383" s="37" t="str">
        <f t="array" ref="AO383:AY383">IF(AN383,"",IVSolution($M383,$N383,$O383,AJ383,AK383,AL383,AM383,$E383,$F383,$G383,$H383,$I383))</f>
        <v/>
      </c>
      <c r="AP383" s="37" t="str">
        <v/>
      </c>
      <c r="AQ383" s="37" t="str">
        <v/>
      </c>
      <c r="AR383" s="39" t="str">
        <v/>
      </c>
      <c r="AS383" s="39" t="str">
        <v/>
      </c>
      <c r="AT383" s="37" t="str">
        <v/>
      </c>
      <c r="AU383" s="37" t="str">
        <v/>
      </c>
      <c r="AV383" s="37" t="str">
        <v/>
      </c>
      <c r="AW383" s="37" t="str">
        <v/>
      </c>
      <c r="AX383" s="37" t="str">
        <v/>
      </c>
      <c r="AY383" s="37" t="str">
        <v/>
      </c>
      <c r="AZ383" s="40" t="str">
        <f t="shared" si="196"/>
        <v/>
      </c>
      <c r="BA383" s="36" t="str">
        <f>IFERROR(INDEX('Level Multipliers'!$D:$D,MATCH(AZ383,'Level Multipliers'!$A:$A,0)),"")</f>
        <v/>
      </c>
      <c r="BB383" s="37" t="str">
        <f t="shared" si="197"/>
        <v/>
      </c>
      <c r="BC383" s="37" t="str">
        <f t="shared" si="198"/>
        <v/>
      </c>
      <c r="BD383" s="38" t="str">
        <f t="shared" si="199"/>
        <v/>
      </c>
      <c r="BE383" s="38" t="str">
        <f t="shared" si="200"/>
        <v/>
      </c>
      <c r="BF383" s="38" t="b">
        <f t="shared" si="201"/>
        <v>1</v>
      </c>
      <c r="BG383" s="37" t="str">
        <f t="array" ref="BG383:BQ383">IF(BF383,"",IVSolution($M383,$N383,$O383,BB383,BC383,BD383,BE383,$E383,$F383,$G383,$H383,$I383))</f>
        <v/>
      </c>
      <c r="BH383" s="37" t="str">
        <v/>
      </c>
      <c r="BI383" s="37" t="str">
        <v/>
      </c>
      <c r="BJ383" s="39" t="str">
        <v/>
      </c>
      <c r="BK383" s="39" t="str">
        <v/>
      </c>
      <c r="BL383" s="37" t="str">
        <v/>
      </c>
      <c r="BM383" s="37" t="str">
        <v/>
      </c>
      <c r="BN383" s="37" t="str">
        <v/>
      </c>
      <c r="BO383" s="37" t="str">
        <v/>
      </c>
      <c r="BP383" s="37" t="str">
        <v/>
      </c>
      <c r="BQ383" s="37" t="str">
        <v/>
      </c>
      <c r="BR383" s="40" t="str">
        <f t="shared" si="202"/>
        <v/>
      </c>
      <c r="BS383" s="36" t="str">
        <f>IFERROR(INDEX('Level Multipliers'!$D:$D,MATCH(BR383,'Level Multipliers'!$A:$A,0)),"")</f>
        <v/>
      </c>
      <c r="BT383" s="37" t="str">
        <f t="shared" si="203"/>
        <v/>
      </c>
      <c r="BU383" s="37" t="str">
        <f t="shared" si="204"/>
        <v/>
      </c>
      <c r="BV383" s="38" t="str">
        <f t="shared" si="205"/>
        <v/>
      </c>
      <c r="BW383" s="38" t="str">
        <f t="shared" si="206"/>
        <v/>
      </c>
      <c r="BX383" s="38" t="b">
        <f t="shared" si="207"/>
        <v>1</v>
      </c>
      <c r="BY383" s="37" t="str">
        <f t="array" ref="BY383:CI383">IF(BX383,"",IVSolution($M383,$N383,$O383,BT383,BU383,BV383,BW383,$E383,$F383,$G383,$H383,$I383))</f>
        <v/>
      </c>
      <c r="BZ383" s="37" t="str">
        <v/>
      </c>
      <c r="CA383" s="37" t="str">
        <v/>
      </c>
      <c r="CB383" s="39" t="str">
        <v/>
      </c>
      <c r="CC383" s="39" t="str">
        <v/>
      </c>
      <c r="CD383" s="37" t="str">
        <v/>
      </c>
      <c r="CE383" s="37" t="str">
        <v/>
      </c>
      <c r="CF383" s="37" t="str">
        <v/>
      </c>
      <c r="CG383" s="37" t="str">
        <v/>
      </c>
      <c r="CH383" s="37" t="str">
        <v/>
      </c>
      <c r="CI383" s="37" t="str">
        <v/>
      </c>
      <c r="CJ383" s="41" t="str">
        <f t="shared" si="208"/>
        <v/>
      </c>
      <c r="CK383" s="41" t="str">
        <f t="shared" si="209"/>
        <v/>
      </c>
      <c r="CL383" s="66" t="str">
        <f t="shared" si="210"/>
        <v/>
      </c>
      <c r="CM383" s="39" t="str">
        <f t="shared" si="211"/>
        <v/>
      </c>
      <c r="CN383" s="39" t="str">
        <f t="shared" si="212"/>
        <v/>
      </c>
      <c r="CO383" s="42" t="str">
        <f t="shared" si="213"/>
        <v/>
      </c>
      <c r="CP383" s="42" t="str">
        <f t="shared" si="214"/>
        <v/>
      </c>
      <c r="CQ383" s="42" t="str">
        <f t="shared" si="215"/>
        <v/>
      </c>
      <c r="CR383" s="42" t="str">
        <f t="shared" si="216"/>
        <v/>
      </c>
      <c r="CS383" s="42" t="str">
        <f t="shared" si="217"/>
        <v/>
      </c>
      <c r="CT383" s="42" t="str">
        <f t="shared" si="218"/>
        <v/>
      </c>
      <c r="CU383" s="43" t="str">
        <f t="shared" si="219"/>
        <v/>
      </c>
      <c r="CV383" s="43" t="str">
        <f t="shared" si="220"/>
        <v/>
      </c>
      <c r="CW383" s="43" t="str">
        <f t="shared" si="221"/>
        <v/>
      </c>
      <c r="CX383" s="13"/>
    </row>
    <row r="384" spans="1:102" x14ac:dyDescent="0.25">
      <c r="A384" s="31"/>
      <c r="B384" s="13"/>
      <c r="C384" s="13"/>
      <c r="D384" s="13"/>
      <c r="E384" s="32"/>
      <c r="F384" s="32"/>
      <c r="G384" s="32"/>
      <c r="H384" s="32"/>
      <c r="I384" s="32"/>
      <c r="J384" s="13"/>
      <c r="K384" s="33"/>
      <c r="L384" s="34" t="str">
        <f>IFERROR(INDEX('Pokemon Data'!A:A,MATCH($A384,'Pokemon Data'!$B:$B,0)),"")</f>
        <v/>
      </c>
      <c r="M384" s="34" t="str">
        <f>IFERROR(INDEX('Pokemon Data'!I:I,MATCH($A384,'Pokemon Data'!$B:$B,0)),"")</f>
        <v/>
      </c>
      <c r="N384" s="34" t="str">
        <f>IFERROR(INDEX('Pokemon Data'!J:J,MATCH($A384,'Pokemon Data'!$B:$B,0)),"")</f>
        <v/>
      </c>
      <c r="O384" s="34" t="str">
        <f>IFERROR(INDEX('Pokemon Data'!K:K,MATCH($A384,'Pokemon Data'!$B:$B,0)),"")</f>
        <v/>
      </c>
      <c r="P384" s="35" t="str">
        <f>IFERROR(INDEX('Level Multipliers'!$A:$A,MATCH($D384,'Level Multipliers'!$B:$B,0)),"")</f>
        <v/>
      </c>
      <c r="Q384" s="36" t="str">
        <f>IFERROR(INDEX('Level Multipliers'!$D:$D,MATCH(P384,'Level Multipliers'!$A:$A,0)),"")</f>
        <v/>
      </c>
      <c r="R384" s="37" t="str">
        <f t="shared" si="185"/>
        <v/>
      </c>
      <c r="S384" s="37" t="str">
        <f t="shared" si="186"/>
        <v/>
      </c>
      <c r="T384" s="38" t="str">
        <f t="shared" si="187"/>
        <v/>
      </c>
      <c r="U384" s="38" t="str">
        <f t="shared" si="188"/>
        <v/>
      </c>
      <c r="V384" s="38" t="b">
        <f t="shared" si="189"/>
        <v>1</v>
      </c>
      <c r="W384" s="37" t="str">
        <f t="array" ref="W384:AG384">IF(V384,"",IVSolution($M384,$N384,$O384,R384,S384,T384,U384,$E384,$F384,$G384,$H384,$I384))</f>
        <v/>
      </c>
      <c r="X384" s="37" t="str">
        <v/>
      </c>
      <c r="Y384" s="37" t="str">
        <v/>
      </c>
      <c r="Z384" s="39" t="str">
        <v/>
      </c>
      <c r="AA384" s="39" t="str">
        <v/>
      </c>
      <c r="AB384" s="37" t="str">
        <v/>
      </c>
      <c r="AC384" s="37" t="str">
        <v/>
      </c>
      <c r="AD384" s="37" t="str">
        <v/>
      </c>
      <c r="AE384" s="37" t="str">
        <v/>
      </c>
      <c r="AF384" s="37" t="str">
        <v/>
      </c>
      <c r="AG384" s="37" t="str">
        <v/>
      </c>
      <c r="AH384" s="40" t="str">
        <f t="shared" si="190"/>
        <v/>
      </c>
      <c r="AI384" s="36" t="str">
        <f>IFERROR(INDEX('Level Multipliers'!$D:$D,MATCH(AH384,'Level Multipliers'!$A:$A,0)),"")</f>
        <v/>
      </c>
      <c r="AJ384" s="37" t="str">
        <f t="shared" si="191"/>
        <v/>
      </c>
      <c r="AK384" s="37" t="str">
        <f t="shared" si="192"/>
        <v/>
      </c>
      <c r="AL384" s="38" t="str">
        <f t="shared" si="193"/>
        <v/>
      </c>
      <c r="AM384" s="38" t="str">
        <f t="shared" si="194"/>
        <v/>
      </c>
      <c r="AN384" s="38" t="b">
        <f t="shared" si="195"/>
        <v>1</v>
      </c>
      <c r="AO384" s="37" t="str">
        <f t="array" ref="AO384:AY384">IF(AN384,"",IVSolution($M384,$N384,$O384,AJ384,AK384,AL384,AM384,$E384,$F384,$G384,$H384,$I384))</f>
        <v/>
      </c>
      <c r="AP384" s="37" t="str">
        <v/>
      </c>
      <c r="AQ384" s="37" t="str">
        <v/>
      </c>
      <c r="AR384" s="39" t="str">
        <v/>
      </c>
      <c r="AS384" s="39" t="str">
        <v/>
      </c>
      <c r="AT384" s="37" t="str">
        <v/>
      </c>
      <c r="AU384" s="37" t="str">
        <v/>
      </c>
      <c r="AV384" s="37" t="str">
        <v/>
      </c>
      <c r="AW384" s="37" t="str">
        <v/>
      </c>
      <c r="AX384" s="37" t="str">
        <v/>
      </c>
      <c r="AY384" s="37" t="str">
        <v/>
      </c>
      <c r="AZ384" s="40" t="str">
        <f t="shared" si="196"/>
        <v/>
      </c>
      <c r="BA384" s="36" t="str">
        <f>IFERROR(INDEX('Level Multipliers'!$D:$D,MATCH(AZ384,'Level Multipliers'!$A:$A,0)),"")</f>
        <v/>
      </c>
      <c r="BB384" s="37" t="str">
        <f t="shared" si="197"/>
        <v/>
      </c>
      <c r="BC384" s="37" t="str">
        <f t="shared" si="198"/>
        <v/>
      </c>
      <c r="BD384" s="38" t="str">
        <f t="shared" si="199"/>
        <v/>
      </c>
      <c r="BE384" s="38" t="str">
        <f t="shared" si="200"/>
        <v/>
      </c>
      <c r="BF384" s="38" t="b">
        <f t="shared" si="201"/>
        <v>1</v>
      </c>
      <c r="BG384" s="37" t="str">
        <f t="array" ref="BG384:BQ384">IF(BF384,"",IVSolution($M384,$N384,$O384,BB384,BC384,BD384,BE384,$E384,$F384,$G384,$H384,$I384))</f>
        <v/>
      </c>
      <c r="BH384" s="37" t="str">
        <v/>
      </c>
      <c r="BI384" s="37" t="str">
        <v/>
      </c>
      <c r="BJ384" s="39" t="str">
        <v/>
      </c>
      <c r="BK384" s="39" t="str">
        <v/>
      </c>
      <c r="BL384" s="37" t="str">
        <v/>
      </c>
      <c r="BM384" s="37" t="str">
        <v/>
      </c>
      <c r="BN384" s="37" t="str">
        <v/>
      </c>
      <c r="BO384" s="37" t="str">
        <v/>
      </c>
      <c r="BP384" s="37" t="str">
        <v/>
      </c>
      <c r="BQ384" s="37" t="str">
        <v/>
      </c>
      <c r="BR384" s="40" t="str">
        <f t="shared" si="202"/>
        <v/>
      </c>
      <c r="BS384" s="36" t="str">
        <f>IFERROR(INDEX('Level Multipliers'!$D:$D,MATCH(BR384,'Level Multipliers'!$A:$A,0)),"")</f>
        <v/>
      </c>
      <c r="BT384" s="37" t="str">
        <f t="shared" si="203"/>
        <v/>
      </c>
      <c r="BU384" s="37" t="str">
        <f t="shared" si="204"/>
        <v/>
      </c>
      <c r="BV384" s="38" t="str">
        <f t="shared" si="205"/>
        <v/>
      </c>
      <c r="BW384" s="38" t="str">
        <f t="shared" si="206"/>
        <v/>
      </c>
      <c r="BX384" s="38" t="b">
        <f t="shared" si="207"/>
        <v>1</v>
      </c>
      <c r="BY384" s="37" t="str">
        <f t="array" ref="BY384:CI384">IF(BX384,"",IVSolution($M384,$N384,$O384,BT384,BU384,BV384,BW384,$E384,$F384,$G384,$H384,$I384))</f>
        <v/>
      </c>
      <c r="BZ384" s="37" t="str">
        <v/>
      </c>
      <c r="CA384" s="37" t="str">
        <v/>
      </c>
      <c r="CB384" s="39" t="str">
        <v/>
      </c>
      <c r="CC384" s="39" t="str">
        <v/>
      </c>
      <c r="CD384" s="37" t="str">
        <v/>
      </c>
      <c r="CE384" s="37" t="str">
        <v/>
      </c>
      <c r="CF384" s="37" t="str">
        <v/>
      </c>
      <c r="CG384" s="37" t="str">
        <v/>
      </c>
      <c r="CH384" s="37" t="str">
        <v/>
      </c>
      <c r="CI384" s="37" t="str">
        <v/>
      </c>
      <c r="CJ384" s="41" t="str">
        <f t="shared" si="208"/>
        <v/>
      </c>
      <c r="CK384" s="41" t="str">
        <f t="shared" si="209"/>
        <v/>
      </c>
      <c r="CL384" s="66" t="str">
        <f t="shared" si="210"/>
        <v/>
      </c>
      <c r="CM384" s="39" t="str">
        <f t="shared" si="211"/>
        <v/>
      </c>
      <c r="CN384" s="39" t="str">
        <f t="shared" si="212"/>
        <v/>
      </c>
      <c r="CO384" s="42" t="str">
        <f t="shared" si="213"/>
        <v/>
      </c>
      <c r="CP384" s="42" t="str">
        <f t="shared" si="214"/>
        <v/>
      </c>
      <c r="CQ384" s="42" t="str">
        <f t="shared" si="215"/>
        <v/>
      </c>
      <c r="CR384" s="42" t="str">
        <f t="shared" si="216"/>
        <v/>
      </c>
      <c r="CS384" s="42" t="str">
        <f t="shared" si="217"/>
        <v/>
      </c>
      <c r="CT384" s="42" t="str">
        <f t="shared" si="218"/>
        <v/>
      </c>
      <c r="CU384" s="43" t="str">
        <f t="shared" si="219"/>
        <v/>
      </c>
      <c r="CV384" s="43" t="str">
        <f t="shared" si="220"/>
        <v/>
      </c>
      <c r="CW384" s="43" t="str">
        <f t="shared" si="221"/>
        <v/>
      </c>
      <c r="CX384" s="13"/>
    </row>
    <row r="385" spans="1:102" x14ac:dyDescent="0.25">
      <c r="A385" s="31"/>
      <c r="B385" s="13"/>
      <c r="C385" s="13"/>
      <c r="D385" s="13"/>
      <c r="E385" s="32"/>
      <c r="F385" s="32"/>
      <c r="G385" s="32"/>
      <c r="H385" s="32"/>
      <c r="I385" s="32"/>
      <c r="J385" s="13"/>
      <c r="K385" s="33"/>
      <c r="L385" s="34" t="str">
        <f>IFERROR(INDEX('Pokemon Data'!A:A,MATCH($A385,'Pokemon Data'!$B:$B,0)),"")</f>
        <v/>
      </c>
      <c r="M385" s="34" t="str">
        <f>IFERROR(INDEX('Pokemon Data'!I:I,MATCH($A385,'Pokemon Data'!$B:$B,0)),"")</f>
        <v/>
      </c>
      <c r="N385" s="34" t="str">
        <f>IFERROR(INDEX('Pokemon Data'!J:J,MATCH($A385,'Pokemon Data'!$B:$B,0)),"")</f>
        <v/>
      </c>
      <c r="O385" s="34" t="str">
        <f>IFERROR(INDEX('Pokemon Data'!K:K,MATCH($A385,'Pokemon Data'!$B:$B,0)),"")</f>
        <v/>
      </c>
      <c r="P385" s="35" t="str">
        <f>IFERROR(INDEX('Level Multipliers'!$A:$A,MATCH($D385,'Level Multipliers'!$B:$B,0)),"")</f>
        <v/>
      </c>
      <c r="Q385" s="36" t="str">
        <f>IFERROR(INDEX('Level Multipliers'!$D:$D,MATCH(P385,'Level Multipliers'!$A:$A,0)),"")</f>
        <v/>
      </c>
      <c r="R385" s="37" t="str">
        <f t="shared" si="185"/>
        <v/>
      </c>
      <c r="S385" s="37" t="str">
        <f t="shared" si="186"/>
        <v/>
      </c>
      <c r="T385" s="38" t="str">
        <f t="shared" si="187"/>
        <v/>
      </c>
      <c r="U385" s="38" t="str">
        <f t="shared" si="188"/>
        <v/>
      </c>
      <c r="V385" s="38" t="b">
        <f t="shared" si="189"/>
        <v>1</v>
      </c>
      <c r="W385" s="37" t="str">
        <f t="array" ref="W385:AG385">IF(V385,"",IVSolution($M385,$N385,$O385,R385,S385,T385,U385,$E385,$F385,$G385,$H385,$I385))</f>
        <v/>
      </c>
      <c r="X385" s="37" t="str">
        <v/>
      </c>
      <c r="Y385" s="37" t="str">
        <v/>
      </c>
      <c r="Z385" s="39" t="str">
        <v/>
      </c>
      <c r="AA385" s="39" t="str">
        <v/>
      </c>
      <c r="AB385" s="37" t="str">
        <v/>
      </c>
      <c r="AC385" s="37" t="str">
        <v/>
      </c>
      <c r="AD385" s="37" t="str">
        <v/>
      </c>
      <c r="AE385" s="37" t="str">
        <v/>
      </c>
      <c r="AF385" s="37" t="str">
        <v/>
      </c>
      <c r="AG385" s="37" t="str">
        <v/>
      </c>
      <c r="AH385" s="40" t="str">
        <f t="shared" si="190"/>
        <v/>
      </c>
      <c r="AI385" s="36" t="str">
        <f>IFERROR(INDEX('Level Multipliers'!$D:$D,MATCH(AH385,'Level Multipliers'!$A:$A,0)),"")</f>
        <v/>
      </c>
      <c r="AJ385" s="37" t="str">
        <f t="shared" si="191"/>
        <v/>
      </c>
      <c r="AK385" s="37" t="str">
        <f t="shared" si="192"/>
        <v/>
      </c>
      <c r="AL385" s="38" t="str">
        <f t="shared" si="193"/>
        <v/>
      </c>
      <c r="AM385" s="38" t="str">
        <f t="shared" si="194"/>
        <v/>
      </c>
      <c r="AN385" s="38" t="b">
        <f t="shared" si="195"/>
        <v>1</v>
      </c>
      <c r="AO385" s="37" t="str">
        <f t="array" ref="AO385:AY385">IF(AN385,"",IVSolution($M385,$N385,$O385,AJ385,AK385,AL385,AM385,$E385,$F385,$G385,$H385,$I385))</f>
        <v/>
      </c>
      <c r="AP385" s="37" t="str">
        <v/>
      </c>
      <c r="AQ385" s="37" t="str">
        <v/>
      </c>
      <c r="AR385" s="39" t="str">
        <v/>
      </c>
      <c r="AS385" s="39" t="str">
        <v/>
      </c>
      <c r="AT385" s="37" t="str">
        <v/>
      </c>
      <c r="AU385" s="37" t="str">
        <v/>
      </c>
      <c r="AV385" s="37" t="str">
        <v/>
      </c>
      <c r="AW385" s="37" t="str">
        <v/>
      </c>
      <c r="AX385" s="37" t="str">
        <v/>
      </c>
      <c r="AY385" s="37" t="str">
        <v/>
      </c>
      <c r="AZ385" s="40" t="str">
        <f t="shared" si="196"/>
        <v/>
      </c>
      <c r="BA385" s="36" t="str">
        <f>IFERROR(INDEX('Level Multipliers'!$D:$D,MATCH(AZ385,'Level Multipliers'!$A:$A,0)),"")</f>
        <v/>
      </c>
      <c r="BB385" s="37" t="str">
        <f t="shared" si="197"/>
        <v/>
      </c>
      <c r="BC385" s="37" t="str">
        <f t="shared" si="198"/>
        <v/>
      </c>
      <c r="BD385" s="38" t="str">
        <f t="shared" si="199"/>
        <v/>
      </c>
      <c r="BE385" s="38" t="str">
        <f t="shared" si="200"/>
        <v/>
      </c>
      <c r="BF385" s="38" t="b">
        <f t="shared" si="201"/>
        <v>1</v>
      </c>
      <c r="BG385" s="37" t="str">
        <f t="array" ref="BG385:BQ385">IF(BF385,"",IVSolution($M385,$N385,$O385,BB385,BC385,BD385,BE385,$E385,$F385,$G385,$H385,$I385))</f>
        <v/>
      </c>
      <c r="BH385" s="37" t="str">
        <v/>
      </c>
      <c r="BI385" s="37" t="str">
        <v/>
      </c>
      <c r="BJ385" s="39" t="str">
        <v/>
      </c>
      <c r="BK385" s="39" t="str">
        <v/>
      </c>
      <c r="BL385" s="37" t="str">
        <v/>
      </c>
      <c r="BM385" s="37" t="str">
        <v/>
      </c>
      <c r="BN385" s="37" t="str">
        <v/>
      </c>
      <c r="BO385" s="37" t="str">
        <v/>
      </c>
      <c r="BP385" s="37" t="str">
        <v/>
      </c>
      <c r="BQ385" s="37" t="str">
        <v/>
      </c>
      <c r="BR385" s="40" t="str">
        <f t="shared" si="202"/>
        <v/>
      </c>
      <c r="BS385" s="36" t="str">
        <f>IFERROR(INDEX('Level Multipliers'!$D:$D,MATCH(BR385,'Level Multipliers'!$A:$A,0)),"")</f>
        <v/>
      </c>
      <c r="BT385" s="37" t="str">
        <f t="shared" si="203"/>
        <v/>
      </c>
      <c r="BU385" s="37" t="str">
        <f t="shared" si="204"/>
        <v/>
      </c>
      <c r="BV385" s="38" t="str">
        <f t="shared" si="205"/>
        <v/>
      </c>
      <c r="BW385" s="38" t="str">
        <f t="shared" si="206"/>
        <v/>
      </c>
      <c r="BX385" s="38" t="b">
        <f t="shared" si="207"/>
        <v>1</v>
      </c>
      <c r="BY385" s="37" t="str">
        <f t="array" ref="BY385:CI385">IF(BX385,"",IVSolution($M385,$N385,$O385,BT385,BU385,BV385,BW385,$E385,$F385,$G385,$H385,$I385))</f>
        <v/>
      </c>
      <c r="BZ385" s="37" t="str">
        <v/>
      </c>
      <c r="CA385" s="37" t="str">
        <v/>
      </c>
      <c r="CB385" s="39" t="str">
        <v/>
      </c>
      <c r="CC385" s="39" t="str">
        <v/>
      </c>
      <c r="CD385" s="37" t="str">
        <v/>
      </c>
      <c r="CE385" s="37" t="str">
        <v/>
      </c>
      <c r="CF385" s="37" t="str">
        <v/>
      </c>
      <c r="CG385" s="37" t="str">
        <v/>
      </c>
      <c r="CH385" s="37" t="str">
        <v/>
      </c>
      <c r="CI385" s="37" t="str">
        <v/>
      </c>
      <c r="CJ385" s="41" t="str">
        <f t="shared" si="208"/>
        <v/>
      </c>
      <c r="CK385" s="41" t="str">
        <f t="shared" si="209"/>
        <v/>
      </c>
      <c r="CL385" s="66" t="str">
        <f t="shared" si="210"/>
        <v/>
      </c>
      <c r="CM385" s="39" t="str">
        <f t="shared" si="211"/>
        <v/>
      </c>
      <c r="CN385" s="39" t="str">
        <f t="shared" si="212"/>
        <v/>
      </c>
      <c r="CO385" s="42" t="str">
        <f t="shared" si="213"/>
        <v/>
      </c>
      <c r="CP385" s="42" t="str">
        <f t="shared" si="214"/>
        <v/>
      </c>
      <c r="CQ385" s="42" t="str">
        <f t="shared" si="215"/>
        <v/>
      </c>
      <c r="CR385" s="42" t="str">
        <f t="shared" si="216"/>
        <v/>
      </c>
      <c r="CS385" s="42" t="str">
        <f t="shared" si="217"/>
        <v/>
      </c>
      <c r="CT385" s="42" t="str">
        <f t="shared" si="218"/>
        <v/>
      </c>
      <c r="CU385" s="43" t="str">
        <f t="shared" si="219"/>
        <v/>
      </c>
      <c r="CV385" s="43" t="str">
        <f t="shared" si="220"/>
        <v/>
      </c>
      <c r="CW385" s="43" t="str">
        <f t="shared" si="221"/>
        <v/>
      </c>
      <c r="CX385" s="13"/>
    </row>
    <row r="386" spans="1:102" x14ac:dyDescent="0.25">
      <c r="A386" s="31"/>
      <c r="B386" s="13"/>
      <c r="C386" s="13"/>
      <c r="D386" s="13"/>
      <c r="E386" s="32"/>
      <c r="F386" s="32"/>
      <c r="G386" s="32"/>
      <c r="H386" s="32"/>
      <c r="I386" s="32"/>
      <c r="J386" s="13"/>
      <c r="K386" s="33"/>
      <c r="L386" s="34" t="str">
        <f>IFERROR(INDEX('Pokemon Data'!A:A,MATCH($A386,'Pokemon Data'!$B:$B,0)),"")</f>
        <v/>
      </c>
      <c r="M386" s="34" t="str">
        <f>IFERROR(INDEX('Pokemon Data'!I:I,MATCH($A386,'Pokemon Data'!$B:$B,0)),"")</f>
        <v/>
      </c>
      <c r="N386" s="34" t="str">
        <f>IFERROR(INDEX('Pokemon Data'!J:J,MATCH($A386,'Pokemon Data'!$B:$B,0)),"")</f>
        <v/>
      </c>
      <c r="O386" s="34" t="str">
        <f>IFERROR(INDEX('Pokemon Data'!K:K,MATCH($A386,'Pokemon Data'!$B:$B,0)),"")</f>
        <v/>
      </c>
      <c r="P386" s="35" t="str">
        <f>IFERROR(INDEX('Level Multipliers'!$A:$A,MATCH($D386,'Level Multipliers'!$B:$B,0)),"")</f>
        <v/>
      </c>
      <c r="Q386" s="36" t="str">
        <f>IFERROR(INDEX('Level Multipliers'!$D:$D,MATCH(P386,'Level Multipliers'!$A:$A,0)),"")</f>
        <v/>
      </c>
      <c r="R386" s="37" t="str">
        <f t="shared" si="185"/>
        <v/>
      </c>
      <c r="S386" s="37" t="str">
        <f t="shared" si="186"/>
        <v/>
      </c>
      <c r="T386" s="38" t="str">
        <f t="shared" si="187"/>
        <v/>
      </c>
      <c r="U386" s="38" t="str">
        <f t="shared" si="188"/>
        <v/>
      </c>
      <c r="V386" s="38" t="b">
        <f t="shared" si="189"/>
        <v>1</v>
      </c>
      <c r="W386" s="37" t="str">
        <f t="array" ref="W386:AG386">IF(V386,"",IVSolution($M386,$N386,$O386,R386,S386,T386,U386,$E386,$F386,$G386,$H386,$I386))</f>
        <v/>
      </c>
      <c r="X386" s="37" t="str">
        <v/>
      </c>
      <c r="Y386" s="37" t="str">
        <v/>
      </c>
      <c r="Z386" s="39" t="str">
        <v/>
      </c>
      <c r="AA386" s="39" t="str">
        <v/>
      </c>
      <c r="AB386" s="37" t="str">
        <v/>
      </c>
      <c r="AC386" s="37" t="str">
        <v/>
      </c>
      <c r="AD386" s="37" t="str">
        <v/>
      </c>
      <c r="AE386" s="37" t="str">
        <v/>
      </c>
      <c r="AF386" s="37" t="str">
        <v/>
      </c>
      <c r="AG386" s="37" t="str">
        <v/>
      </c>
      <c r="AH386" s="40" t="str">
        <f t="shared" si="190"/>
        <v/>
      </c>
      <c r="AI386" s="36" t="str">
        <f>IFERROR(INDEX('Level Multipliers'!$D:$D,MATCH(AH386,'Level Multipliers'!$A:$A,0)),"")</f>
        <v/>
      </c>
      <c r="AJ386" s="37" t="str">
        <f t="shared" si="191"/>
        <v/>
      </c>
      <c r="AK386" s="37" t="str">
        <f t="shared" si="192"/>
        <v/>
      </c>
      <c r="AL386" s="38" t="str">
        <f t="shared" si="193"/>
        <v/>
      </c>
      <c r="AM386" s="38" t="str">
        <f t="shared" si="194"/>
        <v/>
      </c>
      <c r="AN386" s="38" t="b">
        <f t="shared" si="195"/>
        <v>1</v>
      </c>
      <c r="AO386" s="37" t="str">
        <f t="array" ref="AO386:AY386">IF(AN386,"",IVSolution($M386,$N386,$O386,AJ386,AK386,AL386,AM386,$E386,$F386,$G386,$H386,$I386))</f>
        <v/>
      </c>
      <c r="AP386" s="37" t="str">
        <v/>
      </c>
      <c r="AQ386" s="37" t="str">
        <v/>
      </c>
      <c r="AR386" s="39" t="str">
        <v/>
      </c>
      <c r="AS386" s="39" t="str">
        <v/>
      </c>
      <c r="AT386" s="37" t="str">
        <v/>
      </c>
      <c r="AU386" s="37" t="str">
        <v/>
      </c>
      <c r="AV386" s="37" t="str">
        <v/>
      </c>
      <c r="AW386" s="37" t="str">
        <v/>
      </c>
      <c r="AX386" s="37" t="str">
        <v/>
      </c>
      <c r="AY386" s="37" t="str">
        <v/>
      </c>
      <c r="AZ386" s="40" t="str">
        <f t="shared" si="196"/>
        <v/>
      </c>
      <c r="BA386" s="36" t="str">
        <f>IFERROR(INDEX('Level Multipliers'!$D:$D,MATCH(AZ386,'Level Multipliers'!$A:$A,0)),"")</f>
        <v/>
      </c>
      <c r="BB386" s="37" t="str">
        <f t="shared" si="197"/>
        <v/>
      </c>
      <c r="BC386" s="37" t="str">
        <f t="shared" si="198"/>
        <v/>
      </c>
      <c r="BD386" s="38" t="str">
        <f t="shared" si="199"/>
        <v/>
      </c>
      <c r="BE386" s="38" t="str">
        <f t="shared" si="200"/>
        <v/>
      </c>
      <c r="BF386" s="38" t="b">
        <f t="shared" si="201"/>
        <v>1</v>
      </c>
      <c r="BG386" s="37" t="str">
        <f t="array" ref="BG386:BQ386">IF(BF386,"",IVSolution($M386,$N386,$O386,BB386,BC386,BD386,BE386,$E386,$F386,$G386,$H386,$I386))</f>
        <v/>
      </c>
      <c r="BH386" s="37" t="str">
        <v/>
      </c>
      <c r="BI386" s="37" t="str">
        <v/>
      </c>
      <c r="BJ386" s="39" t="str">
        <v/>
      </c>
      <c r="BK386" s="39" t="str">
        <v/>
      </c>
      <c r="BL386" s="37" t="str">
        <v/>
      </c>
      <c r="BM386" s="37" t="str">
        <v/>
      </c>
      <c r="BN386" s="37" t="str">
        <v/>
      </c>
      <c r="BO386" s="37" t="str">
        <v/>
      </c>
      <c r="BP386" s="37" t="str">
        <v/>
      </c>
      <c r="BQ386" s="37" t="str">
        <v/>
      </c>
      <c r="BR386" s="40" t="str">
        <f t="shared" si="202"/>
        <v/>
      </c>
      <c r="BS386" s="36" t="str">
        <f>IFERROR(INDEX('Level Multipliers'!$D:$D,MATCH(BR386,'Level Multipliers'!$A:$A,0)),"")</f>
        <v/>
      </c>
      <c r="BT386" s="37" t="str">
        <f t="shared" si="203"/>
        <v/>
      </c>
      <c r="BU386" s="37" t="str">
        <f t="shared" si="204"/>
        <v/>
      </c>
      <c r="BV386" s="38" t="str">
        <f t="shared" si="205"/>
        <v/>
      </c>
      <c r="BW386" s="38" t="str">
        <f t="shared" si="206"/>
        <v/>
      </c>
      <c r="BX386" s="38" t="b">
        <f t="shared" si="207"/>
        <v>1</v>
      </c>
      <c r="BY386" s="37" t="str">
        <f t="array" ref="BY386:CI386">IF(BX386,"",IVSolution($M386,$N386,$O386,BT386,BU386,BV386,BW386,$E386,$F386,$G386,$H386,$I386))</f>
        <v/>
      </c>
      <c r="BZ386" s="37" t="str">
        <v/>
      </c>
      <c r="CA386" s="37" t="str">
        <v/>
      </c>
      <c r="CB386" s="39" t="str">
        <v/>
      </c>
      <c r="CC386" s="39" t="str">
        <v/>
      </c>
      <c r="CD386" s="37" t="str">
        <v/>
      </c>
      <c r="CE386" s="37" t="str">
        <v/>
      </c>
      <c r="CF386" s="37" t="str">
        <v/>
      </c>
      <c r="CG386" s="37" t="str">
        <v/>
      </c>
      <c r="CH386" s="37" t="str">
        <v/>
      </c>
      <c r="CI386" s="37" t="str">
        <v/>
      </c>
      <c r="CJ386" s="41" t="str">
        <f t="shared" si="208"/>
        <v/>
      </c>
      <c r="CK386" s="41" t="str">
        <f t="shared" si="209"/>
        <v/>
      </c>
      <c r="CL386" s="66" t="str">
        <f t="shared" si="210"/>
        <v/>
      </c>
      <c r="CM386" s="39" t="str">
        <f t="shared" si="211"/>
        <v/>
      </c>
      <c r="CN386" s="39" t="str">
        <f t="shared" si="212"/>
        <v/>
      </c>
      <c r="CO386" s="42" t="str">
        <f t="shared" si="213"/>
        <v/>
      </c>
      <c r="CP386" s="42" t="str">
        <f t="shared" si="214"/>
        <v/>
      </c>
      <c r="CQ386" s="42" t="str">
        <f t="shared" si="215"/>
        <v/>
      </c>
      <c r="CR386" s="42" t="str">
        <f t="shared" si="216"/>
        <v/>
      </c>
      <c r="CS386" s="42" t="str">
        <f t="shared" si="217"/>
        <v/>
      </c>
      <c r="CT386" s="42" t="str">
        <f t="shared" si="218"/>
        <v/>
      </c>
      <c r="CU386" s="43" t="str">
        <f t="shared" si="219"/>
        <v/>
      </c>
      <c r="CV386" s="43" t="str">
        <f t="shared" si="220"/>
        <v/>
      </c>
      <c r="CW386" s="43" t="str">
        <f t="shared" si="221"/>
        <v/>
      </c>
      <c r="CX386" s="13"/>
    </row>
    <row r="387" spans="1:102" x14ac:dyDescent="0.25">
      <c r="A387" s="31"/>
      <c r="B387" s="13"/>
      <c r="C387" s="13"/>
      <c r="D387" s="13"/>
      <c r="E387" s="32"/>
      <c r="F387" s="32"/>
      <c r="G387" s="32"/>
      <c r="H387" s="32"/>
      <c r="I387" s="32"/>
      <c r="J387" s="13"/>
      <c r="K387" s="33"/>
      <c r="L387" s="34" t="str">
        <f>IFERROR(INDEX('Pokemon Data'!A:A,MATCH($A387,'Pokemon Data'!$B:$B,0)),"")</f>
        <v/>
      </c>
      <c r="M387" s="34" t="str">
        <f>IFERROR(INDEX('Pokemon Data'!I:I,MATCH($A387,'Pokemon Data'!$B:$B,0)),"")</f>
        <v/>
      </c>
      <c r="N387" s="34" t="str">
        <f>IFERROR(INDEX('Pokemon Data'!J:J,MATCH($A387,'Pokemon Data'!$B:$B,0)),"")</f>
        <v/>
      </c>
      <c r="O387" s="34" t="str">
        <f>IFERROR(INDEX('Pokemon Data'!K:K,MATCH($A387,'Pokemon Data'!$B:$B,0)),"")</f>
        <v/>
      </c>
      <c r="P387" s="35" t="str">
        <f>IFERROR(INDEX('Level Multipliers'!$A:$A,MATCH($D387,'Level Multipliers'!$B:$B,0)),"")</f>
        <v/>
      </c>
      <c r="Q387" s="36" t="str">
        <f>IFERROR(INDEX('Level Multipliers'!$D:$D,MATCH(P387,'Level Multipliers'!$A:$A,0)),"")</f>
        <v/>
      </c>
      <c r="R387" s="37" t="str">
        <f t="shared" ref="R387:R450" si="222">IF(P387="","",IF($C387&gt;10,MAX(0,ROUNDUP(Q387*$C387-$M387+1000,0)-1000),0))</f>
        <v/>
      </c>
      <c r="S387" s="37" t="str">
        <f t="shared" ref="S387:S450" si="223">IF(P387="","",MIN(15,ROUNDDOWN(Q387*($C387+1)-$M387+1000,0)-1000))</f>
        <v/>
      </c>
      <c r="T387" s="38" t="str">
        <f t="shared" ref="T387:T450" si="224">IFERROR(IF($B387&gt;10,100*Q387^4*$B387^2,$N387^2*$O387*($M387+R387)),"")</f>
        <v/>
      </c>
      <c r="U387" s="38" t="str">
        <f t="shared" ref="U387:U450" si="225">IFERROR(100*Q387^4*($B387+1)^2,"")</f>
        <v/>
      </c>
      <c r="V387" s="38" t="b">
        <f t="shared" ref="V387:V450" si="226">IFERROR(OR(AND($J387=0,INT(P387)&lt;&gt;P387),AND($K387&lt;&gt;"",P387&lt;&gt;$K387),R387&gt;15,S387&lt;0,T387&gt;(($N387+15)^2*($O387+15)*($M387+S387)),U387&lt;($N387^2*$O387*($M387+R387))),TRUE())</f>
        <v>1</v>
      </c>
      <c r="W387" s="37" t="str">
        <f t="array" ref="W387:AG387">IF(V387,"",IVSolution($M387,$N387,$O387,R387,S387,T387,U387,$E387,$F387,$G387,$H387,$I387))</f>
        <v/>
      </c>
      <c r="X387" s="37" t="str">
        <v/>
      </c>
      <c r="Y387" s="37" t="str">
        <v/>
      </c>
      <c r="Z387" s="39" t="str">
        <v/>
      </c>
      <c r="AA387" s="39" t="str">
        <v/>
      </c>
      <c r="AB387" s="37" t="str">
        <v/>
      </c>
      <c r="AC387" s="37" t="str">
        <v/>
      </c>
      <c r="AD387" s="37" t="str">
        <v/>
      </c>
      <c r="AE387" s="37" t="str">
        <v/>
      </c>
      <c r="AF387" s="37" t="str">
        <v/>
      </c>
      <c r="AG387" s="37" t="str">
        <v/>
      </c>
      <c r="AH387" s="40" t="str">
        <f t="shared" ref="AH387:AH450" si="227">IFERROR(P387+0.5,"")</f>
        <v/>
      </c>
      <c r="AI387" s="36" t="str">
        <f>IFERROR(INDEX('Level Multipliers'!$D:$D,MATCH(AH387,'Level Multipliers'!$A:$A,0)),"")</f>
        <v/>
      </c>
      <c r="AJ387" s="37" t="str">
        <f t="shared" ref="AJ387:AJ450" si="228">IF(AH387="","",IF($C387&gt;10,MAX(0,ROUNDUP(AI387*$C387-$M387+1000,0)-1000),0))</f>
        <v/>
      </c>
      <c r="AK387" s="37" t="str">
        <f t="shared" ref="AK387:AK450" si="229">IF(AH387="","",MIN(15,ROUNDDOWN(AI387*($C387+1)-$M387+1000,0)-1000))</f>
        <v/>
      </c>
      <c r="AL387" s="38" t="str">
        <f t="shared" ref="AL387:AL450" si="230">IFERROR(IF($B387&gt;10,100*AI387^4*$B387^2,$N387^2*$O387*($M387+AJ387)),"")</f>
        <v/>
      </c>
      <c r="AM387" s="38" t="str">
        <f t="shared" ref="AM387:AM450" si="231">IFERROR(100*AI387^4*($B387+1)^2,"")</f>
        <v/>
      </c>
      <c r="AN387" s="38" t="b">
        <f t="shared" ref="AN387:AN450" si="232">IFERROR(OR(AND($J387=0,INT(AH387)&lt;&gt;AH387),AND($K387&lt;&gt;"",AH387&lt;&gt;$K387),AJ387&gt;15,AK387&lt;0,AL387&gt;(($N387+15)^2*($O387+15)*($M387+AK387)),AM387&lt;($N387^2*$O387*($M387+AJ387))),TRUE())</f>
        <v>1</v>
      </c>
      <c r="AO387" s="37" t="str">
        <f t="array" ref="AO387:AY387">IF(AN387,"",IVSolution($M387,$N387,$O387,AJ387,AK387,AL387,AM387,$E387,$F387,$G387,$H387,$I387))</f>
        <v/>
      </c>
      <c r="AP387" s="37" t="str">
        <v/>
      </c>
      <c r="AQ387" s="37" t="str">
        <v/>
      </c>
      <c r="AR387" s="39" t="str">
        <v/>
      </c>
      <c r="AS387" s="39" t="str">
        <v/>
      </c>
      <c r="AT387" s="37" t="str">
        <v/>
      </c>
      <c r="AU387" s="37" t="str">
        <v/>
      </c>
      <c r="AV387" s="37" t="str">
        <v/>
      </c>
      <c r="AW387" s="37" t="str">
        <v/>
      </c>
      <c r="AX387" s="37" t="str">
        <v/>
      </c>
      <c r="AY387" s="37" t="str">
        <v/>
      </c>
      <c r="AZ387" s="40" t="str">
        <f t="shared" ref="AZ387:AZ450" si="233">IFERROR(AH387+0.5,"")</f>
        <v/>
      </c>
      <c r="BA387" s="36" t="str">
        <f>IFERROR(INDEX('Level Multipliers'!$D:$D,MATCH(AZ387,'Level Multipliers'!$A:$A,0)),"")</f>
        <v/>
      </c>
      <c r="BB387" s="37" t="str">
        <f t="shared" ref="BB387:BB450" si="234">IF(AZ387="","",IF($C387&gt;10,MAX(0,ROUNDUP(BA387*$C387-$M387+1000,0)-1000),0))</f>
        <v/>
      </c>
      <c r="BC387" s="37" t="str">
        <f t="shared" ref="BC387:BC450" si="235">IF(AZ387="","",MIN(15,ROUNDDOWN(BA387*($C387+1)-$M387+1000,0)-1000))</f>
        <v/>
      </c>
      <c r="BD387" s="38" t="str">
        <f t="shared" ref="BD387:BD450" si="236">IFERROR(IF($B387&gt;10,100*BA387^4*$B387^2,$N387^2*$O387*($M387+BB387)),"")</f>
        <v/>
      </c>
      <c r="BE387" s="38" t="str">
        <f t="shared" ref="BE387:BE450" si="237">IFERROR(100*BA387^4*($B387+1)^2,"")</f>
        <v/>
      </c>
      <c r="BF387" s="38" t="b">
        <f t="shared" ref="BF387:BF450" si="238">IFERROR(OR(AND($J387=0,INT(AZ387)&lt;&gt;AZ387),AND($K387&lt;&gt;"",AZ387&lt;&gt;$K387),BB387&gt;15,BC387&lt;0,BD387&gt;(($N387+15)^2*($O387+15)*($M387+BC387)),BE387&lt;($N387^2*$O387*($M387+BB387))),TRUE())</f>
        <v>1</v>
      </c>
      <c r="BG387" s="37" t="str">
        <f t="array" ref="BG387:BQ387">IF(BF387,"",IVSolution($M387,$N387,$O387,BB387,BC387,BD387,BE387,$E387,$F387,$G387,$H387,$I387))</f>
        <v/>
      </c>
      <c r="BH387" s="37" t="str">
        <v/>
      </c>
      <c r="BI387" s="37" t="str">
        <v/>
      </c>
      <c r="BJ387" s="39" t="str">
        <v/>
      </c>
      <c r="BK387" s="39" t="str">
        <v/>
      </c>
      <c r="BL387" s="37" t="str">
        <v/>
      </c>
      <c r="BM387" s="37" t="str">
        <v/>
      </c>
      <c r="BN387" s="37" t="str">
        <v/>
      </c>
      <c r="BO387" s="37" t="str">
        <v/>
      </c>
      <c r="BP387" s="37" t="str">
        <v/>
      </c>
      <c r="BQ387" s="37" t="str">
        <v/>
      </c>
      <c r="BR387" s="40" t="str">
        <f t="shared" ref="BR387:BR450" si="239">IFERROR(AZ387+0.5,"")</f>
        <v/>
      </c>
      <c r="BS387" s="36" t="str">
        <f>IFERROR(INDEX('Level Multipliers'!$D:$D,MATCH(BR387,'Level Multipliers'!$A:$A,0)),"")</f>
        <v/>
      </c>
      <c r="BT387" s="37" t="str">
        <f t="shared" ref="BT387:BT450" si="240">IF(BR387="","",IF($C387&gt;10,MAX(0,ROUNDUP(BS387*$C387-$M387+1000,0)-1000),0))</f>
        <v/>
      </c>
      <c r="BU387" s="37" t="str">
        <f t="shared" ref="BU387:BU450" si="241">IF(BR387="","",MIN(15,ROUNDDOWN(BS387*($C387+1)-$M387+1000,0)-1000))</f>
        <v/>
      </c>
      <c r="BV387" s="38" t="str">
        <f t="shared" ref="BV387:BV450" si="242">IFERROR(IF($B387&gt;10,100*BS387^4*$B387^2,$N387^2*$O387*($M387+BT387)),"")</f>
        <v/>
      </c>
      <c r="BW387" s="38" t="str">
        <f t="shared" ref="BW387:BW450" si="243">IFERROR(100*BS387^4*($B387+1)^2,"")</f>
        <v/>
      </c>
      <c r="BX387" s="38" t="b">
        <f t="shared" ref="BX387:BX450" si="244">IFERROR(OR(AND($J387=0,INT(BR387)&lt;&gt;BR387),AND($K387&lt;&gt;"",BR387&lt;&gt;$K387),BT387&gt;15,BU387&lt;0,BV387&gt;(($N387+15)^2*($O387+15)*($M387+BU387)),BW387&lt;($N387^2*$O387*($M387+BT387))),TRUE())</f>
        <v>1</v>
      </c>
      <c r="BY387" s="37" t="str">
        <f t="array" ref="BY387:CI387">IF(BX387,"",IVSolution($M387,$N387,$O387,BT387,BU387,BV387,BW387,$E387,$F387,$G387,$H387,$I387))</f>
        <v/>
      </c>
      <c r="BZ387" s="37" t="str">
        <v/>
      </c>
      <c r="CA387" s="37" t="str">
        <v/>
      </c>
      <c r="CB387" s="39" t="str">
        <v/>
      </c>
      <c r="CC387" s="39" t="str">
        <v/>
      </c>
      <c r="CD387" s="37" t="str">
        <v/>
      </c>
      <c r="CE387" s="37" t="str">
        <v/>
      </c>
      <c r="CF387" s="37" t="str">
        <v/>
      </c>
      <c r="CG387" s="37" t="str">
        <v/>
      </c>
      <c r="CH387" s="37" t="str">
        <v/>
      </c>
      <c r="CI387" s="37" t="str">
        <v/>
      </c>
      <c r="CJ387" s="41" t="str">
        <f t="shared" ref="CJ387:CJ450" si="245">IF(IFERROR(W387*1,0)&gt;0,P387,IF(IFERROR(AO387*1,0)&gt;0,AH387,IF(IFERROR(BG387*1,0)&gt;0,AZ387,IF(IFERROR(BY387*1,0)&gt;0,BR387,""))))</f>
        <v/>
      </c>
      <c r="CK387" s="41" t="str">
        <f t="shared" ref="CK387:CK450" si="246">IF(IFERROR(BY387*1,0)&gt;0,BR387,IF(IFERROR(BG387*1,0)&gt;0,AZ387,IF(IFERROR(AO387*1,0)&gt;0,AH387,IF(IFERROR(W387*1,0)&gt;0,P387,""))))</f>
        <v/>
      </c>
      <c r="CL387" s="66" t="str">
        <f t="shared" ref="CL387:CL450" si="247">IF(OR(CJ387="",CK387=""),"",(CM387+CN387)/2)</f>
        <v/>
      </c>
      <c r="CM387" s="39" t="str">
        <f t="shared" ref="CM387:CM450" si="248">IF(OR(CJ387="",CK387=""),"",MIN(Z387,AR387,BJ387,CB387))</f>
        <v/>
      </c>
      <c r="CN387" s="39" t="str">
        <f t="shared" ref="CN387:CN450" si="249">IF(OR(CJ387="",CK387=""),"",MAX(AA387,AS387,BK387,CC387))</f>
        <v/>
      </c>
      <c r="CO387" s="42" t="str">
        <f t="shared" ref="CO387:CO450" si="250">IF(OR(CJ387="",CK387=""),"",MIN(AB387,AT387,BL387,CD387))</f>
        <v/>
      </c>
      <c r="CP387" s="42" t="str">
        <f t="shared" ref="CP387:CP450" si="251">IF(OR(CJ387="",CK387=""),"",MAX(AC387,AU387,BM387,CE387))</f>
        <v/>
      </c>
      <c r="CQ387" s="42" t="str">
        <f t="shared" ref="CQ387:CQ450" si="252">IF(OR(CJ387="",CK387=""),"",MIN(AD387,AV387,BN387,CF387))</f>
        <v/>
      </c>
      <c r="CR387" s="42" t="str">
        <f t="shared" ref="CR387:CR450" si="253">IF(OR(CJ387="",CK387=""),"",MAX(AE387,AW387,BO387,CG387))</f>
        <v/>
      </c>
      <c r="CS387" s="42" t="str">
        <f t="shared" ref="CS387:CS450" si="254">IF(OR(CJ387="",CK387=""),"",MIN(AF387,AX387,BP387,CH387))</f>
        <v/>
      </c>
      <c r="CT387" s="42" t="str">
        <f t="shared" ref="CT387:CT450" si="255">IF(OR(CJ387="",CK387=""),"",MAX(AG387,AY387,BQ387,CI387))</f>
        <v/>
      </c>
      <c r="CU387" s="43" t="str">
        <f t="shared" ref="CU387:CU450" si="256">IF(CO387=CP387,CP387,CO387&amp;"-"&amp;CP387)</f>
        <v/>
      </c>
      <c r="CV387" s="43" t="str">
        <f t="shared" ref="CV387:CV450" si="257">IF(CQ387=CR387,CR387,CQ387&amp;"-"&amp;CR387)</f>
        <v/>
      </c>
      <c r="CW387" s="43" t="str">
        <f t="shared" ref="CW387:CW450" si="258">IF(CS387=CT387,CT387,CS387&amp;"-"&amp;CT387)</f>
        <v/>
      </c>
      <c r="CX387" s="13"/>
    </row>
    <row r="388" spans="1:102" x14ac:dyDescent="0.25">
      <c r="A388" s="31"/>
      <c r="B388" s="13"/>
      <c r="C388" s="13"/>
      <c r="D388" s="13"/>
      <c r="E388" s="32"/>
      <c r="F388" s="32"/>
      <c r="G388" s="32"/>
      <c r="H388" s="32"/>
      <c r="I388" s="32"/>
      <c r="J388" s="13"/>
      <c r="K388" s="33"/>
      <c r="L388" s="34" t="str">
        <f>IFERROR(INDEX('Pokemon Data'!A:A,MATCH($A388,'Pokemon Data'!$B:$B,0)),"")</f>
        <v/>
      </c>
      <c r="M388" s="34" t="str">
        <f>IFERROR(INDEX('Pokemon Data'!I:I,MATCH($A388,'Pokemon Data'!$B:$B,0)),"")</f>
        <v/>
      </c>
      <c r="N388" s="34" t="str">
        <f>IFERROR(INDEX('Pokemon Data'!J:J,MATCH($A388,'Pokemon Data'!$B:$B,0)),"")</f>
        <v/>
      </c>
      <c r="O388" s="34" t="str">
        <f>IFERROR(INDEX('Pokemon Data'!K:K,MATCH($A388,'Pokemon Data'!$B:$B,0)),"")</f>
        <v/>
      </c>
      <c r="P388" s="35" t="str">
        <f>IFERROR(INDEX('Level Multipliers'!$A:$A,MATCH($D388,'Level Multipliers'!$B:$B,0)),"")</f>
        <v/>
      </c>
      <c r="Q388" s="36" t="str">
        <f>IFERROR(INDEX('Level Multipliers'!$D:$D,MATCH(P388,'Level Multipliers'!$A:$A,0)),"")</f>
        <v/>
      </c>
      <c r="R388" s="37" t="str">
        <f t="shared" si="222"/>
        <v/>
      </c>
      <c r="S388" s="37" t="str">
        <f t="shared" si="223"/>
        <v/>
      </c>
      <c r="T388" s="38" t="str">
        <f t="shared" si="224"/>
        <v/>
      </c>
      <c r="U388" s="38" t="str">
        <f t="shared" si="225"/>
        <v/>
      </c>
      <c r="V388" s="38" t="b">
        <f t="shared" si="226"/>
        <v>1</v>
      </c>
      <c r="W388" s="37" t="str">
        <f t="array" ref="W388:AG388">IF(V388,"",IVSolution($M388,$N388,$O388,R388,S388,T388,U388,$E388,$F388,$G388,$H388,$I388))</f>
        <v/>
      </c>
      <c r="X388" s="37" t="str">
        <v/>
      </c>
      <c r="Y388" s="37" t="str">
        <v/>
      </c>
      <c r="Z388" s="39" t="str">
        <v/>
      </c>
      <c r="AA388" s="39" t="str">
        <v/>
      </c>
      <c r="AB388" s="37" t="str">
        <v/>
      </c>
      <c r="AC388" s="37" t="str">
        <v/>
      </c>
      <c r="AD388" s="37" t="str">
        <v/>
      </c>
      <c r="AE388" s="37" t="str">
        <v/>
      </c>
      <c r="AF388" s="37" t="str">
        <v/>
      </c>
      <c r="AG388" s="37" t="str">
        <v/>
      </c>
      <c r="AH388" s="40" t="str">
        <f t="shared" si="227"/>
        <v/>
      </c>
      <c r="AI388" s="36" t="str">
        <f>IFERROR(INDEX('Level Multipliers'!$D:$D,MATCH(AH388,'Level Multipliers'!$A:$A,0)),"")</f>
        <v/>
      </c>
      <c r="AJ388" s="37" t="str">
        <f t="shared" si="228"/>
        <v/>
      </c>
      <c r="AK388" s="37" t="str">
        <f t="shared" si="229"/>
        <v/>
      </c>
      <c r="AL388" s="38" t="str">
        <f t="shared" si="230"/>
        <v/>
      </c>
      <c r="AM388" s="38" t="str">
        <f t="shared" si="231"/>
        <v/>
      </c>
      <c r="AN388" s="38" t="b">
        <f t="shared" si="232"/>
        <v>1</v>
      </c>
      <c r="AO388" s="37" t="str">
        <f t="array" ref="AO388:AY388">IF(AN388,"",IVSolution($M388,$N388,$O388,AJ388,AK388,AL388,AM388,$E388,$F388,$G388,$H388,$I388))</f>
        <v/>
      </c>
      <c r="AP388" s="37" t="str">
        <v/>
      </c>
      <c r="AQ388" s="37" t="str">
        <v/>
      </c>
      <c r="AR388" s="39" t="str">
        <v/>
      </c>
      <c r="AS388" s="39" t="str">
        <v/>
      </c>
      <c r="AT388" s="37" t="str">
        <v/>
      </c>
      <c r="AU388" s="37" t="str">
        <v/>
      </c>
      <c r="AV388" s="37" t="str">
        <v/>
      </c>
      <c r="AW388" s="37" t="str">
        <v/>
      </c>
      <c r="AX388" s="37" t="str">
        <v/>
      </c>
      <c r="AY388" s="37" t="str">
        <v/>
      </c>
      <c r="AZ388" s="40" t="str">
        <f t="shared" si="233"/>
        <v/>
      </c>
      <c r="BA388" s="36" t="str">
        <f>IFERROR(INDEX('Level Multipliers'!$D:$D,MATCH(AZ388,'Level Multipliers'!$A:$A,0)),"")</f>
        <v/>
      </c>
      <c r="BB388" s="37" t="str">
        <f t="shared" si="234"/>
        <v/>
      </c>
      <c r="BC388" s="37" t="str">
        <f t="shared" si="235"/>
        <v/>
      </c>
      <c r="BD388" s="38" t="str">
        <f t="shared" si="236"/>
        <v/>
      </c>
      <c r="BE388" s="38" t="str">
        <f t="shared" si="237"/>
        <v/>
      </c>
      <c r="BF388" s="38" t="b">
        <f t="shared" si="238"/>
        <v>1</v>
      </c>
      <c r="BG388" s="37" t="str">
        <f t="array" ref="BG388:BQ388">IF(BF388,"",IVSolution($M388,$N388,$O388,BB388,BC388,BD388,BE388,$E388,$F388,$G388,$H388,$I388))</f>
        <v/>
      </c>
      <c r="BH388" s="37" t="str">
        <v/>
      </c>
      <c r="BI388" s="37" t="str">
        <v/>
      </c>
      <c r="BJ388" s="39" t="str">
        <v/>
      </c>
      <c r="BK388" s="39" t="str">
        <v/>
      </c>
      <c r="BL388" s="37" t="str">
        <v/>
      </c>
      <c r="BM388" s="37" t="str">
        <v/>
      </c>
      <c r="BN388" s="37" t="str">
        <v/>
      </c>
      <c r="BO388" s="37" t="str">
        <v/>
      </c>
      <c r="BP388" s="37" t="str">
        <v/>
      </c>
      <c r="BQ388" s="37" t="str">
        <v/>
      </c>
      <c r="BR388" s="40" t="str">
        <f t="shared" si="239"/>
        <v/>
      </c>
      <c r="BS388" s="36" t="str">
        <f>IFERROR(INDEX('Level Multipliers'!$D:$D,MATCH(BR388,'Level Multipliers'!$A:$A,0)),"")</f>
        <v/>
      </c>
      <c r="BT388" s="37" t="str">
        <f t="shared" si="240"/>
        <v/>
      </c>
      <c r="BU388" s="37" t="str">
        <f t="shared" si="241"/>
        <v/>
      </c>
      <c r="BV388" s="38" t="str">
        <f t="shared" si="242"/>
        <v/>
      </c>
      <c r="BW388" s="38" t="str">
        <f t="shared" si="243"/>
        <v/>
      </c>
      <c r="BX388" s="38" t="b">
        <f t="shared" si="244"/>
        <v>1</v>
      </c>
      <c r="BY388" s="37" t="str">
        <f t="array" ref="BY388:CI388">IF(BX388,"",IVSolution($M388,$N388,$O388,BT388,BU388,BV388,BW388,$E388,$F388,$G388,$H388,$I388))</f>
        <v/>
      </c>
      <c r="BZ388" s="37" t="str">
        <v/>
      </c>
      <c r="CA388" s="37" t="str">
        <v/>
      </c>
      <c r="CB388" s="39" t="str">
        <v/>
      </c>
      <c r="CC388" s="39" t="str">
        <v/>
      </c>
      <c r="CD388" s="37" t="str">
        <v/>
      </c>
      <c r="CE388" s="37" t="str">
        <v/>
      </c>
      <c r="CF388" s="37" t="str">
        <v/>
      </c>
      <c r="CG388" s="37" t="str">
        <v/>
      </c>
      <c r="CH388" s="37" t="str">
        <v/>
      </c>
      <c r="CI388" s="37" t="str">
        <v/>
      </c>
      <c r="CJ388" s="41" t="str">
        <f t="shared" si="245"/>
        <v/>
      </c>
      <c r="CK388" s="41" t="str">
        <f t="shared" si="246"/>
        <v/>
      </c>
      <c r="CL388" s="66" t="str">
        <f t="shared" si="247"/>
        <v/>
      </c>
      <c r="CM388" s="39" t="str">
        <f t="shared" si="248"/>
        <v/>
      </c>
      <c r="CN388" s="39" t="str">
        <f t="shared" si="249"/>
        <v/>
      </c>
      <c r="CO388" s="42" t="str">
        <f t="shared" si="250"/>
        <v/>
      </c>
      <c r="CP388" s="42" t="str">
        <f t="shared" si="251"/>
        <v/>
      </c>
      <c r="CQ388" s="42" t="str">
        <f t="shared" si="252"/>
        <v/>
      </c>
      <c r="CR388" s="42" t="str">
        <f t="shared" si="253"/>
        <v/>
      </c>
      <c r="CS388" s="42" t="str">
        <f t="shared" si="254"/>
        <v/>
      </c>
      <c r="CT388" s="42" t="str">
        <f t="shared" si="255"/>
        <v/>
      </c>
      <c r="CU388" s="43" t="str">
        <f t="shared" si="256"/>
        <v/>
      </c>
      <c r="CV388" s="43" t="str">
        <f t="shared" si="257"/>
        <v/>
      </c>
      <c r="CW388" s="43" t="str">
        <f t="shared" si="258"/>
        <v/>
      </c>
      <c r="CX388" s="13"/>
    </row>
    <row r="389" spans="1:102" x14ac:dyDescent="0.25">
      <c r="A389" s="31"/>
      <c r="B389" s="13"/>
      <c r="C389" s="13"/>
      <c r="D389" s="13"/>
      <c r="E389" s="32"/>
      <c r="F389" s="32"/>
      <c r="G389" s="32"/>
      <c r="H389" s="32"/>
      <c r="I389" s="32"/>
      <c r="J389" s="13"/>
      <c r="K389" s="33"/>
      <c r="L389" s="34" t="str">
        <f>IFERROR(INDEX('Pokemon Data'!A:A,MATCH($A389,'Pokemon Data'!$B:$B,0)),"")</f>
        <v/>
      </c>
      <c r="M389" s="34" t="str">
        <f>IFERROR(INDEX('Pokemon Data'!I:I,MATCH($A389,'Pokemon Data'!$B:$B,0)),"")</f>
        <v/>
      </c>
      <c r="N389" s="34" t="str">
        <f>IFERROR(INDEX('Pokemon Data'!J:J,MATCH($A389,'Pokemon Data'!$B:$B,0)),"")</f>
        <v/>
      </c>
      <c r="O389" s="34" t="str">
        <f>IFERROR(INDEX('Pokemon Data'!K:K,MATCH($A389,'Pokemon Data'!$B:$B,0)),"")</f>
        <v/>
      </c>
      <c r="P389" s="35" t="str">
        <f>IFERROR(INDEX('Level Multipliers'!$A:$A,MATCH($D389,'Level Multipliers'!$B:$B,0)),"")</f>
        <v/>
      </c>
      <c r="Q389" s="36" t="str">
        <f>IFERROR(INDEX('Level Multipliers'!$D:$D,MATCH(P389,'Level Multipliers'!$A:$A,0)),"")</f>
        <v/>
      </c>
      <c r="R389" s="37" t="str">
        <f t="shared" si="222"/>
        <v/>
      </c>
      <c r="S389" s="37" t="str">
        <f t="shared" si="223"/>
        <v/>
      </c>
      <c r="T389" s="38" t="str">
        <f t="shared" si="224"/>
        <v/>
      </c>
      <c r="U389" s="38" t="str">
        <f t="shared" si="225"/>
        <v/>
      </c>
      <c r="V389" s="38" t="b">
        <f t="shared" si="226"/>
        <v>1</v>
      </c>
      <c r="W389" s="37" t="str">
        <f t="array" ref="W389:AG389">IF(V389,"",IVSolution($M389,$N389,$O389,R389,S389,T389,U389,$E389,$F389,$G389,$H389,$I389))</f>
        <v/>
      </c>
      <c r="X389" s="37" t="str">
        <v/>
      </c>
      <c r="Y389" s="37" t="str">
        <v/>
      </c>
      <c r="Z389" s="39" t="str">
        <v/>
      </c>
      <c r="AA389" s="39" t="str">
        <v/>
      </c>
      <c r="AB389" s="37" t="str">
        <v/>
      </c>
      <c r="AC389" s="37" t="str">
        <v/>
      </c>
      <c r="AD389" s="37" t="str">
        <v/>
      </c>
      <c r="AE389" s="37" t="str">
        <v/>
      </c>
      <c r="AF389" s="37" t="str">
        <v/>
      </c>
      <c r="AG389" s="37" t="str">
        <v/>
      </c>
      <c r="AH389" s="40" t="str">
        <f t="shared" si="227"/>
        <v/>
      </c>
      <c r="AI389" s="36" t="str">
        <f>IFERROR(INDEX('Level Multipliers'!$D:$D,MATCH(AH389,'Level Multipliers'!$A:$A,0)),"")</f>
        <v/>
      </c>
      <c r="AJ389" s="37" t="str">
        <f t="shared" si="228"/>
        <v/>
      </c>
      <c r="AK389" s="37" t="str">
        <f t="shared" si="229"/>
        <v/>
      </c>
      <c r="AL389" s="38" t="str">
        <f t="shared" si="230"/>
        <v/>
      </c>
      <c r="AM389" s="38" t="str">
        <f t="shared" si="231"/>
        <v/>
      </c>
      <c r="AN389" s="38" t="b">
        <f t="shared" si="232"/>
        <v>1</v>
      </c>
      <c r="AO389" s="37" t="str">
        <f t="array" ref="AO389:AY389">IF(AN389,"",IVSolution($M389,$N389,$O389,AJ389,AK389,AL389,AM389,$E389,$F389,$G389,$H389,$I389))</f>
        <v/>
      </c>
      <c r="AP389" s="37" t="str">
        <v/>
      </c>
      <c r="AQ389" s="37" t="str">
        <v/>
      </c>
      <c r="AR389" s="39" t="str">
        <v/>
      </c>
      <c r="AS389" s="39" t="str">
        <v/>
      </c>
      <c r="AT389" s="37" t="str">
        <v/>
      </c>
      <c r="AU389" s="37" t="str">
        <v/>
      </c>
      <c r="AV389" s="37" t="str">
        <v/>
      </c>
      <c r="AW389" s="37" t="str">
        <v/>
      </c>
      <c r="AX389" s="37" t="str">
        <v/>
      </c>
      <c r="AY389" s="37" t="str">
        <v/>
      </c>
      <c r="AZ389" s="40" t="str">
        <f t="shared" si="233"/>
        <v/>
      </c>
      <c r="BA389" s="36" t="str">
        <f>IFERROR(INDEX('Level Multipliers'!$D:$D,MATCH(AZ389,'Level Multipliers'!$A:$A,0)),"")</f>
        <v/>
      </c>
      <c r="BB389" s="37" t="str">
        <f t="shared" si="234"/>
        <v/>
      </c>
      <c r="BC389" s="37" t="str">
        <f t="shared" si="235"/>
        <v/>
      </c>
      <c r="BD389" s="38" t="str">
        <f t="shared" si="236"/>
        <v/>
      </c>
      <c r="BE389" s="38" t="str">
        <f t="shared" si="237"/>
        <v/>
      </c>
      <c r="BF389" s="38" t="b">
        <f t="shared" si="238"/>
        <v>1</v>
      </c>
      <c r="BG389" s="37" t="str">
        <f t="array" ref="BG389:BQ389">IF(BF389,"",IVSolution($M389,$N389,$O389,BB389,BC389,BD389,BE389,$E389,$F389,$G389,$H389,$I389))</f>
        <v/>
      </c>
      <c r="BH389" s="37" t="str">
        <v/>
      </c>
      <c r="BI389" s="37" t="str">
        <v/>
      </c>
      <c r="BJ389" s="39" t="str">
        <v/>
      </c>
      <c r="BK389" s="39" t="str">
        <v/>
      </c>
      <c r="BL389" s="37" t="str">
        <v/>
      </c>
      <c r="BM389" s="37" t="str">
        <v/>
      </c>
      <c r="BN389" s="37" t="str">
        <v/>
      </c>
      <c r="BO389" s="37" t="str">
        <v/>
      </c>
      <c r="BP389" s="37" t="str">
        <v/>
      </c>
      <c r="BQ389" s="37" t="str">
        <v/>
      </c>
      <c r="BR389" s="40" t="str">
        <f t="shared" si="239"/>
        <v/>
      </c>
      <c r="BS389" s="36" t="str">
        <f>IFERROR(INDEX('Level Multipliers'!$D:$D,MATCH(BR389,'Level Multipliers'!$A:$A,0)),"")</f>
        <v/>
      </c>
      <c r="BT389" s="37" t="str">
        <f t="shared" si="240"/>
        <v/>
      </c>
      <c r="BU389" s="37" t="str">
        <f t="shared" si="241"/>
        <v/>
      </c>
      <c r="BV389" s="38" t="str">
        <f t="shared" si="242"/>
        <v/>
      </c>
      <c r="BW389" s="38" t="str">
        <f t="shared" si="243"/>
        <v/>
      </c>
      <c r="BX389" s="38" t="b">
        <f t="shared" si="244"/>
        <v>1</v>
      </c>
      <c r="BY389" s="37" t="str">
        <f t="array" ref="BY389:CI389">IF(BX389,"",IVSolution($M389,$N389,$O389,BT389,BU389,BV389,BW389,$E389,$F389,$G389,$H389,$I389))</f>
        <v/>
      </c>
      <c r="BZ389" s="37" t="str">
        <v/>
      </c>
      <c r="CA389" s="37" t="str">
        <v/>
      </c>
      <c r="CB389" s="39" t="str">
        <v/>
      </c>
      <c r="CC389" s="39" t="str">
        <v/>
      </c>
      <c r="CD389" s="37" t="str">
        <v/>
      </c>
      <c r="CE389" s="37" t="str">
        <v/>
      </c>
      <c r="CF389" s="37" t="str">
        <v/>
      </c>
      <c r="CG389" s="37" t="str">
        <v/>
      </c>
      <c r="CH389" s="37" t="str">
        <v/>
      </c>
      <c r="CI389" s="37" t="str">
        <v/>
      </c>
      <c r="CJ389" s="41" t="str">
        <f t="shared" si="245"/>
        <v/>
      </c>
      <c r="CK389" s="41" t="str">
        <f t="shared" si="246"/>
        <v/>
      </c>
      <c r="CL389" s="66" t="str">
        <f t="shared" si="247"/>
        <v/>
      </c>
      <c r="CM389" s="39" t="str">
        <f t="shared" si="248"/>
        <v/>
      </c>
      <c r="CN389" s="39" t="str">
        <f t="shared" si="249"/>
        <v/>
      </c>
      <c r="CO389" s="42" t="str">
        <f t="shared" si="250"/>
        <v/>
      </c>
      <c r="CP389" s="42" t="str">
        <f t="shared" si="251"/>
        <v/>
      </c>
      <c r="CQ389" s="42" t="str">
        <f t="shared" si="252"/>
        <v/>
      </c>
      <c r="CR389" s="42" t="str">
        <f t="shared" si="253"/>
        <v/>
      </c>
      <c r="CS389" s="42" t="str">
        <f t="shared" si="254"/>
        <v/>
      </c>
      <c r="CT389" s="42" t="str">
        <f t="shared" si="255"/>
        <v/>
      </c>
      <c r="CU389" s="43" t="str">
        <f t="shared" si="256"/>
        <v/>
      </c>
      <c r="CV389" s="43" t="str">
        <f t="shared" si="257"/>
        <v/>
      </c>
      <c r="CW389" s="43" t="str">
        <f t="shared" si="258"/>
        <v/>
      </c>
      <c r="CX389" s="13"/>
    </row>
    <row r="390" spans="1:102" x14ac:dyDescent="0.25">
      <c r="A390" s="31"/>
      <c r="B390" s="13"/>
      <c r="C390" s="13"/>
      <c r="D390" s="13"/>
      <c r="E390" s="32"/>
      <c r="F390" s="32"/>
      <c r="G390" s="32"/>
      <c r="H390" s="32"/>
      <c r="I390" s="32"/>
      <c r="J390" s="13"/>
      <c r="K390" s="33"/>
      <c r="L390" s="34" t="str">
        <f>IFERROR(INDEX('Pokemon Data'!A:A,MATCH($A390,'Pokemon Data'!$B:$B,0)),"")</f>
        <v/>
      </c>
      <c r="M390" s="34" t="str">
        <f>IFERROR(INDEX('Pokemon Data'!I:I,MATCH($A390,'Pokemon Data'!$B:$B,0)),"")</f>
        <v/>
      </c>
      <c r="N390" s="34" t="str">
        <f>IFERROR(INDEX('Pokemon Data'!J:J,MATCH($A390,'Pokemon Data'!$B:$B,0)),"")</f>
        <v/>
      </c>
      <c r="O390" s="34" t="str">
        <f>IFERROR(INDEX('Pokemon Data'!K:K,MATCH($A390,'Pokemon Data'!$B:$B,0)),"")</f>
        <v/>
      </c>
      <c r="P390" s="35" t="str">
        <f>IFERROR(INDEX('Level Multipliers'!$A:$A,MATCH($D390,'Level Multipliers'!$B:$B,0)),"")</f>
        <v/>
      </c>
      <c r="Q390" s="36" t="str">
        <f>IFERROR(INDEX('Level Multipliers'!$D:$D,MATCH(P390,'Level Multipliers'!$A:$A,0)),"")</f>
        <v/>
      </c>
      <c r="R390" s="37" t="str">
        <f t="shared" si="222"/>
        <v/>
      </c>
      <c r="S390" s="37" t="str">
        <f t="shared" si="223"/>
        <v/>
      </c>
      <c r="T390" s="38" t="str">
        <f t="shared" si="224"/>
        <v/>
      </c>
      <c r="U390" s="38" t="str">
        <f t="shared" si="225"/>
        <v/>
      </c>
      <c r="V390" s="38" t="b">
        <f t="shared" si="226"/>
        <v>1</v>
      </c>
      <c r="W390" s="37" t="str">
        <f t="array" ref="W390:AG390">IF(V390,"",IVSolution($M390,$N390,$O390,R390,S390,T390,U390,$E390,$F390,$G390,$H390,$I390))</f>
        <v/>
      </c>
      <c r="X390" s="37" t="str">
        <v/>
      </c>
      <c r="Y390" s="37" t="str">
        <v/>
      </c>
      <c r="Z390" s="39" t="str">
        <v/>
      </c>
      <c r="AA390" s="39" t="str">
        <v/>
      </c>
      <c r="AB390" s="37" t="str">
        <v/>
      </c>
      <c r="AC390" s="37" t="str">
        <v/>
      </c>
      <c r="AD390" s="37" t="str">
        <v/>
      </c>
      <c r="AE390" s="37" t="str">
        <v/>
      </c>
      <c r="AF390" s="37" t="str">
        <v/>
      </c>
      <c r="AG390" s="37" t="str">
        <v/>
      </c>
      <c r="AH390" s="40" t="str">
        <f t="shared" si="227"/>
        <v/>
      </c>
      <c r="AI390" s="36" t="str">
        <f>IFERROR(INDEX('Level Multipliers'!$D:$D,MATCH(AH390,'Level Multipliers'!$A:$A,0)),"")</f>
        <v/>
      </c>
      <c r="AJ390" s="37" t="str">
        <f t="shared" si="228"/>
        <v/>
      </c>
      <c r="AK390" s="37" t="str">
        <f t="shared" si="229"/>
        <v/>
      </c>
      <c r="AL390" s="38" t="str">
        <f t="shared" si="230"/>
        <v/>
      </c>
      <c r="AM390" s="38" t="str">
        <f t="shared" si="231"/>
        <v/>
      </c>
      <c r="AN390" s="38" t="b">
        <f t="shared" si="232"/>
        <v>1</v>
      </c>
      <c r="AO390" s="37" t="str">
        <f t="array" ref="AO390:AY390">IF(AN390,"",IVSolution($M390,$N390,$O390,AJ390,AK390,AL390,AM390,$E390,$F390,$G390,$H390,$I390))</f>
        <v/>
      </c>
      <c r="AP390" s="37" t="str">
        <v/>
      </c>
      <c r="AQ390" s="37" t="str">
        <v/>
      </c>
      <c r="AR390" s="39" t="str">
        <v/>
      </c>
      <c r="AS390" s="39" t="str">
        <v/>
      </c>
      <c r="AT390" s="37" t="str">
        <v/>
      </c>
      <c r="AU390" s="37" t="str">
        <v/>
      </c>
      <c r="AV390" s="37" t="str">
        <v/>
      </c>
      <c r="AW390" s="37" t="str">
        <v/>
      </c>
      <c r="AX390" s="37" t="str">
        <v/>
      </c>
      <c r="AY390" s="37" t="str">
        <v/>
      </c>
      <c r="AZ390" s="40" t="str">
        <f t="shared" si="233"/>
        <v/>
      </c>
      <c r="BA390" s="36" t="str">
        <f>IFERROR(INDEX('Level Multipliers'!$D:$D,MATCH(AZ390,'Level Multipliers'!$A:$A,0)),"")</f>
        <v/>
      </c>
      <c r="BB390" s="37" t="str">
        <f t="shared" si="234"/>
        <v/>
      </c>
      <c r="BC390" s="37" t="str">
        <f t="shared" si="235"/>
        <v/>
      </c>
      <c r="BD390" s="38" t="str">
        <f t="shared" si="236"/>
        <v/>
      </c>
      <c r="BE390" s="38" t="str">
        <f t="shared" si="237"/>
        <v/>
      </c>
      <c r="BF390" s="38" t="b">
        <f t="shared" si="238"/>
        <v>1</v>
      </c>
      <c r="BG390" s="37" t="str">
        <f t="array" ref="BG390:BQ390">IF(BF390,"",IVSolution($M390,$N390,$O390,BB390,BC390,BD390,BE390,$E390,$F390,$G390,$H390,$I390))</f>
        <v/>
      </c>
      <c r="BH390" s="37" t="str">
        <v/>
      </c>
      <c r="BI390" s="37" t="str">
        <v/>
      </c>
      <c r="BJ390" s="39" t="str">
        <v/>
      </c>
      <c r="BK390" s="39" t="str">
        <v/>
      </c>
      <c r="BL390" s="37" t="str">
        <v/>
      </c>
      <c r="BM390" s="37" t="str">
        <v/>
      </c>
      <c r="BN390" s="37" t="str">
        <v/>
      </c>
      <c r="BO390" s="37" t="str">
        <v/>
      </c>
      <c r="BP390" s="37" t="str">
        <v/>
      </c>
      <c r="BQ390" s="37" t="str">
        <v/>
      </c>
      <c r="BR390" s="40" t="str">
        <f t="shared" si="239"/>
        <v/>
      </c>
      <c r="BS390" s="36" t="str">
        <f>IFERROR(INDEX('Level Multipliers'!$D:$D,MATCH(BR390,'Level Multipliers'!$A:$A,0)),"")</f>
        <v/>
      </c>
      <c r="BT390" s="37" t="str">
        <f t="shared" si="240"/>
        <v/>
      </c>
      <c r="BU390" s="37" t="str">
        <f t="shared" si="241"/>
        <v/>
      </c>
      <c r="BV390" s="38" t="str">
        <f t="shared" si="242"/>
        <v/>
      </c>
      <c r="BW390" s="38" t="str">
        <f t="shared" si="243"/>
        <v/>
      </c>
      <c r="BX390" s="38" t="b">
        <f t="shared" si="244"/>
        <v>1</v>
      </c>
      <c r="BY390" s="37" t="str">
        <f t="array" ref="BY390:CI390">IF(BX390,"",IVSolution($M390,$N390,$O390,BT390,BU390,BV390,BW390,$E390,$F390,$G390,$H390,$I390))</f>
        <v/>
      </c>
      <c r="BZ390" s="37" t="str">
        <v/>
      </c>
      <c r="CA390" s="37" t="str">
        <v/>
      </c>
      <c r="CB390" s="39" t="str">
        <v/>
      </c>
      <c r="CC390" s="39" t="str">
        <v/>
      </c>
      <c r="CD390" s="37" t="str">
        <v/>
      </c>
      <c r="CE390" s="37" t="str">
        <v/>
      </c>
      <c r="CF390" s="37" t="str">
        <v/>
      </c>
      <c r="CG390" s="37" t="str">
        <v/>
      </c>
      <c r="CH390" s="37" t="str">
        <v/>
      </c>
      <c r="CI390" s="37" t="str">
        <v/>
      </c>
      <c r="CJ390" s="41" t="str">
        <f t="shared" si="245"/>
        <v/>
      </c>
      <c r="CK390" s="41" t="str">
        <f t="shared" si="246"/>
        <v/>
      </c>
      <c r="CL390" s="66" t="str">
        <f t="shared" si="247"/>
        <v/>
      </c>
      <c r="CM390" s="39" t="str">
        <f t="shared" si="248"/>
        <v/>
      </c>
      <c r="CN390" s="39" t="str">
        <f t="shared" si="249"/>
        <v/>
      </c>
      <c r="CO390" s="42" t="str">
        <f t="shared" si="250"/>
        <v/>
      </c>
      <c r="CP390" s="42" t="str">
        <f t="shared" si="251"/>
        <v/>
      </c>
      <c r="CQ390" s="42" t="str">
        <f t="shared" si="252"/>
        <v/>
      </c>
      <c r="CR390" s="42" t="str">
        <f t="shared" si="253"/>
        <v/>
      </c>
      <c r="CS390" s="42" t="str">
        <f t="shared" si="254"/>
        <v/>
      </c>
      <c r="CT390" s="42" t="str">
        <f t="shared" si="255"/>
        <v/>
      </c>
      <c r="CU390" s="43" t="str">
        <f t="shared" si="256"/>
        <v/>
      </c>
      <c r="CV390" s="43" t="str">
        <f t="shared" si="257"/>
        <v/>
      </c>
      <c r="CW390" s="43" t="str">
        <f t="shared" si="258"/>
        <v/>
      </c>
      <c r="CX390" s="13"/>
    </row>
    <row r="391" spans="1:102" x14ac:dyDescent="0.25">
      <c r="A391" s="31"/>
      <c r="B391" s="13"/>
      <c r="C391" s="13"/>
      <c r="D391" s="13"/>
      <c r="E391" s="32"/>
      <c r="F391" s="32"/>
      <c r="G391" s="32"/>
      <c r="H391" s="32"/>
      <c r="I391" s="32"/>
      <c r="J391" s="13"/>
      <c r="K391" s="33"/>
      <c r="L391" s="34" t="str">
        <f>IFERROR(INDEX('Pokemon Data'!A:A,MATCH($A391,'Pokemon Data'!$B:$B,0)),"")</f>
        <v/>
      </c>
      <c r="M391" s="34" t="str">
        <f>IFERROR(INDEX('Pokemon Data'!I:I,MATCH($A391,'Pokemon Data'!$B:$B,0)),"")</f>
        <v/>
      </c>
      <c r="N391" s="34" t="str">
        <f>IFERROR(INDEX('Pokemon Data'!J:J,MATCH($A391,'Pokemon Data'!$B:$B,0)),"")</f>
        <v/>
      </c>
      <c r="O391" s="34" t="str">
        <f>IFERROR(INDEX('Pokemon Data'!K:K,MATCH($A391,'Pokemon Data'!$B:$B,0)),"")</f>
        <v/>
      </c>
      <c r="P391" s="35" t="str">
        <f>IFERROR(INDEX('Level Multipliers'!$A:$A,MATCH($D391,'Level Multipliers'!$B:$B,0)),"")</f>
        <v/>
      </c>
      <c r="Q391" s="36" t="str">
        <f>IFERROR(INDEX('Level Multipliers'!$D:$D,MATCH(P391,'Level Multipliers'!$A:$A,0)),"")</f>
        <v/>
      </c>
      <c r="R391" s="37" t="str">
        <f t="shared" si="222"/>
        <v/>
      </c>
      <c r="S391" s="37" t="str">
        <f t="shared" si="223"/>
        <v/>
      </c>
      <c r="T391" s="38" t="str">
        <f t="shared" si="224"/>
        <v/>
      </c>
      <c r="U391" s="38" t="str">
        <f t="shared" si="225"/>
        <v/>
      </c>
      <c r="V391" s="38" t="b">
        <f t="shared" si="226"/>
        <v>1</v>
      </c>
      <c r="W391" s="37" t="str">
        <f t="array" ref="W391:AG391">IF(V391,"",IVSolution($M391,$N391,$O391,R391,S391,T391,U391,$E391,$F391,$G391,$H391,$I391))</f>
        <v/>
      </c>
      <c r="X391" s="37" t="str">
        <v/>
      </c>
      <c r="Y391" s="37" t="str">
        <v/>
      </c>
      <c r="Z391" s="39" t="str">
        <v/>
      </c>
      <c r="AA391" s="39" t="str">
        <v/>
      </c>
      <c r="AB391" s="37" t="str">
        <v/>
      </c>
      <c r="AC391" s="37" t="str">
        <v/>
      </c>
      <c r="AD391" s="37" t="str">
        <v/>
      </c>
      <c r="AE391" s="37" t="str">
        <v/>
      </c>
      <c r="AF391" s="37" t="str">
        <v/>
      </c>
      <c r="AG391" s="37" t="str">
        <v/>
      </c>
      <c r="AH391" s="40" t="str">
        <f t="shared" si="227"/>
        <v/>
      </c>
      <c r="AI391" s="36" t="str">
        <f>IFERROR(INDEX('Level Multipliers'!$D:$D,MATCH(AH391,'Level Multipliers'!$A:$A,0)),"")</f>
        <v/>
      </c>
      <c r="AJ391" s="37" t="str">
        <f t="shared" si="228"/>
        <v/>
      </c>
      <c r="AK391" s="37" t="str">
        <f t="shared" si="229"/>
        <v/>
      </c>
      <c r="AL391" s="38" t="str">
        <f t="shared" si="230"/>
        <v/>
      </c>
      <c r="AM391" s="38" t="str">
        <f t="shared" si="231"/>
        <v/>
      </c>
      <c r="AN391" s="38" t="b">
        <f t="shared" si="232"/>
        <v>1</v>
      </c>
      <c r="AO391" s="37" t="str">
        <f t="array" ref="AO391:AY391">IF(AN391,"",IVSolution($M391,$N391,$O391,AJ391,AK391,AL391,AM391,$E391,$F391,$G391,$H391,$I391))</f>
        <v/>
      </c>
      <c r="AP391" s="37" t="str">
        <v/>
      </c>
      <c r="AQ391" s="37" t="str">
        <v/>
      </c>
      <c r="AR391" s="39" t="str">
        <v/>
      </c>
      <c r="AS391" s="39" t="str">
        <v/>
      </c>
      <c r="AT391" s="37" t="str">
        <v/>
      </c>
      <c r="AU391" s="37" t="str">
        <v/>
      </c>
      <c r="AV391" s="37" t="str">
        <v/>
      </c>
      <c r="AW391" s="37" t="str">
        <v/>
      </c>
      <c r="AX391" s="37" t="str">
        <v/>
      </c>
      <c r="AY391" s="37" t="str">
        <v/>
      </c>
      <c r="AZ391" s="40" t="str">
        <f t="shared" si="233"/>
        <v/>
      </c>
      <c r="BA391" s="36" t="str">
        <f>IFERROR(INDEX('Level Multipliers'!$D:$D,MATCH(AZ391,'Level Multipliers'!$A:$A,0)),"")</f>
        <v/>
      </c>
      <c r="BB391" s="37" t="str">
        <f t="shared" si="234"/>
        <v/>
      </c>
      <c r="BC391" s="37" t="str">
        <f t="shared" si="235"/>
        <v/>
      </c>
      <c r="BD391" s="38" t="str">
        <f t="shared" si="236"/>
        <v/>
      </c>
      <c r="BE391" s="38" t="str">
        <f t="shared" si="237"/>
        <v/>
      </c>
      <c r="BF391" s="38" t="b">
        <f t="shared" si="238"/>
        <v>1</v>
      </c>
      <c r="BG391" s="37" t="str">
        <f t="array" ref="BG391:BQ391">IF(BF391,"",IVSolution($M391,$N391,$O391,BB391,BC391,BD391,BE391,$E391,$F391,$G391,$H391,$I391))</f>
        <v/>
      </c>
      <c r="BH391" s="37" t="str">
        <v/>
      </c>
      <c r="BI391" s="37" t="str">
        <v/>
      </c>
      <c r="BJ391" s="39" t="str">
        <v/>
      </c>
      <c r="BK391" s="39" t="str">
        <v/>
      </c>
      <c r="BL391" s="37" t="str">
        <v/>
      </c>
      <c r="BM391" s="37" t="str">
        <v/>
      </c>
      <c r="BN391" s="37" t="str">
        <v/>
      </c>
      <c r="BO391" s="37" t="str">
        <v/>
      </c>
      <c r="BP391" s="37" t="str">
        <v/>
      </c>
      <c r="BQ391" s="37" t="str">
        <v/>
      </c>
      <c r="BR391" s="40" t="str">
        <f t="shared" si="239"/>
        <v/>
      </c>
      <c r="BS391" s="36" t="str">
        <f>IFERROR(INDEX('Level Multipliers'!$D:$D,MATCH(BR391,'Level Multipliers'!$A:$A,0)),"")</f>
        <v/>
      </c>
      <c r="BT391" s="37" t="str">
        <f t="shared" si="240"/>
        <v/>
      </c>
      <c r="BU391" s="37" t="str">
        <f t="shared" si="241"/>
        <v/>
      </c>
      <c r="BV391" s="38" t="str">
        <f t="shared" si="242"/>
        <v/>
      </c>
      <c r="BW391" s="38" t="str">
        <f t="shared" si="243"/>
        <v/>
      </c>
      <c r="BX391" s="38" t="b">
        <f t="shared" si="244"/>
        <v>1</v>
      </c>
      <c r="BY391" s="37" t="str">
        <f t="array" ref="BY391:CI391">IF(BX391,"",IVSolution($M391,$N391,$O391,BT391,BU391,BV391,BW391,$E391,$F391,$G391,$H391,$I391))</f>
        <v/>
      </c>
      <c r="BZ391" s="37" t="str">
        <v/>
      </c>
      <c r="CA391" s="37" t="str">
        <v/>
      </c>
      <c r="CB391" s="39" t="str">
        <v/>
      </c>
      <c r="CC391" s="39" t="str">
        <v/>
      </c>
      <c r="CD391" s="37" t="str">
        <v/>
      </c>
      <c r="CE391" s="37" t="str">
        <v/>
      </c>
      <c r="CF391" s="37" t="str">
        <v/>
      </c>
      <c r="CG391" s="37" t="str">
        <v/>
      </c>
      <c r="CH391" s="37" t="str">
        <v/>
      </c>
      <c r="CI391" s="37" t="str">
        <v/>
      </c>
      <c r="CJ391" s="41" t="str">
        <f t="shared" si="245"/>
        <v/>
      </c>
      <c r="CK391" s="41" t="str">
        <f t="shared" si="246"/>
        <v/>
      </c>
      <c r="CL391" s="66" t="str">
        <f t="shared" si="247"/>
        <v/>
      </c>
      <c r="CM391" s="39" t="str">
        <f t="shared" si="248"/>
        <v/>
      </c>
      <c r="CN391" s="39" t="str">
        <f t="shared" si="249"/>
        <v/>
      </c>
      <c r="CO391" s="42" t="str">
        <f t="shared" si="250"/>
        <v/>
      </c>
      <c r="CP391" s="42" t="str">
        <f t="shared" si="251"/>
        <v/>
      </c>
      <c r="CQ391" s="42" t="str">
        <f t="shared" si="252"/>
        <v/>
      </c>
      <c r="CR391" s="42" t="str">
        <f t="shared" si="253"/>
        <v/>
      </c>
      <c r="CS391" s="42" t="str">
        <f t="shared" si="254"/>
        <v/>
      </c>
      <c r="CT391" s="42" t="str">
        <f t="shared" si="255"/>
        <v/>
      </c>
      <c r="CU391" s="43" t="str">
        <f t="shared" si="256"/>
        <v/>
      </c>
      <c r="CV391" s="43" t="str">
        <f t="shared" si="257"/>
        <v/>
      </c>
      <c r="CW391" s="43" t="str">
        <f t="shared" si="258"/>
        <v/>
      </c>
      <c r="CX391" s="13"/>
    </row>
    <row r="392" spans="1:102" x14ac:dyDescent="0.25">
      <c r="A392" s="31"/>
      <c r="B392" s="13"/>
      <c r="C392" s="13"/>
      <c r="D392" s="13"/>
      <c r="E392" s="32"/>
      <c r="F392" s="32"/>
      <c r="G392" s="32"/>
      <c r="H392" s="32"/>
      <c r="I392" s="32"/>
      <c r="J392" s="13"/>
      <c r="K392" s="33"/>
      <c r="L392" s="34" t="str">
        <f>IFERROR(INDEX('Pokemon Data'!A:A,MATCH($A392,'Pokemon Data'!$B:$B,0)),"")</f>
        <v/>
      </c>
      <c r="M392" s="34" t="str">
        <f>IFERROR(INDEX('Pokemon Data'!I:I,MATCH($A392,'Pokemon Data'!$B:$B,0)),"")</f>
        <v/>
      </c>
      <c r="N392" s="34" t="str">
        <f>IFERROR(INDEX('Pokemon Data'!J:J,MATCH($A392,'Pokemon Data'!$B:$B,0)),"")</f>
        <v/>
      </c>
      <c r="O392" s="34" t="str">
        <f>IFERROR(INDEX('Pokemon Data'!K:K,MATCH($A392,'Pokemon Data'!$B:$B,0)),"")</f>
        <v/>
      </c>
      <c r="P392" s="35" t="str">
        <f>IFERROR(INDEX('Level Multipliers'!$A:$A,MATCH($D392,'Level Multipliers'!$B:$B,0)),"")</f>
        <v/>
      </c>
      <c r="Q392" s="36" t="str">
        <f>IFERROR(INDEX('Level Multipliers'!$D:$D,MATCH(P392,'Level Multipliers'!$A:$A,0)),"")</f>
        <v/>
      </c>
      <c r="R392" s="37" t="str">
        <f t="shared" si="222"/>
        <v/>
      </c>
      <c r="S392" s="37" t="str">
        <f t="shared" si="223"/>
        <v/>
      </c>
      <c r="T392" s="38" t="str">
        <f t="shared" si="224"/>
        <v/>
      </c>
      <c r="U392" s="38" t="str">
        <f t="shared" si="225"/>
        <v/>
      </c>
      <c r="V392" s="38" t="b">
        <f t="shared" si="226"/>
        <v>1</v>
      </c>
      <c r="W392" s="37" t="str">
        <f t="array" ref="W392:AG392">IF(V392,"",IVSolution($M392,$N392,$O392,R392,S392,T392,U392,$E392,$F392,$G392,$H392,$I392))</f>
        <v/>
      </c>
      <c r="X392" s="37" t="str">
        <v/>
      </c>
      <c r="Y392" s="37" t="str">
        <v/>
      </c>
      <c r="Z392" s="39" t="str">
        <v/>
      </c>
      <c r="AA392" s="39" t="str">
        <v/>
      </c>
      <c r="AB392" s="37" t="str">
        <v/>
      </c>
      <c r="AC392" s="37" t="str">
        <v/>
      </c>
      <c r="AD392" s="37" t="str">
        <v/>
      </c>
      <c r="AE392" s="37" t="str">
        <v/>
      </c>
      <c r="AF392" s="37" t="str">
        <v/>
      </c>
      <c r="AG392" s="37" t="str">
        <v/>
      </c>
      <c r="AH392" s="40" t="str">
        <f t="shared" si="227"/>
        <v/>
      </c>
      <c r="AI392" s="36" t="str">
        <f>IFERROR(INDEX('Level Multipliers'!$D:$D,MATCH(AH392,'Level Multipliers'!$A:$A,0)),"")</f>
        <v/>
      </c>
      <c r="AJ392" s="37" t="str">
        <f t="shared" si="228"/>
        <v/>
      </c>
      <c r="AK392" s="37" t="str">
        <f t="shared" si="229"/>
        <v/>
      </c>
      <c r="AL392" s="38" t="str">
        <f t="shared" si="230"/>
        <v/>
      </c>
      <c r="AM392" s="38" t="str">
        <f t="shared" si="231"/>
        <v/>
      </c>
      <c r="AN392" s="38" t="b">
        <f t="shared" si="232"/>
        <v>1</v>
      </c>
      <c r="AO392" s="37" t="str">
        <f t="array" ref="AO392:AY392">IF(AN392,"",IVSolution($M392,$N392,$O392,AJ392,AK392,AL392,AM392,$E392,$F392,$G392,$H392,$I392))</f>
        <v/>
      </c>
      <c r="AP392" s="37" t="str">
        <v/>
      </c>
      <c r="AQ392" s="37" t="str">
        <v/>
      </c>
      <c r="AR392" s="39" t="str">
        <v/>
      </c>
      <c r="AS392" s="39" t="str">
        <v/>
      </c>
      <c r="AT392" s="37" t="str">
        <v/>
      </c>
      <c r="AU392" s="37" t="str">
        <v/>
      </c>
      <c r="AV392" s="37" t="str">
        <v/>
      </c>
      <c r="AW392" s="37" t="str">
        <v/>
      </c>
      <c r="AX392" s="37" t="str">
        <v/>
      </c>
      <c r="AY392" s="37" t="str">
        <v/>
      </c>
      <c r="AZ392" s="40" t="str">
        <f t="shared" si="233"/>
        <v/>
      </c>
      <c r="BA392" s="36" t="str">
        <f>IFERROR(INDEX('Level Multipliers'!$D:$D,MATCH(AZ392,'Level Multipliers'!$A:$A,0)),"")</f>
        <v/>
      </c>
      <c r="BB392" s="37" t="str">
        <f t="shared" si="234"/>
        <v/>
      </c>
      <c r="BC392" s="37" t="str">
        <f t="shared" si="235"/>
        <v/>
      </c>
      <c r="BD392" s="38" t="str">
        <f t="shared" si="236"/>
        <v/>
      </c>
      <c r="BE392" s="38" t="str">
        <f t="shared" si="237"/>
        <v/>
      </c>
      <c r="BF392" s="38" t="b">
        <f t="shared" si="238"/>
        <v>1</v>
      </c>
      <c r="BG392" s="37" t="str">
        <f t="array" ref="BG392:BQ392">IF(BF392,"",IVSolution($M392,$N392,$O392,BB392,BC392,BD392,BE392,$E392,$F392,$G392,$H392,$I392))</f>
        <v/>
      </c>
      <c r="BH392" s="37" t="str">
        <v/>
      </c>
      <c r="BI392" s="37" t="str">
        <v/>
      </c>
      <c r="BJ392" s="39" t="str">
        <v/>
      </c>
      <c r="BK392" s="39" t="str">
        <v/>
      </c>
      <c r="BL392" s="37" t="str">
        <v/>
      </c>
      <c r="BM392" s="37" t="str">
        <v/>
      </c>
      <c r="BN392" s="37" t="str">
        <v/>
      </c>
      <c r="BO392" s="37" t="str">
        <v/>
      </c>
      <c r="BP392" s="37" t="str">
        <v/>
      </c>
      <c r="BQ392" s="37" t="str">
        <v/>
      </c>
      <c r="BR392" s="40" t="str">
        <f t="shared" si="239"/>
        <v/>
      </c>
      <c r="BS392" s="36" t="str">
        <f>IFERROR(INDEX('Level Multipliers'!$D:$D,MATCH(BR392,'Level Multipliers'!$A:$A,0)),"")</f>
        <v/>
      </c>
      <c r="BT392" s="37" t="str">
        <f t="shared" si="240"/>
        <v/>
      </c>
      <c r="BU392" s="37" t="str">
        <f t="shared" si="241"/>
        <v/>
      </c>
      <c r="BV392" s="38" t="str">
        <f t="shared" si="242"/>
        <v/>
      </c>
      <c r="BW392" s="38" t="str">
        <f t="shared" si="243"/>
        <v/>
      </c>
      <c r="BX392" s="38" t="b">
        <f t="shared" si="244"/>
        <v>1</v>
      </c>
      <c r="BY392" s="37" t="str">
        <f t="array" ref="BY392:CI392">IF(BX392,"",IVSolution($M392,$N392,$O392,BT392,BU392,BV392,BW392,$E392,$F392,$G392,$H392,$I392))</f>
        <v/>
      </c>
      <c r="BZ392" s="37" t="str">
        <v/>
      </c>
      <c r="CA392" s="37" t="str">
        <v/>
      </c>
      <c r="CB392" s="39" t="str">
        <v/>
      </c>
      <c r="CC392" s="39" t="str">
        <v/>
      </c>
      <c r="CD392" s="37" t="str">
        <v/>
      </c>
      <c r="CE392" s="37" t="str">
        <v/>
      </c>
      <c r="CF392" s="37" t="str">
        <v/>
      </c>
      <c r="CG392" s="37" t="str">
        <v/>
      </c>
      <c r="CH392" s="37" t="str">
        <v/>
      </c>
      <c r="CI392" s="37" t="str">
        <v/>
      </c>
      <c r="CJ392" s="41" t="str">
        <f t="shared" si="245"/>
        <v/>
      </c>
      <c r="CK392" s="41" t="str">
        <f t="shared" si="246"/>
        <v/>
      </c>
      <c r="CL392" s="66" t="str">
        <f t="shared" si="247"/>
        <v/>
      </c>
      <c r="CM392" s="39" t="str">
        <f t="shared" si="248"/>
        <v/>
      </c>
      <c r="CN392" s="39" t="str">
        <f t="shared" si="249"/>
        <v/>
      </c>
      <c r="CO392" s="42" t="str">
        <f t="shared" si="250"/>
        <v/>
      </c>
      <c r="CP392" s="42" t="str">
        <f t="shared" si="251"/>
        <v/>
      </c>
      <c r="CQ392" s="42" t="str">
        <f t="shared" si="252"/>
        <v/>
      </c>
      <c r="CR392" s="42" t="str">
        <f t="shared" si="253"/>
        <v/>
      </c>
      <c r="CS392" s="42" t="str">
        <f t="shared" si="254"/>
        <v/>
      </c>
      <c r="CT392" s="42" t="str">
        <f t="shared" si="255"/>
        <v/>
      </c>
      <c r="CU392" s="43" t="str">
        <f t="shared" si="256"/>
        <v/>
      </c>
      <c r="CV392" s="43" t="str">
        <f t="shared" si="257"/>
        <v/>
      </c>
      <c r="CW392" s="43" t="str">
        <f t="shared" si="258"/>
        <v/>
      </c>
      <c r="CX392" s="13"/>
    </row>
    <row r="393" spans="1:102" x14ac:dyDescent="0.25">
      <c r="A393" s="31"/>
      <c r="B393" s="13"/>
      <c r="C393" s="13"/>
      <c r="D393" s="13"/>
      <c r="E393" s="32"/>
      <c r="F393" s="32"/>
      <c r="G393" s="32"/>
      <c r="H393" s="32"/>
      <c r="I393" s="32"/>
      <c r="J393" s="13"/>
      <c r="K393" s="33"/>
      <c r="L393" s="34" t="str">
        <f>IFERROR(INDEX('Pokemon Data'!A:A,MATCH($A393,'Pokemon Data'!$B:$B,0)),"")</f>
        <v/>
      </c>
      <c r="M393" s="34" t="str">
        <f>IFERROR(INDEX('Pokemon Data'!I:I,MATCH($A393,'Pokemon Data'!$B:$B,0)),"")</f>
        <v/>
      </c>
      <c r="N393" s="34" t="str">
        <f>IFERROR(INDEX('Pokemon Data'!J:J,MATCH($A393,'Pokemon Data'!$B:$B,0)),"")</f>
        <v/>
      </c>
      <c r="O393" s="34" t="str">
        <f>IFERROR(INDEX('Pokemon Data'!K:K,MATCH($A393,'Pokemon Data'!$B:$B,0)),"")</f>
        <v/>
      </c>
      <c r="P393" s="35" t="str">
        <f>IFERROR(INDEX('Level Multipliers'!$A:$A,MATCH($D393,'Level Multipliers'!$B:$B,0)),"")</f>
        <v/>
      </c>
      <c r="Q393" s="36" t="str">
        <f>IFERROR(INDEX('Level Multipliers'!$D:$D,MATCH(P393,'Level Multipliers'!$A:$A,0)),"")</f>
        <v/>
      </c>
      <c r="R393" s="37" t="str">
        <f t="shared" si="222"/>
        <v/>
      </c>
      <c r="S393" s="37" t="str">
        <f t="shared" si="223"/>
        <v/>
      </c>
      <c r="T393" s="38" t="str">
        <f t="shared" si="224"/>
        <v/>
      </c>
      <c r="U393" s="38" t="str">
        <f t="shared" si="225"/>
        <v/>
      </c>
      <c r="V393" s="38" t="b">
        <f t="shared" si="226"/>
        <v>1</v>
      </c>
      <c r="W393" s="37" t="str">
        <f t="array" ref="W393:AG393">IF(V393,"",IVSolution($M393,$N393,$O393,R393,S393,T393,U393,$E393,$F393,$G393,$H393,$I393))</f>
        <v/>
      </c>
      <c r="X393" s="37" t="str">
        <v/>
      </c>
      <c r="Y393" s="37" t="str">
        <v/>
      </c>
      <c r="Z393" s="39" t="str">
        <v/>
      </c>
      <c r="AA393" s="39" t="str">
        <v/>
      </c>
      <c r="AB393" s="37" t="str">
        <v/>
      </c>
      <c r="AC393" s="37" t="str">
        <v/>
      </c>
      <c r="AD393" s="37" t="str">
        <v/>
      </c>
      <c r="AE393" s="37" t="str">
        <v/>
      </c>
      <c r="AF393" s="37" t="str">
        <v/>
      </c>
      <c r="AG393" s="37" t="str">
        <v/>
      </c>
      <c r="AH393" s="40" t="str">
        <f t="shared" si="227"/>
        <v/>
      </c>
      <c r="AI393" s="36" t="str">
        <f>IFERROR(INDEX('Level Multipliers'!$D:$D,MATCH(AH393,'Level Multipliers'!$A:$A,0)),"")</f>
        <v/>
      </c>
      <c r="AJ393" s="37" t="str">
        <f t="shared" si="228"/>
        <v/>
      </c>
      <c r="AK393" s="37" t="str">
        <f t="shared" si="229"/>
        <v/>
      </c>
      <c r="AL393" s="38" t="str">
        <f t="shared" si="230"/>
        <v/>
      </c>
      <c r="AM393" s="38" t="str">
        <f t="shared" si="231"/>
        <v/>
      </c>
      <c r="AN393" s="38" t="b">
        <f t="shared" si="232"/>
        <v>1</v>
      </c>
      <c r="AO393" s="37" t="str">
        <f t="array" ref="AO393:AY393">IF(AN393,"",IVSolution($M393,$N393,$O393,AJ393,AK393,AL393,AM393,$E393,$F393,$G393,$H393,$I393))</f>
        <v/>
      </c>
      <c r="AP393" s="37" t="str">
        <v/>
      </c>
      <c r="AQ393" s="37" t="str">
        <v/>
      </c>
      <c r="AR393" s="39" t="str">
        <v/>
      </c>
      <c r="AS393" s="39" t="str">
        <v/>
      </c>
      <c r="AT393" s="37" t="str">
        <v/>
      </c>
      <c r="AU393" s="37" t="str">
        <v/>
      </c>
      <c r="AV393" s="37" t="str">
        <v/>
      </c>
      <c r="AW393" s="37" t="str">
        <v/>
      </c>
      <c r="AX393" s="37" t="str">
        <v/>
      </c>
      <c r="AY393" s="37" t="str">
        <v/>
      </c>
      <c r="AZ393" s="40" t="str">
        <f t="shared" si="233"/>
        <v/>
      </c>
      <c r="BA393" s="36" t="str">
        <f>IFERROR(INDEX('Level Multipliers'!$D:$D,MATCH(AZ393,'Level Multipliers'!$A:$A,0)),"")</f>
        <v/>
      </c>
      <c r="BB393" s="37" t="str">
        <f t="shared" si="234"/>
        <v/>
      </c>
      <c r="BC393" s="37" t="str">
        <f t="shared" si="235"/>
        <v/>
      </c>
      <c r="BD393" s="38" t="str">
        <f t="shared" si="236"/>
        <v/>
      </c>
      <c r="BE393" s="38" t="str">
        <f t="shared" si="237"/>
        <v/>
      </c>
      <c r="BF393" s="38" t="b">
        <f t="shared" si="238"/>
        <v>1</v>
      </c>
      <c r="BG393" s="37" t="str">
        <f t="array" ref="BG393:BQ393">IF(BF393,"",IVSolution($M393,$N393,$O393,BB393,BC393,BD393,BE393,$E393,$F393,$G393,$H393,$I393))</f>
        <v/>
      </c>
      <c r="BH393" s="37" t="str">
        <v/>
      </c>
      <c r="BI393" s="37" t="str">
        <v/>
      </c>
      <c r="BJ393" s="39" t="str">
        <v/>
      </c>
      <c r="BK393" s="39" t="str">
        <v/>
      </c>
      <c r="BL393" s="37" t="str">
        <v/>
      </c>
      <c r="BM393" s="37" t="str">
        <v/>
      </c>
      <c r="BN393" s="37" t="str">
        <v/>
      </c>
      <c r="BO393" s="37" t="str">
        <v/>
      </c>
      <c r="BP393" s="37" t="str">
        <v/>
      </c>
      <c r="BQ393" s="37" t="str">
        <v/>
      </c>
      <c r="BR393" s="40" t="str">
        <f t="shared" si="239"/>
        <v/>
      </c>
      <c r="BS393" s="36" t="str">
        <f>IFERROR(INDEX('Level Multipliers'!$D:$D,MATCH(BR393,'Level Multipliers'!$A:$A,0)),"")</f>
        <v/>
      </c>
      <c r="BT393" s="37" t="str">
        <f t="shared" si="240"/>
        <v/>
      </c>
      <c r="BU393" s="37" t="str">
        <f t="shared" si="241"/>
        <v/>
      </c>
      <c r="BV393" s="38" t="str">
        <f t="shared" si="242"/>
        <v/>
      </c>
      <c r="BW393" s="38" t="str">
        <f t="shared" si="243"/>
        <v/>
      </c>
      <c r="BX393" s="38" t="b">
        <f t="shared" si="244"/>
        <v>1</v>
      </c>
      <c r="BY393" s="37" t="str">
        <f t="array" ref="BY393:CI393">IF(BX393,"",IVSolution($M393,$N393,$O393,BT393,BU393,BV393,BW393,$E393,$F393,$G393,$H393,$I393))</f>
        <v/>
      </c>
      <c r="BZ393" s="37" t="str">
        <v/>
      </c>
      <c r="CA393" s="37" t="str">
        <v/>
      </c>
      <c r="CB393" s="39" t="str">
        <v/>
      </c>
      <c r="CC393" s="39" t="str">
        <v/>
      </c>
      <c r="CD393" s="37" t="str">
        <v/>
      </c>
      <c r="CE393" s="37" t="str">
        <v/>
      </c>
      <c r="CF393" s="37" t="str">
        <v/>
      </c>
      <c r="CG393" s="37" t="str">
        <v/>
      </c>
      <c r="CH393" s="37" t="str">
        <v/>
      </c>
      <c r="CI393" s="37" t="str">
        <v/>
      </c>
      <c r="CJ393" s="41" t="str">
        <f t="shared" si="245"/>
        <v/>
      </c>
      <c r="CK393" s="41" t="str">
        <f t="shared" si="246"/>
        <v/>
      </c>
      <c r="CL393" s="66" t="str">
        <f t="shared" si="247"/>
        <v/>
      </c>
      <c r="CM393" s="39" t="str">
        <f t="shared" si="248"/>
        <v/>
      </c>
      <c r="CN393" s="39" t="str">
        <f t="shared" si="249"/>
        <v/>
      </c>
      <c r="CO393" s="42" t="str">
        <f t="shared" si="250"/>
        <v/>
      </c>
      <c r="CP393" s="42" t="str">
        <f t="shared" si="251"/>
        <v/>
      </c>
      <c r="CQ393" s="42" t="str">
        <f t="shared" si="252"/>
        <v/>
      </c>
      <c r="CR393" s="42" t="str">
        <f t="shared" si="253"/>
        <v/>
      </c>
      <c r="CS393" s="42" t="str">
        <f t="shared" si="254"/>
        <v/>
      </c>
      <c r="CT393" s="42" t="str">
        <f t="shared" si="255"/>
        <v/>
      </c>
      <c r="CU393" s="43" t="str">
        <f t="shared" si="256"/>
        <v/>
      </c>
      <c r="CV393" s="43" t="str">
        <f t="shared" si="257"/>
        <v/>
      </c>
      <c r="CW393" s="43" t="str">
        <f t="shared" si="258"/>
        <v/>
      </c>
      <c r="CX393" s="13"/>
    </row>
    <row r="394" spans="1:102" x14ac:dyDescent="0.25">
      <c r="A394" s="31"/>
      <c r="B394" s="13"/>
      <c r="C394" s="13"/>
      <c r="D394" s="13"/>
      <c r="E394" s="32"/>
      <c r="F394" s="32"/>
      <c r="G394" s="32"/>
      <c r="H394" s="32"/>
      <c r="I394" s="32"/>
      <c r="J394" s="13"/>
      <c r="K394" s="33"/>
      <c r="L394" s="34" t="str">
        <f>IFERROR(INDEX('Pokemon Data'!A:A,MATCH($A394,'Pokemon Data'!$B:$B,0)),"")</f>
        <v/>
      </c>
      <c r="M394" s="34" t="str">
        <f>IFERROR(INDEX('Pokemon Data'!I:I,MATCH($A394,'Pokemon Data'!$B:$B,0)),"")</f>
        <v/>
      </c>
      <c r="N394" s="34" t="str">
        <f>IFERROR(INDEX('Pokemon Data'!J:J,MATCH($A394,'Pokemon Data'!$B:$B,0)),"")</f>
        <v/>
      </c>
      <c r="O394" s="34" t="str">
        <f>IFERROR(INDEX('Pokemon Data'!K:K,MATCH($A394,'Pokemon Data'!$B:$B,0)),"")</f>
        <v/>
      </c>
      <c r="P394" s="35" t="str">
        <f>IFERROR(INDEX('Level Multipliers'!$A:$A,MATCH($D394,'Level Multipliers'!$B:$B,0)),"")</f>
        <v/>
      </c>
      <c r="Q394" s="36" t="str">
        <f>IFERROR(INDEX('Level Multipliers'!$D:$D,MATCH(P394,'Level Multipliers'!$A:$A,0)),"")</f>
        <v/>
      </c>
      <c r="R394" s="37" t="str">
        <f t="shared" si="222"/>
        <v/>
      </c>
      <c r="S394" s="37" t="str">
        <f t="shared" si="223"/>
        <v/>
      </c>
      <c r="T394" s="38" t="str">
        <f t="shared" si="224"/>
        <v/>
      </c>
      <c r="U394" s="38" t="str">
        <f t="shared" si="225"/>
        <v/>
      </c>
      <c r="V394" s="38" t="b">
        <f t="shared" si="226"/>
        <v>1</v>
      </c>
      <c r="W394" s="37" t="str">
        <f t="array" ref="W394:AG394">IF(V394,"",IVSolution($M394,$N394,$O394,R394,S394,T394,U394,$E394,$F394,$G394,$H394,$I394))</f>
        <v/>
      </c>
      <c r="X394" s="37" t="str">
        <v/>
      </c>
      <c r="Y394" s="37" t="str">
        <v/>
      </c>
      <c r="Z394" s="39" t="str">
        <v/>
      </c>
      <c r="AA394" s="39" t="str">
        <v/>
      </c>
      <c r="AB394" s="37" t="str">
        <v/>
      </c>
      <c r="AC394" s="37" t="str">
        <v/>
      </c>
      <c r="AD394" s="37" t="str">
        <v/>
      </c>
      <c r="AE394" s="37" t="str">
        <v/>
      </c>
      <c r="AF394" s="37" t="str">
        <v/>
      </c>
      <c r="AG394" s="37" t="str">
        <v/>
      </c>
      <c r="AH394" s="40" t="str">
        <f t="shared" si="227"/>
        <v/>
      </c>
      <c r="AI394" s="36" t="str">
        <f>IFERROR(INDEX('Level Multipliers'!$D:$D,MATCH(AH394,'Level Multipliers'!$A:$A,0)),"")</f>
        <v/>
      </c>
      <c r="AJ394" s="37" t="str">
        <f t="shared" si="228"/>
        <v/>
      </c>
      <c r="AK394" s="37" t="str">
        <f t="shared" si="229"/>
        <v/>
      </c>
      <c r="AL394" s="38" t="str">
        <f t="shared" si="230"/>
        <v/>
      </c>
      <c r="AM394" s="38" t="str">
        <f t="shared" si="231"/>
        <v/>
      </c>
      <c r="AN394" s="38" t="b">
        <f t="shared" si="232"/>
        <v>1</v>
      </c>
      <c r="AO394" s="37" t="str">
        <f t="array" ref="AO394:AY394">IF(AN394,"",IVSolution($M394,$N394,$O394,AJ394,AK394,AL394,AM394,$E394,$F394,$G394,$H394,$I394))</f>
        <v/>
      </c>
      <c r="AP394" s="37" t="str">
        <v/>
      </c>
      <c r="AQ394" s="37" t="str">
        <v/>
      </c>
      <c r="AR394" s="39" t="str">
        <v/>
      </c>
      <c r="AS394" s="39" t="str">
        <v/>
      </c>
      <c r="AT394" s="37" t="str">
        <v/>
      </c>
      <c r="AU394" s="37" t="str">
        <v/>
      </c>
      <c r="AV394" s="37" t="str">
        <v/>
      </c>
      <c r="AW394" s="37" t="str">
        <v/>
      </c>
      <c r="AX394" s="37" t="str">
        <v/>
      </c>
      <c r="AY394" s="37" t="str">
        <v/>
      </c>
      <c r="AZ394" s="40" t="str">
        <f t="shared" si="233"/>
        <v/>
      </c>
      <c r="BA394" s="36" t="str">
        <f>IFERROR(INDEX('Level Multipliers'!$D:$D,MATCH(AZ394,'Level Multipliers'!$A:$A,0)),"")</f>
        <v/>
      </c>
      <c r="BB394" s="37" t="str">
        <f t="shared" si="234"/>
        <v/>
      </c>
      <c r="BC394" s="37" t="str">
        <f t="shared" si="235"/>
        <v/>
      </c>
      <c r="BD394" s="38" t="str">
        <f t="shared" si="236"/>
        <v/>
      </c>
      <c r="BE394" s="38" t="str">
        <f t="shared" si="237"/>
        <v/>
      </c>
      <c r="BF394" s="38" t="b">
        <f t="shared" si="238"/>
        <v>1</v>
      </c>
      <c r="BG394" s="37" t="str">
        <f t="array" ref="BG394:BQ394">IF(BF394,"",IVSolution($M394,$N394,$O394,BB394,BC394,BD394,BE394,$E394,$F394,$G394,$H394,$I394))</f>
        <v/>
      </c>
      <c r="BH394" s="37" t="str">
        <v/>
      </c>
      <c r="BI394" s="37" t="str">
        <v/>
      </c>
      <c r="BJ394" s="39" t="str">
        <v/>
      </c>
      <c r="BK394" s="39" t="str">
        <v/>
      </c>
      <c r="BL394" s="37" t="str">
        <v/>
      </c>
      <c r="BM394" s="37" t="str">
        <v/>
      </c>
      <c r="BN394" s="37" t="str">
        <v/>
      </c>
      <c r="BO394" s="37" t="str">
        <v/>
      </c>
      <c r="BP394" s="37" t="str">
        <v/>
      </c>
      <c r="BQ394" s="37" t="str">
        <v/>
      </c>
      <c r="BR394" s="40" t="str">
        <f t="shared" si="239"/>
        <v/>
      </c>
      <c r="BS394" s="36" t="str">
        <f>IFERROR(INDEX('Level Multipliers'!$D:$D,MATCH(BR394,'Level Multipliers'!$A:$A,0)),"")</f>
        <v/>
      </c>
      <c r="BT394" s="37" t="str">
        <f t="shared" si="240"/>
        <v/>
      </c>
      <c r="BU394" s="37" t="str">
        <f t="shared" si="241"/>
        <v/>
      </c>
      <c r="BV394" s="38" t="str">
        <f t="shared" si="242"/>
        <v/>
      </c>
      <c r="BW394" s="38" t="str">
        <f t="shared" si="243"/>
        <v/>
      </c>
      <c r="BX394" s="38" t="b">
        <f t="shared" si="244"/>
        <v>1</v>
      </c>
      <c r="BY394" s="37" t="str">
        <f t="array" ref="BY394:CI394">IF(BX394,"",IVSolution($M394,$N394,$O394,BT394,BU394,BV394,BW394,$E394,$F394,$G394,$H394,$I394))</f>
        <v/>
      </c>
      <c r="BZ394" s="37" t="str">
        <v/>
      </c>
      <c r="CA394" s="37" t="str">
        <v/>
      </c>
      <c r="CB394" s="39" t="str">
        <v/>
      </c>
      <c r="CC394" s="39" t="str">
        <v/>
      </c>
      <c r="CD394" s="37" t="str">
        <v/>
      </c>
      <c r="CE394" s="37" t="str">
        <v/>
      </c>
      <c r="CF394" s="37" t="str">
        <v/>
      </c>
      <c r="CG394" s="37" t="str">
        <v/>
      </c>
      <c r="CH394" s="37" t="str">
        <v/>
      </c>
      <c r="CI394" s="37" t="str">
        <v/>
      </c>
      <c r="CJ394" s="41" t="str">
        <f t="shared" si="245"/>
        <v/>
      </c>
      <c r="CK394" s="41" t="str">
        <f t="shared" si="246"/>
        <v/>
      </c>
      <c r="CL394" s="66" t="str">
        <f t="shared" si="247"/>
        <v/>
      </c>
      <c r="CM394" s="39" t="str">
        <f t="shared" si="248"/>
        <v/>
      </c>
      <c r="CN394" s="39" t="str">
        <f t="shared" si="249"/>
        <v/>
      </c>
      <c r="CO394" s="42" t="str">
        <f t="shared" si="250"/>
        <v/>
      </c>
      <c r="CP394" s="42" t="str">
        <f t="shared" si="251"/>
        <v/>
      </c>
      <c r="CQ394" s="42" t="str">
        <f t="shared" si="252"/>
        <v/>
      </c>
      <c r="CR394" s="42" t="str">
        <f t="shared" si="253"/>
        <v/>
      </c>
      <c r="CS394" s="42" t="str">
        <f t="shared" si="254"/>
        <v/>
      </c>
      <c r="CT394" s="42" t="str">
        <f t="shared" si="255"/>
        <v/>
      </c>
      <c r="CU394" s="43" t="str">
        <f t="shared" si="256"/>
        <v/>
      </c>
      <c r="CV394" s="43" t="str">
        <f t="shared" si="257"/>
        <v/>
      </c>
      <c r="CW394" s="43" t="str">
        <f t="shared" si="258"/>
        <v/>
      </c>
      <c r="CX394" s="13"/>
    </row>
    <row r="395" spans="1:102" x14ac:dyDescent="0.25">
      <c r="A395" s="31"/>
      <c r="B395" s="13"/>
      <c r="C395" s="13"/>
      <c r="D395" s="13"/>
      <c r="E395" s="32"/>
      <c r="F395" s="32"/>
      <c r="G395" s="32"/>
      <c r="H395" s="32"/>
      <c r="I395" s="32"/>
      <c r="J395" s="13"/>
      <c r="K395" s="33"/>
      <c r="L395" s="34" t="str">
        <f>IFERROR(INDEX('Pokemon Data'!A:A,MATCH($A395,'Pokemon Data'!$B:$B,0)),"")</f>
        <v/>
      </c>
      <c r="M395" s="34" t="str">
        <f>IFERROR(INDEX('Pokemon Data'!I:I,MATCH($A395,'Pokemon Data'!$B:$B,0)),"")</f>
        <v/>
      </c>
      <c r="N395" s="34" t="str">
        <f>IFERROR(INDEX('Pokemon Data'!J:J,MATCH($A395,'Pokemon Data'!$B:$B,0)),"")</f>
        <v/>
      </c>
      <c r="O395" s="34" t="str">
        <f>IFERROR(INDEX('Pokemon Data'!K:K,MATCH($A395,'Pokemon Data'!$B:$B,0)),"")</f>
        <v/>
      </c>
      <c r="P395" s="35" t="str">
        <f>IFERROR(INDEX('Level Multipliers'!$A:$A,MATCH($D395,'Level Multipliers'!$B:$B,0)),"")</f>
        <v/>
      </c>
      <c r="Q395" s="36" t="str">
        <f>IFERROR(INDEX('Level Multipliers'!$D:$D,MATCH(P395,'Level Multipliers'!$A:$A,0)),"")</f>
        <v/>
      </c>
      <c r="R395" s="37" t="str">
        <f t="shared" si="222"/>
        <v/>
      </c>
      <c r="S395" s="37" t="str">
        <f t="shared" si="223"/>
        <v/>
      </c>
      <c r="T395" s="38" t="str">
        <f t="shared" si="224"/>
        <v/>
      </c>
      <c r="U395" s="38" t="str">
        <f t="shared" si="225"/>
        <v/>
      </c>
      <c r="V395" s="38" t="b">
        <f t="shared" si="226"/>
        <v>1</v>
      </c>
      <c r="W395" s="37" t="str">
        <f t="array" ref="W395:AG395">IF(V395,"",IVSolution($M395,$N395,$O395,R395,S395,T395,U395,$E395,$F395,$G395,$H395,$I395))</f>
        <v/>
      </c>
      <c r="X395" s="37" t="str">
        <v/>
      </c>
      <c r="Y395" s="37" t="str">
        <v/>
      </c>
      <c r="Z395" s="39" t="str">
        <v/>
      </c>
      <c r="AA395" s="39" t="str">
        <v/>
      </c>
      <c r="AB395" s="37" t="str">
        <v/>
      </c>
      <c r="AC395" s="37" t="str">
        <v/>
      </c>
      <c r="AD395" s="37" t="str">
        <v/>
      </c>
      <c r="AE395" s="37" t="str">
        <v/>
      </c>
      <c r="AF395" s="37" t="str">
        <v/>
      </c>
      <c r="AG395" s="37" t="str">
        <v/>
      </c>
      <c r="AH395" s="40" t="str">
        <f t="shared" si="227"/>
        <v/>
      </c>
      <c r="AI395" s="36" t="str">
        <f>IFERROR(INDEX('Level Multipliers'!$D:$D,MATCH(AH395,'Level Multipliers'!$A:$A,0)),"")</f>
        <v/>
      </c>
      <c r="AJ395" s="37" t="str">
        <f t="shared" si="228"/>
        <v/>
      </c>
      <c r="AK395" s="37" t="str">
        <f t="shared" si="229"/>
        <v/>
      </c>
      <c r="AL395" s="38" t="str">
        <f t="shared" si="230"/>
        <v/>
      </c>
      <c r="AM395" s="38" t="str">
        <f t="shared" si="231"/>
        <v/>
      </c>
      <c r="AN395" s="38" t="b">
        <f t="shared" si="232"/>
        <v>1</v>
      </c>
      <c r="AO395" s="37" t="str">
        <f t="array" ref="AO395:AY395">IF(AN395,"",IVSolution($M395,$N395,$O395,AJ395,AK395,AL395,AM395,$E395,$F395,$G395,$H395,$I395))</f>
        <v/>
      </c>
      <c r="AP395" s="37" t="str">
        <v/>
      </c>
      <c r="AQ395" s="37" t="str">
        <v/>
      </c>
      <c r="AR395" s="39" t="str">
        <v/>
      </c>
      <c r="AS395" s="39" t="str">
        <v/>
      </c>
      <c r="AT395" s="37" t="str">
        <v/>
      </c>
      <c r="AU395" s="37" t="str">
        <v/>
      </c>
      <c r="AV395" s="37" t="str">
        <v/>
      </c>
      <c r="AW395" s="37" t="str">
        <v/>
      </c>
      <c r="AX395" s="37" t="str">
        <v/>
      </c>
      <c r="AY395" s="37" t="str">
        <v/>
      </c>
      <c r="AZ395" s="40" t="str">
        <f t="shared" si="233"/>
        <v/>
      </c>
      <c r="BA395" s="36" t="str">
        <f>IFERROR(INDEX('Level Multipliers'!$D:$D,MATCH(AZ395,'Level Multipliers'!$A:$A,0)),"")</f>
        <v/>
      </c>
      <c r="BB395" s="37" t="str">
        <f t="shared" si="234"/>
        <v/>
      </c>
      <c r="BC395" s="37" t="str">
        <f t="shared" si="235"/>
        <v/>
      </c>
      <c r="BD395" s="38" t="str">
        <f t="shared" si="236"/>
        <v/>
      </c>
      <c r="BE395" s="38" t="str">
        <f t="shared" si="237"/>
        <v/>
      </c>
      <c r="BF395" s="38" t="b">
        <f t="shared" si="238"/>
        <v>1</v>
      </c>
      <c r="BG395" s="37" t="str">
        <f t="array" ref="BG395:BQ395">IF(BF395,"",IVSolution($M395,$N395,$O395,BB395,BC395,BD395,BE395,$E395,$F395,$G395,$H395,$I395))</f>
        <v/>
      </c>
      <c r="BH395" s="37" t="str">
        <v/>
      </c>
      <c r="BI395" s="37" t="str">
        <v/>
      </c>
      <c r="BJ395" s="39" t="str">
        <v/>
      </c>
      <c r="BK395" s="39" t="str">
        <v/>
      </c>
      <c r="BL395" s="37" t="str">
        <v/>
      </c>
      <c r="BM395" s="37" t="str">
        <v/>
      </c>
      <c r="BN395" s="37" t="str">
        <v/>
      </c>
      <c r="BO395" s="37" t="str">
        <v/>
      </c>
      <c r="BP395" s="37" t="str">
        <v/>
      </c>
      <c r="BQ395" s="37" t="str">
        <v/>
      </c>
      <c r="BR395" s="40" t="str">
        <f t="shared" si="239"/>
        <v/>
      </c>
      <c r="BS395" s="36" t="str">
        <f>IFERROR(INDEX('Level Multipliers'!$D:$D,MATCH(BR395,'Level Multipliers'!$A:$A,0)),"")</f>
        <v/>
      </c>
      <c r="BT395" s="37" t="str">
        <f t="shared" si="240"/>
        <v/>
      </c>
      <c r="BU395" s="37" t="str">
        <f t="shared" si="241"/>
        <v/>
      </c>
      <c r="BV395" s="38" t="str">
        <f t="shared" si="242"/>
        <v/>
      </c>
      <c r="BW395" s="38" t="str">
        <f t="shared" si="243"/>
        <v/>
      </c>
      <c r="BX395" s="38" t="b">
        <f t="shared" si="244"/>
        <v>1</v>
      </c>
      <c r="BY395" s="37" t="str">
        <f t="array" ref="BY395:CI395">IF(BX395,"",IVSolution($M395,$N395,$O395,BT395,BU395,BV395,BW395,$E395,$F395,$G395,$H395,$I395))</f>
        <v/>
      </c>
      <c r="BZ395" s="37" t="str">
        <v/>
      </c>
      <c r="CA395" s="37" t="str">
        <v/>
      </c>
      <c r="CB395" s="39" t="str">
        <v/>
      </c>
      <c r="CC395" s="39" t="str">
        <v/>
      </c>
      <c r="CD395" s="37" t="str">
        <v/>
      </c>
      <c r="CE395" s="37" t="str">
        <v/>
      </c>
      <c r="CF395" s="37" t="str">
        <v/>
      </c>
      <c r="CG395" s="37" t="str">
        <v/>
      </c>
      <c r="CH395" s="37" t="str">
        <v/>
      </c>
      <c r="CI395" s="37" t="str">
        <v/>
      </c>
      <c r="CJ395" s="41" t="str">
        <f t="shared" si="245"/>
        <v/>
      </c>
      <c r="CK395" s="41" t="str">
        <f t="shared" si="246"/>
        <v/>
      </c>
      <c r="CL395" s="66" t="str">
        <f t="shared" si="247"/>
        <v/>
      </c>
      <c r="CM395" s="39" t="str">
        <f t="shared" si="248"/>
        <v/>
      </c>
      <c r="CN395" s="39" t="str">
        <f t="shared" si="249"/>
        <v/>
      </c>
      <c r="CO395" s="42" t="str">
        <f t="shared" si="250"/>
        <v/>
      </c>
      <c r="CP395" s="42" t="str">
        <f t="shared" si="251"/>
        <v/>
      </c>
      <c r="CQ395" s="42" t="str">
        <f t="shared" si="252"/>
        <v/>
      </c>
      <c r="CR395" s="42" t="str">
        <f t="shared" si="253"/>
        <v/>
      </c>
      <c r="CS395" s="42" t="str">
        <f t="shared" si="254"/>
        <v/>
      </c>
      <c r="CT395" s="42" t="str">
        <f t="shared" si="255"/>
        <v/>
      </c>
      <c r="CU395" s="43" t="str">
        <f t="shared" si="256"/>
        <v/>
      </c>
      <c r="CV395" s="43" t="str">
        <f t="shared" si="257"/>
        <v/>
      </c>
      <c r="CW395" s="43" t="str">
        <f t="shared" si="258"/>
        <v/>
      </c>
      <c r="CX395" s="13"/>
    </row>
    <row r="396" spans="1:102" x14ac:dyDescent="0.25">
      <c r="A396" s="31"/>
      <c r="B396" s="13"/>
      <c r="C396" s="13"/>
      <c r="D396" s="13"/>
      <c r="E396" s="32"/>
      <c r="F396" s="32"/>
      <c r="G396" s="32"/>
      <c r="H396" s="32"/>
      <c r="I396" s="32"/>
      <c r="J396" s="13"/>
      <c r="K396" s="33"/>
      <c r="L396" s="34" t="str">
        <f>IFERROR(INDEX('Pokemon Data'!A:A,MATCH($A396,'Pokemon Data'!$B:$B,0)),"")</f>
        <v/>
      </c>
      <c r="M396" s="34" t="str">
        <f>IFERROR(INDEX('Pokemon Data'!I:I,MATCH($A396,'Pokemon Data'!$B:$B,0)),"")</f>
        <v/>
      </c>
      <c r="N396" s="34" t="str">
        <f>IFERROR(INDEX('Pokemon Data'!J:J,MATCH($A396,'Pokemon Data'!$B:$B,0)),"")</f>
        <v/>
      </c>
      <c r="O396" s="34" t="str">
        <f>IFERROR(INDEX('Pokemon Data'!K:K,MATCH($A396,'Pokemon Data'!$B:$B,0)),"")</f>
        <v/>
      </c>
      <c r="P396" s="35" t="str">
        <f>IFERROR(INDEX('Level Multipliers'!$A:$A,MATCH($D396,'Level Multipliers'!$B:$B,0)),"")</f>
        <v/>
      </c>
      <c r="Q396" s="36" t="str">
        <f>IFERROR(INDEX('Level Multipliers'!$D:$D,MATCH(P396,'Level Multipliers'!$A:$A,0)),"")</f>
        <v/>
      </c>
      <c r="R396" s="37" t="str">
        <f t="shared" si="222"/>
        <v/>
      </c>
      <c r="S396" s="37" t="str">
        <f t="shared" si="223"/>
        <v/>
      </c>
      <c r="T396" s="38" t="str">
        <f t="shared" si="224"/>
        <v/>
      </c>
      <c r="U396" s="38" t="str">
        <f t="shared" si="225"/>
        <v/>
      </c>
      <c r="V396" s="38" t="b">
        <f t="shared" si="226"/>
        <v>1</v>
      </c>
      <c r="W396" s="37" t="str">
        <f t="array" ref="W396:AG396">IF(V396,"",IVSolution($M396,$N396,$O396,R396,S396,T396,U396,$E396,$F396,$G396,$H396,$I396))</f>
        <v/>
      </c>
      <c r="X396" s="37" t="str">
        <v/>
      </c>
      <c r="Y396" s="37" t="str">
        <v/>
      </c>
      <c r="Z396" s="39" t="str">
        <v/>
      </c>
      <c r="AA396" s="39" t="str">
        <v/>
      </c>
      <c r="AB396" s="37" t="str">
        <v/>
      </c>
      <c r="AC396" s="37" t="str">
        <v/>
      </c>
      <c r="AD396" s="37" t="str">
        <v/>
      </c>
      <c r="AE396" s="37" t="str">
        <v/>
      </c>
      <c r="AF396" s="37" t="str">
        <v/>
      </c>
      <c r="AG396" s="37" t="str">
        <v/>
      </c>
      <c r="AH396" s="40" t="str">
        <f t="shared" si="227"/>
        <v/>
      </c>
      <c r="AI396" s="36" t="str">
        <f>IFERROR(INDEX('Level Multipliers'!$D:$D,MATCH(AH396,'Level Multipliers'!$A:$A,0)),"")</f>
        <v/>
      </c>
      <c r="AJ396" s="37" t="str">
        <f t="shared" si="228"/>
        <v/>
      </c>
      <c r="AK396" s="37" t="str">
        <f t="shared" si="229"/>
        <v/>
      </c>
      <c r="AL396" s="38" t="str">
        <f t="shared" si="230"/>
        <v/>
      </c>
      <c r="AM396" s="38" t="str">
        <f t="shared" si="231"/>
        <v/>
      </c>
      <c r="AN396" s="38" t="b">
        <f t="shared" si="232"/>
        <v>1</v>
      </c>
      <c r="AO396" s="37" t="str">
        <f t="array" ref="AO396:AY396">IF(AN396,"",IVSolution($M396,$N396,$O396,AJ396,AK396,AL396,AM396,$E396,$F396,$G396,$H396,$I396))</f>
        <v/>
      </c>
      <c r="AP396" s="37" t="str">
        <v/>
      </c>
      <c r="AQ396" s="37" t="str">
        <v/>
      </c>
      <c r="AR396" s="39" t="str">
        <v/>
      </c>
      <c r="AS396" s="39" t="str">
        <v/>
      </c>
      <c r="AT396" s="37" t="str">
        <v/>
      </c>
      <c r="AU396" s="37" t="str">
        <v/>
      </c>
      <c r="AV396" s="37" t="str">
        <v/>
      </c>
      <c r="AW396" s="37" t="str">
        <v/>
      </c>
      <c r="AX396" s="37" t="str">
        <v/>
      </c>
      <c r="AY396" s="37" t="str">
        <v/>
      </c>
      <c r="AZ396" s="40" t="str">
        <f t="shared" si="233"/>
        <v/>
      </c>
      <c r="BA396" s="36" t="str">
        <f>IFERROR(INDEX('Level Multipliers'!$D:$D,MATCH(AZ396,'Level Multipliers'!$A:$A,0)),"")</f>
        <v/>
      </c>
      <c r="BB396" s="37" t="str">
        <f t="shared" si="234"/>
        <v/>
      </c>
      <c r="BC396" s="37" t="str">
        <f t="shared" si="235"/>
        <v/>
      </c>
      <c r="BD396" s="38" t="str">
        <f t="shared" si="236"/>
        <v/>
      </c>
      <c r="BE396" s="38" t="str">
        <f t="shared" si="237"/>
        <v/>
      </c>
      <c r="BF396" s="38" t="b">
        <f t="shared" si="238"/>
        <v>1</v>
      </c>
      <c r="BG396" s="37" t="str">
        <f t="array" ref="BG396:BQ396">IF(BF396,"",IVSolution($M396,$N396,$O396,BB396,BC396,BD396,BE396,$E396,$F396,$G396,$H396,$I396))</f>
        <v/>
      </c>
      <c r="BH396" s="37" t="str">
        <v/>
      </c>
      <c r="BI396" s="37" t="str">
        <v/>
      </c>
      <c r="BJ396" s="39" t="str">
        <v/>
      </c>
      <c r="BK396" s="39" t="str">
        <v/>
      </c>
      <c r="BL396" s="37" t="str">
        <v/>
      </c>
      <c r="BM396" s="37" t="str">
        <v/>
      </c>
      <c r="BN396" s="37" t="str">
        <v/>
      </c>
      <c r="BO396" s="37" t="str">
        <v/>
      </c>
      <c r="BP396" s="37" t="str">
        <v/>
      </c>
      <c r="BQ396" s="37" t="str">
        <v/>
      </c>
      <c r="BR396" s="40" t="str">
        <f t="shared" si="239"/>
        <v/>
      </c>
      <c r="BS396" s="36" t="str">
        <f>IFERROR(INDEX('Level Multipliers'!$D:$D,MATCH(BR396,'Level Multipliers'!$A:$A,0)),"")</f>
        <v/>
      </c>
      <c r="BT396" s="37" t="str">
        <f t="shared" si="240"/>
        <v/>
      </c>
      <c r="BU396" s="37" t="str">
        <f t="shared" si="241"/>
        <v/>
      </c>
      <c r="BV396" s="38" t="str">
        <f t="shared" si="242"/>
        <v/>
      </c>
      <c r="BW396" s="38" t="str">
        <f t="shared" si="243"/>
        <v/>
      </c>
      <c r="BX396" s="38" t="b">
        <f t="shared" si="244"/>
        <v>1</v>
      </c>
      <c r="BY396" s="37" t="str">
        <f t="array" ref="BY396:CI396">IF(BX396,"",IVSolution($M396,$N396,$O396,BT396,BU396,BV396,BW396,$E396,$F396,$G396,$H396,$I396))</f>
        <v/>
      </c>
      <c r="BZ396" s="37" t="str">
        <v/>
      </c>
      <c r="CA396" s="37" t="str">
        <v/>
      </c>
      <c r="CB396" s="39" t="str">
        <v/>
      </c>
      <c r="CC396" s="39" t="str">
        <v/>
      </c>
      <c r="CD396" s="37" t="str">
        <v/>
      </c>
      <c r="CE396" s="37" t="str">
        <v/>
      </c>
      <c r="CF396" s="37" t="str">
        <v/>
      </c>
      <c r="CG396" s="37" t="str">
        <v/>
      </c>
      <c r="CH396" s="37" t="str">
        <v/>
      </c>
      <c r="CI396" s="37" t="str">
        <v/>
      </c>
      <c r="CJ396" s="41" t="str">
        <f t="shared" si="245"/>
        <v/>
      </c>
      <c r="CK396" s="41" t="str">
        <f t="shared" si="246"/>
        <v/>
      </c>
      <c r="CL396" s="66" t="str">
        <f t="shared" si="247"/>
        <v/>
      </c>
      <c r="CM396" s="39" t="str">
        <f t="shared" si="248"/>
        <v/>
      </c>
      <c r="CN396" s="39" t="str">
        <f t="shared" si="249"/>
        <v/>
      </c>
      <c r="CO396" s="42" t="str">
        <f t="shared" si="250"/>
        <v/>
      </c>
      <c r="CP396" s="42" t="str">
        <f t="shared" si="251"/>
        <v/>
      </c>
      <c r="CQ396" s="42" t="str">
        <f t="shared" si="252"/>
        <v/>
      </c>
      <c r="CR396" s="42" t="str">
        <f t="shared" si="253"/>
        <v/>
      </c>
      <c r="CS396" s="42" t="str">
        <f t="shared" si="254"/>
        <v/>
      </c>
      <c r="CT396" s="42" t="str">
        <f t="shared" si="255"/>
        <v/>
      </c>
      <c r="CU396" s="43" t="str">
        <f t="shared" si="256"/>
        <v/>
      </c>
      <c r="CV396" s="43" t="str">
        <f t="shared" si="257"/>
        <v/>
      </c>
      <c r="CW396" s="43" t="str">
        <f t="shared" si="258"/>
        <v/>
      </c>
      <c r="CX396" s="13"/>
    </row>
    <row r="397" spans="1:102" x14ac:dyDescent="0.25">
      <c r="A397" s="31"/>
      <c r="B397" s="13"/>
      <c r="C397" s="13"/>
      <c r="D397" s="13"/>
      <c r="E397" s="32"/>
      <c r="F397" s="32"/>
      <c r="G397" s="32"/>
      <c r="H397" s="32"/>
      <c r="I397" s="32"/>
      <c r="J397" s="13"/>
      <c r="K397" s="33"/>
      <c r="L397" s="34" t="str">
        <f>IFERROR(INDEX('Pokemon Data'!A:A,MATCH($A397,'Pokemon Data'!$B:$B,0)),"")</f>
        <v/>
      </c>
      <c r="M397" s="34" t="str">
        <f>IFERROR(INDEX('Pokemon Data'!I:I,MATCH($A397,'Pokemon Data'!$B:$B,0)),"")</f>
        <v/>
      </c>
      <c r="N397" s="34" t="str">
        <f>IFERROR(INDEX('Pokemon Data'!J:J,MATCH($A397,'Pokemon Data'!$B:$B,0)),"")</f>
        <v/>
      </c>
      <c r="O397" s="34" t="str">
        <f>IFERROR(INDEX('Pokemon Data'!K:K,MATCH($A397,'Pokemon Data'!$B:$B,0)),"")</f>
        <v/>
      </c>
      <c r="P397" s="35" t="str">
        <f>IFERROR(INDEX('Level Multipliers'!$A:$A,MATCH($D397,'Level Multipliers'!$B:$B,0)),"")</f>
        <v/>
      </c>
      <c r="Q397" s="36" t="str">
        <f>IFERROR(INDEX('Level Multipliers'!$D:$D,MATCH(P397,'Level Multipliers'!$A:$A,0)),"")</f>
        <v/>
      </c>
      <c r="R397" s="37" t="str">
        <f t="shared" si="222"/>
        <v/>
      </c>
      <c r="S397" s="37" t="str">
        <f t="shared" si="223"/>
        <v/>
      </c>
      <c r="T397" s="38" t="str">
        <f t="shared" si="224"/>
        <v/>
      </c>
      <c r="U397" s="38" t="str">
        <f t="shared" si="225"/>
        <v/>
      </c>
      <c r="V397" s="38" t="b">
        <f t="shared" si="226"/>
        <v>1</v>
      </c>
      <c r="W397" s="37" t="str">
        <f t="array" ref="W397:AG397">IF(V397,"",IVSolution($M397,$N397,$O397,R397,S397,T397,U397,$E397,$F397,$G397,$H397,$I397))</f>
        <v/>
      </c>
      <c r="X397" s="37" t="str">
        <v/>
      </c>
      <c r="Y397" s="37" t="str">
        <v/>
      </c>
      <c r="Z397" s="39" t="str">
        <v/>
      </c>
      <c r="AA397" s="39" t="str">
        <v/>
      </c>
      <c r="AB397" s="37" t="str">
        <v/>
      </c>
      <c r="AC397" s="37" t="str">
        <v/>
      </c>
      <c r="AD397" s="37" t="str">
        <v/>
      </c>
      <c r="AE397" s="37" t="str">
        <v/>
      </c>
      <c r="AF397" s="37" t="str">
        <v/>
      </c>
      <c r="AG397" s="37" t="str">
        <v/>
      </c>
      <c r="AH397" s="40" t="str">
        <f t="shared" si="227"/>
        <v/>
      </c>
      <c r="AI397" s="36" t="str">
        <f>IFERROR(INDEX('Level Multipliers'!$D:$D,MATCH(AH397,'Level Multipliers'!$A:$A,0)),"")</f>
        <v/>
      </c>
      <c r="AJ397" s="37" t="str">
        <f t="shared" si="228"/>
        <v/>
      </c>
      <c r="AK397" s="37" t="str">
        <f t="shared" si="229"/>
        <v/>
      </c>
      <c r="AL397" s="38" t="str">
        <f t="shared" si="230"/>
        <v/>
      </c>
      <c r="AM397" s="38" t="str">
        <f t="shared" si="231"/>
        <v/>
      </c>
      <c r="AN397" s="38" t="b">
        <f t="shared" si="232"/>
        <v>1</v>
      </c>
      <c r="AO397" s="37" t="str">
        <f t="array" ref="AO397:AY397">IF(AN397,"",IVSolution($M397,$N397,$O397,AJ397,AK397,AL397,AM397,$E397,$F397,$G397,$H397,$I397))</f>
        <v/>
      </c>
      <c r="AP397" s="37" t="str">
        <v/>
      </c>
      <c r="AQ397" s="37" t="str">
        <v/>
      </c>
      <c r="AR397" s="39" t="str">
        <v/>
      </c>
      <c r="AS397" s="39" t="str">
        <v/>
      </c>
      <c r="AT397" s="37" t="str">
        <v/>
      </c>
      <c r="AU397" s="37" t="str">
        <v/>
      </c>
      <c r="AV397" s="37" t="str">
        <v/>
      </c>
      <c r="AW397" s="37" t="str">
        <v/>
      </c>
      <c r="AX397" s="37" t="str">
        <v/>
      </c>
      <c r="AY397" s="37" t="str">
        <v/>
      </c>
      <c r="AZ397" s="40" t="str">
        <f t="shared" si="233"/>
        <v/>
      </c>
      <c r="BA397" s="36" t="str">
        <f>IFERROR(INDEX('Level Multipliers'!$D:$D,MATCH(AZ397,'Level Multipliers'!$A:$A,0)),"")</f>
        <v/>
      </c>
      <c r="BB397" s="37" t="str">
        <f t="shared" si="234"/>
        <v/>
      </c>
      <c r="BC397" s="37" t="str">
        <f t="shared" si="235"/>
        <v/>
      </c>
      <c r="BD397" s="38" t="str">
        <f t="shared" si="236"/>
        <v/>
      </c>
      <c r="BE397" s="38" t="str">
        <f t="shared" si="237"/>
        <v/>
      </c>
      <c r="BF397" s="38" t="b">
        <f t="shared" si="238"/>
        <v>1</v>
      </c>
      <c r="BG397" s="37" t="str">
        <f t="array" ref="BG397:BQ397">IF(BF397,"",IVSolution($M397,$N397,$O397,BB397,BC397,BD397,BE397,$E397,$F397,$G397,$H397,$I397))</f>
        <v/>
      </c>
      <c r="BH397" s="37" t="str">
        <v/>
      </c>
      <c r="BI397" s="37" t="str">
        <v/>
      </c>
      <c r="BJ397" s="39" t="str">
        <v/>
      </c>
      <c r="BK397" s="39" t="str">
        <v/>
      </c>
      <c r="BL397" s="37" t="str">
        <v/>
      </c>
      <c r="BM397" s="37" t="str">
        <v/>
      </c>
      <c r="BN397" s="37" t="str">
        <v/>
      </c>
      <c r="BO397" s="37" t="str">
        <v/>
      </c>
      <c r="BP397" s="37" t="str">
        <v/>
      </c>
      <c r="BQ397" s="37" t="str">
        <v/>
      </c>
      <c r="BR397" s="40" t="str">
        <f t="shared" si="239"/>
        <v/>
      </c>
      <c r="BS397" s="36" t="str">
        <f>IFERROR(INDEX('Level Multipliers'!$D:$D,MATCH(BR397,'Level Multipliers'!$A:$A,0)),"")</f>
        <v/>
      </c>
      <c r="BT397" s="37" t="str">
        <f t="shared" si="240"/>
        <v/>
      </c>
      <c r="BU397" s="37" t="str">
        <f t="shared" si="241"/>
        <v/>
      </c>
      <c r="BV397" s="38" t="str">
        <f t="shared" si="242"/>
        <v/>
      </c>
      <c r="BW397" s="38" t="str">
        <f t="shared" si="243"/>
        <v/>
      </c>
      <c r="BX397" s="38" t="b">
        <f t="shared" si="244"/>
        <v>1</v>
      </c>
      <c r="BY397" s="37" t="str">
        <f t="array" ref="BY397:CI397">IF(BX397,"",IVSolution($M397,$N397,$O397,BT397,BU397,BV397,BW397,$E397,$F397,$G397,$H397,$I397))</f>
        <v/>
      </c>
      <c r="BZ397" s="37" t="str">
        <v/>
      </c>
      <c r="CA397" s="37" t="str">
        <v/>
      </c>
      <c r="CB397" s="39" t="str">
        <v/>
      </c>
      <c r="CC397" s="39" t="str">
        <v/>
      </c>
      <c r="CD397" s="37" t="str">
        <v/>
      </c>
      <c r="CE397" s="37" t="str">
        <v/>
      </c>
      <c r="CF397" s="37" t="str">
        <v/>
      </c>
      <c r="CG397" s="37" t="str">
        <v/>
      </c>
      <c r="CH397" s="37" t="str">
        <v/>
      </c>
      <c r="CI397" s="37" t="str">
        <v/>
      </c>
      <c r="CJ397" s="41" t="str">
        <f t="shared" si="245"/>
        <v/>
      </c>
      <c r="CK397" s="41" t="str">
        <f t="shared" si="246"/>
        <v/>
      </c>
      <c r="CL397" s="66" t="str">
        <f t="shared" si="247"/>
        <v/>
      </c>
      <c r="CM397" s="39" t="str">
        <f t="shared" si="248"/>
        <v/>
      </c>
      <c r="CN397" s="39" t="str">
        <f t="shared" si="249"/>
        <v/>
      </c>
      <c r="CO397" s="42" t="str">
        <f t="shared" si="250"/>
        <v/>
      </c>
      <c r="CP397" s="42" t="str">
        <f t="shared" si="251"/>
        <v/>
      </c>
      <c r="CQ397" s="42" t="str">
        <f t="shared" si="252"/>
        <v/>
      </c>
      <c r="CR397" s="42" t="str">
        <f t="shared" si="253"/>
        <v/>
      </c>
      <c r="CS397" s="42" t="str">
        <f t="shared" si="254"/>
        <v/>
      </c>
      <c r="CT397" s="42" t="str">
        <f t="shared" si="255"/>
        <v/>
      </c>
      <c r="CU397" s="43" t="str">
        <f t="shared" si="256"/>
        <v/>
      </c>
      <c r="CV397" s="43" t="str">
        <f t="shared" si="257"/>
        <v/>
      </c>
      <c r="CW397" s="43" t="str">
        <f t="shared" si="258"/>
        <v/>
      </c>
      <c r="CX397" s="13"/>
    </row>
    <row r="398" spans="1:102" x14ac:dyDescent="0.25">
      <c r="A398" s="31"/>
      <c r="B398" s="13"/>
      <c r="C398" s="13"/>
      <c r="D398" s="13"/>
      <c r="E398" s="32"/>
      <c r="F398" s="32"/>
      <c r="G398" s="32"/>
      <c r="H398" s="32"/>
      <c r="I398" s="32"/>
      <c r="J398" s="13"/>
      <c r="K398" s="33"/>
      <c r="L398" s="34" t="str">
        <f>IFERROR(INDEX('Pokemon Data'!A:A,MATCH($A398,'Pokemon Data'!$B:$B,0)),"")</f>
        <v/>
      </c>
      <c r="M398" s="34" t="str">
        <f>IFERROR(INDEX('Pokemon Data'!I:I,MATCH($A398,'Pokemon Data'!$B:$B,0)),"")</f>
        <v/>
      </c>
      <c r="N398" s="34" t="str">
        <f>IFERROR(INDEX('Pokemon Data'!J:J,MATCH($A398,'Pokemon Data'!$B:$B,0)),"")</f>
        <v/>
      </c>
      <c r="O398" s="34" t="str">
        <f>IFERROR(INDEX('Pokemon Data'!K:K,MATCH($A398,'Pokemon Data'!$B:$B,0)),"")</f>
        <v/>
      </c>
      <c r="P398" s="35" t="str">
        <f>IFERROR(INDEX('Level Multipliers'!$A:$A,MATCH($D398,'Level Multipliers'!$B:$B,0)),"")</f>
        <v/>
      </c>
      <c r="Q398" s="36" t="str">
        <f>IFERROR(INDEX('Level Multipliers'!$D:$D,MATCH(P398,'Level Multipliers'!$A:$A,0)),"")</f>
        <v/>
      </c>
      <c r="R398" s="37" t="str">
        <f t="shared" si="222"/>
        <v/>
      </c>
      <c r="S398" s="37" t="str">
        <f t="shared" si="223"/>
        <v/>
      </c>
      <c r="T398" s="38" t="str">
        <f t="shared" si="224"/>
        <v/>
      </c>
      <c r="U398" s="38" t="str">
        <f t="shared" si="225"/>
        <v/>
      </c>
      <c r="V398" s="38" t="b">
        <f t="shared" si="226"/>
        <v>1</v>
      </c>
      <c r="W398" s="37" t="str">
        <f t="array" ref="W398:AG398">IF(V398,"",IVSolution($M398,$N398,$O398,R398,S398,T398,U398,$E398,$F398,$G398,$H398,$I398))</f>
        <v/>
      </c>
      <c r="X398" s="37" t="str">
        <v/>
      </c>
      <c r="Y398" s="37" t="str">
        <v/>
      </c>
      <c r="Z398" s="39" t="str">
        <v/>
      </c>
      <c r="AA398" s="39" t="str">
        <v/>
      </c>
      <c r="AB398" s="37" t="str">
        <v/>
      </c>
      <c r="AC398" s="37" t="str">
        <v/>
      </c>
      <c r="AD398" s="37" t="str">
        <v/>
      </c>
      <c r="AE398" s="37" t="str">
        <v/>
      </c>
      <c r="AF398" s="37" t="str">
        <v/>
      </c>
      <c r="AG398" s="37" t="str">
        <v/>
      </c>
      <c r="AH398" s="40" t="str">
        <f t="shared" si="227"/>
        <v/>
      </c>
      <c r="AI398" s="36" t="str">
        <f>IFERROR(INDEX('Level Multipliers'!$D:$D,MATCH(AH398,'Level Multipliers'!$A:$A,0)),"")</f>
        <v/>
      </c>
      <c r="AJ398" s="37" t="str">
        <f t="shared" si="228"/>
        <v/>
      </c>
      <c r="AK398" s="37" t="str">
        <f t="shared" si="229"/>
        <v/>
      </c>
      <c r="AL398" s="38" t="str">
        <f t="shared" si="230"/>
        <v/>
      </c>
      <c r="AM398" s="38" t="str">
        <f t="shared" si="231"/>
        <v/>
      </c>
      <c r="AN398" s="38" t="b">
        <f t="shared" si="232"/>
        <v>1</v>
      </c>
      <c r="AO398" s="37" t="str">
        <f t="array" ref="AO398:AY398">IF(AN398,"",IVSolution($M398,$N398,$O398,AJ398,AK398,AL398,AM398,$E398,$F398,$G398,$H398,$I398))</f>
        <v/>
      </c>
      <c r="AP398" s="37" t="str">
        <v/>
      </c>
      <c r="AQ398" s="37" t="str">
        <v/>
      </c>
      <c r="AR398" s="39" t="str">
        <v/>
      </c>
      <c r="AS398" s="39" t="str">
        <v/>
      </c>
      <c r="AT398" s="37" t="str">
        <v/>
      </c>
      <c r="AU398" s="37" t="str">
        <v/>
      </c>
      <c r="AV398" s="37" t="str">
        <v/>
      </c>
      <c r="AW398" s="37" t="str">
        <v/>
      </c>
      <c r="AX398" s="37" t="str">
        <v/>
      </c>
      <c r="AY398" s="37" t="str">
        <v/>
      </c>
      <c r="AZ398" s="40" t="str">
        <f t="shared" si="233"/>
        <v/>
      </c>
      <c r="BA398" s="36" t="str">
        <f>IFERROR(INDEX('Level Multipliers'!$D:$D,MATCH(AZ398,'Level Multipliers'!$A:$A,0)),"")</f>
        <v/>
      </c>
      <c r="BB398" s="37" t="str">
        <f t="shared" si="234"/>
        <v/>
      </c>
      <c r="BC398" s="37" t="str">
        <f t="shared" si="235"/>
        <v/>
      </c>
      <c r="BD398" s="38" t="str">
        <f t="shared" si="236"/>
        <v/>
      </c>
      <c r="BE398" s="38" t="str">
        <f t="shared" si="237"/>
        <v/>
      </c>
      <c r="BF398" s="38" t="b">
        <f t="shared" si="238"/>
        <v>1</v>
      </c>
      <c r="BG398" s="37" t="str">
        <f t="array" ref="BG398:BQ398">IF(BF398,"",IVSolution($M398,$N398,$O398,BB398,BC398,BD398,BE398,$E398,$F398,$G398,$H398,$I398))</f>
        <v/>
      </c>
      <c r="BH398" s="37" t="str">
        <v/>
      </c>
      <c r="BI398" s="37" t="str">
        <v/>
      </c>
      <c r="BJ398" s="39" t="str">
        <v/>
      </c>
      <c r="BK398" s="39" t="str">
        <v/>
      </c>
      <c r="BL398" s="37" t="str">
        <v/>
      </c>
      <c r="BM398" s="37" t="str">
        <v/>
      </c>
      <c r="BN398" s="37" t="str">
        <v/>
      </c>
      <c r="BO398" s="37" t="str">
        <v/>
      </c>
      <c r="BP398" s="37" t="str">
        <v/>
      </c>
      <c r="BQ398" s="37" t="str">
        <v/>
      </c>
      <c r="BR398" s="40" t="str">
        <f t="shared" si="239"/>
        <v/>
      </c>
      <c r="BS398" s="36" t="str">
        <f>IFERROR(INDEX('Level Multipliers'!$D:$D,MATCH(BR398,'Level Multipliers'!$A:$A,0)),"")</f>
        <v/>
      </c>
      <c r="BT398" s="37" t="str">
        <f t="shared" si="240"/>
        <v/>
      </c>
      <c r="BU398" s="37" t="str">
        <f t="shared" si="241"/>
        <v/>
      </c>
      <c r="BV398" s="38" t="str">
        <f t="shared" si="242"/>
        <v/>
      </c>
      <c r="BW398" s="38" t="str">
        <f t="shared" si="243"/>
        <v/>
      </c>
      <c r="BX398" s="38" t="b">
        <f t="shared" si="244"/>
        <v>1</v>
      </c>
      <c r="BY398" s="37" t="str">
        <f t="array" ref="BY398:CI398">IF(BX398,"",IVSolution($M398,$N398,$O398,BT398,BU398,BV398,BW398,$E398,$F398,$G398,$H398,$I398))</f>
        <v/>
      </c>
      <c r="BZ398" s="37" t="str">
        <v/>
      </c>
      <c r="CA398" s="37" t="str">
        <v/>
      </c>
      <c r="CB398" s="39" t="str">
        <v/>
      </c>
      <c r="CC398" s="39" t="str">
        <v/>
      </c>
      <c r="CD398" s="37" t="str">
        <v/>
      </c>
      <c r="CE398" s="37" t="str">
        <v/>
      </c>
      <c r="CF398" s="37" t="str">
        <v/>
      </c>
      <c r="CG398" s="37" t="str">
        <v/>
      </c>
      <c r="CH398" s="37" t="str">
        <v/>
      </c>
      <c r="CI398" s="37" t="str">
        <v/>
      </c>
      <c r="CJ398" s="41" t="str">
        <f t="shared" si="245"/>
        <v/>
      </c>
      <c r="CK398" s="41" t="str">
        <f t="shared" si="246"/>
        <v/>
      </c>
      <c r="CL398" s="66" t="str">
        <f t="shared" si="247"/>
        <v/>
      </c>
      <c r="CM398" s="39" t="str">
        <f t="shared" si="248"/>
        <v/>
      </c>
      <c r="CN398" s="39" t="str">
        <f t="shared" si="249"/>
        <v/>
      </c>
      <c r="CO398" s="42" t="str">
        <f t="shared" si="250"/>
        <v/>
      </c>
      <c r="CP398" s="42" t="str">
        <f t="shared" si="251"/>
        <v/>
      </c>
      <c r="CQ398" s="42" t="str">
        <f t="shared" si="252"/>
        <v/>
      </c>
      <c r="CR398" s="42" t="str">
        <f t="shared" si="253"/>
        <v/>
      </c>
      <c r="CS398" s="42" t="str">
        <f t="shared" si="254"/>
        <v/>
      </c>
      <c r="CT398" s="42" t="str">
        <f t="shared" si="255"/>
        <v/>
      </c>
      <c r="CU398" s="43" t="str">
        <f t="shared" si="256"/>
        <v/>
      </c>
      <c r="CV398" s="43" t="str">
        <f t="shared" si="257"/>
        <v/>
      </c>
      <c r="CW398" s="43" t="str">
        <f t="shared" si="258"/>
        <v/>
      </c>
      <c r="CX398" s="13"/>
    </row>
    <row r="399" spans="1:102" x14ac:dyDescent="0.25">
      <c r="A399" s="31"/>
      <c r="B399" s="13"/>
      <c r="C399" s="13"/>
      <c r="D399" s="13"/>
      <c r="E399" s="32"/>
      <c r="F399" s="32"/>
      <c r="G399" s="32"/>
      <c r="H399" s="32"/>
      <c r="I399" s="32"/>
      <c r="J399" s="13"/>
      <c r="K399" s="33"/>
      <c r="L399" s="34" t="str">
        <f>IFERROR(INDEX('Pokemon Data'!A:A,MATCH($A399,'Pokemon Data'!$B:$B,0)),"")</f>
        <v/>
      </c>
      <c r="M399" s="34" t="str">
        <f>IFERROR(INDEX('Pokemon Data'!I:I,MATCH($A399,'Pokemon Data'!$B:$B,0)),"")</f>
        <v/>
      </c>
      <c r="N399" s="34" t="str">
        <f>IFERROR(INDEX('Pokemon Data'!J:J,MATCH($A399,'Pokemon Data'!$B:$B,0)),"")</f>
        <v/>
      </c>
      <c r="O399" s="34" t="str">
        <f>IFERROR(INDEX('Pokemon Data'!K:K,MATCH($A399,'Pokemon Data'!$B:$B,0)),"")</f>
        <v/>
      </c>
      <c r="P399" s="35" t="str">
        <f>IFERROR(INDEX('Level Multipliers'!$A:$A,MATCH($D399,'Level Multipliers'!$B:$B,0)),"")</f>
        <v/>
      </c>
      <c r="Q399" s="36" t="str">
        <f>IFERROR(INDEX('Level Multipliers'!$D:$D,MATCH(P399,'Level Multipliers'!$A:$A,0)),"")</f>
        <v/>
      </c>
      <c r="R399" s="37" t="str">
        <f t="shared" si="222"/>
        <v/>
      </c>
      <c r="S399" s="37" t="str">
        <f t="shared" si="223"/>
        <v/>
      </c>
      <c r="T399" s="38" t="str">
        <f t="shared" si="224"/>
        <v/>
      </c>
      <c r="U399" s="38" t="str">
        <f t="shared" si="225"/>
        <v/>
      </c>
      <c r="V399" s="38" t="b">
        <f t="shared" si="226"/>
        <v>1</v>
      </c>
      <c r="W399" s="37" t="str">
        <f t="array" ref="W399:AG399">IF(V399,"",IVSolution($M399,$N399,$O399,R399,S399,T399,U399,$E399,$F399,$G399,$H399,$I399))</f>
        <v/>
      </c>
      <c r="X399" s="37" t="str">
        <v/>
      </c>
      <c r="Y399" s="37" t="str">
        <v/>
      </c>
      <c r="Z399" s="39" t="str">
        <v/>
      </c>
      <c r="AA399" s="39" t="str">
        <v/>
      </c>
      <c r="AB399" s="37" t="str">
        <v/>
      </c>
      <c r="AC399" s="37" t="str">
        <v/>
      </c>
      <c r="AD399" s="37" t="str">
        <v/>
      </c>
      <c r="AE399" s="37" t="str">
        <v/>
      </c>
      <c r="AF399" s="37" t="str">
        <v/>
      </c>
      <c r="AG399" s="37" t="str">
        <v/>
      </c>
      <c r="AH399" s="40" t="str">
        <f t="shared" si="227"/>
        <v/>
      </c>
      <c r="AI399" s="36" t="str">
        <f>IFERROR(INDEX('Level Multipliers'!$D:$D,MATCH(AH399,'Level Multipliers'!$A:$A,0)),"")</f>
        <v/>
      </c>
      <c r="AJ399" s="37" t="str">
        <f t="shared" si="228"/>
        <v/>
      </c>
      <c r="AK399" s="37" t="str">
        <f t="shared" si="229"/>
        <v/>
      </c>
      <c r="AL399" s="38" t="str">
        <f t="shared" si="230"/>
        <v/>
      </c>
      <c r="AM399" s="38" t="str">
        <f t="shared" si="231"/>
        <v/>
      </c>
      <c r="AN399" s="38" t="b">
        <f t="shared" si="232"/>
        <v>1</v>
      </c>
      <c r="AO399" s="37" t="str">
        <f t="array" ref="AO399:AY399">IF(AN399,"",IVSolution($M399,$N399,$O399,AJ399,AK399,AL399,AM399,$E399,$F399,$G399,$H399,$I399))</f>
        <v/>
      </c>
      <c r="AP399" s="37" t="str">
        <v/>
      </c>
      <c r="AQ399" s="37" t="str">
        <v/>
      </c>
      <c r="AR399" s="39" t="str">
        <v/>
      </c>
      <c r="AS399" s="39" t="str">
        <v/>
      </c>
      <c r="AT399" s="37" t="str">
        <v/>
      </c>
      <c r="AU399" s="37" t="str">
        <v/>
      </c>
      <c r="AV399" s="37" t="str">
        <v/>
      </c>
      <c r="AW399" s="37" t="str">
        <v/>
      </c>
      <c r="AX399" s="37" t="str">
        <v/>
      </c>
      <c r="AY399" s="37" t="str">
        <v/>
      </c>
      <c r="AZ399" s="40" t="str">
        <f t="shared" si="233"/>
        <v/>
      </c>
      <c r="BA399" s="36" t="str">
        <f>IFERROR(INDEX('Level Multipliers'!$D:$D,MATCH(AZ399,'Level Multipliers'!$A:$A,0)),"")</f>
        <v/>
      </c>
      <c r="BB399" s="37" t="str">
        <f t="shared" si="234"/>
        <v/>
      </c>
      <c r="BC399" s="37" t="str">
        <f t="shared" si="235"/>
        <v/>
      </c>
      <c r="BD399" s="38" t="str">
        <f t="shared" si="236"/>
        <v/>
      </c>
      <c r="BE399" s="38" t="str">
        <f t="shared" si="237"/>
        <v/>
      </c>
      <c r="BF399" s="38" t="b">
        <f t="shared" si="238"/>
        <v>1</v>
      </c>
      <c r="BG399" s="37" t="str">
        <f t="array" ref="BG399:BQ399">IF(BF399,"",IVSolution($M399,$N399,$O399,BB399,BC399,BD399,BE399,$E399,$F399,$G399,$H399,$I399))</f>
        <v/>
      </c>
      <c r="BH399" s="37" t="str">
        <v/>
      </c>
      <c r="BI399" s="37" t="str">
        <v/>
      </c>
      <c r="BJ399" s="39" t="str">
        <v/>
      </c>
      <c r="BK399" s="39" t="str">
        <v/>
      </c>
      <c r="BL399" s="37" t="str">
        <v/>
      </c>
      <c r="BM399" s="37" t="str">
        <v/>
      </c>
      <c r="BN399" s="37" t="str">
        <v/>
      </c>
      <c r="BO399" s="37" t="str">
        <v/>
      </c>
      <c r="BP399" s="37" t="str">
        <v/>
      </c>
      <c r="BQ399" s="37" t="str">
        <v/>
      </c>
      <c r="BR399" s="40" t="str">
        <f t="shared" si="239"/>
        <v/>
      </c>
      <c r="BS399" s="36" t="str">
        <f>IFERROR(INDEX('Level Multipliers'!$D:$D,MATCH(BR399,'Level Multipliers'!$A:$A,0)),"")</f>
        <v/>
      </c>
      <c r="BT399" s="37" t="str">
        <f t="shared" si="240"/>
        <v/>
      </c>
      <c r="BU399" s="37" t="str">
        <f t="shared" si="241"/>
        <v/>
      </c>
      <c r="BV399" s="38" t="str">
        <f t="shared" si="242"/>
        <v/>
      </c>
      <c r="BW399" s="38" t="str">
        <f t="shared" si="243"/>
        <v/>
      </c>
      <c r="BX399" s="38" t="b">
        <f t="shared" si="244"/>
        <v>1</v>
      </c>
      <c r="BY399" s="37" t="str">
        <f t="array" ref="BY399:CI399">IF(BX399,"",IVSolution($M399,$N399,$O399,BT399,BU399,BV399,BW399,$E399,$F399,$G399,$H399,$I399))</f>
        <v/>
      </c>
      <c r="BZ399" s="37" t="str">
        <v/>
      </c>
      <c r="CA399" s="37" t="str">
        <v/>
      </c>
      <c r="CB399" s="39" t="str">
        <v/>
      </c>
      <c r="CC399" s="39" t="str">
        <v/>
      </c>
      <c r="CD399" s="37" t="str">
        <v/>
      </c>
      <c r="CE399" s="37" t="str">
        <v/>
      </c>
      <c r="CF399" s="37" t="str">
        <v/>
      </c>
      <c r="CG399" s="37" t="str">
        <v/>
      </c>
      <c r="CH399" s="37" t="str">
        <v/>
      </c>
      <c r="CI399" s="37" t="str">
        <v/>
      </c>
      <c r="CJ399" s="41" t="str">
        <f t="shared" si="245"/>
        <v/>
      </c>
      <c r="CK399" s="41" t="str">
        <f t="shared" si="246"/>
        <v/>
      </c>
      <c r="CL399" s="66" t="str">
        <f t="shared" si="247"/>
        <v/>
      </c>
      <c r="CM399" s="39" t="str">
        <f t="shared" si="248"/>
        <v/>
      </c>
      <c r="CN399" s="39" t="str">
        <f t="shared" si="249"/>
        <v/>
      </c>
      <c r="CO399" s="42" t="str">
        <f t="shared" si="250"/>
        <v/>
      </c>
      <c r="CP399" s="42" t="str">
        <f t="shared" si="251"/>
        <v/>
      </c>
      <c r="CQ399" s="42" t="str">
        <f t="shared" si="252"/>
        <v/>
      </c>
      <c r="CR399" s="42" t="str">
        <f t="shared" si="253"/>
        <v/>
      </c>
      <c r="CS399" s="42" t="str">
        <f t="shared" si="254"/>
        <v/>
      </c>
      <c r="CT399" s="42" t="str">
        <f t="shared" si="255"/>
        <v/>
      </c>
      <c r="CU399" s="43" t="str">
        <f t="shared" si="256"/>
        <v/>
      </c>
      <c r="CV399" s="43" t="str">
        <f t="shared" si="257"/>
        <v/>
      </c>
      <c r="CW399" s="43" t="str">
        <f t="shared" si="258"/>
        <v/>
      </c>
      <c r="CX399" s="13"/>
    </row>
    <row r="400" spans="1:102" x14ac:dyDescent="0.25">
      <c r="A400" s="31"/>
      <c r="B400" s="13"/>
      <c r="C400" s="13"/>
      <c r="D400" s="13"/>
      <c r="E400" s="32"/>
      <c r="F400" s="32"/>
      <c r="G400" s="32"/>
      <c r="H400" s="32"/>
      <c r="I400" s="32"/>
      <c r="J400" s="13"/>
      <c r="K400" s="33"/>
      <c r="L400" s="34" t="str">
        <f>IFERROR(INDEX('Pokemon Data'!A:A,MATCH($A400,'Pokemon Data'!$B:$B,0)),"")</f>
        <v/>
      </c>
      <c r="M400" s="34" t="str">
        <f>IFERROR(INDEX('Pokemon Data'!I:I,MATCH($A400,'Pokemon Data'!$B:$B,0)),"")</f>
        <v/>
      </c>
      <c r="N400" s="34" t="str">
        <f>IFERROR(INDEX('Pokemon Data'!J:J,MATCH($A400,'Pokemon Data'!$B:$B,0)),"")</f>
        <v/>
      </c>
      <c r="O400" s="34" t="str">
        <f>IFERROR(INDEX('Pokemon Data'!K:K,MATCH($A400,'Pokemon Data'!$B:$B,0)),"")</f>
        <v/>
      </c>
      <c r="P400" s="35" t="str">
        <f>IFERROR(INDEX('Level Multipliers'!$A:$A,MATCH($D400,'Level Multipliers'!$B:$B,0)),"")</f>
        <v/>
      </c>
      <c r="Q400" s="36" t="str">
        <f>IFERROR(INDEX('Level Multipliers'!$D:$D,MATCH(P400,'Level Multipliers'!$A:$A,0)),"")</f>
        <v/>
      </c>
      <c r="R400" s="37" t="str">
        <f t="shared" si="222"/>
        <v/>
      </c>
      <c r="S400" s="37" t="str">
        <f t="shared" si="223"/>
        <v/>
      </c>
      <c r="T400" s="38" t="str">
        <f t="shared" si="224"/>
        <v/>
      </c>
      <c r="U400" s="38" t="str">
        <f t="shared" si="225"/>
        <v/>
      </c>
      <c r="V400" s="38" t="b">
        <f t="shared" si="226"/>
        <v>1</v>
      </c>
      <c r="W400" s="37" t="str">
        <f t="array" ref="W400:AG400">IF(V400,"",IVSolution($M400,$N400,$O400,R400,S400,T400,U400,$E400,$F400,$G400,$H400,$I400))</f>
        <v/>
      </c>
      <c r="X400" s="37" t="str">
        <v/>
      </c>
      <c r="Y400" s="37" t="str">
        <v/>
      </c>
      <c r="Z400" s="39" t="str">
        <v/>
      </c>
      <c r="AA400" s="39" t="str">
        <v/>
      </c>
      <c r="AB400" s="37" t="str">
        <v/>
      </c>
      <c r="AC400" s="37" t="str">
        <v/>
      </c>
      <c r="AD400" s="37" t="str">
        <v/>
      </c>
      <c r="AE400" s="37" t="str">
        <v/>
      </c>
      <c r="AF400" s="37" t="str">
        <v/>
      </c>
      <c r="AG400" s="37" t="str">
        <v/>
      </c>
      <c r="AH400" s="40" t="str">
        <f t="shared" si="227"/>
        <v/>
      </c>
      <c r="AI400" s="36" t="str">
        <f>IFERROR(INDEX('Level Multipliers'!$D:$D,MATCH(AH400,'Level Multipliers'!$A:$A,0)),"")</f>
        <v/>
      </c>
      <c r="AJ400" s="37" t="str">
        <f t="shared" si="228"/>
        <v/>
      </c>
      <c r="AK400" s="37" t="str">
        <f t="shared" si="229"/>
        <v/>
      </c>
      <c r="AL400" s="38" t="str">
        <f t="shared" si="230"/>
        <v/>
      </c>
      <c r="AM400" s="38" t="str">
        <f t="shared" si="231"/>
        <v/>
      </c>
      <c r="AN400" s="38" t="b">
        <f t="shared" si="232"/>
        <v>1</v>
      </c>
      <c r="AO400" s="37" t="str">
        <f t="array" ref="AO400:AY400">IF(AN400,"",IVSolution($M400,$N400,$O400,AJ400,AK400,AL400,AM400,$E400,$F400,$G400,$H400,$I400))</f>
        <v/>
      </c>
      <c r="AP400" s="37" t="str">
        <v/>
      </c>
      <c r="AQ400" s="37" t="str">
        <v/>
      </c>
      <c r="AR400" s="39" t="str">
        <v/>
      </c>
      <c r="AS400" s="39" t="str">
        <v/>
      </c>
      <c r="AT400" s="37" t="str">
        <v/>
      </c>
      <c r="AU400" s="37" t="str">
        <v/>
      </c>
      <c r="AV400" s="37" t="str">
        <v/>
      </c>
      <c r="AW400" s="37" t="str">
        <v/>
      </c>
      <c r="AX400" s="37" t="str">
        <v/>
      </c>
      <c r="AY400" s="37" t="str">
        <v/>
      </c>
      <c r="AZ400" s="40" t="str">
        <f t="shared" si="233"/>
        <v/>
      </c>
      <c r="BA400" s="36" t="str">
        <f>IFERROR(INDEX('Level Multipliers'!$D:$D,MATCH(AZ400,'Level Multipliers'!$A:$A,0)),"")</f>
        <v/>
      </c>
      <c r="BB400" s="37" t="str">
        <f t="shared" si="234"/>
        <v/>
      </c>
      <c r="BC400" s="37" t="str">
        <f t="shared" si="235"/>
        <v/>
      </c>
      <c r="BD400" s="38" t="str">
        <f t="shared" si="236"/>
        <v/>
      </c>
      <c r="BE400" s="38" t="str">
        <f t="shared" si="237"/>
        <v/>
      </c>
      <c r="BF400" s="38" t="b">
        <f t="shared" si="238"/>
        <v>1</v>
      </c>
      <c r="BG400" s="37" t="str">
        <f t="array" ref="BG400:BQ400">IF(BF400,"",IVSolution($M400,$N400,$O400,BB400,BC400,BD400,BE400,$E400,$F400,$G400,$H400,$I400))</f>
        <v/>
      </c>
      <c r="BH400" s="37" t="str">
        <v/>
      </c>
      <c r="BI400" s="37" t="str">
        <v/>
      </c>
      <c r="BJ400" s="39" t="str">
        <v/>
      </c>
      <c r="BK400" s="39" t="str">
        <v/>
      </c>
      <c r="BL400" s="37" t="str">
        <v/>
      </c>
      <c r="BM400" s="37" t="str">
        <v/>
      </c>
      <c r="BN400" s="37" t="str">
        <v/>
      </c>
      <c r="BO400" s="37" t="str">
        <v/>
      </c>
      <c r="BP400" s="37" t="str">
        <v/>
      </c>
      <c r="BQ400" s="37" t="str">
        <v/>
      </c>
      <c r="BR400" s="40" t="str">
        <f t="shared" si="239"/>
        <v/>
      </c>
      <c r="BS400" s="36" t="str">
        <f>IFERROR(INDEX('Level Multipliers'!$D:$D,MATCH(BR400,'Level Multipliers'!$A:$A,0)),"")</f>
        <v/>
      </c>
      <c r="BT400" s="37" t="str">
        <f t="shared" si="240"/>
        <v/>
      </c>
      <c r="BU400" s="37" t="str">
        <f t="shared" si="241"/>
        <v/>
      </c>
      <c r="BV400" s="38" t="str">
        <f t="shared" si="242"/>
        <v/>
      </c>
      <c r="BW400" s="38" t="str">
        <f t="shared" si="243"/>
        <v/>
      </c>
      <c r="BX400" s="38" t="b">
        <f t="shared" si="244"/>
        <v>1</v>
      </c>
      <c r="BY400" s="37" t="str">
        <f t="array" ref="BY400:CI400">IF(BX400,"",IVSolution($M400,$N400,$O400,BT400,BU400,BV400,BW400,$E400,$F400,$G400,$H400,$I400))</f>
        <v/>
      </c>
      <c r="BZ400" s="37" t="str">
        <v/>
      </c>
      <c r="CA400" s="37" t="str">
        <v/>
      </c>
      <c r="CB400" s="39" t="str">
        <v/>
      </c>
      <c r="CC400" s="39" t="str">
        <v/>
      </c>
      <c r="CD400" s="37" t="str">
        <v/>
      </c>
      <c r="CE400" s="37" t="str">
        <v/>
      </c>
      <c r="CF400" s="37" t="str">
        <v/>
      </c>
      <c r="CG400" s="37" t="str">
        <v/>
      </c>
      <c r="CH400" s="37" t="str">
        <v/>
      </c>
      <c r="CI400" s="37" t="str">
        <v/>
      </c>
      <c r="CJ400" s="41" t="str">
        <f t="shared" si="245"/>
        <v/>
      </c>
      <c r="CK400" s="41" t="str">
        <f t="shared" si="246"/>
        <v/>
      </c>
      <c r="CL400" s="66" t="str">
        <f t="shared" si="247"/>
        <v/>
      </c>
      <c r="CM400" s="39" t="str">
        <f t="shared" si="248"/>
        <v/>
      </c>
      <c r="CN400" s="39" t="str">
        <f t="shared" si="249"/>
        <v/>
      </c>
      <c r="CO400" s="42" t="str">
        <f t="shared" si="250"/>
        <v/>
      </c>
      <c r="CP400" s="42" t="str">
        <f t="shared" si="251"/>
        <v/>
      </c>
      <c r="CQ400" s="42" t="str">
        <f t="shared" si="252"/>
        <v/>
      </c>
      <c r="CR400" s="42" t="str">
        <f t="shared" si="253"/>
        <v/>
      </c>
      <c r="CS400" s="42" t="str">
        <f t="shared" si="254"/>
        <v/>
      </c>
      <c r="CT400" s="42" t="str">
        <f t="shared" si="255"/>
        <v/>
      </c>
      <c r="CU400" s="43" t="str">
        <f t="shared" si="256"/>
        <v/>
      </c>
      <c r="CV400" s="43" t="str">
        <f t="shared" si="257"/>
        <v/>
      </c>
      <c r="CW400" s="43" t="str">
        <f t="shared" si="258"/>
        <v/>
      </c>
      <c r="CX400" s="13"/>
    </row>
    <row r="401" spans="1:102" x14ac:dyDescent="0.25">
      <c r="A401" s="31"/>
      <c r="B401" s="13"/>
      <c r="C401" s="13"/>
      <c r="D401" s="13"/>
      <c r="E401" s="32"/>
      <c r="F401" s="32"/>
      <c r="G401" s="32"/>
      <c r="H401" s="32"/>
      <c r="I401" s="32"/>
      <c r="J401" s="13"/>
      <c r="K401" s="33"/>
      <c r="L401" s="34" t="str">
        <f>IFERROR(INDEX('Pokemon Data'!A:A,MATCH($A401,'Pokemon Data'!$B:$B,0)),"")</f>
        <v/>
      </c>
      <c r="M401" s="34" t="str">
        <f>IFERROR(INDEX('Pokemon Data'!I:I,MATCH($A401,'Pokemon Data'!$B:$B,0)),"")</f>
        <v/>
      </c>
      <c r="N401" s="34" t="str">
        <f>IFERROR(INDEX('Pokemon Data'!J:J,MATCH($A401,'Pokemon Data'!$B:$B,0)),"")</f>
        <v/>
      </c>
      <c r="O401" s="34" t="str">
        <f>IFERROR(INDEX('Pokemon Data'!K:K,MATCH($A401,'Pokemon Data'!$B:$B,0)),"")</f>
        <v/>
      </c>
      <c r="P401" s="35" t="str">
        <f>IFERROR(INDEX('Level Multipliers'!$A:$A,MATCH($D401,'Level Multipliers'!$B:$B,0)),"")</f>
        <v/>
      </c>
      <c r="Q401" s="36" t="str">
        <f>IFERROR(INDEX('Level Multipliers'!$D:$D,MATCH(P401,'Level Multipliers'!$A:$A,0)),"")</f>
        <v/>
      </c>
      <c r="R401" s="37" t="str">
        <f t="shared" si="222"/>
        <v/>
      </c>
      <c r="S401" s="37" t="str">
        <f t="shared" si="223"/>
        <v/>
      </c>
      <c r="T401" s="38" t="str">
        <f t="shared" si="224"/>
        <v/>
      </c>
      <c r="U401" s="38" t="str">
        <f t="shared" si="225"/>
        <v/>
      </c>
      <c r="V401" s="38" t="b">
        <f t="shared" si="226"/>
        <v>1</v>
      </c>
      <c r="W401" s="37" t="str">
        <f t="array" ref="W401:AG401">IF(V401,"",IVSolution($M401,$N401,$O401,R401,S401,T401,U401,$E401,$F401,$G401,$H401,$I401))</f>
        <v/>
      </c>
      <c r="X401" s="37" t="str">
        <v/>
      </c>
      <c r="Y401" s="37" t="str">
        <v/>
      </c>
      <c r="Z401" s="39" t="str">
        <v/>
      </c>
      <c r="AA401" s="39" t="str">
        <v/>
      </c>
      <c r="AB401" s="37" t="str">
        <v/>
      </c>
      <c r="AC401" s="37" t="str">
        <v/>
      </c>
      <c r="AD401" s="37" t="str">
        <v/>
      </c>
      <c r="AE401" s="37" t="str">
        <v/>
      </c>
      <c r="AF401" s="37" t="str">
        <v/>
      </c>
      <c r="AG401" s="37" t="str">
        <v/>
      </c>
      <c r="AH401" s="40" t="str">
        <f t="shared" si="227"/>
        <v/>
      </c>
      <c r="AI401" s="36" t="str">
        <f>IFERROR(INDEX('Level Multipliers'!$D:$D,MATCH(AH401,'Level Multipliers'!$A:$A,0)),"")</f>
        <v/>
      </c>
      <c r="AJ401" s="37" t="str">
        <f t="shared" si="228"/>
        <v/>
      </c>
      <c r="AK401" s="37" t="str">
        <f t="shared" si="229"/>
        <v/>
      </c>
      <c r="AL401" s="38" t="str">
        <f t="shared" si="230"/>
        <v/>
      </c>
      <c r="AM401" s="38" t="str">
        <f t="shared" si="231"/>
        <v/>
      </c>
      <c r="AN401" s="38" t="b">
        <f t="shared" si="232"/>
        <v>1</v>
      </c>
      <c r="AO401" s="37" t="str">
        <f t="array" ref="AO401:AY401">IF(AN401,"",IVSolution($M401,$N401,$O401,AJ401,AK401,AL401,AM401,$E401,$F401,$G401,$H401,$I401))</f>
        <v/>
      </c>
      <c r="AP401" s="37" t="str">
        <v/>
      </c>
      <c r="AQ401" s="37" t="str">
        <v/>
      </c>
      <c r="AR401" s="39" t="str">
        <v/>
      </c>
      <c r="AS401" s="39" t="str">
        <v/>
      </c>
      <c r="AT401" s="37" t="str">
        <v/>
      </c>
      <c r="AU401" s="37" t="str">
        <v/>
      </c>
      <c r="AV401" s="37" t="str">
        <v/>
      </c>
      <c r="AW401" s="37" t="str">
        <v/>
      </c>
      <c r="AX401" s="37" t="str">
        <v/>
      </c>
      <c r="AY401" s="37" t="str">
        <v/>
      </c>
      <c r="AZ401" s="40" t="str">
        <f t="shared" si="233"/>
        <v/>
      </c>
      <c r="BA401" s="36" t="str">
        <f>IFERROR(INDEX('Level Multipliers'!$D:$D,MATCH(AZ401,'Level Multipliers'!$A:$A,0)),"")</f>
        <v/>
      </c>
      <c r="BB401" s="37" t="str">
        <f t="shared" si="234"/>
        <v/>
      </c>
      <c r="BC401" s="37" t="str">
        <f t="shared" si="235"/>
        <v/>
      </c>
      <c r="BD401" s="38" t="str">
        <f t="shared" si="236"/>
        <v/>
      </c>
      <c r="BE401" s="38" t="str">
        <f t="shared" si="237"/>
        <v/>
      </c>
      <c r="BF401" s="38" t="b">
        <f t="shared" si="238"/>
        <v>1</v>
      </c>
      <c r="BG401" s="37" t="str">
        <f t="array" ref="BG401:BQ401">IF(BF401,"",IVSolution($M401,$N401,$O401,BB401,BC401,BD401,BE401,$E401,$F401,$G401,$H401,$I401))</f>
        <v/>
      </c>
      <c r="BH401" s="37" t="str">
        <v/>
      </c>
      <c r="BI401" s="37" t="str">
        <v/>
      </c>
      <c r="BJ401" s="39" t="str">
        <v/>
      </c>
      <c r="BK401" s="39" t="str">
        <v/>
      </c>
      <c r="BL401" s="37" t="str">
        <v/>
      </c>
      <c r="BM401" s="37" t="str">
        <v/>
      </c>
      <c r="BN401" s="37" t="str">
        <v/>
      </c>
      <c r="BO401" s="37" t="str">
        <v/>
      </c>
      <c r="BP401" s="37" t="str">
        <v/>
      </c>
      <c r="BQ401" s="37" t="str">
        <v/>
      </c>
      <c r="BR401" s="40" t="str">
        <f t="shared" si="239"/>
        <v/>
      </c>
      <c r="BS401" s="36" t="str">
        <f>IFERROR(INDEX('Level Multipliers'!$D:$D,MATCH(BR401,'Level Multipliers'!$A:$A,0)),"")</f>
        <v/>
      </c>
      <c r="BT401" s="37" t="str">
        <f t="shared" si="240"/>
        <v/>
      </c>
      <c r="BU401" s="37" t="str">
        <f t="shared" si="241"/>
        <v/>
      </c>
      <c r="BV401" s="38" t="str">
        <f t="shared" si="242"/>
        <v/>
      </c>
      <c r="BW401" s="38" t="str">
        <f t="shared" si="243"/>
        <v/>
      </c>
      <c r="BX401" s="38" t="b">
        <f t="shared" si="244"/>
        <v>1</v>
      </c>
      <c r="BY401" s="37" t="str">
        <f t="array" ref="BY401:CI401">IF(BX401,"",IVSolution($M401,$N401,$O401,BT401,BU401,BV401,BW401,$E401,$F401,$G401,$H401,$I401))</f>
        <v/>
      </c>
      <c r="BZ401" s="37" t="str">
        <v/>
      </c>
      <c r="CA401" s="37" t="str">
        <v/>
      </c>
      <c r="CB401" s="39" t="str">
        <v/>
      </c>
      <c r="CC401" s="39" t="str">
        <v/>
      </c>
      <c r="CD401" s="37" t="str">
        <v/>
      </c>
      <c r="CE401" s="37" t="str">
        <v/>
      </c>
      <c r="CF401" s="37" t="str">
        <v/>
      </c>
      <c r="CG401" s="37" t="str">
        <v/>
      </c>
      <c r="CH401" s="37" t="str">
        <v/>
      </c>
      <c r="CI401" s="37" t="str">
        <v/>
      </c>
      <c r="CJ401" s="41" t="str">
        <f t="shared" si="245"/>
        <v/>
      </c>
      <c r="CK401" s="41" t="str">
        <f t="shared" si="246"/>
        <v/>
      </c>
      <c r="CL401" s="66" t="str">
        <f t="shared" si="247"/>
        <v/>
      </c>
      <c r="CM401" s="39" t="str">
        <f t="shared" si="248"/>
        <v/>
      </c>
      <c r="CN401" s="39" t="str">
        <f t="shared" si="249"/>
        <v/>
      </c>
      <c r="CO401" s="42" t="str">
        <f t="shared" si="250"/>
        <v/>
      </c>
      <c r="CP401" s="42" t="str">
        <f t="shared" si="251"/>
        <v/>
      </c>
      <c r="CQ401" s="42" t="str">
        <f t="shared" si="252"/>
        <v/>
      </c>
      <c r="CR401" s="42" t="str">
        <f t="shared" si="253"/>
        <v/>
      </c>
      <c r="CS401" s="42" t="str">
        <f t="shared" si="254"/>
        <v/>
      </c>
      <c r="CT401" s="42" t="str">
        <f t="shared" si="255"/>
        <v/>
      </c>
      <c r="CU401" s="43" t="str">
        <f t="shared" si="256"/>
        <v/>
      </c>
      <c r="CV401" s="43" t="str">
        <f t="shared" si="257"/>
        <v/>
      </c>
      <c r="CW401" s="43" t="str">
        <f t="shared" si="258"/>
        <v/>
      </c>
      <c r="CX401" s="13"/>
    </row>
    <row r="402" spans="1:102" x14ac:dyDescent="0.25">
      <c r="A402" s="31"/>
      <c r="B402" s="13"/>
      <c r="C402" s="13"/>
      <c r="D402" s="13"/>
      <c r="E402" s="32"/>
      <c r="F402" s="32"/>
      <c r="G402" s="32"/>
      <c r="H402" s="32"/>
      <c r="I402" s="32"/>
      <c r="J402" s="13"/>
      <c r="K402" s="33"/>
      <c r="L402" s="34" t="str">
        <f>IFERROR(INDEX('Pokemon Data'!A:A,MATCH($A402,'Pokemon Data'!$B:$B,0)),"")</f>
        <v/>
      </c>
      <c r="M402" s="34" t="str">
        <f>IFERROR(INDEX('Pokemon Data'!I:I,MATCH($A402,'Pokemon Data'!$B:$B,0)),"")</f>
        <v/>
      </c>
      <c r="N402" s="34" t="str">
        <f>IFERROR(INDEX('Pokemon Data'!J:J,MATCH($A402,'Pokemon Data'!$B:$B,0)),"")</f>
        <v/>
      </c>
      <c r="O402" s="34" t="str">
        <f>IFERROR(INDEX('Pokemon Data'!K:K,MATCH($A402,'Pokemon Data'!$B:$B,0)),"")</f>
        <v/>
      </c>
      <c r="P402" s="35" t="str">
        <f>IFERROR(INDEX('Level Multipliers'!$A:$A,MATCH($D402,'Level Multipliers'!$B:$B,0)),"")</f>
        <v/>
      </c>
      <c r="Q402" s="36" t="str">
        <f>IFERROR(INDEX('Level Multipliers'!$D:$D,MATCH(P402,'Level Multipliers'!$A:$A,0)),"")</f>
        <v/>
      </c>
      <c r="R402" s="37" t="str">
        <f t="shared" si="222"/>
        <v/>
      </c>
      <c r="S402" s="37" t="str">
        <f t="shared" si="223"/>
        <v/>
      </c>
      <c r="T402" s="38" t="str">
        <f t="shared" si="224"/>
        <v/>
      </c>
      <c r="U402" s="38" t="str">
        <f t="shared" si="225"/>
        <v/>
      </c>
      <c r="V402" s="38" t="b">
        <f t="shared" si="226"/>
        <v>1</v>
      </c>
      <c r="W402" s="37" t="str">
        <f t="array" ref="W402:AG402">IF(V402,"",IVSolution($M402,$N402,$O402,R402,S402,T402,U402,$E402,$F402,$G402,$H402,$I402))</f>
        <v/>
      </c>
      <c r="X402" s="37" t="str">
        <v/>
      </c>
      <c r="Y402" s="37" t="str">
        <v/>
      </c>
      <c r="Z402" s="39" t="str">
        <v/>
      </c>
      <c r="AA402" s="39" t="str">
        <v/>
      </c>
      <c r="AB402" s="37" t="str">
        <v/>
      </c>
      <c r="AC402" s="37" t="str">
        <v/>
      </c>
      <c r="AD402" s="37" t="str">
        <v/>
      </c>
      <c r="AE402" s="37" t="str">
        <v/>
      </c>
      <c r="AF402" s="37" t="str">
        <v/>
      </c>
      <c r="AG402" s="37" t="str">
        <v/>
      </c>
      <c r="AH402" s="40" t="str">
        <f t="shared" si="227"/>
        <v/>
      </c>
      <c r="AI402" s="36" t="str">
        <f>IFERROR(INDEX('Level Multipliers'!$D:$D,MATCH(AH402,'Level Multipliers'!$A:$A,0)),"")</f>
        <v/>
      </c>
      <c r="AJ402" s="37" t="str">
        <f t="shared" si="228"/>
        <v/>
      </c>
      <c r="AK402" s="37" t="str">
        <f t="shared" si="229"/>
        <v/>
      </c>
      <c r="AL402" s="38" t="str">
        <f t="shared" si="230"/>
        <v/>
      </c>
      <c r="AM402" s="38" t="str">
        <f t="shared" si="231"/>
        <v/>
      </c>
      <c r="AN402" s="38" t="b">
        <f t="shared" si="232"/>
        <v>1</v>
      </c>
      <c r="AO402" s="37" t="str">
        <f t="array" ref="AO402:AY402">IF(AN402,"",IVSolution($M402,$N402,$O402,AJ402,AK402,AL402,AM402,$E402,$F402,$G402,$H402,$I402))</f>
        <v/>
      </c>
      <c r="AP402" s="37" t="str">
        <v/>
      </c>
      <c r="AQ402" s="37" t="str">
        <v/>
      </c>
      <c r="AR402" s="39" t="str">
        <v/>
      </c>
      <c r="AS402" s="39" t="str">
        <v/>
      </c>
      <c r="AT402" s="37" t="str">
        <v/>
      </c>
      <c r="AU402" s="37" t="str">
        <v/>
      </c>
      <c r="AV402" s="37" t="str">
        <v/>
      </c>
      <c r="AW402" s="37" t="str">
        <v/>
      </c>
      <c r="AX402" s="37" t="str">
        <v/>
      </c>
      <c r="AY402" s="37" t="str">
        <v/>
      </c>
      <c r="AZ402" s="40" t="str">
        <f t="shared" si="233"/>
        <v/>
      </c>
      <c r="BA402" s="36" t="str">
        <f>IFERROR(INDEX('Level Multipliers'!$D:$D,MATCH(AZ402,'Level Multipliers'!$A:$A,0)),"")</f>
        <v/>
      </c>
      <c r="BB402" s="37" t="str">
        <f t="shared" si="234"/>
        <v/>
      </c>
      <c r="BC402" s="37" t="str">
        <f t="shared" si="235"/>
        <v/>
      </c>
      <c r="BD402" s="38" t="str">
        <f t="shared" si="236"/>
        <v/>
      </c>
      <c r="BE402" s="38" t="str">
        <f t="shared" si="237"/>
        <v/>
      </c>
      <c r="BF402" s="38" t="b">
        <f t="shared" si="238"/>
        <v>1</v>
      </c>
      <c r="BG402" s="37" t="str">
        <f t="array" ref="BG402:BQ402">IF(BF402,"",IVSolution($M402,$N402,$O402,BB402,BC402,BD402,BE402,$E402,$F402,$G402,$H402,$I402))</f>
        <v/>
      </c>
      <c r="BH402" s="37" t="str">
        <v/>
      </c>
      <c r="BI402" s="37" t="str">
        <v/>
      </c>
      <c r="BJ402" s="39" t="str">
        <v/>
      </c>
      <c r="BK402" s="39" t="str">
        <v/>
      </c>
      <c r="BL402" s="37" t="str">
        <v/>
      </c>
      <c r="BM402" s="37" t="str">
        <v/>
      </c>
      <c r="BN402" s="37" t="str">
        <v/>
      </c>
      <c r="BO402" s="37" t="str">
        <v/>
      </c>
      <c r="BP402" s="37" t="str">
        <v/>
      </c>
      <c r="BQ402" s="37" t="str">
        <v/>
      </c>
      <c r="BR402" s="40" t="str">
        <f t="shared" si="239"/>
        <v/>
      </c>
      <c r="BS402" s="36" t="str">
        <f>IFERROR(INDEX('Level Multipliers'!$D:$D,MATCH(BR402,'Level Multipliers'!$A:$A,0)),"")</f>
        <v/>
      </c>
      <c r="BT402" s="37" t="str">
        <f t="shared" si="240"/>
        <v/>
      </c>
      <c r="BU402" s="37" t="str">
        <f t="shared" si="241"/>
        <v/>
      </c>
      <c r="BV402" s="38" t="str">
        <f t="shared" si="242"/>
        <v/>
      </c>
      <c r="BW402" s="38" t="str">
        <f t="shared" si="243"/>
        <v/>
      </c>
      <c r="BX402" s="38" t="b">
        <f t="shared" si="244"/>
        <v>1</v>
      </c>
      <c r="BY402" s="37" t="str">
        <f t="array" ref="BY402:CI402">IF(BX402,"",IVSolution($M402,$N402,$O402,BT402,BU402,BV402,BW402,$E402,$F402,$G402,$H402,$I402))</f>
        <v/>
      </c>
      <c r="BZ402" s="37" t="str">
        <v/>
      </c>
      <c r="CA402" s="37" t="str">
        <v/>
      </c>
      <c r="CB402" s="39" t="str">
        <v/>
      </c>
      <c r="CC402" s="39" t="str">
        <v/>
      </c>
      <c r="CD402" s="37" t="str">
        <v/>
      </c>
      <c r="CE402" s="37" t="str">
        <v/>
      </c>
      <c r="CF402" s="37" t="str">
        <v/>
      </c>
      <c r="CG402" s="37" t="str">
        <v/>
      </c>
      <c r="CH402" s="37" t="str">
        <v/>
      </c>
      <c r="CI402" s="37" t="str">
        <v/>
      </c>
      <c r="CJ402" s="41" t="str">
        <f t="shared" si="245"/>
        <v/>
      </c>
      <c r="CK402" s="41" t="str">
        <f t="shared" si="246"/>
        <v/>
      </c>
      <c r="CL402" s="66" t="str">
        <f t="shared" si="247"/>
        <v/>
      </c>
      <c r="CM402" s="39" t="str">
        <f t="shared" si="248"/>
        <v/>
      </c>
      <c r="CN402" s="39" t="str">
        <f t="shared" si="249"/>
        <v/>
      </c>
      <c r="CO402" s="42" t="str">
        <f t="shared" si="250"/>
        <v/>
      </c>
      <c r="CP402" s="42" t="str">
        <f t="shared" si="251"/>
        <v/>
      </c>
      <c r="CQ402" s="42" t="str">
        <f t="shared" si="252"/>
        <v/>
      </c>
      <c r="CR402" s="42" t="str">
        <f t="shared" si="253"/>
        <v/>
      </c>
      <c r="CS402" s="42" t="str">
        <f t="shared" si="254"/>
        <v/>
      </c>
      <c r="CT402" s="42" t="str">
        <f t="shared" si="255"/>
        <v/>
      </c>
      <c r="CU402" s="43" t="str">
        <f t="shared" si="256"/>
        <v/>
      </c>
      <c r="CV402" s="43" t="str">
        <f t="shared" si="257"/>
        <v/>
      </c>
      <c r="CW402" s="43" t="str">
        <f t="shared" si="258"/>
        <v/>
      </c>
      <c r="CX402" s="13"/>
    </row>
    <row r="403" spans="1:102" x14ac:dyDescent="0.25">
      <c r="A403" s="31"/>
      <c r="B403" s="13"/>
      <c r="C403" s="13"/>
      <c r="D403" s="13"/>
      <c r="E403" s="32"/>
      <c r="F403" s="32"/>
      <c r="G403" s="32"/>
      <c r="H403" s="32"/>
      <c r="I403" s="32"/>
      <c r="J403" s="13"/>
      <c r="K403" s="33"/>
      <c r="L403" s="34" t="str">
        <f>IFERROR(INDEX('Pokemon Data'!A:A,MATCH($A403,'Pokemon Data'!$B:$B,0)),"")</f>
        <v/>
      </c>
      <c r="M403" s="34" t="str">
        <f>IFERROR(INDEX('Pokemon Data'!I:I,MATCH($A403,'Pokemon Data'!$B:$B,0)),"")</f>
        <v/>
      </c>
      <c r="N403" s="34" t="str">
        <f>IFERROR(INDEX('Pokemon Data'!J:J,MATCH($A403,'Pokemon Data'!$B:$B,0)),"")</f>
        <v/>
      </c>
      <c r="O403" s="34" t="str">
        <f>IFERROR(INDEX('Pokemon Data'!K:K,MATCH($A403,'Pokemon Data'!$B:$B,0)),"")</f>
        <v/>
      </c>
      <c r="P403" s="35" t="str">
        <f>IFERROR(INDEX('Level Multipliers'!$A:$A,MATCH($D403,'Level Multipliers'!$B:$B,0)),"")</f>
        <v/>
      </c>
      <c r="Q403" s="36" t="str">
        <f>IFERROR(INDEX('Level Multipliers'!$D:$D,MATCH(P403,'Level Multipliers'!$A:$A,0)),"")</f>
        <v/>
      </c>
      <c r="R403" s="37" t="str">
        <f t="shared" si="222"/>
        <v/>
      </c>
      <c r="S403" s="37" t="str">
        <f t="shared" si="223"/>
        <v/>
      </c>
      <c r="T403" s="38" t="str">
        <f t="shared" si="224"/>
        <v/>
      </c>
      <c r="U403" s="38" t="str">
        <f t="shared" si="225"/>
        <v/>
      </c>
      <c r="V403" s="38" t="b">
        <f t="shared" si="226"/>
        <v>1</v>
      </c>
      <c r="W403" s="37" t="str">
        <f t="array" ref="W403:AG403">IF(V403,"",IVSolution($M403,$N403,$O403,R403,S403,T403,U403,$E403,$F403,$G403,$H403,$I403))</f>
        <v/>
      </c>
      <c r="X403" s="37" t="str">
        <v/>
      </c>
      <c r="Y403" s="37" t="str">
        <v/>
      </c>
      <c r="Z403" s="39" t="str">
        <v/>
      </c>
      <c r="AA403" s="39" t="str">
        <v/>
      </c>
      <c r="AB403" s="37" t="str">
        <v/>
      </c>
      <c r="AC403" s="37" t="str">
        <v/>
      </c>
      <c r="AD403" s="37" t="str">
        <v/>
      </c>
      <c r="AE403" s="37" t="str">
        <v/>
      </c>
      <c r="AF403" s="37" t="str">
        <v/>
      </c>
      <c r="AG403" s="37" t="str">
        <v/>
      </c>
      <c r="AH403" s="40" t="str">
        <f t="shared" si="227"/>
        <v/>
      </c>
      <c r="AI403" s="36" t="str">
        <f>IFERROR(INDEX('Level Multipliers'!$D:$D,MATCH(AH403,'Level Multipliers'!$A:$A,0)),"")</f>
        <v/>
      </c>
      <c r="AJ403" s="37" t="str">
        <f t="shared" si="228"/>
        <v/>
      </c>
      <c r="AK403" s="37" t="str">
        <f t="shared" si="229"/>
        <v/>
      </c>
      <c r="AL403" s="38" t="str">
        <f t="shared" si="230"/>
        <v/>
      </c>
      <c r="AM403" s="38" t="str">
        <f t="shared" si="231"/>
        <v/>
      </c>
      <c r="AN403" s="38" t="b">
        <f t="shared" si="232"/>
        <v>1</v>
      </c>
      <c r="AO403" s="37" t="str">
        <f t="array" ref="AO403:AY403">IF(AN403,"",IVSolution($M403,$N403,$O403,AJ403,AK403,AL403,AM403,$E403,$F403,$G403,$H403,$I403))</f>
        <v/>
      </c>
      <c r="AP403" s="37" t="str">
        <v/>
      </c>
      <c r="AQ403" s="37" t="str">
        <v/>
      </c>
      <c r="AR403" s="39" t="str">
        <v/>
      </c>
      <c r="AS403" s="39" t="str">
        <v/>
      </c>
      <c r="AT403" s="37" t="str">
        <v/>
      </c>
      <c r="AU403" s="37" t="str">
        <v/>
      </c>
      <c r="AV403" s="37" t="str">
        <v/>
      </c>
      <c r="AW403" s="37" t="str">
        <v/>
      </c>
      <c r="AX403" s="37" t="str">
        <v/>
      </c>
      <c r="AY403" s="37" t="str">
        <v/>
      </c>
      <c r="AZ403" s="40" t="str">
        <f t="shared" si="233"/>
        <v/>
      </c>
      <c r="BA403" s="36" t="str">
        <f>IFERROR(INDEX('Level Multipliers'!$D:$D,MATCH(AZ403,'Level Multipliers'!$A:$A,0)),"")</f>
        <v/>
      </c>
      <c r="BB403" s="37" t="str">
        <f t="shared" si="234"/>
        <v/>
      </c>
      <c r="BC403" s="37" t="str">
        <f t="shared" si="235"/>
        <v/>
      </c>
      <c r="BD403" s="38" t="str">
        <f t="shared" si="236"/>
        <v/>
      </c>
      <c r="BE403" s="38" t="str">
        <f t="shared" si="237"/>
        <v/>
      </c>
      <c r="BF403" s="38" t="b">
        <f t="shared" si="238"/>
        <v>1</v>
      </c>
      <c r="BG403" s="37" t="str">
        <f t="array" ref="BG403:BQ403">IF(BF403,"",IVSolution($M403,$N403,$O403,BB403,BC403,BD403,BE403,$E403,$F403,$G403,$H403,$I403))</f>
        <v/>
      </c>
      <c r="BH403" s="37" t="str">
        <v/>
      </c>
      <c r="BI403" s="37" t="str">
        <v/>
      </c>
      <c r="BJ403" s="39" t="str">
        <v/>
      </c>
      <c r="BK403" s="39" t="str">
        <v/>
      </c>
      <c r="BL403" s="37" t="str">
        <v/>
      </c>
      <c r="BM403" s="37" t="str">
        <v/>
      </c>
      <c r="BN403" s="37" t="str">
        <v/>
      </c>
      <c r="BO403" s="37" t="str">
        <v/>
      </c>
      <c r="BP403" s="37" t="str">
        <v/>
      </c>
      <c r="BQ403" s="37" t="str">
        <v/>
      </c>
      <c r="BR403" s="40" t="str">
        <f t="shared" si="239"/>
        <v/>
      </c>
      <c r="BS403" s="36" t="str">
        <f>IFERROR(INDEX('Level Multipliers'!$D:$D,MATCH(BR403,'Level Multipliers'!$A:$A,0)),"")</f>
        <v/>
      </c>
      <c r="BT403" s="37" t="str">
        <f t="shared" si="240"/>
        <v/>
      </c>
      <c r="BU403" s="37" t="str">
        <f t="shared" si="241"/>
        <v/>
      </c>
      <c r="BV403" s="38" t="str">
        <f t="shared" si="242"/>
        <v/>
      </c>
      <c r="BW403" s="38" t="str">
        <f t="shared" si="243"/>
        <v/>
      </c>
      <c r="BX403" s="38" t="b">
        <f t="shared" si="244"/>
        <v>1</v>
      </c>
      <c r="BY403" s="37" t="str">
        <f t="array" ref="BY403:CI403">IF(BX403,"",IVSolution($M403,$N403,$O403,BT403,BU403,BV403,BW403,$E403,$F403,$G403,$H403,$I403))</f>
        <v/>
      </c>
      <c r="BZ403" s="37" t="str">
        <v/>
      </c>
      <c r="CA403" s="37" t="str">
        <v/>
      </c>
      <c r="CB403" s="39" t="str">
        <v/>
      </c>
      <c r="CC403" s="39" t="str">
        <v/>
      </c>
      <c r="CD403" s="37" t="str">
        <v/>
      </c>
      <c r="CE403" s="37" t="str">
        <v/>
      </c>
      <c r="CF403" s="37" t="str">
        <v/>
      </c>
      <c r="CG403" s="37" t="str">
        <v/>
      </c>
      <c r="CH403" s="37" t="str">
        <v/>
      </c>
      <c r="CI403" s="37" t="str">
        <v/>
      </c>
      <c r="CJ403" s="41" t="str">
        <f t="shared" si="245"/>
        <v/>
      </c>
      <c r="CK403" s="41" t="str">
        <f t="shared" si="246"/>
        <v/>
      </c>
      <c r="CL403" s="66" t="str">
        <f t="shared" si="247"/>
        <v/>
      </c>
      <c r="CM403" s="39" t="str">
        <f t="shared" si="248"/>
        <v/>
      </c>
      <c r="CN403" s="39" t="str">
        <f t="shared" si="249"/>
        <v/>
      </c>
      <c r="CO403" s="42" t="str">
        <f t="shared" si="250"/>
        <v/>
      </c>
      <c r="CP403" s="42" t="str">
        <f t="shared" si="251"/>
        <v/>
      </c>
      <c r="CQ403" s="42" t="str">
        <f t="shared" si="252"/>
        <v/>
      </c>
      <c r="CR403" s="42" t="str">
        <f t="shared" si="253"/>
        <v/>
      </c>
      <c r="CS403" s="42" t="str">
        <f t="shared" si="254"/>
        <v/>
      </c>
      <c r="CT403" s="42" t="str">
        <f t="shared" si="255"/>
        <v/>
      </c>
      <c r="CU403" s="43" t="str">
        <f t="shared" si="256"/>
        <v/>
      </c>
      <c r="CV403" s="43" t="str">
        <f t="shared" si="257"/>
        <v/>
      </c>
      <c r="CW403" s="43" t="str">
        <f t="shared" si="258"/>
        <v/>
      </c>
      <c r="CX403" s="13"/>
    </row>
    <row r="404" spans="1:102" x14ac:dyDescent="0.25">
      <c r="A404" s="31"/>
      <c r="B404" s="13"/>
      <c r="C404" s="13"/>
      <c r="D404" s="13"/>
      <c r="E404" s="32"/>
      <c r="F404" s="32"/>
      <c r="G404" s="32"/>
      <c r="H404" s="32"/>
      <c r="I404" s="32"/>
      <c r="J404" s="13"/>
      <c r="K404" s="33"/>
      <c r="L404" s="34" t="str">
        <f>IFERROR(INDEX('Pokemon Data'!A:A,MATCH($A404,'Pokemon Data'!$B:$B,0)),"")</f>
        <v/>
      </c>
      <c r="M404" s="34" t="str">
        <f>IFERROR(INDEX('Pokemon Data'!I:I,MATCH($A404,'Pokemon Data'!$B:$B,0)),"")</f>
        <v/>
      </c>
      <c r="N404" s="34" t="str">
        <f>IFERROR(INDEX('Pokemon Data'!J:J,MATCH($A404,'Pokemon Data'!$B:$B,0)),"")</f>
        <v/>
      </c>
      <c r="O404" s="34" t="str">
        <f>IFERROR(INDEX('Pokemon Data'!K:K,MATCH($A404,'Pokemon Data'!$B:$B,0)),"")</f>
        <v/>
      </c>
      <c r="P404" s="35" t="str">
        <f>IFERROR(INDEX('Level Multipliers'!$A:$A,MATCH($D404,'Level Multipliers'!$B:$B,0)),"")</f>
        <v/>
      </c>
      <c r="Q404" s="36" t="str">
        <f>IFERROR(INDEX('Level Multipliers'!$D:$D,MATCH(P404,'Level Multipliers'!$A:$A,0)),"")</f>
        <v/>
      </c>
      <c r="R404" s="37" t="str">
        <f t="shared" si="222"/>
        <v/>
      </c>
      <c r="S404" s="37" t="str">
        <f t="shared" si="223"/>
        <v/>
      </c>
      <c r="T404" s="38" t="str">
        <f t="shared" si="224"/>
        <v/>
      </c>
      <c r="U404" s="38" t="str">
        <f t="shared" si="225"/>
        <v/>
      </c>
      <c r="V404" s="38" t="b">
        <f t="shared" si="226"/>
        <v>1</v>
      </c>
      <c r="W404" s="37" t="str">
        <f t="array" ref="W404:AG404">IF(V404,"",IVSolution($M404,$N404,$O404,R404,S404,T404,U404,$E404,$F404,$G404,$H404,$I404))</f>
        <v/>
      </c>
      <c r="X404" s="37" t="str">
        <v/>
      </c>
      <c r="Y404" s="37" t="str">
        <v/>
      </c>
      <c r="Z404" s="39" t="str">
        <v/>
      </c>
      <c r="AA404" s="39" t="str">
        <v/>
      </c>
      <c r="AB404" s="37" t="str">
        <v/>
      </c>
      <c r="AC404" s="37" t="str">
        <v/>
      </c>
      <c r="AD404" s="37" t="str">
        <v/>
      </c>
      <c r="AE404" s="37" t="str">
        <v/>
      </c>
      <c r="AF404" s="37" t="str">
        <v/>
      </c>
      <c r="AG404" s="37" t="str">
        <v/>
      </c>
      <c r="AH404" s="40" t="str">
        <f t="shared" si="227"/>
        <v/>
      </c>
      <c r="AI404" s="36" t="str">
        <f>IFERROR(INDEX('Level Multipliers'!$D:$D,MATCH(AH404,'Level Multipliers'!$A:$A,0)),"")</f>
        <v/>
      </c>
      <c r="AJ404" s="37" t="str">
        <f t="shared" si="228"/>
        <v/>
      </c>
      <c r="AK404" s="37" t="str">
        <f t="shared" si="229"/>
        <v/>
      </c>
      <c r="AL404" s="38" t="str">
        <f t="shared" si="230"/>
        <v/>
      </c>
      <c r="AM404" s="38" t="str">
        <f t="shared" si="231"/>
        <v/>
      </c>
      <c r="AN404" s="38" t="b">
        <f t="shared" si="232"/>
        <v>1</v>
      </c>
      <c r="AO404" s="37" t="str">
        <f t="array" ref="AO404:AY404">IF(AN404,"",IVSolution($M404,$N404,$O404,AJ404,AK404,AL404,AM404,$E404,$F404,$G404,$H404,$I404))</f>
        <v/>
      </c>
      <c r="AP404" s="37" t="str">
        <v/>
      </c>
      <c r="AQ404" s="37" t="str">
        <v/>
      </c>
      <c r="AR404" s="39" t="str">
        <v/>
      </c>
      <c r="AS404" s="39" t="str">
        <v/>
      </c>
      <c r="AT404" s="37" t="str">
        <v/>
      </c>
      <c r="AU404" s="37" t="str">
        <v/>
      </c>
      <c r="AV404" s="37" t="str">
        <v/>
      </c>
      <c r="AW404" s="37" t="str">
        <v/>
      </c>
      <c r="AX404" s="37" t="str">
        <v/>
      </c>
      <c r="AY404" s="37" t="str">
        <v/>
      </c>
      <c r="AZ404" s="40" t="str">
        <f t="shared" si="233"/>
        <v/>
      </c>
      <c r="BA404" s="36" t="str">
        <f>IFERROR(INDEX('Level Multipliers'!$D:$D,MATCH(AZ404,'Level Multipliers'!$A:$A,0)),"")</f>
        <v/>
      </c>
      <c r="BB404" s="37" t="str">
        <f t="shared" si="234"/>
        <v/>
      </c>
      <c r="BC404" s="37" t="str">
        <f t="shared" si="235"/>
        <v/>
      </c>
      <c r="BD404" s="38" t="str">
        <f t="shared" si="236"/>
        <v/>
      </c>
      <c r="BE404" s="38" t="str">
        <f t="shared" si="237"/>
        <v/>
      </c>
      <c r="BF404" s="38" t="b">
        <f t="shared" si="238"/>
        <v>1</v>
      </c>
      <c r="BG404" s="37" t="str">
        <f t="array" ref="BG404:BQ404">IF(BF404,"",IVSolution($M404,$N404,$O404,BB404,BC404,BD404,BE404,$E404,$F404,$G404,$H404,$I404))</f>
        <v/>
      </c>
      <c r="BH404" s="37" t="str">
        <v/>
      </c>
      <c r="BI404" s="37" t="str">
        <v/>
      </c>
      <c r="BJ404" s="39" t="str">
        <v/>
      </c>
      <c r="BK404" s="39" t="str">
        <v/>
      </c>
      <c r="BL404" s="37" t="str">
        <v/>
      </c>
      <c r="BM404" s="37" t="str">
        <v/>
      </c>
      <c r="BN404" s="37" t="str">
        <v/>
      </c>
      <c r="BO404" s="37" t="str">
        <v/>
      </c>
      <c r="BP404" s="37" t="str">
        <v/>
      </c>
      <c r="BQ404" s="37" t="str">
        <v/>
      </c>
      <c r="BR404" s="40" t="str">
        <f t="shared" si="239"/>
        <v/>
      </c>
      <c r="BS404" s="36" t="str">
        <f>IFERROR(INDEX('Level Multipliers'!$D:$D,MATCH(BR404,'Level Multipliers'!$A:$A,0)),"")</f>
        <v/>
      </c>
      <c r="BT404" s="37" t="str">
        <f t="shared" si="240"/>
        <v/>
      </c>
      <c r="BU404" s="37" t="str">
        <f t="shared" si="241"/>
        <v/>
      </c>
      <c r="BV404" s="38" t="str">
        <f t="shared" si="242"/>
        <v/>
      </c>
      <c r="BW404" s="38" t="str">
        <f t="shared" si="243"/>
        <v/>
      </c>
      <c r="BX404" s="38" t="b">
        <f t="shared" si="244"/>
        <v>1</v>
      </c>
      <c r="BY404" s="37" t="str">
        <f t="array" ref="BY404:CI404">IF(BX404,"",IVSolution($M404,$N404,$O404,BT404,BU404,BV404,BW404,$E404,$F404,$G404,$H404,$I404))</f>
        <v/>
      </c>
      <c r="BZ404" s="37" t="str">
        <v/>
      </c>
      <c r="CA404" s="37" t="str">
        <v/>
      </c>
      <c r="CB404" s="39" t="str">
        <v/>
      </c>
      <c r="CC404" s="39" t="str">
        <v/>
      </c>
      <c r="CD404" s="37" t="str">
        <v/>
      </c>
      <c r="CE404" s="37" t="str">
        <v/>
      </c>
      <c r="CF404" s="37" t="str">
        <v/>
      </c>
      <c r="CG404" s="37" t="str">
        <v/>
      </c>
      <c r="CH404" s="37" t="str">
        <v/>
      </c>
      <c r="CI404" s="37" t="str">
        <v/>
      </c>
      <c r="CJ404" s="41" t="str">
        <f t="shared" si="245"/>
        <v/>
      </c>
      <c r="CK404" s="41" t="str">
        <f t="shared" si="246"/>
        <v/>
      </c>
      <c r="CL404" s="66" t="str">
        <f t="shared" si="247"/>
        <v/>
      </c>
      <c r="CM404" s="39" t="str">
        <f t="shared" si="248"/>
        <v/>
      </c>
      <c r="CN404" s="39" t="str">
        <f t="shared" si="249"/>
        <v/>
      </c>
      <c r="CO404" s="42" t="str">
        <f t="shared" si="250"/>
        <v/>
      </c>
      <c r="CP404" s="42" t="str">
        <f t="shared" si="251"/>
        <v/>
      </c>
      <c r="CQ404" s="42" t="str">
        <f t="shared" si="252"/>
        <v/>
      </c>
      <c r="CR404" s="42" t="str">
        <f t="shared" si="253"/>
        <v/>
      </c>
      <c r="CS404" s="42" t="str">
        <f t="shared" si="254"/>
        <v/>
      </c>
      <c r="CT404" s="42" t="str">
        <f t="shared" si="255"/>
        <v/>
      </c>
      <c r="CU404" s="43" t="str">
        <f t="shared" si="256"/>
        <v/>
      </c>
      <c r="CV404" s="43" t="str">
        <f t="shared" si="257"/>
        <v/>
      </c>
      <c r="CW404" s="43" t="str">
        <f t="shared" si="258"/>
        <v/>
      </c>
      <c r="CX404" s="13"/>
    </row>
    <row r="405" spans="1:102" x14ac:dyDescent="0.25">
      <c r="A405" s="31"/>
      <c r="B405" s="13"/>
      <c r="C405" s="13"/>
      <c r="D405" s="13"/>
      <c r="E405" s="32"/>
      <c r="F405" s="32"/>
      <c r="G405" s="32"/>
      <c r="H405" s="32"/>
      <c r="I405" s="32"/>
      <c r="J405" s="13"/>
      <c r="K405" s="33"/>
      <c r="L405" s="34" t="str">
        <f>IFERROR(INDEX('Pokemon Data'!A:A,MATCH($A405,'Pokemon Data'!$B:$B,0)),"")</f>
        <v/>
      </c>
      <c r="M405" s="34" t="str">
        <f>IFERROR(INDEX('Pokemon Data'!I:I,MATCH($A405,'Pokemon Data'!$B:$B,0)),"")</f>
        <v/>
      </c>
      <c r="N405" s="34" t="str">
        <f>IFERROR(INDEX('Pokemon Data'!J:J,MATCH($A405,'Pokemon Data'!$B:$B,0)),"")</f>
        <v/>
      </c>
      <c r="O405" s="34" t="str">
        <f>IFERROR(INDEX('Pokemon Data'!K:K,MATCH($A405,'Pokemon Data'!$B:$B,0)),"")</f>
        <v/>
      </c>
      <c r="P405" s="35" t="str">
        <f>IFERROR(INDEX('Level Multipliers'!$A:$A,MATCH($D405,'Level Multipliers'!$B:$B,0)),"")</f>
        <v/>
      </c>
      <c r="Q405" s="36" t="str">
        <f>IFERROR(INDEX('Level Multipliers'!$D:$D,MATCH(P405,'Level Multipliers'!$A:$A,0)),"")</f>
        <v/>
      </c>
      <c r="R405" s="37" t="str">
        <f t="shared" si="222"/>
        <v/>
      </c>
      <c r="S405" s="37" t="str">
        <f t="shared" si="223"/>
        <v/>
      </c>
      <c r="T405" s="38" t="str">
        <f t="shared" si="224"/>
        <v/>
      </c>
      <c r="U405" s="38" t="str">
        <f t="shared" si="225"/>
        <v/>
      </c>
      <c r="V405" s="38" t="b">
        <f t="shared" si="226"/>
        <v>1</v>
      </c>
      <c r="W405" s="37" t="str">
        <f t="array" ref="W405:AG405">IF(V405,"",IVSolution($M405,$N405,$O405,R405,S405,T405,U405,$E405,$F405,$G405,$H405,$I405))</f>
        <v/>
      </c>
      <c r="X405" s="37" t="str">
        <v/>
      </c>
      <c r="Y405" s="37" t="str">
        <v/>
      </c>
      <c r="Z405" s="39" t="str">
        <v/>
      </c>
      <c r="AA405" s="39" t="str">
        <v/>
      </c>
      <c r="AB405" s="37" t="str">
        <v/>
      </c>
      <c r="AC405" s="37" t="str">
        <v/>
      </c>
      <c r="AD405" s="37" t="str">
        <v/>
      </c>
      <c r="AE405" s="37" t="str">
        <v/>
      </c>
      <c r="AF405" s="37" t="str">
        <v/>
      </c>
      <c r="AG405" s="37" t="str">
        <v/>
      </c>
      <c r="AH405" s="40" t="str">
        <f t="shared" si="227"/>
        <v/>
      </c>
      <c r="AI405" s="36" t="str">
        <f>IFERROR(INDEX('Level Multipliers'!$D:$D,MATCH(AH405,'Level Multipliers'!$A:$A,0)),"")</f>
        <v/>
      </c>
      <c r="AJ405" s="37" t="str">
        <f t="shared" si="228"/>
        <v/>
      </c>
      <c r="AK405" s="37" t="str">
        <f t="shared" si="229"/>
        <v/>
      </c>
      <c r="AL405" s="38" t="str">
        <f t="shared" si="230"/>
        <v/>
      </c>
      <c r="AM405" s="38" t="str">
        <f t="shared" si="231"/>
        <v/>
      </c>
      <c r="AN405" s="38" t="b">
        <f t="shared" si="232"/>
        <v>1</v>
      </c>
      <c r="AO405" s="37" t="str">
        <f t="array" ref="AO405:AY405">IF(AN405,"",IVSolution($M405,$N405,$O405,AJ405,AK405,AL405,AM405,$E405,$F405,$G405,$H405,$I405))</f>
        <v/>
      </c>
      <c r="AP405" s="37" t="str">
        <v/>
      </c>
      <c r="AQ405" s="37" t="str">
        <v/>
      </c>
      <c r="AR405" s="39" t="str">
        <v/>
      </c>
      <c r="AS405" s="39" t="str">
        <v/>
      </c>
      <c r="AT405" s="37" t="str">
        <v/>
      </c>
      <c r="AU405" s="37" t="str">
        <v/>
      </c>
      <c r="AV405" s="37" t="str">
        <v/>
      </c>
      <c r="AW405" s="37" t="str">
        <v/>
      </c>
      <c r="AX405" s="37" t="str">
        <v/>
      </c>
      <c r="AY405" s="37" t="str">
        <v/>
      </c>
      <c r="AZ405" s="40" t="str">
        <f t="shared" si="233"/>
        <v/>
      </c>
      <c r="BA405" s="36" t="str">
        <f>IFERROR(INDEX('Level Multipliers'!$D:$D,MATCH(AZ405,'Level Multipliers'!$A:$A,0)),"")</f>
        <v/>
      </c>
      <c r="BB405" s="37" t="str">
        <f t="shared" si="234"/>
        <v/>
      </c>
      <c r="BC405" s="37" t="str">
        <f t="shared" si="235"/>
        <v/>
      </c>
      <c r="BD405" s="38" t="str">
        <f t="shared" si="236"/>
        <v/>
      </c>
      <c r="BE405" s="38" t="str">
        <f t="shared" si="237"/>
        <v/>
      </c>
      <c r="BF405" s="38" t="b">
        <f t="shared" si="238"/>
        <v>1</v>
      </c>
      <c r="BG405" s="37" t="str">
        <f t="array" ref="BG405:BQ405">IF(BF405,"",IVSolution($M405,$N405,$O405,BB405,BC405,BD405,BE405,$E405,$F405,$G405,$H405,$I405))</f>
        <v/>
      </c>
      <c r="BH405" s="37" t="str">
        <v/>
      </c>
      <c r="BI405" s="37" t="str">
        <v/>
      </c>
      <c r="BJ405" s="39" t="str">
        <v/>
      </c>
      <c r="BK405" s="39" t="str">
        <v/>
      </c>
      <c r="BL405" s="37" t="str">
        <v/>
      </c>
      <c r="BM405" s="37" t="str">
        <v/>
      </c>
      <c r="BN405" s="37" t="str">
        <v/>
      </c>
      <c r="BO405" s="37" t="str">
        <v/>
      </c>
      <c r="BP405" s="37" t="str">
        <v/>
      </c>
      <c r="BQ405" s="37" t="str">
        <v/>
      </c>
      <c r="BR405" s="40" t="str">
        <f t="shared" si="239"/>
        <v/>
      </c>
      <c r="BS405" s="36" t="str">
        <f>IFERROR(INDEX('Level Multipliers'!$D:$D,MATCH(BR405,'Level Multipliers'!$A:$A,0)),"")</f>
        <v/>
      </c>
      <c r="BT405" s="37" t="str">
        <f t="shared" si="240"/>
        <v/>
      </c>
      <c r="BU405" s="37" t="str">
        <f t="shared" si="241"/>
        <v/>
      </c>
      <c r="BV405" s="38" t="str">
        <f t="shared" si="242"/>
        <v/>
      </c>
      <c r="BW405" s="38" t="str">
        <f t="shared" si="243"/>
        <v/>
      </c>
      <c r="BX405" s="38" t="b">
        <f t="shared" si="244"/>
        <v>1</v>
      </c>
      <c r="BY405" s="37" t="str">
        <f t="array" ref="BY405:CI405">IF(BX405,"",IVSolution($M405,$N405,$O405,BT405,BU405,BV405,BW405,$E405,$F405,$G405,$H405,$I405))</f>
        <v/>
      </c>
      <c r="BZ405" s="37" t="str">
        <v/>
      </c>
      <c r="CA405" s="37" t="str">
        <v/>
      </c>
      <c r="CB405" s="39" t="str">
        <v/>
      </c>
      <c r="CC405" s="39" t="str">
        <v/>
      </c>
      <c r="CD405" s="37" t="str">
        <v/>
      </c>
      <c r="CE405" s="37" t="str">
        <v/>
      </c>
      <c r="CF405" s="37" t="str">
        <v/>
      </c>
      <c r="CG405" s="37" t="str">
        <v/>
      </c>
      <c r="CH405" s="37" t="str">
        <v/>
      </c>
      <c r="CI405" s="37" t="str">
        <v/>
      </c>
      <c r="CJ405" s="41" t="str">
        <f t="shared" si="245"/>
        <v/>
      </c>
      <c r="CK405" s="41" t="str">
        <f t="shared" si="246"/>
        <v/>
      </c>
      <c r="CL405" s="66" t="str">
        <f t="shared" si="247"/>
        <v/>
      </c>
      <c r="CM405" s="39" t="str">
        <f t="shared" si="248"/>
        <v/>
      </c>
      <c r="CN405" s="39" t="str">
        <f t="shared" si="249"/>
        <v/>
      </c>
      <c r="CO405" s="42" t="str">
        <f t="shared" si="250"/>
        <v/>
      </c>
      <c r="CP405" s="42" t="str">
        <f t="shared" si="251"/>
        <v/>
      </c>
      <c r="CQ405" s="42" t="str">
        <f t="shared" si="252"/>
        <v/>
      </c>
      <c r="CR405" s="42" t="str">
        <f t="shared" si="253"/>
        <v/>
      </c>
      <c r="CS405" s="42" t="str">
        <f t="shared" si="254"/>
        <v/>
      </c>
      <c r="CT405" s="42" t="str">
        <f t="shared" si="255"/>
        <v/>
      </c>
      <c r="CU405" s="43" t="str">
        <f t="shared" si="256"/>
        <v/>
      </c>
      <c r="CV405" s="43" t="str">
        <f t="shared" si="257"/>
        <v/>
      </c>
      <c r="CW405" s="43" t="str">
        <f t="shared" si="258"/>
        <v/>
      </c>
      <c r="CX405" s="13"/>
    </row>
    <row r="406" spans="1:102" x14ac:dyDescent="0.25">
      <c r="A406" s="31"/>
      <c r="B406" s="13"/>
      <c r="C406" s="13"/>
      <c r="D406" s="13"/>
      <c r="E406" s="32"/>
      <c r="F406" s="32"/>
      <c r="G406" s="32"/>
      <c r="H406" s="32"/>
      <c r="I406" s="32"/>
      <c r="J406" s="13"/>
      <c r="K406" s="33"/>
      <c r="L406" s="34" t="str">
        <f>IFERROR(INDEX('Pokemon Data'!A:A,MATCH($A406,'Pokemon Data'!$B:$B,0)),"")</f>
        <v/>
      </c>
      <c r="M406" s="34" t="str">
        <f>IFERROR(INDEX('Pokemon Data'!I:I,MATCH($A406,'Pokemon Data'!$B:$B,0)),"")</f>
        <v/>
      </c>
      <c r="N406" s="34" t="str">
        <f>IFERROR(INDEX('Pokemon Data'!J:J,MATCH($A406,'Pokemon Data'!$B:$B,0)),"")</f>
        <v/>
      </c>
      <c r="O406" s="34" t="str">
        <f>IFERROR(INDEX('Pokemon Data'!K:K,MATCH($A406,'Pokemon Data'!$B:$B,0)),"")</f>
        <v/>
      </c>
      <c r="P406" s="35" t="str">
        <f>IFERROR(INDEX('Level Multipliers'!$A:$A,MATCH($D406,'Level Multipliers'!$B:$B,0)),"")</f>
        <v/>
      </c>
      <c r="Q406" s="36" t="str">
        <f>IFERROR(INDEX('Level Multipliers'!$D:$D,MATCH(P406,'Level Multipliers'!$A:$A,0)),"")</f>
        <v/>
      </c>
      <c r="R406" s="37" t="str">
        <f t="shared" si="222"/>
        <v/>
      </c>
      <c r="S406" s="37" t="str">
        <f t="shared" si="223"/>
        <v/>
      </c>
      <c r="T406" s="38" t="str">
        <f t="shared" si="224"/>
        <v/>
      </c>
      <c r="U406" s="38" t="str">
        <f t="shared" si="225"/>
        <v/>
      </c>
      <c r="V406" s="38" t="b">
        <f t="shared" si="226"/>
        <v>1</v>
      </c>
      <c r="W406" s="37" t="str">
        <f t="array" ref="W406:AG406">IF(V406,"",IVSolution($M406,$N406,$O406,R406,S406,T406,U406,$E406,$F406,$G406,$H406,$I406))</f>
        <v/>
      </c>
      <c r="X406" s="37" t="str">
        <v/>
      </c>
      <c r="Y406" s="37" t="str">
        <v/>
      </c>
      <c r="Z406" s="39" t="str">
        <v/>
      </c>
      <c r="AA406" s="39" t="str">
        <v/>
      </c>
      <c r="AB406" s="37" t="str">
        <v/>
      </c>
      <c r="AC406" s="37" t="str">
        <v/>
      </c>
      <c r="AD406" s="37" t="str">
        <v/>
      </c>
      <c r="AE406" s="37" t="str">
        <v/>
      </c>
      <c r="AF406" s="37" t="str">
        <v/>
      </c>
      <c r="AG406" s="37" t="str">
        <v/>
      </c>
      <c r="AH406" s="40" t="str">
        <f t="shared" si="227"/>
        <v/>
      </c>
      <c r="AI406" s="36" t="str">
        <f>IFERROR(INDEX('Level Multipliers'!$D:$D,MATCH(AH406,'Level Multipliers'!$A:$A,0)),"")</f>
        <v/>
      </c>
      <c r="AJ406" s="37" t="str">
        <f t="shared" si="228"/>
        <v/>
      </c>
      <c r="AK406" s="37" t="str">
        <f t="shared" si="229"/>
        <v/>
      </c>
      <c r="AL406" s="38" t="str">
        <f t="shared" si="230"/>
        <v/>
      </c>
      <c r="AM406" s="38" t="str">
        <f t="shared" si="231"/>
        <v/>
      </c>
      <c r="AN406" s="38" t="b">
        <f t="shared" si="232"/>
        <v>1</v>
      </c>
      <c r="AO406" s="37" t="str">
        <f t="array" ref="AO406:AY406">IF(AN406,"",IVSolution($M406,$N406,$O406,AJ406,AK406,AL406,AM406,$E406,$F406,$G406,$H406,$I406))</f>
        <v/>
      </c>
      <c r="AP406" s="37" t="str">
        <v/>
      </c>
      <c r="AQ406" s="37" t="str">
        <v/>
      </c>
      <c r="AR406" s="39" t="str">
        <v/>
      </c>
      <c r="AS406" s="39" t="str">
        <v/>
      </c>
      <c r="AT406" s="37" t="str">
        <v/>
      </c>
      <c r="AU406" s="37" t="str">
        <v/>
      </c>
      <c r="AV406" s="37" t="str">
        <v/>
      </c>
      <c r="AW406" s="37" t="str">
        <v/>
      </c>
      <c r="AX406" s="37" t="str">
        <v/>
      </c>
      <c r="AY406" s="37" t="str">
        <v/>
      </c>
      <c r="AZ406" s="40" t="str">
        <f t="shared" si="233"/>
        <v/>
      </c>
      <c r="BA406" s="36" t="str">
        <f>IFERROR(INDEX('Level Multipliers'!$D:$D,MATCH(AZ406,'Level Multipliers'!$A:$A,0)),"")</f>
        <v/>
      </c>
      <c r="BB406" s="37" t="str">
        <f t="shared" si="234"/>
        <v/>
      </c>
      <c r="BC406" s="37" t="str">
        <f t="shared" si="235"/>
        <v/>
      </c>
      <c r="BD406" s="38" t="str">
        <f t="shared" si="236"/>
        <v/>
      </c>
      <c r="BE406" s="38" t="str">
        <f t="shared" si="237"/>
        <v/>
      </c>
      <c r="BF406" s="38" t="b">
        <f t="shared" si="238"/>
        <v>1</v>
      </c>
      <c r="BG406" s="37" t="str">
        <f t="array" ref="BG406:BQ406">IF(BF406,"",IVSolution($M406,$N406,$O406,BB406,BC406,BD406,BE406,$E406,$F406,$G406,$H406,$I406))</f>
        <v/>
      </c>
      <c r="BH406" s="37" t="str">
        <v/>
      </c>
      <c r="BI406" s="37" t="str">
        <v/>
      </c>
      <c r="BJ406" s="39" t="str">
        <v/>
      </c>
      <c r="BK406" s="39" t="str">
        <v/>
      </c>
      <c r="BL406" s="37" t="str">
        <v/>
      </c>
      <c r="BM406" s="37" t="str">
        <v/>
      </c>
      <c r="BN406" s="37" t="str">
        <v/>
      </c>
      <c r="BO406" s="37" t="str">
        <v/>
      </c>
      <c r="BP406" s="37" t="str">
        <v/>
      </c>
      <c r="BQ406" s="37" t="str">
        <v/>
      </c>
      <c r="BR406" s="40" t="str">
        <f t="shared" si="239"/>
        <v/>
      </c>
      <c r="BS406" s="36" t="str">
        <f>IFERROR(INDEX('Level Multipliers'!$D:$D,MATCH(BR406,'Level Multipliers'!$A:$A,0)),"")</f>
        <v/>
      </c>
      <c r="BT406" s="37" t="str">
        <f t="shared" si="240"/>
        <v/>
      </c>
      <c r="BU406" s="37" t="str">
        <f t="shared" si="241"/>
        <v/>
      </c>
      <c r="BV406" s="38" t="str">
        <f t="shared" si="242"/>
        <v/>
      </c>
      <c r="BW406" s="38" t="str">
        <f t="shared" si="243"/>
        <v/>
      </c>
      <c r="BX406" s="38" t="b">
        <f t="shared" si="244"/>
        <v>1</v>
      </c>
      <c r="BY406" s="37" t="str">
        <f t="array" ref="BY406:CI406">IF(BX406,"",IVSolution($M406,$N406,$O406,BT406,BU406,BV406,BW406,$E406,$F406,$G406,$H406,$I406))</f>
        <v/>
      </c>
      <c r="BZ406" s="37" t="str">
        <v/>
      </c>
      <c r="CA406" s="37" t="str">
        <v/>
      </c>
      <c r="CB406" s="39" t="str">
        <v/>
      </c>
      <c r="CC406" s="39" t="str">
        <v/>
      </c>
      <c r="CD406" s="37" t="str">
        <v/>
      </c>
      <c r="CE406" s="37" t="str">
        <v/>
      </c>
      <c r="CF406" s="37" t="str">
        <v/>
      </c>
      <c r="CG406" s="37" t="str">
        <v/>
      </c>
      <c r="CH406" s="37" t="str">
        <v/>
      </c>
      <c r="CI406" s="37" t="str">
        <v/>
      </c>
      <c r="CJ406" s="41" t="str">
        <f t="shared" si="245"/>
        <v/>
      </c>
      <c r="CK406" s="41" t="str">
        <f t="shared" si="246"/>
        <v/>
      </c>
      <c r="CL406" s="66" t="str">
        <f t="shared" si="247"/>
        <v/>
      </c>
      <c r="CM406" s="39" t="str">
        <f t="shared" si="248"/>
        <v/>
      </c>
      <c r="CN406" s="39" t="str">
        <f t="shared" si="249"/>
        <v/>
      </c>
      <c r="CO406" s="42" t="str">
        <f t="shared" si="250"/>
        <v/>
      </c>
      <c r="CP406" s="42" t="str">
        <f t="shared" si="251"/>
        <v/>
      </c>
      <c r="CQ406" s="42" t="str">
        <f t="shared" si="252"/>
        <v/>
      </c>
      <c r="CR406" s="42" t="str">
        <f t="shared" si="253"/>
        <v/>
      </c>
      <c r="CS406" s="42" t="str">
        <f t="shared" si="254"/>
        <v/>
      </c>
      <c r="CT406" s="42" t="str">
        <f t="shared" si="255"/>
        <v/>
      </c>
      <c r="CU406" s="43" t="str">
        <f t="shared" si="256"/>
        <v/>
      </c>
      <c r="CV406" s="43" t="str">
        <f t="shared" si="257"/>
        <v/>
      </c>
      <c r="CW406" s="43" t="str">
        <f t="shared" si="258"/>
        <v/>
      </c>
      <c r="CX406" s="13"/>
    </row>
    <row r="407" spans="1:102" x14ac:dyDescent="0.25">
      <c r="A407" s="31"/>
      <c r="B407" s="13"/>
      <c r="C407" s="13"/>
      <c r="D407" s="13"/>
      <c r="E407" s="32"/>
      <c r="F407" s="32"/>
      <c r="G407" s="32"/>
      <c r="H407" s="32"/>
      <c r="I407" s="32"/>
      <c r="J407" s="13"/>
      <c r="K407" s="33"/>
      <c r="L407" s="34" t="str">
        <f>IFERROR(INDEX('Pokemon Data'!A:A,MATCH($A407,'Pokemon Data'!$B:$B,0)),"")</f>
        <v/>
      </c>
      <c r="M407" s="34" t="str">
        <f>IFERROR(INDEX('Pokemon Data'!I:I,MATCH($A407,'Pokemon Data'!$B:$B,0)),"")</f>
        <v/>
      </c>
      <c r="N407" s="34" t="str">
        <f>IFERROR(INDEX('Pokemon Data'!J:J,MATCH($A407,'Pokemon Data'!$B:$B,0)),"")</f>
        <v/>
      </c>
      <c r="O407" s="34" t="str">
        <f>IFERROR(INDEX('Pokemon Data'!K:K,MATCH($A407,'Pokemon Data'!$B:$B,0)),"")</f>
        <v/>
      </c>
      <c r="P407" s="35" t="str">
        <f>IFERROR(INDEX('Level Multipliers'!$A:$A,MATCH($D407,'Level Multipliers'!$B:$B,0)),"")</f>
        <v/>
      </c>
      <c r="Q407" s="36" t="str">
        <f>IFERROR(INDEX('Level Multipliers'!$D:$D,MATCH(P407,'Level Multipliers'!$A:$A,0)),"")</f>
        <v/>
      </c>
      <c r="R407" s="37" t="str">
        <f t="shared" si="222"/>
        <v/>
      </c>
      <c r="S407" s="37" t="str">
        <f t="shared" si="223"/>
        <v/>
      </c>
      <c r="T407" s="38" t="str">
        <f t="shared" si="224"/>
        <v/>
      </c>
      <c r="U407" s="38" t="str">
        <f t="shared" si="225"/>
        <v/>
      </c>
      <c r="V407" s="38" t="b">
        <f t="shared" si="226"/>
        <v>1</v>
      </c>
      <c r="W407" s="37" t="str">
        <f t="array" ref="W407:AG407">IF(V407,"",IVSolution($M407,$N407,$O407,R407,S407,T407,U407,$E407,$F407,$G407,$H407,$I407))</f>
        <v/>
      </c>
      <c r="X407" s="37" t="str">
        <v/>
      </c>
      <c r="Y407" s="37" t="str">
        <v/>
      </c>
      <c r="Z407" s="39" t="str">
        <v/>
      </c>
      <c r="AA407" s="39" t="str">
        <v/>
      </c>
      <c r="AB407" s="37" t="str">
        <v/>
      </c>
      <c r="AC407" s="37" t="str">
        <v/>
      </c>
      <c r="AD407" s="37" t="str">
        <v/>
      </c>
      <c r="AE407" s="37" t="str">
        <v/>
      </c>
      <c r="AF407" s="37" t="str">
        <v/>
      </c>
      <c r="AG407" s="37" t="str">
        <v/>
      </c>
      <c r="AH407" s="40" t="str">
        <f t="shared" si="227"/>
        <v/>
      </c>
      <c r="AI407" s="36" t="str">
        <f>IFERROR(INDEX('Level Multipliers'!$D:$D,MATCH(AH407,'Level Multipliers'!$A:$A,0)),"")</f>
        <v/>
      </c>
      <c r="AJ407" s="37" t="str">
        <f t="shared" si="228"/>
        <v/>
      </c>
      <c r="AK407" s="37" t="str">
        <f t="shared" si="229"/>
        <v/>
      </c>
      <c r="AL407" s="38" t="str">
        <f t="shared" si="230"/>
        <v/>
      </c>
      <c r="AM407" s="38" t="str">
        <f t="shared" si="231"/>
        <v/>
      </c>
      <c r="AN407" s="38" t="b">
        <f t="shared" si="232"/>
        <v>1</v>
      </c>
      <c r="AO407" s="37" t="str">
        <f t="array" ref="AO407:AY407">IF(AN407,"",IVSolution($M407,$N407,$O407,AJ407,AK407,AL407,AM407,$E407,$F407,$G407,$H407,$I407))</f>
        <v/>
      </c>
      <c r="AP407" s="37" t="str">
        <v/>
      </c>
      <c r="AQ407" s="37" t="str">
        <v/>
      </c>
      <c r="AR407" s="39" t="str">
        <v/>
      </c>
      <c r="AS407" s="39" t="str">
        <v/>
      </c>
      <c r="AT407" s="37" t="str">
        <v/>
      </c>
      <c r="AU407" s="37" t="str">
        <v/>
      </c>
      <c r="AV407" s="37" t="str">
        <v/>
      </c>
      <c r="AW407" s="37" t="str">
        <v/>
      </c>
      <c r="AX407" s="37" t="str">
        <v/>
      </c>
      <c r="AY407" s="37" t="str">
        <v/>
      </c>
      <c r="AZ407" s="40" t="str">
        <f t="shared" si="233"/>
        <v/>
      </c>
      <c r="BA407" s="36" t="str">
        <f>IFERROR(INDEX('Level Multipliers'!$D:$D,MATCH(AZ407,'Level Multipliers'!$A:$A,0)),"")</f>
        <v/>
      </c>
      <c r="BB407" s="37" t="str">
        <f t="shared" si="234"/>
        <v/>
      </c>
      <c r="BC407" s="37" t="str">
        <f t="shared" si="235"/>
        <v/>
      </c>
      <c r="BD407" s="38" t="str">
        <f t="shared" si="236"/>
        <v/>
      </c>
      <c r="BE407" s="38" t="str">
        <f t="shared" si="237"/>
        <v/>
      </c>
      <c r="BF407" s="38" t="b">
        <f t="shared" si="238"/>
        <v>1</v>
      </c>
      <c r="BG407" s="37" t="str">
        <f t="array" ref="BG407:BQ407">IF(BF407,"",IVSolution($M407,$N407,$O407,BB407,BC407,BD407,BE407,$E407,$F407,$G407,$H407,$I407))</f>
        <v/>
      </c>
      <c r="BH407" s="37" t="str">
        <v/>
      </c>
      <c r="BI407" s="37" t="str">
        <v/>
      </c>
      <c r="BJ407" s="39" t="str">
        <v/>
      </c>
      <c r="BK407" s="39" t="str">
        <v/>
      </c>
      <c r="BL407" s="37" t="str">
        <v/>
      </c>
      <c r="BM407" s="37" t="str">
        <v/>
      </c>
      <c r="BN407" s="37" t="str">
        <v/>
      </c>
      <c r="BO407" s="37" t="str">
        <v/>
      </c>
      <c r="BP407" s="37" t="str">
        <v/>
      </c>
      <c r="BQ407" s="37" t="str">
        <v/>
      </c>
      <c r="BR407" s="40" t="str">
        <f t="shared" si="239"/>
        <v/>
      </c>
      <c r="BS407" s="36" t="str">
        <f>IFERROR(INDEX('Level Multipliers'!$D:$D,MATCH(BR407,'Level Multipliers'!$A:$A,0)),"")</f>
        <v/>
      </c>
      <c r="BT407" s="37" t="str">
        <f t="shared" si="240"/>
        <v/>
      </c>
      <c r="BU407" s="37" t="str">
        <f t="shared" si="241"/>
        <v/>
      </c>
      <c r="BV407" s="38" t="str">
        <f t="shared" si="242"/>
        <v/>
      </c>
      <c r="BW407" s="38" t="str">
        <f t="shared" si="243"/>
        <v/>
      </c>
      <c r="BX407" s="38" t="b">
        <f t="shared" si="244"/>
        <v>1</v>
      </c>
      <c r="BY407" s="37" t="str">
        <f t="array" ref="BY407:CI407">IF(BX407,"",IVSolution($M407,$N407,$O407,BT407,BU407,BV407,BW407,$E407,$F407,$G407,$H407,$I407))</f>
        <v/>
      </c>
      <c r="BZ407" s="37" t="str">
        <v/>
      </c>
      <c r="CA407" s="37" t="str">
        <v/>
      </c>
      <c r="CB407" s="39" t="str">
        <v/>
      </c>
      <c r="CC407" s="39" t="str">
        <v/>
      </c>
      <c r="CD407" s="37" t="str">
        <v/>
      </c>
      <c r="CE407" s="37" t="str">
        <v/>
      </c>
      <c r="CF407" s="37" t="str">
        <v/>
      </c>
      <c r="CG407" s="37" t="str">
        <v/>
      </c>
      <c r="CH407" s="37" t="str">
        <v/>
      </c>
      <c r="CI407" s="37" t="str">
        <v/>
      </c>
      <c r="CJ407" s="41" t="str">
        <f t="shared" si="245"/>
        <v/>
      </c>
      <c r="CK407" s="41" t="str">
        <f t="shared" si="246"/>
        <v/>
      </c>
      <c r="CL407" s="66" t="str">
        <f t="shared" si="247"/>
        <v/>
      </c>
      <c r="CM407" s="39" t="str">
        <f t="shared" si="248"/>
        <v/>
      </c>
      <c r="CN407" s="39" t="str">
        <f t="shared" si="249"/>
        <v/>
      </c>
      <c r="CO407" s="42" t="str">
        <f t="shared" si="250"/>
        <v/>
      </c>
      <c r="CP407" s="42" t="str">
        <f t="shared" si="251"/>
        <v/>
      </c>
      <c r="CQ407" s="42" t="str">
        <f t="shared" si="252"/>
        <v/>
      </c>
      <c r="CR407" s="42" t="str">
        <f t="shared" si="253"/>
        <v/>
      </c>
      <c r="CS407" s="42" t="str">
        <f t="shared" si="254"/>
        <v/>
      </c>
      <c r="CT407" s="42" t="str">
        <f t="shared" si="255"/>
        <v/>
      </c>
      <c r="CU407" s="43" t="str">
        <f t="shared" si="256"/>
        <v/>
      </c>
      <c r="CV407" s="43" t="str">
        <f t="shared" si="257"/>
        <v/>
      </c>
      <c r="CW407" s="43" t="str">
        <f t="shared" si="258"/>
        <v/>
      </c>
      <c r="CX407" s="13"/>
    </row>
    <row r="408" spans="1:102" x14ac:dyDescent="0.25">
      <c r="A408" s="31"/>
      <c r="B408" s="13"/>
      <c r="C408" s="13"/>
      <c r="D408" s="13"/>
      <c r="E408" s="32"/>
      <c r="F408" s="32"/>
      <c r="G408" s="32"/>
      <c r="H408" s="32"/>
      <c r="I408" s="32"/>
      <c r="J408" s="13"/>
      <c r="K408" s="33"/>
      <c r="L408" s="34" t="str">
        <f>IFERROR(INDEX('Pokemon Data'!A:A,MATCH($A408,'Pokemon Data'!$B:$B,0)),"")</f>
        <v/>
      </c>
      <c r="M408" s="34" t="str">
        <f>IFERROR(INDEX('Pokemon Data'!I:I,MATCH($A408,'Pokemon Data'!$B:$B,0)),"")</f>
        <v/>
      </c>
      <c r="N408" s="34" t="str">
        <f>IFERROR(INDEX('Pokemon Data'!J:J,MATCH($A408,'Pokemon Data'!$B:$B,0)),"")</f>
        <v/>
      </c>
      <c r="O408" s="34" t="str">
        <f>IFERROR(INDEX('Pokemon Data'!K:K,MATCH($A408,'Pokemon Data'!$B:$B,0)),"")</f>
        <v/>
      </c>
      <c r="P408" s="35" t="str">
        <f>IFERROR(INDEX('Level Multipliers'!$A:$A,MATCH($D408,'Level Multipliers'!$B:$B,0)),"")</f>
        <v/>
      </c>
      <c r="Q408" s="36" t="str">
        <f>IFERROR(INDEX('Level Multipliers'!$D:$D,MATCH(P408,'Level Multipliers'!$A:$A,0)),"")</f>
        <v/>
      </c>
      <c r="R408" s="37" t="str">
        <f t="shared" si="222"/>
        <v/>
      </c>
      <c r="S408" s="37" t="str">
        <f t="shared" si="223"/>
        <v/>
      </c>
      <c r="T408" s="38" t="str">
        <f t="shared" si="224"/>
        <v/>
      </c>
      <c r="U408" s="38" t="str">
        <f t="shared" si="225"/>
        <v/>
      </c>
      <c r="V408" s="38" t="b">
        <f t="shared" si="226"/>
        <v>1</v>
      </c>
      <c r="W408" s="37" t="str">
        <f t="array" ref="W408:AG408">IF(V408,"",IVSolution($M408,$N408,$O408,R408,S408,T408,U408,$E408,$F408,$G408,$H408,$I408))</f>
        <v/>
      </c>
      <c r="X408" s="37" t="str">
        <v/>
      </c>
      <c r="Y408" s="37" t="str">
        <v/>
      </c>
      <c r="Z408" s="39" t="str">
        <v/>
      </c>
      <c r="AA408" s="39" t="str">
        <v/>
      </c>
      <c r="AB408" s="37" t="str">
        <v/>
      </c>
      <c r="AC408" s="37" t="str">
        <v/>
      </c>
      <c r="AD408" s="37" t="str">
        <v/>
      </c>
      <c r="AE408" s="37" t="str">
        <v/>
      </c>
      <c r="AF408" s="37" t="str">
        <v/>
      </c>
      <c r="AG408" s="37" t="str">
        <v/>
      </c>
      <c r="AH408" s="40" t="str">
        <f t="shared" si="227"/>
        <v/>
      </c>
      <c r="AI408" s="36" t="str">
        <f>IFERROR(INDEX('Level Multipliers'!$D:$D,MATCH(AH408,'Level Multipliers'!$A:$A,0)),"")</f>
        <v/>
      </c>
      <c r="AJ408" s="37" t="str">
        <f t="shared" si="228"/>
        <v/>
      </c>
      <c r="AK408" s="37" t="str">
        <f t="shared" si="229"/>
        <v/>
      </c>
      <c r="AL408" s="38" t="str">
        <f t="shared" si="230"/>
        <v/>
      </c>
      <c r="AM408" s="38" t="str">
        <f t="shared" si="231"/>
        <v/>
      </c>
      <c r="AN408" s="38" t="b">
        <f t="shared" si="232"/>
        <v>1</v>
      </c>
      <c r="AO408" s="37" t="str">
        <f t="array" ref="AO408:AY408">IF(AN408,"",IVSolution($M408,$N408,$O408,AJ408,AK408,AL408,AM408,$E408,$F408,$G408,$H408,$I408))</f>
        <v/>
      </c>
      <c r="AP408" s="37" t="str">
        <v/>
      </c>
      <c r="AQ408" s="37" t="str">
        <v/>
      </c>
      <c r="AR408" s="39" t="str">
        <v/>
      </c>
      <c r="AS408" s="39" t="str">
        <v/>
      </c>
      <c r="AT408" s="37" t="str">
        <v/>
      </c>
      <c r="AU408" s="37" t="str">
        <v/>
      </c>
      <c r="AV408" s="37" t="str">
        <v/>
      </c>
      <c r="AW408" s="37" t="str">
        <v/>
      </c>
      <c r="AX408" s="37" t="str">
        <v/>
      </c>
      <c r="AY408" s="37" t="str">
        <v/>
      </c>
      <c r="AZ408" s="40" t="str">
        <f t="shared" si="233"/>
        <v/>
      </c>
      <c r="BA408" s="36" t="str">
        <f>IFERROR(INDEX('Level Multipliers'!$D:$D,MATCH(AZ408,'Level Multipliers'!$A:$A,0)),"")</f>
        <v/>
      </c>
      <c r="BB408" s="37" t="str">
        <f t="shared" si="234"/>
        <v/>
      </c>
      <c r="BC408" s="37" t="str">
        <f t="shared" si="235"/>
        <v/>
      </c>
      <c r="BD408" s="38" t="str">
        <f t="shared" si="236"/>
        <v/>
      </c>
      <c r="BE408" s="38" t="str">
        <f t="shared" si="237"/>
        <v/>
      </c>
      <c r="BF408" s="38" t="b">
        <f t="shared" si="238"/>
        <v>1</v>
      </c>
      <c r="BG408" s="37" t="str">
        <f t="array" ref="BG408:BQ408">IF(BF408,"",IVSolution($M408,$N408,$O408,BB408,BC408,BD408,BE408,$E408,$F408,$G408,$H408,$I408))</f>
        <v/>
      </c>
      <c r="BH408" s="37" t="str">
        <v/>
      </c>
      <c r="BI408" s="37" t="str">
        <v/>
      </c>
      <c r="BJ408" s="39" t="str">
        <v/>
      </c>
      <c r="BK408" s="39" t="str">
        <v/>
      </c>
      <c r="BL408" s="37" t="str">
        <v/>
      </c>
      <c r="BM408" s="37" t="str">
        <v/>
      </c>
      <c r="BN408" s="37" t="str">
        <v/>
      </c>
      <c r="BO408" s="37" t="str">
        <v/>
      </c>
      <c r="BP408" s="37" t="str">
        <v/>
      </c>
      <c r="BQ408" s="37" t="str">
        <v/>
      </c>
      <c r="BR408" s="40" t="str">
        <f t="shared" si="239"/>
        <v/>
      </c>
      <c r="BS408" s="36" t="str">
        <f>IFERROR(INDEX('Level Multipliers'!$D:$D,MATCH(BR408,'Level Multipliers'!$A:$A,0)),"")</f>
        <v/>
      </c>
      <c r="BT408" s="37" t="str">
        <f t="shared" si="240"/>
        <v/>
      </c>
      <c r="BU408" s="37" t="str">
        <f t="shared" si="241"/>
        <v/>
      </c>
      <c r="BV408" s="38" t="str">
        <f t="shared" si="242"/>
        <v/>
      </c>
      <c r="BW408" s="38" t="str">
        <f t="shared" si="243"/>
        <v/>
      </c>
      <c r="BX408" s="38" t="b">
        <f t="shared" si="244"/>
        <v>1</v>
      </c>
      <c r="BY408" s="37" t="str">
        <f t="array" ref="BY408:CI408">IF(BX408,"",IVSolution($M408,$N408,$O408,BT408,BU408,BV408,BW408,$E408,$F408,$G408,$H408,$I408))</f>
        <v/>
      </c>
      <c r="BZ408" s="37" t="str">
        <v/>
      </c>
      <c r="CA408" s="37" t="str">
        <v/>
      </c>
      <c r="CB408" s="39" t="str">
        <v/>
      </c>
      <c r="CC408" s="39" t="str">
        <v/>
      </c>
      <c r="CD408" s="37" t="str">
        <v/>
      </c>
      <c r="CE408" s="37" t="str">
        <v/>
      </c>
      <c r="CF408" s="37" t="str">
        <v/>
      </c>
      <c r="CG408" s="37" t="str">
        <v/>
      </c>
      <c r="CH408" s="37" t="str">
        <v/>
      </c>
      <c r="CI408" s="37" t="str">
        <v/>
      </c>
      <c r="CJ408" s="41" t="str">
        <f t="shared" si="245"/>
        <v/>
      </c>
      <c r="CK408" s="41" t="str">
        <f t="shared" si="246"/>
        <v/>
      </c>
      <c r="CL408" s="66" t="str">
        <f t="shared" si="247"/>
        <v/>
      </c>
      <c r="CM408" s="39" t="str">
        <f t="shared" si="248"/>
        <v/>
      </c>
      <c r="CN408" s="39" t="str">
        <f t="shared" si="249"/>
        <v/>
      </c>
      <c r="CO408" s="42" t="str">
        <f t="shared" si="250"/>
        <v/>
      </c>
      <c r="CP408" s="42" t="str">
        <f t="shared" si="251"/>
        <v/>
      </c>
      <c r="CQ408" s="42" t="str">
        <f t="shared" si="252"/>
        <v/>
      </c>
      <c r="CR408" s="42" t="str">
        <f t="shared" si="253"/>
        <v/>
      </c>
      <c r="CS408" s="42" t="str">
        <f t="shared" si="254"/>
        <v/>
      </c>
      <c r="CT408" s="42" t="str">
        <f t="shared" si="255"/>
        <v/>
      </c>
      <c r="CU408" s="43" t="str">
        <f t="shared" si="256"/>
        <v/>
      </c>
      <c r="CV408" s="43" t="str">
        <f t="shared" si="257"/>
        <v/>
      </c>
      <c r="CW408" s="43" t="str">
        <f t="shared" si="258"/>
        <v/>
      </c>
      <c r="CX408" s="13"/>
    </row>
    <row r="409" spans="1:102" x14ac:dyDescent="0.25">
      <c r="A409" s="31"/>
      <c r="B409" s="13"/>
      <c r="C409" s="13"/>
      <c r="D409" s="13"/>
      <c r="E409" s="32"/>
      <c r="F409" s="32"/>
      <c r="G409" s="32"/>
      <c r="H409" s="32"/>
      <c r="I409" s="32"/>
      <c r="J409" s="13"/>
      <c r="K409" s="33"/>
      <c r="L409" s="34" t="str">
        <f>IFERROR(INDEX('Pokemon Data'!A:A,MATCH($A409,'Pokemon Data'!$B:$B,0)),"")</f>
        <v/>
      </c>
      <c r="M409" s="34" t="str">
        <f>IFERROR(INDEX('Pokemon Data'!I:I,MATCH($A409,'Pokemon Data'!$B:$B,0)),"")</f>
        <v/>
      </c>
      <c r="N409" s="34" t="str">
        <f>IFERROR(INDEX('Pokemon Data'!J:J,MATCH($A409,'Pokemon Data'!$B:$B,0)),"")</f>
        <v/>
      </c>
      <c r="O409" s="34" t="str">
        <f>IFERROR(INDEX('Pokemon Data'!K:K,MATCH($A409,'Pokemon Data'!$B:$B,0)),"")</f>
        <v/>
      </c>
      <c r="P409" s="35" t="str">
        <f>IFERROR(INDEX('Level Multipliers'!$A:$A,MATCH($D409,'Level Multipliers'!$B:$B,0)),"")</f>
        <v/>
      </c>
      <c r="Q409" s="36" t="str">
        <f>IFERROR(INDEX('Level Multipliers'!$D:$D,MATCH(P409,'Level Multipliers'!$A:$A,0)),"")</f>
        <v/>
      </c>
      <c r="R409" s="37" t="str">
        <f t="shared" si="222"/>
        <v/>
      </c>
      <c r="S409" s="37" t="str">
        <f t="shared" si="223"/>
        <v/>
      </c>
      <c r="T409" s="38" t="str">
        <f t="shared" si="224"/>
        <v/>
      </c>
      <c r="U409" s="38" t="str">
        <f t="shared" si="225"/>
        <v/>
      </c>
      <c r="V409" s="38" t="b">
        <f t="shared" si="226"/>
        <v>1</v>
      </c>
      <c r="W409" s="37" t="str">
        <f t="array" ref="W409:AG409">IF(V409,"",IVSolution($M409,$N409,$O409,R409,S409,T409,U409,$E409,$F409,$G409,$H409,$I409))</f>
        <v/>
      </c>
      <c r="X409" s="37" t="str">
        <v/>
      </c>
      <c r="Y409" s="37" t="str">
        <v/>
      </c>
      <c r="Z409" s="39" t="str">
        <v/>
      </c>
      <c r="AA409" s="39" t="str">
        <v/>
      </c>
      <c r="AB409" s="37" t="str">
        <v/>
      </c>
      <c r="AC409" s="37" t="str">
        <v/>
      </c>
      <c r="AD409" s="37" t="str">
        <v/>
      </c>
      <c r="AE409" s="37" t="str">
        <v/>
      </c>
      <c r="AF409" s="37" t="str">
        <v/>
      </c>
      <c r="AG409" s="37" t="str">
        <v/>
      </c>
      <c r="AH409" s="40" t="str">
        <f t="shared" si="227"/>
        <v/>
      </c>
      <c r="AI409" s="36" t="str">
        <f>IFERROR(INDEX('Level Multipliers'!$D:$D,MATCH(AH409,'Level Multipliers'!$A:$A,0)),"")</f>
        <v/>
      </c>
      <c r="AJ409" s="37" t="str">
        <f t="shared" si="228"/>
        <v/>
      </c>
      <c r="AK409" s="37" t="str">
        <f t="shared" si="229"/>
        <v/>
      </c>
      <c r="AL409" s="38" t="str">
        <f t="shared" si="230"/>
        <v/>
      </c>
      <c r="AM409" s="38" t="str">
        <f t="shared" si="231"/>
        <v/>
      </c>
      <c r="AN409" s="38" t="b">
        <f t="shared" si="232"/>
        <v>1</v>
      </c>
      <c r="AO409" s="37" t="str">
        <f t="array" ref="AO409:AY409">IF(AN409,"",IVSolution($M409,$N409,$O409,AJ409,AK409,AL409,AM409,$E409,$F409,$G409,$H409,$I409))</f>
        <v/>
      </c>
      <c r="AP409" s="37" t="str">
        <v/>
      </c>
      <c r="AQ409" s="37" t="str">
        <v/>
      </c>
      <c r="AR409" s="39" t="str">
        <v/>
      </c>
      <c r="AS409" s="39" t="str">
        <v/>
      </c>
      <c r="AT409" s="37" t="str">
        <v/>
      </c>
      <c r="AU409" s="37" t="str">
        <v/>
      </c>
      <c r="AV409" s="37" t="str">
        <v/>
      </c>
      <c r="AW409" s="37" t="str">
        <v/>
      </c>
      <c r="AX409" s="37" t="str">
        <v/>
      </c>
      <c r="AY409" s="37" t="str">
        <v/>
      </c>
      <c r="AZ409" s="40" t="str">
        <f t="shared" si="233"/>
        <v/>
      </c>
      <c r="BA409" s="36" t="str">
        <f>IFERROR(INDEX('Level Multipliers'!$D:$D,MATCH(AZ409,'Level Multipliers'!$A:$A,0)),"")</f>
        <v/>
      </c>
      <c r="BB409" s="37" t="str">
        <f t="shared" si="234"/>
        <v/>
      </c>
      <c r="BC409" s="37" t="str">
        <f t="shared" si="235"/>
        <v/>
      </c>
      <c r="BD409" s="38" t="str">
        <f t="shared" si="236"/>
        <v/>
      </c>
      <c r="BE409" s="38" t="str">
        <f t="shared" si="237"/>
        <v/>
      </c>
      <c r="BF409" s="38" t="b">
        <f t="shared" si="238"/>
        <v>1</v>
      </c>
      <c r="BG409" s="37" t="str">
        <f t="array" ref="BG409:BQ409">IF(BF409,"",IVSolution($M409,$N409,$O409,BB409,BC409,BD409,BE409,$E409,$F409,$G409,$H409,$I409))</f>
        <v/>
      </c>
      <c r="BH409" s="37" t="str">
        <v/>
      </c>
      <c r="BI409" s="37" t="str">
        <v/>
      </c>
      <c r="BJ409" s="39" t="str">
        <v/>
      </c>
      <c r="BK409" s="39" t="str">
        <v/>
      </c>
      <c r="BL409" s="37" t="str">
        <v/>
      </c>
      <c r="BM409" s="37" t="str">
        <v/>
      </c>
      <c r="BN409" s="37" t="str">
        <v/>
      </c>
      <c r="BO409" s="37" t="str">
        <v/>
      </c>
      <c r="BP409" s="37" t="str">
        <v/>
      </c>
      <c r="BQ409" s="37" t="str">
        <v/>
      </c>
      <c r="BR409" s="40" t="str">
        <f t="shared" si="239"/>
        <v/>
      </c>
      <c r="BS409" s="36" t="str">
        <f>IFERROR(INDEX('Level Multipliers'!$D:$D,MATCH(BR409,'Level Multipliers'!$A:$A,0)),"")</f>
        <v/>
      </c>
      <c r="BT409" s="37" t="str">
        <f t="shared" si="240"/>
        <v/>
      </c>
      <c r="BU409" s="37" t="str">
        <f t="shared" si="241"/>
        <v/>
      </c>
      <c r="BV409" s="38" t="str">
        <f t="shared" si="242"/>
        <v/>
      </c>
      <c r="BW409" s="38" t="str">
        <f t="shared" si="243"/>
        <v/>
      </c>
      <c r="BX409" s="38" t="b">
        <f t="shared" si="244"/>
        <v>1</v>
      </c>
      <c r="BY409" s="37" t="str">
        <f t="array" ref="BY409:CI409">IF(BX409,"",IVSolution($M409,$N409,$O409,BT409,BU409,BV409,BW409,$E409,$F409,$G409,$H409,$I409))</f>
        <v/>
      </c>
      <c r="BZ409" s="37" t="str">
        <v/>
      </c>
      <c r="CA409" s="37" t="str">
        <v/>
      </c>
      <c r="CB409" s="39" t="str">
        <v/>
      </c>
      <c r="CC409" s="39" t="str">
        <v/>
      </c>
      <c r="CD409" s="37" t="str">
        <v/>
      </c>
      <c r="CE409" s="37" t="str">
        <v/>
      </c>
      <c r="CF409" s="37" t="str">
        <v/>
      </c>
      <c r="CG409" s="37" t="str">
        <v/>
      </c>
      <c r="CH409" s="37" t="str">
        <v/>
      </c>
      <c r="CI409" s="37" t="str">
        <v/>
      </c>
      <c r="CJ409" s="41" t="str">
        <f t="shared" si="245"/>
        <v/>
      </c>
      <c r="CK409" s="41" t="str">
        <f t="shared" si="246"/>
        <v/>
      </c>
      <c r="CL409" s="66" t="str">
        <f t="shared" si="247"/>
        <v/>
      </c>
      <c r="CM409" s="39" t="str">
        <f t="shared" si="248"/>
        <v/>
      </c>
      <c r="CN409" s="39" t="str">
        <f t="shared" si="249"/>
        <v/>
      </c>
      <c r="CO409" s="42" t="str">
        <f t="shared" si="250"/>
        <v/>
      </c>
      <c r="CP409" s="42" t="str">
        <f t="shared" si="251"/>
        <v/>
      </c>
      <c r="CQ409" s="42" t="str">
        <f t="shared" si="252"/>
        <v/>
      </c>
      <c r="CR409" s="42" t="str">
        <f t="shared" si="253"/>
        <v/>
      </c>
      <c r="CS409" s="42" t="str">
        <f t="shared" si="254"/>
        <v/>
      </c>
      <c r="CT409" s="42" t="str">
        <f t="shared" si="255"/>
        <v/>
      </c>
      <c r="CU409" s="43" t="str">
        <f t="shared" si="256"/>
        <v/>
      </c>
      <c r="CV409" s="43" t="str">
        <f t="shared" si="257"/>
        <v/>
      </c>
      <c r="CW409" s="43" t="str">
        <f t="shared" si="258"/>
        <v/>
      </c>
      <c r="CX409" s="13"/>
    </row>
    <row r="410" spans="1:102" x14ac:dyDescent="0.25">
      <c r="A410" s="31"/>
      <c r="B410" s="13"/>
      <c r="C410" s="13"/>
      <c r="D410" s="13"/>
      <c r="E410" s="32"/>
      <c r="F410" s="32"/>
      <c r="G410" s="32"/>
      <c r="H410" s="32"/>
      <c r="I410" s="32"/>
      <c r="J410" s="13"/>
      <c r="K410" s="33"/>
      <c r="L410" s="34" t="str">
        <f>IFERROR(INDEX('Pokemon Data'!A:A,MATCH($A410,'Pokemon Data'!$B:$B,0)),"")</f>
        <v/>
      </c>
      <c r="M410" s="34" t="str">
        <f>IFERROR(INDEX('Pokemon Data'!I:I,MATCH($A410,'Pokemon Data'!$B:$B,0)),"")</f>
        <v/>
      </c>
      <c r="N410" s="34" t="str">
        <f>IFERROR(INDEX('Pokemon Data'!J:J,MATCH($A410,'Pokemon Data'!$B:$B,0)),"")</f>
        <v/>
      </c>
      <c r="O410" s="34" t="str">
        <f>IFERROR(INDEX('Pokemon Data'!K:K,MATCH($A410,'Pokemon Data'!$B:$B,0)),"")</f>
        <v/>
      </c>
      <c r="P410" s="35" t="str">
        <f>IFERROR(INDEX('Level Multipliers'!$A:$A,MATCH($D410,'Level Multipliers'!$B:$B,0)),"")</f>
        <v/>
      </c>
      <c r="Q410" s="36" t="str">
        <f>IFERROR(INDEX('Level Multipliers'!$D:$D,MATCH(P410,'Level Multipliers'!$A:$A,0)),"")</f>
        <v/>
      </c>
      <c r="R410" s="37" t="str">
        <f t="shared" si="222"/>
        <v/>
      </c>
      <c r="S410" s="37" t="str">
        <f t="shared" si="223"/>
        <v/>
      </c>
      <c r="T410" s="38" t="str">
        <f t="shared" si="224"/>
        <v/>
      </c>
      <c r="U410" s="38" t="str">
        <f t="shared" si="225"/>
        <v/>
      </c>
      <c r="V410" s="38" t="b">
        <f t="shared" si="226"/>
        <v>1</v>
      </c>
      <c r="W410" s="37" t="str">
        <f t="array" ref="W410:AG410">IF(V410,"",IVSolution($M410,$N410,$O410,R410,S410,T410,U410,$E410,$F410,$G410,$H410,$I410))</f>
        <v/>
      </c>
      <c r="X410" s="37" t="str">
        <v/>
      </c>
      <c r="Y410" s="37" t="str">
        <v/>
      </c>
      <c r="Z410" s="39" t="str">
        <v/>
      </c>
      <c r="AA410" s="39" t="str">
        <v/>
      </c>
      <c r="AB410" s="37" t="str">
        <v/>
      </c>
      <c r="AC410" s="37" t="str">
        <v/>
      </c>
      <c r="AD410" s="37" t="str">
        <v/>
      </c>
      <c r="AE410" s="37" t="str">
        <v/>
      </c>
      <c r="AF410" s="37" t="str">
        <v/>
      </c>
      <c r="AG410" s="37" t="str">
        <v/>
      </c>
      <c r="AH410" s="40" t="str">
        <f t="shared" si="227"/>
        <v/>
      </c>
      <c r="AI410" s="36" t="str">
        <f>IFERROR(INDEX('Level Multipliers'!$D:$D,MATCH(AH410,'Level Multipliers'!$A:$A,0)),"")</f>
        <v/>
      </c>
      <c r="AJ410" s="37" t="str">
        <f t="shared" si="228"/>
        <v/>
      </c>
      <c r="AK410" s="37" t="str">
        <f t="shared" si="229"/>
        <v/>
      </c>
      <c r="AL410" s="38" t="str">
        <f t="shared" si="230"/>
        <v/>
      </c>
      <c r="AM410" s="38" t="str">
        <f t="shared" si="231"/>
        <v/>
      </c>
      <c r="AN410" s="38" t="b">
        <f t="shared" si="232"/>
        <v>1</v>
      </c>
      <c r="AO410" s="37" t="str">
        <f t="array" ref="AO410:AY410">IF(AN410,"",IVSolution($M410,$N410,$O410,AJ410,AK410,AL410,AM410,$E410,$F410,$G410,$H410,$I410))</f>
        <v/>
      </c>
      <c r="AP410" s="37" t="str">
        <v/>
      </c>
      <c r="AQ410" s="37" t="str">
        <v/>
      </c>
      <c r="AR410" s="39" t="str">
        <v/>
      </c>
      <c r="AS410" s="39" t="str">
        <v/>
      </c>
      <c r="AT410" s="37" t="str">
        <v/>
      </c>
      <c r="AU410" s="37" t="str">
        <v/>
      </c>
      <c r="AV410" s="37" t="str">
        <v/>
      </c>
      <c r="AW410" s="37" t="str">
        <v/>
      </c>
      <c r="AX410" s="37" t="str">
        <v/>
      </c>
      <c r="AY410" s="37" t="str">
        <v/>
      </c>
      <c r="AZ410" s="40" t="str">
        <f t="shared" si="233"/>
        <v/>
      </c>
      <c r="BA410" s="36" t="str">
        <f>IFERROR(INDEX('Level Multipliers'!$D:$D,MATCH(AZ410,'Level Multipliers'!$A:$A,0)),"")</f>
        <v/>
      </c>
      <c r="BB410" s="37" t="str">
        <f t="shared" si="234"/>
        <v/>
      </c>
      <c r="BC410" s="37" t="str">
        <f t="shared" si="235"/>
        <v/>
      </c>
      <c r="BD410" s="38" t="str">
        <f t="shared" si="236"/>
        <v/>
      </c>
      <c r="BE410" s="38" t="str">
        <f t="shared" si="237"/>
        <v/>
      </c>
      <c r="BF410" s="38" t="b">
        <f t="shared" si="238"/>
        <v>1</v>
      </c>
      <c r="BG410" s="37" t="str">
        <f t="array" ref="BG410:BQ410">IF(BF410,"",IVSolution($M410,$N410,$O410,BB410,BC410,BD410,BE410,$E410,$F410,$G410,$H410,$I410))</f>
        <v/>
      </c>
      <c r="BH410" s="37" t="str">
        <v/>
      </c>
      <c r="BI410" s="37" t="str">
        <v/>
      </c>
      <c r="BJ410" s="39" t="str">
        <v/>
      </c>
      <c r="BK410" s="39" t="str">
        <v/>
      </c>
      <c r="BL410" s="37" t="str">
        <v/>
      </c>
      <c r="BM410" s="37" t="str">
        <v/>
      </c>
      <c r="BN410" s="37" t="str">
        <v/>
      </c>
      <c r="BO410" s="37" t="str">
        <v/>
      </c>
      <c r="BP410" s="37" t="str">
        <v/>
      </c>
      <c r="BQ410" s="37" t="str">
        <v/>
      </c>
      <c r="BR410" s="40" t="str">
        <f t="shared" si="239"/>
        <v/>
      </c>
      <c r="BS410" s="36" t="str">
        <f>IFERROR(INDEX('Level Multipliers'!$D:$D,MATCH(BR410,'Level Multipliers'!$A:$A,0)),"")</f>
        <v/>
      </c>
      <c r="BT410" s="37" t="str">
        <f t="shared" si="240"/>
        <v/>
      </c>
      <c r="BU410" s="37" t="str">
        <f t="shared" si="241"/>
        <v/>
      </c>
      <c r="BV410" s="38" t="str">
        <f t="shared" si="242"/>
        <v/>
      </c>
      <c r="BW410" s="38" t="str">
        <f t="shared" si="243"/>
        <v/>
      </c>
      <c r="BX410" s="38" t="b">
        <f t="shared" si="244"/>
        <v>1</v>
      </c>
      <c r="BY410" s="37" t="str">
        <f t="array" ref="BY410:CI410">IF(BX410,"",IVSolution($M410,$N410,$O410,BT410,BU410,BV410,BW410,$E410,$F410,$G410,$H410,$I410))</f>
        <v/>
      </c>
      <c r="BZ410" s="37" t="str">
        <v/>
      </c>
      <c r="CA410" s="37" t="str">
        <v/>
      </c>
      <c r="CB410" s="39" t="str">
        <v/>
      </c>
      <c r="CC410" s="39" t="str">
        <v/>
      </c>
      <c r="CD410" s="37" t="str">
        <v/>
      </c>
      <c r="CE410" s="37" t="str">
        <v/>
      </c>
      <c r="CF410" s="37" t="str">
        <v/>
      </c>
      <c r="CG410" s="37" t="str">
        <v/>
      </c>
      <c r="CH410" s="37" t="str">
        <v/>
      </c>
      <c r="CI410" s="37" t="str">
        <v/>
      </c>
      <c r="CJ410" s="41" t="str">
        <f t="shared" si="245"/>
        <v/>
      </c>
      <c r="CK410" s="41" t="str">
        <f t="shared" si="246"/>
        <v/>
      </c>
      <c r="CL410" s="66" t="str">
        <f t="shared" si="247"/>
        <v/>
      </c>
      <c r="CM410" s="39" t="str">
        <f t="shared" si="248"/>
        <v/>
      </c>
      <c r="CN410" s="39" t="str">
        <f t="shared" si="249"/>
        <v/>
      </c>
      <c r="CO410" s="42" t="str">
        <f t="shared" si="250"/>
        <v/>
      </c>
      <c r="CP410" s="42" t="str">
        <f t="shared" si="251"/>
        <v/>
      </c>
      <c r="CQ410" s="42" t="str">
        <f t="shared" si="252"/>
        <v/>
      </c>
      <c r="CR410" s="42" t="str">
        <f t="shared" si="253"/>
        <v/>
      </c>
      <c r="CS410" s="42" t="str">
        <f t="shared" si="254"/>
        <v/>
      </c>
      <c r="CT410" s="42" t="str">
        <f t="shared" si="255"/>
        <v/>
      </c>
      <c r="CU410" s="43" t="str">
        <f t="shared" si="256"/>
        <v/>
      </c>
      <c r="CV410" s="43" t="str">
        <f t="shared" si="257"/>
        <v/>
      </c>
      <c r="CW410" s="43" t="str">
        <f t="shared" si="258"/>
        <v/>
      </c>
      <c r="CX410" s="13"/>
    </row>
    <row r="411" spans="1:102" x14ac:dyDescent="0.25">
      <c r="A411" s="31"/>
      <c r="B411" s="13"/>
      <c r="C411" s="13"/>
      <c r="D411" s="13"/>
      <c r="E411" s="32"/>
      <c r="F411" s="32"/>
      <c r="G411" s="32"/>
      <c r="H411" s="32"/>
      <c r="I411" s="32"/>
      <c r="J411" s="13"/>
      <c r="K411" s="33"/>
      <c r="L411" s="34" t="str">
        <f>IFERROR(INDEX('Pokemon Data'!A:A,MATCH($A411,'Pokemon Data'!$B:$B,0)),"")</f>
        <v/>
      </c>
      <c r="M411" s="34" t="str">
        <f>IFERROR(INDEX('Pokemon Data'!I:I,MATCH($A411,'Pokemon Data'!$B:$B,0)),"")</f>
        <v/>
      </c>
      <c r="N411" s="34" t="str">
        <f>IFERROR(INDEX('Pokemon Data'!J:J,MATCH($A411,'Pokemon Data'!$B:$B,0)),"")</f>
        <v/>
      </c>
      <c r="O411" s="34" t="str">
        <f>IFERROR(INDEX('Pokemon Data'!K:K,MATCH($A411,'Pokemon Data'!$B:$B,0)),"")</f>
        <v/>
      </c>
      <c r="P411" s="35" t="str">
        <f>IFERROR(INDEX('Level Multipliers'!$A:$A,MATCH($D411,'Level Multipliers'!$B:$B,0)),"")</f>
        <v/>
      </c>
      <c r="Q411" s="36" t="str">
        <f>IFERROR(INDEX('Level Multipliers'!$D:$D,MATCH(P411,'Level Multipliers'!$A:$A,0)),"")</f>
        <v/>
      </c>
      <c r="R411" s="37" t="str">
        <f t="shared" si="222"/>
        <v/>
      </c>
      <c r="S411" s="37" t="str">
        <f t="shared" si="223"/>
        <v/>
      </c>
      <c r="T411" s="38" t="str">
        <f t="shared" si="224"/>
        <v/>
      </c>
      <c r="U411" s="38" t="str">
        <f t="shared" si="225"/>
        <v/>
      </c>
      <c r="V411" s="38" t="b">
        <f t="shared" si="226"/>
        <v>1</v>
      </c>
      <c r="W411" s="37" t="str">
        <f t="array" ref="W411:AG411">IF(V411,"",IVSolution($M411,$N411,$O411,R411,S411,T411,U411,$E411,$F411,$G411,$H411,$I411))</f>
        <v/>
      </c>
      <c r="X411" s="37" t="str">
        <v/>
      </c>
      <c r="Y411" s="37" t="str">
        <v/>
      </c>
      <c r="Z411" s="39" t="str">
        <v/>
      </c>
      <c r="AA411" s="39" t="str">
        <v/>
      </c>
      <c r="AB411" s="37" t="str">
        <v/>
      </c>
      <c r="AC411" s="37" t="str">
        <v/>
      </c>
      <c r="AD411" s="37" t="str">
        <v/>
      </c>
      <c r="AE411" s="37" t="str">
        <v/>
      </c>
      <c r="AF411" s="37" t="str">
        <v/>
      </c>
      <c r="AG411" s="37" t="str">
        <v/>
      </c>
      <c r="AH411" s="40" t="str">
        <f t="shared" si="227"/>
        <v/>
      </c>
      <c r="AI411" s="36" t="str">
        <f>IFERROR(INDEX('Level Multipliers'!$D:$D,MATCH(AH411,'Level Multipliers'!$A:$A,0)),"")</f>
        <v/>
      </c>
      <c r="AJ411" s="37" t="str">
        <f t="shared" si="228"/>
        <v/>
      </c>
      <c r="AK411" s="37" t="str">
        <f t="shared" si="229"/>
        <v/>
      </c>
      <c r="AL411" s="38" t="str">
        <f t="shared" si="230"/>
        <v/>
      </c>
      <c r="AM411" s="38" t="str">
        <f t="shared" si="231"/>
        <v/>
      </c>
      <c r="AN411" s="38" t="b">
        <f t="shared" si="232"/>
        <v>1</v>
      </c>
      <c r="AO411" s="37" t="str">
        <f t="array" ref="AO411:AY411">IF(AN411,"",IVSolution($M411,$N411,$O411,AJ411,AK411,AL411,AM411,$E411,$F411,$G411,$H411,$I411))</f>
        <v/>
      </c>
      <c r="AP411" s="37" t="str">
        <v/>
      </c>
      <c r="AQ411" s="37" t="str">
        <v/>
      </c>
      <c r="AR411" s="39" t="str">
        <v/>
      </c>
      <c r="AS411" s="39" t="str">
        <v/>
      </c>
      <c r="AT411" s="37" t="str">
        <v/>
      </c>
      <c r="AU411" s="37" t="str">
        <v/>
      </c>
      <c r="AV411" s="37" t="str">
        <v/>
      </c>
      <c r="AW411" s="37" t="str">
        <v/>
      </c>
      <c r="AX411" s="37" t="str">
        <v/>
      </c>
      <c r="AY411" s="37" t="str">
        <v/>
      </c>
      <c r="AZ411" s="40" t="str">
        <f t="shared" si="233"/>
        <v/>
      </c>
      <c r="BA411" s="36" t="str">
        <f>IFERROR(INDEX('Level Multipliers'!$D:$D,MATCH(AZ411,'Level Multipliers'!$A:$A,0)),"")</f>
        <v/>
      </c>
      <c r="BB411" s="37" t="str">
        <f t="shared" si="234"/>
        <v/>
      </c>
      <c r="BC411" s="37" t="str">
        <f t="shared" si="235"/>
        <v/>
      </c>
      <c r="BD411" s="38" t="str">
        <f t="shared" si="236"/>
        <v/>
      </c>
      <c r="BE411" s="38" t="str">
        <f t="shared" si="237"/>
        <v/>
      </c>
      <c r="BF411" s="38" t="b">
        <f t="shared" si="238"/>
        <v>1</v>
      </c>
      <c r="BG411" s="37" t="str">
        <f t="array" ref="BG411:BQ411">IF(BF411,"",IVSolution($M411,$N411,$O411,BB411,BC411,BD411,BE411,$E411,$F411,$G411,$H411,$I411))</f>
        <v/>
      </c>
      <c r="BH411" s="37" t="str">
        <v/>
      </c>
      <c r="BI411" s="37" t="str">
        <v/>
      </c>
      <c r="BJ411" s="39" t="str">
        <v/>
      </c>
      <c r="BK411" s="39" t="str">
        <v/>
      </c>
      <c r="BL411" s="37" t="str">
        <v/>
      </c>
      <c r="BM411" s="37" t="str">
        <v/>
      </c>
      <c r="BN411" s="37" t="str">
        <v/>
      </c>
      <c r="BO411" s="37" t="str">
        <v/>
      </c>
      <c r="BP411" s="37" t="str">
        <v/>
      </c>
      <c r="BQ411" s="37" t="str">
        <v/>
      </c>
      <c r="BR411" s="40" t="str">
        <f t="shared" si="239"/>
        <v/>
      </c>
      <c r="BS411" s="36" t="str">
        <f>IFERROR(INDEX('Level Multipliers'!$D:$D,MATCH(BR411,'Level Multipliers'!$A:$A,0)),"")</f>
        <v/>
      </c>
      <c r="BT411" s="37" t="str">
        <f t="shared" si="240"/>
        <v/>
      </c>
      <c r="BU411" s="37" t="str">
        <f t="shared" si="241"/>
        <v/>
      </c>
      <c r="BV411" s="38" t="str">
        <f t="shared" si="242"/>
        <v/>
      </c>
      <c r="BW411" s="38" t="str">
        <f t="shared" si="243"/>
        <v/>
      </c>
      <c r="BX411" s="38" t="b">
        <f t="shared" si="244"/>
        <v>1</v>
      </c>
      <c r="BY411" s="37" t="str">
        <f t="array" ref="BY411:CI411">IF(BX411,"",IVSolution($M411,$N411,$O411,BT411,BU411,BV411,BW411,$E411,$F411,$G411,$H411,$I411))</f>
        <v/>
      </c>
      <c r="BZ411" s="37" t="str">
        <v/>
      </c>
      <c r="CA411" s="37" t="str">
        <v/>
      </c>
      <c r="CB411" s="39" t="str">
        <v/>
      </c>
      <c r="CC411" s="39" t="str">
        <v/>
      </c>
      <c r="CD411" s="37" t="str">
        <v/>
      </c>
      <c r="CE411" s="37" t="str">
        <v/>
      </c>
      <c r="CF411" s="37" t="str">
        <v/>
      </c>
      <c r="CG411" s="37" t="str">
        <v/>
      </c>
      <c r="CH411" s="37" t="str">
        <v/>
      </c>
      <c r="CI411" s="37" t="str">
        <v/>
      </c>
      <c r="CJ411" s="41" t="str">
        <f t="shared" si="245"/>
        <v/>
      </c>
      <c r="CK411" s="41" t="str">
        <f t="shared" si="246"/>
        <v/>
      </c>
      <c r="CL411" s="66" t="str">
        <f t="shared" si="247"/>
        <v/>
      </c>
      <c r="CM411" s="39" t="str">
        <f t="shared" si="248"/>
        <v/>
      </c>
      <c r="CN411" s="39" t="str">
        <f t="shared" si="249"/>
        <v/>
      </c>
      <c r="CO411" s="42" t="str">
        <f t="shared" si="250"/>
        <v/>
      </c>
      <c r="CP411" s="42" t="str">
        <f t="shared" si="251"/>
        <v/>
      </c>
      <c r="CQ411" s="42" t="str">
        <f t="shared" si="252"/>
        <v/>
      </c>
      <c r="CR411" s="42" t="str">
        <f t="shared" si="253"/>
        <v/>
      </c>
      <c r="CS411" s="42" t="str">
        <f t="shared" si="254"/>
        <v/>
      </c>
      <c r="CT411" s="42" t="str">
        <f t="shared" si="255"/>
        <v/>
      </c>
      <c r="CU411" s="43" t="str">
        <f t="shared" si="256"/>
        <v/>
      </c>
      <c r="CV411" s="43" t="str">
        <f t="shared" si="257"/>
        <v/>
      </c>
      <c r="CW411" s="43" t="str">
        <f t="shared" si="258"/>
        <v/>
      </c>
      <c r="CX411" s="13"/>
    </row>
    <row r="412" spans="1:102" x14ac:dyDescent="0.25">
      <c r="A412" s="31"/>
      <c r="B412" s="13"/>
      <c r="C412" s="13"/>
      <c r="D412" s="13"/>
      <c r="E412" s="32"/>
      <c r="F412" s="32"/>
      <c r="G412" s="32"/>
      <c r="H412" s="32"/>
      <c r="I412" s="32"/>
      <c r="J412" s="13"/>
      <c r="K412" s="33"/>
      <c r="L412" s="34" t="str">
        <f>IFERROR(INDEX('Pokemon Data'!A:A,MATCH($A412,'Pokemon Data'!$B:$B,0)),"")</f>
        <v/>
      </c>
      <c r="M412" s="34" t="str">
        <f>IFERROR(INDEX('Pokemon Data'!I:I,MATCH($A412,'Pokemon Data'!$B:$B,0)),"")</f>
        <v/>
      </c>
      <c r="N412" s="34" t="str">
        <f>IFERROR(INDEX('Pokemon Data'!J:J,MATCH($A412,'Pokemon Data'!$B:$B,0)),"")</f>
        <v/>
      </c>
      <c r="O412" s="34" t="str">
        <f>IFERROR(INDEX('Pokemon Data'!K:K,MATCH($A412,'Pokemon Data'!$B:$B,0)),"")</f>
        <v/>
      </c>
      <c r="P412" s="35" t="str">
        <f>IFERROR(INDEX('Level Multipliers'!$A:$A,MATCH($D412,'Level Multipliers'!$B:$B,0)),"")</f>
        <v/>
      </c>
      <c r="Q412" s="36" t="str">
        <f>IFERROR(INDEX('Level Multipliers'!$D:$D,MATCH(P412,'Level Multipliers'!$A:$A,0)),"")</f>
        <v/>
      </c>
      <c r="R412" s="37" t="str">
        <f t="shared" si="222"/>
        <v/>
      </c>
      <c r="S412" s="37" t="str">
        <f t="shared" si="223"/>
        <v/>
      </c>
      <c r="T412" s="38" t="str">
        <f t="shared" si="224"/>
        <v/>
      </c>
      <c r="U412" s="38" t="str">
        <f t="shared" si="225"/>
        <v/>
      </c>
      <c r="V412" s="38" t="b">
        <f t="shared" si="226"/>
        <v>1</v>
      </c>
      <c r="W412" s="37" t="str">
        <f t="array" ref="W412:AG412">IF(V412,"",IVSolution($M412,$N412,$O412,R412,S412,T412,U412,$E412,$F412,$G412,$H412,$I412))</f>
        <v/>
      </c>
      <c r="X412" s="37" t="str">
        <v/>
      </c>
      <c r="Y412" s="37" t="str">
        <v/>
      </c>
      <c r="Z412" s="39" t="str">
        <v/>
      </c>
      <c r="AA412" s="39" t="str">
        <v/>
      </c>
      <c r="AB412" s="37" t="str">
        <v/>
      </c>
      <c r="AC412" s="37" t="str">
        <v/>
      </c>
      <c r="AD412" s="37" t="str">
        <v/>
      </c>
      <c r="AE412" s="37" t="str">
        <v/>
      </c>
      <c r="AF412" s="37" t="str">
        <v/>
      </c>
      <c r="AG412" s="37" t="str">
        <v/>
      </c>
      <c r="AH412" s="40" t="str">
        <f t="shared" si="227"/>
        <v/>
      </c>
      <c r="AI412" s="36" t="str">
        <f>IFERROR(INDEX('Level Multipliers'!$D:$D,MATCH(AH412,'Level Multipliers'!$A:$A,0)),"")</f>
        <v/>
      </c>
      <c r="AJ412" s="37" t="str">
        <f t="shared" si="228"/>
        <v/>
      </c>
      <c r="AK412" s="37" t="str">
        <f t="shared" si="229"/>
        <v/>
      </c>
      <c r="AL412" s="38" t="str">
        <f t="shared" si="230"/>
        <v/>
      </c>
      <c r="AM412" s="38" t="str">
        <f t="shared" si="231"/>
        <v/>
      </c>
      <c r="AN412" s="38" t="b">
        <f t="shared" si="232"/>
        <v>1</v>
      </c>
      <c r="AO412" s="37" t="str">
        <f t="array" ref="AO412:AY412">IF(AN412,"",IVSolution($M412,$N412,$O412,AJ412,AK412,AL412,AM412,$E412,$F412,$G412,$H412,$I412))</f>
        <v/>
      </c>
      <c r="AP412" s="37" t="str">
        <v/>
      </c>
      <c r="AQ412" s="37" t="str">
        <v/>
      </c>
      <c r="AR412" s="39" t="str">
        <v/>
      </c>
      <c r="AS412" s="39" t="str">
        <v/>
      </c>
      <c r="AT412" s="37" t="str">
        <v/>
      </c>
      <c r="AU412" s="37" t="str">
        <v/>
      </c>
      <c r="AV412" s="37" t="str">
        <v/>
      </c>
      <c r="AW412" s="37" t="str">
        <v/>
      </c>
      <c r="AX412" s="37" t="str">
        <v/>
      </c>
      <c r="AY412" s="37" t="str">
        <v/>
      </c>
      <c r="AZ412" s="40" t="str">
        <f t="shared" si="233"/>
        <v/>
      </c>
      <c r="BA412" s="36" t="str">
        <f>IFERROR(INDEX('Level Multipliers'!$D:$D,MATCH(AZ412,'Level Multipliers'!$A:$A,0)),"")</f>
        <v/>
      </c>
      <c r="BB412" s="37" t="str">
        <f t="shared" si="234"/>
        <v/>
      </c>
      <c r="BC412" s="37" t="str">
        <f t="shared" si="235"/>
        <v/>
      </c>
      <c r="BD412" s="38" t="str">
        <f t="shared" si="236"/>
        <v/>
      </c>
      <c r="BE412" s="38" t="str">
        <f t="shared" si="237"/>
        <v/>
      </c>
      <c r="BF412" s="38" t="b">
        <f t="shared" si="238"/>
        <v>1</v>
      </c>
      <c r="BG412" s="37" t="str">
        <f t="array" ref="BG412:BQ412">IF(BF412,"",IVSolution($M412,$N412,$O412,BB412,BC412,BD412,BE412,$E412,$F412,$G412,$H412,$I412))</f>
        <v/>
      </c>
      <c r="BH412" s="37" t="str">
        <v/>
      </c>
      <c r="BI412" s="37" t="str">
        <v/>
      </c>
      <c r="BJ412" s="39" t="str">
        <v/>
      </c>
      <c r="BK412" s="39" t="str">
        <v/>
      </c>
      <c r="BL412" s="37" t="str">
        <v/>
      </c>
      <c r="BM412" s="37" t="str">
        <v/>
      </c>
      <c r="BN412" s="37" t="str">
        <v/>
      </c>
      <c r="BO412" s="37" t="str">
        <v/>
      </c>
      <c r="BP412" s="37" t="str">
        <v/>
      </c>
      <c r="BQ412" s="37" t="str">
        <v/>
      </c>
      <c r="BR412" s="40" t="str">
        <f t="shared" si="239"/>
        <v/>
      </c>
      <c r="BS412" s="36" t="str">
        <f>IFERROR(INDEX('Level Multipliers'!$D:$D,MATCH(BR412,'Level Multipliers'!$A:$A,0)),"")</f>
        <v/>
      </c>
      <c r="BT412" s="37" t="str">
        <f t="shared" si="240"/>
        <v/>
      </c>
      <c r="BU412" s="37" t="str">
        <f t="shared" si="241"/>
        <v/>
      </c>
      <c r="BV412" s="38" t="str">
        <f t="shared" si="242"/>
        <v/>
      </c>
      <c r="BW412" s="38" t="str">
        <f t="shared" si="243"/>
        <v/>
      </c>
      <c r="BX412" s="38" t="b">
        <f t="shared" si="244"/>
        <v>1</v>
      </c>
      <c r="BY412" s="37" t="str">
        <f t="array" ref="BY412:CI412">IF(BX412,"",IVSolution($M412,$N412,$O412,BT412,BU412,BV412,BW412,$E412,$F412,$G412,$H412,$I412))</f>
        <v/>
      </c>
      <c r="BZ412" s="37" t="str">
        <v/>
      </c>
      <c r="CA412" s="37" t="str">
        <v/>
      </c>
      <c r="CB412" s="39" t="str">
        <v/>
      </c>
      <c r="CC412" s="39" t="str">
        <v/>
      </c>
      <c r="CD412" s="37" t="str">
        <v/>
      </c>
      <c r="CE412" s="37" t="str">
        <v/>
      </c>
      <c r="CF412" s="37" t="str">
        <v/>
      </c>
      <c r="CG412" s="37" t="str">
        <v/>
      </c>
      <c r="CH412" s="37" t="str">
        <v/>
      </c>
      <c r="CI412" s="37" t="str">
        <v/>
      </c>
      <c r="CJ412" s="41" t="str">
        <f t="shared" si="245"/>
        <v/>
      </c>
      <c r="CK412" s="41" t="str">
        <f t="shared" si="246"/>
        <v/>
      </c>
      <c r="CL412" s="66" t="str">
        <f t="shared" si="247"/>
        <v/>
      </c>
      <c r="CM412" s="39" t="str">
        <f t="shared" si="248"/>
        <v/>
      </c>
      <c r="CN412" s="39" t="str">
        <f t="shared" si="249"/>
        <v/>
      </c>
      <c r="CO412" s="42" t="str">
        <f t="shared" si="250"/>
        <v/>
      </c>
      <c r="CP412" s="42" t="str">
        <f t="shared" si="251"/>
        <v/>
      </c>
      <c r="CQ412" s="42" t="str">
        <f t="shared" si="252"/>
        <v/>
      </c>
      <c r="CR412" s="42" t="str">
        <f t="shared" si="253"/>
        <v/>
      </c>
      <c r="CS412" s="42" t="str">
        <f t="shared" si="254"/>
        <v/>
      </c>
      <c r="CT412" s="42" t="str">
        <f t="shared" si="255"/>
        <v/>
      </c>
      <c r="CU412" s="43" t="str">
        <f t="shared" si="256"/>
        <v/>
      </c>
      <c r="CV412" s="43" t="str">
        <f t="shared" si="257"/>
        <v/>
      </c>
      <c r="CW412" s="43" t="str">
        <f t="shared" si="258"/>
        <v/>
      </c>
      <c r="CX412" s="13"/>
    </row>
    <row r="413" spans="1:102" x14ac:dyDescent="0.25">
      <c r="A413" s="31"/>
      <c r="B413" s="13"/>
      <c r="C413" s="13"/>
      <c r="D413" s="13"/>
      <c r="E413" s="32"/>
      <c r="F413" s="32"/>
      <c r="G413" s="32"/>
      <c r="H413" s="32"/>
      <c r="I413" s="32"/>
      <c r="J413" s="13"/>
      <c r="K413" s="33"/>
      <c r="L413" s="34" t="str">
        <f>IFERROR(INDEX('Pokemon Data'!A:A,MATCH($A413,'Pokemon Data'!$B:$B,0)),"")</f>
        <v/>
      </c>
      <c r="M413" s="34" t="str">
        <f>IFERROR(INDEX('Pokemon Data'!I:I,MATCH($A413,'Pokemon Data'!$B:$B,0)),"")</f>
        <v/>
      </c>
      <c r="N413" s="34" t="str">
        <f>IFERROR(INDEX('Pokemon Data'!J:J,MATCH($A413,'Pokemon Data'!$B:$B,0)),"")</f>
        <v/>
      </c>
      <c r="O413" s="34" t="str">
        <f>IFERROR(INDEX('Pokemon Data'!K:K,MATCH($A413,'Pokemon Data'!$B:$B,0)),"")</f>
        <v/>
      </c>
      <c r="P413" s="35" t="str">
        <f>IFERROR(INDEX('Level Multipliers'!$A:$A,MATCH($D413,'Level Multipliers'!$B:$B,0)),"")</f>
        <v/>
      </c>
      <c r="Q413" s="36" t="str">
        <f>IFERROR(INDEX('Level Multipliers'!$D:$D,MATCH(P413,'Level Multipliers'!$A:$A,0)),"")</f>
        <v/>
      </c>
      <c r="R413" s="37" t="str">
        <f t="shared" si="222"/>
        <v/>
      </c>
      <c r="S413" s="37" t="str">
        <f t="shared" si="223"/>
        <v/>
      </c>
      <c r="T413" s="38" t="str">
        <f t="shared" si="224"/>
        <v/>
      </c>
      <c r="U413" s="38" t="str">
        <f t="shared" si="225"/>
        <v/>
      </c>
      <c r="V413" s="38" t="b">
        <f t="shared" si="226"/>
        <v>1</v>
      </c>
      <c r="W413" s="37" t="str">
        <f t="array" ref="W413:AG413">IF(V413,"",IVSolution($M413,$N413,$O413,R413,S413,T413,U413,$E413,$F413,$G413,$H413,$I413))</f>
        <v/>
      </c>
      <c r="X413" s="37" t="str">
        <v/>
      </c>
      <c r="Y413" s="37" t="str">
        <v/>
      </c>
      <c r="Z413" s="39" t="str">
        <v/>
      </c>
      <c r="AA413" s="39" t="str">
        <v/>
      </c>
      <c r="AB413" s="37" t="str">
        <v/>
      </c>
      <c r="AC413" s="37" t="str">
        <v/>
      </c>
      <c r="AD413" s="37" t="str">
        <v/>
      </c>
      <c r="AE413" s="37" t="str">
        <v/>
      </c>
      <c r="AF413" s="37" t="str">
        <v/>
      </c>
      <c r="AG413" s="37" t="str">
        <v/>
      </c>
      <c r="AH413" s="40" t="str">
        <f t="shared" si="227"/>
        <v/>
      </c>
      <c r="AI413" s="36" t="str">
        <f>IFERROR(INDEX('Level Multipliers'!$D:$D,MATCH(AH413,'Level Multipliers'!$A:$A,0)),"")</f>
        <v/>
      </c>
      <c r="AJ413" s="37" t="str">
        <f t="shared" si="228"/>
        <v/>
      </c>
      <c r="AK413" s="37" t="str">
        <f t="shared" si="229"/>
        <v/>
      </c>
      <c r="AL413" s="38" t="str">
        <f t="shared" si="230"/>
        <v/>
      </c>
      <c r="AM413" s="38" t="str">
        <f t="shared" si="231"/>
        <v/>
      </c>
      <c r="AN413" s="38" t="b">
        <f t="shared" si="232"/>
        <v>1</v>
      </c>
      <c r="AO413" s="37" t="str">
        <f t="array" ref="AO413:AY413">IF(AN413,"",IVSolution($M413,$N413,$O413,AJ413,AK413,AL413,AM413,$E413,$F413,$G413,$H413,$I413))</f>
        <v/>
      </c>
      <c r="AP413" s="37" t="str">
        <v/>
      </c>
      <c r="AQ413" s="37" t="str">
        <v/>
      </c>
      <c r="AR413" s="39" t="str">
        <v/>
      </c>
      <c r="AS413" s="39" t="str">
        <v/>
      </c>
      <c r="AT413" s="37" t="str">
        <v/>
      </c>
      <c r="AU413" s="37" t="str">
        <v/>
      </c>
      <c r="AV413" s="37" t="str">
        <v/>
      </c>
      <c r="AW413" s="37" t="str">
        <v/>
      </c>
      <c r="AX413" s="37" t="str">
        <v/>
      </c>
      <c r="AY413" s="37" t="str">
        <v/>
      </c>
      <c r="AZ413" s="40" t="str">
        <f t="shared" si="233"/>
        <v/>
      </c>
      <c r="BA413" s="36" t="str">
        <f>IFERROR(INDEX('Level Multipliers'!$D:$D,MATCH(AZ413,'Level Multipliers'!$A:$A,0)),"")</f>
        <v/>
      </c>
      <c r="BB413" s="37" t="str">
        <f t="shared" si="234"/>
        <v/>
      </c>
      <c r="BC413" s="37" t="str">
        <f t="shared" si="235"/>
        <v/>
      </c>
      <c r="BD413" s="38" t="str">
        <f t="shared" si="236"/>
        <v/>
      </c>
      <c r="BE413" s="38" t="str">
        <f t="shared" si="237"/>
        <v/>
      </c>
      <c r="BF413" s="38" t="b">
        <f t="shared" si="238"/>
        <v>1</v>
      </c>
      <c r="BG413" s="37" t="str">
        <f t="array" ref="BG413:BQ413">IF(BF413,"",IVSolution($M413,$N413,$O413,BB413,BC413,BD413,BE413,$E413,$F413,$G413,$H413,$I413))</f>
        <v/>
      </c>
      <c r="BH413" s="37" t="str">
        <v/>
      </c>
      <c r="BI413" s="37" t="str">
        <v/>
      </c>
      <c r="BJ413" s="39" t="str">
        <v/>
      </c>
      <c r="BK413" s="39" t="str">
        <v/>
      </c>
      <c r="BL413" s="37" t="str">
        <v/>
      </c>
      <c r="BM413" s="37" t="str">
        <v/>
      </c>
      <c r="BN413" s="37" t="str">
        <v/>
      </c>
      <c r="BO413" s="37" t="str">
        <v/>
      </c>
      <c r="BP413" s="37" t="str">
        <v/>
      </c>
      <c r="BQ413" s="37" t="str">
        <v/>
      </c>
      <c r="BR413" s="40" t="str">
        <f t="shared" si="239"/>
        <v/>
      </c>
      <c r="BS413" s="36" t="str">
        <f>IFERROR(INDEX('Level Multipliers'!$D:$D,MATCH(BR413,'Level Multipliers'!$A:$A,0)),"")</f>
        <v/>
      </c>
      <c r="BT413" s="37" t="str">
        <f t="shared" si="240"/>
        <v/>
      </c>
      <c r="BU413" s="37" t="str">
        <f t="shared" si="241"/>
        <v/>
      </c>
      <c r="BV413" s="38" t="str">
        <f t="shared" si="242"/>
        <v/>
      </c>
      <c r="BW413" s="38" t="str">
        <f t="shared" si="243"/>
        <v/>
      </c>
      <c r="BX413" s="38" t="b">
        <f t="shared" si="244"/>
        <v>1</v>
      </c>
      <c r="BY413" s="37" t="str">
        <f t="array" ref="BY413:CI413">IF(BX413,"",IVSolution($M413,$N413,$O413,BT413,BU413,BV413,BW413,$E413,$F413,$G413,$H413,$I413))</f>
        <v/>
      </c>
      <c r="BZ413" s="37" t="str">
        <v/>
      </c>
      <c r="CA413" s="37" t="str">
        <v/>
      </c>
      <c r="CB413" s="39" t="str">
        <v/>
      </c>
      <c r="CC413" s="39" t="str">
        <v/>
      </c>
      <c r="CD413" s="37" t="str">
        <v/>
      </c>
      <c r="CE413" s="37" t="str">
        <v/>
      </c>
      <c r="CF413" s="37" t="str">
        <v/>
      </c>
      <c r="CG413" s="37" t="str">
        <v/>
      </c>
      <c r="CH413" s="37" t="str">
        <v/>
      </c>
      <c r="CI413" s="37" t="str">
        <v/>
      </c>
      <c r="CJ413" s="41" t="str">
        <f t="shared" si="245"/>
        <v/>
      </c>
      <c r="CK413" s="41" t="str">
        <f t="shared" si="246"/>
        <v/>
      </c>
      <c r="CL413" s="66" t="str">
        <f t="shared" si="247"/>
        <v/>
      </c>
      <c r="CM413" s="39" t="str">
        <f t="shared" si="248"/>
        <v/>
      </c>
      <c r="CN413" s="39" t="str">
        <f t="shared" si="249"/>
        <v/>
      </c>
      <c r="CO413" s="42" t="str">
        <f t="shared" si="250"/>
        <v/>
      </c>
      <c r="CP413" s="42" t="str">
        <f t="shared" si="251"/>
        <v/>
      </c>
      <c r="CQ413" s="42" t="str">
        <f t="shared" si="252"/>
        <v/>
      </c>
      <c r="CR413" s="42" t="str">
        <f t="shared" si="253"/>
        <v/>
      </c>
      <c r="CS413" s="42" t="str">
        <f t="shared" si="254"/>
        <v/>
      </c>
      <c r="CT413" s="42" t="str">
        <f t="shared" si="255"/>
        <v/>
      </c>
      <c r="CU413" s="43" t="str">
        <f t="shared" si="256"/>
        <v/>
      </c>
      <c r="CV413" s="43" t="str">
        <f t="shared" si="257"/>
        <v/>
      </c>
      <c r="CW413" s="43" t="str">
        <f t="shared" si="258"/>
        <v/>
      </c>
      <c r="CX413" s="13"/>
    </row>
    <row r="414" spans="1:102" x14ac:dyDescent="0.25">
      <c r="A414" s="31"/>
      <c r="B414" s="13"/>
      <c r="C414" s="13"/>
      <c r="D414" s="13"/>
      <c r="E414" s="32"/>
      <c r="F414" s="32"/>
      <c r="G414" s="32"/>
      <c r="H414" s="32"/>
      <c r="I414" s="32"/>
      <c r="J414" s="13"/>
      <c r="K414" s="33"/>
      <c r="L414" s="34" t="str">
        <f>IFERROR(INDEX('Pokemon Data'!A:A,MATCH($A414,'Pokemon Data'!$B:$B,0)),"")</f>
        <v/>
      </c>
      <c r="M414" s="34" t="str">
        <f>IFERROR(INDEX('Pokemon Data'!I:I,MATCH($A414,'Pokemon Data'!$B:$B,0)),"")</f>
        <v/>
      </c>
      <c r="N414" s="34" t="str">
        <f>IFERROR(INDEX('Pokemon Data'!J:J,MATCH($A414,'Pokemon Data'!$B:$B,0)),"")</f>
        <v/>
      </c>
      <c r="O414" s="34" t="str">
        <f>IFERROR(INDEX('Pokemon Data'!K:K,MATCH($A414,'Pokemon Data'!$B:$B,0)),"")</f>
        <v/>
      </c>
      <c r="P414" s="35" t="str">
        <f>IFERROR(INDEX('Level Multipliers'!$A:$A,MATCH($D414,'Level Multipliers'!$B:$B,0)),"")</f>
        <v/>
      </c>
      <c r="Q414" s="36" t="str">
        <f>IFERROR(INDEX('Level Multipliers'!$D:$D,MATCH(P414,'Level Multipliers'!$A:$A,0)),"")</f>
        <v/>
      </c>
      <c r="R414" s="37" t="str">
        <f t="shared" si="222"/>
        <v/>
      </c>
      <c r="S414" s="37" t="str">
        <f t="shared" si="223"/>
        <v/>
      </c>
      <c r="T414" s="38" t="str">
        <f t="shared" si="224"/>
        <v/>
      </c>
      <c r="U414" s="38" t="str">
        <f t="shared" si="225"/>
        <v/>
      </c>
      <c r="V414" s="38" t="b">
        <f t="shared" si="226"/>
        <v>1</v>
      </c>
      <c r="W414" s="37" t="str">
        <f t="array" ref="W414:AG414">IF(V414,"",IVSolution($M414,$N414,$O414,R414,S414,T414,U414,$E414,$F414,$G414,$H414,$I414))</f>
        <v/>
      </c>
      <c r="X414" s="37" t="str">
        <v/>
      </c>
      <c r="Y414" s="37" t="str">
        <v/>
      </c>
      <c r="Z414" s="39" t="str">
        <v/>
      </c>
      <c r="AA414" s="39" t="str">
        <v/>
      </c>
      <c r="AB414" s="37" t="str">
        <v/>
      </c>
      <c r="AC414" s="37" t="str">
        <v/>
      </c>
      <c r="AD414" s="37" t="str">
        <v/>
      </c>
      <c r="AE414" s="37" t="str">
        <v/>
      </c>
      <c r="AF414" s="37" t="str">
        <v/>
      </c>
      <c r="AG414" s="37" t="str">
        <v/>
      </c>
      <c r="AH414" s="40" t="str">
        <f t="shared" si="227"/>
        <v/>
      </c>
      <c r="AI414" s="36" t="str">
        <f>IFERROR(INDEX('Level Multipliers'!$D:$D,MATCH(AH414,'Level Multipliers'!$A:$A,0)),"")</f>
        <v/>
      </c>
      <c r="AJ414" s="37" t="str">
        <f t="shared" si="228"/>
        <v/>
      </c>
      <c r="AK414" s="37" t="str">
        <f t="shared" si="229"/>
        <v/>
      </c>
      <c r="AL414" s="38" t="str">
        <f t="shared" si="230"/>
        <v/>
      </c>
      <c r="AM414" s="38" t="str">
        <f t="shared" si="231"/>
        <v/>
      </c>
      <c r="AN414" s="38" t="b">
        <f t="shared" si="232"/>
        <v>1</v>
      </c>
      <c r="AO414" s="37" t="str">
        <f t="array" ref="AO414:AY414">IF(AN414,"",IVSolution($M414,$N414,$O414,AJ414,AK414,AL414,AM414,$E414,$F414,$G414,$H414,$I414))</f>
        <v/>
      </c>
      <c r="AP414" s="37" t="str">
        <v/>
      </c>
      <c r="AQ414" s="37" t="str">
        <v/>
      </c>
      <c r="AR414" s="39" t="str">
        <v/>
      </c>
      <c r="AS414" s="39" t="str">
        <v/>
      </c>
      <c r="AT414" s="37" t="str">
        <v/>
      </c>
      <c r="AU414" s="37" t="str">
        <v/>
      </c>
      <c r="AV414" s="37" t="str">
        <v/>
      </c>
      <c r="AW414" s="37" t="str">
        <v/>
      </c>
      <c r="AX414" s="37" t="str">
        <v/>
      </c>
      <c r="AY414" s="37" t="str">
        <v/>
      </c>
      <c r="AZ414" s="40" t="str">
        <f t="shared" si="233"/>
        <v/>
      </c>
      <c r="BA414" s="36" t="str">
        <f>IFERROR(INDEX('Level Multipliers'!$D:$D,MATCH(AZ414,'Level Multipliers'!$A:$A,0)),"")</f>
        <v/>
      </c>
      <c r="BB414" s="37" t="str">
        <f t="shared" si="234"/>
        <v/>
      </c>
      <c r="BC414" s="37" t="str">
        <f t="shared" si="235"/>
        <v/>
      </c>
      <c r="BD414" s="38" t="str">
        <f t="shared" si="236"/>
        <v/>
      </c>
      <c r="BE414" s="38" t="str">
        <f t="shared" si="237"/>
        <v/>
      </c>
      <c r="BF414" s="38" t="b">
        <f t="shared" si="238"/>
        <v>1</v>
      </c>
      <c r="BG414" s="37" t="str">
        <f t="array" ref="BG414:BQ414">IF(BF414,"",IVSolution($M414,$N414,$O414,BB414,BC414,BD414,BE414,$E414,$F414,$G414,$H414,$I414))</f>
        <v/>
      </c>
      <c r="BH414" s="37" t="str">
        <v/>
      </c>
      <c r="BI414" s="37" t="str">
        <v/>
      </c>
      <c r="BJ414" s="39" t="str">
        <v/>
      </c>
      <c r="BK414" s="39" t="str">
        <v/>
      </c>
      <c r="BL414" s="37" t="str">
        <v/>
      </c>
      <c r="BM414" s="37" t="str">
        <v/>
      </c>
      <c r="BN414" s="37" t="str">
        <v/>
      </c>
      <c r="BO414" s="37" t="str">
        <v/>
      </c>
      <c r="BP414" s="37" t="str">
        <v/>
      </c>
      <c r="BQ414" s="37" t="str">
        <v/>
      </c>
      <c r="BR414" s="40" t="str">
        <f t="shared" si="239"/>
        <v/>
      </c>
      <c r="BS414" s="36" t="str">
        <f>IFERROR(INDEX('Level Multipliers'!$D:$D,MATCH(BR414,'Level Multipliers'!$A:$A,0)),"")</f>
        <v/>
      </c>
      <c r="BT414" s="37" t="str">
        <f t="shared" si="240"/>
        <v/>
      </c>
      <c r="BU414" s="37" t="str">
        <f t="shared" si="241"/>
        <v/>
      </c>
      <c r="BV414" s="38" t="str">
        <f t="shared" si="242"/>
        <v/>
      </c>
      <c r="BW414" s="38" t="str">
        <f t="shared" si="243"/>
        <v/>
      </c>
      <c r="BX414" s="38" t="b">
        <f t="shared" si="244"/>
        <v>1</v>
      </c>
      <c r="BY414" s="37" t="str">
        <f t="array" ref="BY414:CI414">IF(BX414,"",IVSolution($M414,$N414,$O414,BT414,BU414,BV414,BW414,$E414,$F414,$G414,$H414,$I414))</f>
        <v/>
      </c>
      <c r="BZ414" s="37" t="str">
        <v/>
      </c>
      <c r="CA414" s="37" t="str">
        <v/>
      </c>
      <c r="CB414" s="39" t="str">
        <v/>
      </c>
      <c r="CC414" s="39" t="str">
        <v/>
      </c>
      <c r="CD414" s="37" t="str">
        <v/>
      </c>
      <c r="CE414" s="37" t="str">
        <v/>
      </c>
      <c r="CF414" s="37" t="str">
        <v/>
      </c>
      <c r="CG414" s="37" t="str">
        <v/>
      </c>
      <c r="CH414" s="37" t="str">
        <v/>
      </c>
      <c r="CI414" s="37" t="str">
        <v/>
      </c>
      <c r="CJ414" s="41" t="str">
        <f t="shared" si="245"/>
        <v/>
      </c>
      <c r="CK414" s="41" t="str">
        <f t="shared" si="246"/>
        <v/>
      </c>
      <c r="CL414" s="66" t="str">
        <f t="shared" si="247"/>
        <v/>
      </c>
      <c r="CM414" s="39" t="str">
        <f t="shared" si="248"/>
        <v/>
      </c>
      <c r="CN414" s="39" t="str">
        <f t="shared" si="249"/>
        <v/>
      </c>
      <c r="CO414" s="42" t="str">
        <f t="shared" si="250"/>
        <v/>
      </c>
      <c r="CP414" s="42" t="str">
        <f t="shared" si="251"/>
        <v/>
      </c>
      <c r="CQ414" s="42" t="str">
        <f t="shared" si="252"/>
        <v/>
      </c>
      <c r="CR414" s="42" t="str">
        <f t="shared" si="253"/>
        <v/>
      </c>
      <c r="CS414" s="42" t="str">
        <f t="shared" si="254"/>
        <v/>
      </c>
      <c r="CT414" s="42" t="str">
        <f t="shared" si="255"/>
        <v/>
      </c>
      <c r="CU414" s="43" t="str">
        <f t="shared" si="256"/>
        <v/>
      </c>
      <c r="CV414" s="43" t="str">
        <f t="shared" si="257"/>
        <v/>
      </c>
      <c r="CW414" s="43" t="str">
        <f t="shared" si="258"/>
        <v/>
      </c>
      <c r="CX414" s="13"/>
    </row>
    <row r="415" spans="1:102" x14ac:dyDescent="0.25">
      <c r="A415" s="31"/>
      <c r="B415" s="13"/>
      <c r="C415" s="13"/>
      <c r="D415" s="13"/>
      <c r="E415" s="32"/>
      <c r="F415" s="32"/>
      <c r="G415" s="32"/>
      <c r="H415" s="32"/>
      <c r="I415" s="32"/>
      <c r="J415" s="13"/>
      <c r="K415" s="33"/>
      <c r="L415" s="34" t="str">
        <f>IFERROR(INDEX('Pokemon Data'!A:A,MATCH($A415,'Pokemon Data'!$B:$B,0)),"")</f>
        <v/>
      </c>
      <c r="M415" s="34" t="str">
        <f>IFERROR(INDEX('Pokemon Data'!I:I,MATCH($A415,'Pokemon Data'!$B:$B,0)),"")</f>
        <v/>
      </c>
      <c r="N415" s="34" t="str">
        <f>IFERROR(INDEX('Pokemon Data'!J:J,MATCH($A415,'Pokemon Data'!$B:$B,0)),"")</f>
        <v/>
      </c>
      <c r="O415" s="34" t="str">
        <f>IFERROR(INDEX('Pokemon Data'!K:K,MATCH($A415,'Pokemon Data'!$B:$B,0)),"")</f>
        <v/>
      </c>
      <c r="P415" s="35" t="str">
        <f>IFERROR(INDEX('Level Multipliers'!$A:$A,MATCH($D415,'Level Multipliers'!$B:$B,0)),"")</f>
        <v/>
      </c>
      <c r="Q415" s="36" t="str">
        <f>IFERROR(INDEX('Level Multipliers'!$D:$D,MATCH(P415,'Level Multipliers'!$A:$A,0)),"")</f>
        <v/>
      </c>
      <c r="R415" s="37" t="str">
        <f t="shared" si="222"/>
        <v/>
      </c>
      <c r="S415" s="37" t="str">
        <f t="shared" si="223"/>
        <v/>
      </c>
      <c r="T415" s="38" t="str">
        <f t="shared" si="224"/>
        <v/>
      </c>
      <c r="U415" s="38" t="str">
        <f t="shared" si="225"/>
        <v/>
      </c>
      <c r="V415" s="38" t="b">
        <f t="shared" si="226"/>
        <v>1</v>
      </c>
      <c r="W415" s="37" t="str">
        <f t="array" ref="W415:AG415">IF(V415,"",IVSolution($M415,$N415,$O415,R415,S415,T415,U415,$E415,$F415,$G415,$H415,$I415))</f>
        <v/>
      </c>
      <c r="X415" s="37" t="str">
        <v/>
      </c>
      <c r="Y415" s="37" t="str">
        <v/>
      </c>
      <c r="Z415" s="39" t="str">
        <v/>
      </c>
      <c r="AA415" s="39" t="str">
        <v/>
      </c>
      <c r="AB415" s="37" t="str">
        <v/>
      </c>
      <c r="AC415" s="37" t="str">
        <v/>
      </c>
      <c r="AD415" s="37" t="str">
        <v/>
      </c>
      <c r="AE415" s="37" t="str">
        <v/>
      </c>
      <c r="AF415" s="37" t="str">
        <v/>
      </c>
      <c r="AG415" s="37" t="str">
        <v/>
      </c>
      <c r="AH415" s="40" t="str">
        <f t="shared" si="227"/>
        <v/>
      </c>
      <c r="AI415" s="36" t="str">
        <f>IFERROR(INDEX('Level Multipliers'!$D:$D,MATCH(AH415,'Level Multipliers'!$A:$A,0)),"")</f>
        <v/>
      </c>
      <c r="AJ415" s="37" t="str">
        <f t="shared" si="228"/>
        <v/>
      </c>
      <c r="AK415" s="37" t="str">
        <f t="shared" si="229"/>
        <v/>
      </c>
      <c r="AL415" s="38" t="str">
        <f t="shared" si="230"/>
        <v/>
      </c>
      <c r="AM415" s="38" t="str">
        <f t="shared" si="231"/>
        <v/>
      </c>
      <c r="AN415" s="38" t="b">
        <f t="shared" si="232"/>
        <v>1</v>
      </c>
      <c r="AO415" s="37" t="str">
        <f t="array" ref="AO415:AY415">IF(AN415,"",IVSolution($M415,$N415,$O415,AJ415,AK415,AL415,AM415,$E415,$F415,$G415,$H415,$I415))</f>
        <v/>
      </c>
      <c r="AP415" s="37" t="str">
        <v/>
      </c>
      <c r="AQ415" s="37" t="str">
        <v/>
      </c>
      <c r="AR415" s="39" t="str">
        <v/>
      </c>
      <c r="AS415" s="39" t="str">
        <v/>
      </c>
      <c r="AT415" s="37" t="str">
        <v/>
      </c>
      <c r="AU415" s="37" t="str">
        <v/>
      </c>
      <c r="AV415" s="37" t="str">
        <v/>
      </c>
      <c r="AW415" s="37" t="str">
        <v/>
      </c>
      <c r="AX415" s="37" t="str">
        <v/>
      </c>
      <c r="AY415" s="37" t="str">
        <v/>
      </c>
      <c r="AZ415" s="40" t="str">
        <f t="shared" si="233"/>
        <v/>
      </c>
      <c r="BA415" s="36" t="str">
        <f>IFERROR(INDEX('Level Multipliers'!$D:$D,MATCH(AZ415,'Level Multipliers'!$A:$A,0)),"")</f>
        <v/>
      </c>
      <c r="BB415" s="37" t="str">
        <f t="shared" si="234"/>
        <v/>
      </c>
      <c r="BC415" s="37" t="str">
        <f t="shared" si="235"/>
        <v/>
      </c>
      <c r="BD415" s="38" t="str">
        <f t="shared" si="236"/>
        <v/>
      </c>
      <c r="BE415" s="38" t="str">
        <f t="shared" si="237"/>
        <v/>
      </c>
      <c r="BF415" s="38" t="b">
        <f t="shared" si="238"/>
        <v>1</v>
      </c>
      <c r="BG415" s="37" t="str">
        <f t="array" ref="BG415:BQ415">IF(BF415,"",IVSolution($M415,$N415,$O415,BB415,BC415,BD415,BE415,$E415,$F415,$G415,$H415,$I415))</f>
        <v/>
      </c>
      <c r="BH415" s="37" t="str">
        <v/>
      </c>
      <c r="BI415" s="37" t="str">
        <v/>
      </c>
      <c r="BJ415" s="39" t="str">
        <v/>
      </c>
      <c r="BK415" s="39" t="str">
        <v/>
      </c>
      <c r="BL415" s="37" t="str">
        <v/>
      </c>
      <c r="BM415" s="37" t="str">
        <v/>
      </c>
      <c r="BN415" s="37" t="str">
        <v/>
      </c>
      <c r="BO415" s="37" t="str">
        <v/>
      </c>
      <c r="BP415" s="37" t="str">
        <v/>
      </c>
      <c r="BQ415" s="37" t="str">
        <v/>
      </c>
      <c r="BR415" s="40" t="str">
        <f t="shared" si="239"/>
        <v/>
      </c>
      <c r="BS415" s="36" t="str">
        <f>IFERROR(INDEX('Level Multipliers'!$D:$D,MATCH(BR415,'Level Multipliers'!$A:$A,0)),"")</f>
        <v/>
      </c>
      <c r="BT415" s="37" t="str">
        <f t="shared" si="240"/>
        <v/>
      </c>
      <c r="BU415" s="37" t="str">
        <f t="shared" si="241"/>
        <v/>
      </c>
      <c r="BV415" s="38" t="str">
        <f t="shared" si="242"/>
        <v/>
      </c>
      <c r="BW415" s="38" t="str">
        <f t="shared" si="243"/>
        <v/>
      </c>
      <c r="BX415" s="38" t="b">
        <f t="shared" si="244"/>
        <v>1</v>
      </c>
      <c r="BY415" s="37" t="str">
        <f t="array" ref="BY415:CI415">IF(BX415,"",IVSolution($M415,$N415,$O415,BT415,BU415,BV415,BW415,$E415,$F415,$G415,$H415,$I415))</f>
        <v/>
      </c>
      <c r="BZ415" s="37" t="str">
        <v/>
      </c>
      <c r="CA415" s="37" t="str">
        <v/>
      </c>
      <c r="CB415" s="39" t="str">
        <v/>
      </c>
      <c r="CC415" s="39" t="str">
        <v/>
      </c>
      <c r="CD415" s="37" t="str">
        <v/>
      </c>
      <c r="CE415" s="37" t="str">
        <v/>
      </c>
      <c r="CF415" s="37" t="str">
        <v/>
      </c>
      <c r="CG415" s="37" t="str">
        <v/>
      </c>
      <c r="CH415" s="37" t="str">
        <v/>
      </c>
      <c r="CI415" s="37" t="str">
        <v/>
      </c>
      <c r="CJ415" s="41" t="str">
        <f t="shared" si="245"/>
        <v/>
      </c>
      <c r="CK415" s="41" t="str">
        <f t="shared" si="246"/>
        <v/>
      </c>
      <c r="CL415" s="66" t="str">
        <f t="shared" si="247"/>
        <v/>
      </c>
      <c r="CM415" s="39" t="str">
        <f t="shared" si="248"/>
        <v/>
      </c>
      <c r="CN415" s="39" t="str">
        <f t="shared" si="249"/>
        <v/>
      </c>
      <c r="CO415" s="42" t="str">
        <f t="shared" si="250"/>
        <v/>
      </c>
      <c r="CP415" s="42" t="str">
        <f t="shared" si="251"/>
        <v/>
      </c>
      <c r="CQ415" s="42" t="str">
        <f t="shared" si="252"/>
        <v/>
      </c>
      <c r="CR415" s="42" t="str">
        <f t="shared" si="253"/>
        <v/>
      </c>
      <c r="CS415" s="42" t="str">
        <f t="shared" si="254"/>
        <v/>
      </c>
      <c r="CT415" s="42" t="str">
        <f t="shared" si="255"/>
        <v/>
      </c>
      <c r="CU415" s="43" t="str">
        <f t="shared" si="256"/>
        <v/>
      </c>
      <c r="CV415" s="43" t="str">
        <f t="shared" si="257"/>
        <v/>
      </c>
      <c r="CW415" s="43" t="str">
        <f t="shared" si="258"/>
        <v/>
      </c>
      <c r="CX415" s="13"/>
    </row>
    <row r="416" spans="1:102" x14ac:dyDescent="0.25">
      <c r="A416" s="31"/>
      <c r="B416" s="13"/>
      <c r="C416" s="13"/>
      <c r="D416" s="13"/>
      <c r="E416" s="32"/>
      <c r="F416" s="32"/>
      <c r="G416" s="32"/>
      <c r="H416" s="32"/>
      <c r="I416" s="32"/>
      <c r="J416" s="13"/>
      <c r="K416" s="33"/>
      <c r="L416" s="34" t="str">
        <f>IFERROR(INDEX('Pokemon Data'!A:A,MATCH($A416,'Pokemon Data'!$B:$B,0)),"")</f>
        <v/>
      </c>
      <c r="M416" s="34" t="str">
        <f>IFERROR(INDEX('Pokemon Data'!I:I,MATCH($A416,'Pokemon Data'!$B:$B,0)),"")</f>
        <v/>
      </c>
      <c r="N416" s="34" t="str">
        <f>IFERROR(INDEX('Pokemon Data'!J:J,MATCH($A416,'Pokemon Data'!$B:$B,0)),"")</f>
        <v/>
      </c>
      <c r="O416" s="34" t="str">
        <f>IFERROR(INDEX('Pokemon Data'!K:K,MATCH($A416,'Pokemon Data'!$B:$B,0)),"")</f>
        <v/>
      </c>
      <c r="P416" s="35" t="str">
        <f>IFERROR(INDEX('Level Multipliers'!$A:$A,MATCH($D416,'Level Multipliers'!$B:$B,0)),"")</f>
        <v/>
      </c>
      <c r="Q416" s="36" t="str">
        <f>IFERROR(INDEX('Level Multipliers'!$D:$D,MATCH(P416,'Level Multipliers'!$A:$A,0)),"")</f>
        <v/>
      </c>
      <c r="R416" s="37" t="str">
        <f t="shared" si="222"/>
        <v/>
      </c>
      <c r="S416" s="37" t="str">
        <f t="shared" si="223"/>
        <v/>
      </c>
      <c r="T416" s="38" t="str">
        <f t="shared" si="224"/>
        <v/>
      </c>
      <c r="U416" s="38" t="str">
        <f t="shared" si="225"/>
        <v/>
      </c>
      <c r="V416" s="38" t="b">
        <f t="shared" si="226"/>
        <v>1</v>
      </c>
      <c r="W416" s="37" t="str">
        <f t="array" ref="W416:AG416">IF(V416,"",IVSolution($M416,$N416,$O416,R416,S416,T416,U416,$E416,$F416,$G416,$H416,$I416))</f>
        <v/>
      </c>
      <c r="X416" s="37" t="str">
        <v/>
      </c>
      <c r="Y416" s="37" t="str">
        <v/>
      </c>
      <c r="Z416" s="39" t="str">
        <v/>
      </c>
      <c r="AA416" s="39" t="str">
        <v/>
      </c>
      <c r="AB416" s="37" t="str">
        <v/>
      </c>
      <c r="AC416" s="37" t="str">
        <v/>
      </c>
      <c r="AD416" s="37" t="str">
        <v/>
      </c>
      <c r="AE416" s="37" t="str">
        <v/>
      </c>
      <c r="AF416" s="37" t="str">
        <v/>
      </c>
      <c r="AG416" s="37" t="str">
        <v/>
      </c>
      <c r="AH416" s="40" t="str">
        <f t="shared" si="227"/>
        <v/>
      </c>
      <c r="AI416" s="36" t="str">
        <f>IFERROR(INDEX('Level Multipliers'!$D:$D,MATCH(AH416,'Level Multipliers'!$A:$A,0)),"")</f>
        <v/>
      </c>
      <c r="AJ416" s="37" t="str">
        <f t="shared" si="228"/>
        <v/>
      </c>
      <c r="AK416" s="37" t="str">
        <f t="shared" si="229"/>
        <v/>
      </c>
      <c r="AL416" s="38" t="str">
        <f t="shared" si="230"/>
        <v/>
      </c>
      <c r="AM416" s="38" t="str">
        <f t="shared" si="231"/>
        <v/>
      </c>
      <c r="AN416" s="38" t="b">
        <f t="shared" si="232"/>
        <v>1</v>
      </c>
      <c r="AO416" s="37" t="str">
        <f t="array" ref="AO416:AY416">IF(AN416,"",IVSolution($M416,$N416,$O416,AJ416,AK416,AL416,AM416,$E416,$F416,$G416,$H416,$I416))</f>
        <v/>
      </c>
      <c r="AP416" s="37" t="str">
        <v/>
      </c>
      <c r="AQ416" s="37" t="str">
        <v/>
      </c>
      <c r="AR416" s="39" t="str">
        <v/>
      </c>
      <c r="AS416" s="39" t="str">
        <v/>
      </c>
      <c r="AT416" s="37" t="str">
        <v/>
      </c>
      <c r="AU416" s="37" t="str">
        <v/>
      </c>
      <c r="AV416" s="37" t="str">
        <v/>
      </c>
      <c r="AW416" s="37" t="str">
        <v/>
      </c>
      <c r="AX416" s="37" t="str">
        <v/>
      </c>
      <c r="AY416" s="37" t="str">
        <v/>
      </c>
      <c r="AZ416" s="40" t="str">
        <f t="shared" si="233"/>
        <v/>
      </c>
      <c r="BA416" s="36" t="str">
        <f>IFERROR(INDEX('Level Multipliers'!$D:$D,MATCH(AZ416,'Level Multipliers'!$A:$A,0)),"")</f>
        <v/>
      </c>
      <c r="BB416" s="37" t="str">
        <f t="shared" si="234"/>
        <v/>
      </c>
      <c r="BC416" s="37" t="str">
        <f t="shared" si="235"/>
        <v/>
      </c>
      <c r="BD416" s="38" t="str">
        <f t="shared" si="236"/>
        <v/>
      </c>
      <c r="BE416" s="38" t="str">
        <f t="shared" si="237"/>
        <v/>
      </c>
      <c r="BF416" s="38" t="b">
        <f t="shared" si="238"/>
        <v>1</v>
      </c>
      <c r="BG416" s="37" t="str">
        <f t="array" ref="BG416:BQ416">IF(BF416,"",IVSolution($M416,$N416,$O416,BB416,BC416,BD416,BE416,$E416,$F416,$G416,$H416,$I416))</f>
        <v/>
      </c>
      <c r="BH416" s="37" t="str">
        <v/>
      </c>
      <c r="BI416" s="37" t="str">
        <v/>
      </c>
      <c r="BJ416" s="39" t="str">
        <v/>
      </c>
      <c r="BK416" s="39" t="str">
        <v/>
      </c>
      <c r="BL416" s="37" t="str">
        <v/>
      </c>
      <c r="BM416" s="37" t="str">
        <v/>
      </c>
      <c r="BN416" s="37" t="str">
        <v/>
      </c>
      <c r="BO416" s="37" t="str">
        <v/>
      </c>
      <c r="BP416" s="37" t="str">
        <v/>
      </c>
      <c r="BQ416" s="37" t="str">
        <v/>
      </c>
      <c r="BR416" s="40" t="str">
        <f t="shared" si="239"/>
        <v/>
      </c>
      <c r="BS416" s="36" t="str">
        <f>IFERROR(INDEX('Level Multipliers'!$D:$D,MATCH(BR416,'Level Multipliers'!$A:$A,0)),"")</f>
        <v/>
      </c>
      <c r="BT416" s="37" t="str">
        <f t="shared" si="240"/>
        <v/>
      </c>
      <c r="BU416" s="37" t="str">
        <f t="shared" si="241"/>
        <v/>
      </c>
      <c r="BV416" s="38" t="str">
        <f t="shared" si="242"/>
        <v/>
      </c>
      <c r="BW416" s="38" t="str">
        <f t="shared" si="243"/>
        <v/>
      </c>
      <c r="BX416" s="38" t="b">
        <f t="shared" si="244"/>
        <v>1</v>
      </c>
      <c r="BY416" s="37" t="str">
        <f t="array" ref="BY416:CI416">IF(BX416,"",IVSolution($M416,$N416,$O416,BT416,BU416,BV416,BW416,$E416,$F416,$G416,$H416,$I416))</f>
        <v/>
      </c>
      <c r="BZ416" s="37" t="str">
        <v/>
      </c>
      <c r="CA416" s="37" t="str">
        <v/>
      </c>
      <c r="CB416" s="39" t="str">
        <v/>
      </c>
      <c r="CC416" s="39" t="str">
        <v/>
      </c>
      <c r="CD416" s="37" t="str">
        <v/>
      </c>
      <c r="CE416" s="37" t="str">
        <v/>
      </c>
      <c r="CF416" s="37" t="str">
        <v/>
      </c>
      <c r="CG416" s="37" t="str">
        <v/>
      </c>
      <c r="CH416" s="37" t="str">
        <v/>
      </c>
      <c r="CI416" s="37" t="str">
        <v/>
      </c>
      <c r="CJ416" s="41" t="str">
        <f t="shared" si="245"/>
        <v/>
      </c>
      <c r="CK416" s="41" t="str">
        <f t="shared" si="246"/>
        <v/>
      </c>
      <c r="CL416" s="66" t="str">
        <f t="shared" si="247"/>
        <v/>
      </c>
      <c r="CM416" s="39" t="str">
        <f t="shared" si="248"/>
        <v/>
      </c>
      <c r="CN416" s="39" t="str">
        <f t="shared" si="249"/>
        <v/>
      </c>
      <c r="CO416" s="42" t="str">
        <f t="shared" si="250"/>
        <v/>
      </c>
      <c r="CP416" s="42" t="str">
        <f t="shared" si="251"/>
        <v/>
      </c>
      <c r="CQ416" s="42" t="str">
        <f t="shared" si="252"/>
        <v/>
      </c>
      <c r="CR416" s="42" t="str">
        <f t="shared" si="253"/>
        <v/>
      </c>
      <c r="CS416" s="42" t="str">
        <f t="shared" si="254"/>
        <v/>
      </c>
      <c r="CT416" s="42" t="str">
        <f t="shared" si="255"/>
        <v/>
      </c>
      <c r="CU416" s="43" t="str">
        <f t="shared" si="256"/>
        <v/>
      </c>
      <c r="CV416" s="43" t="str">
        <f t="shared" si="257"/>
        <v/>
      </c>
      <c r="CW416" s="43" t="str">
        <f t="shared" si="258"/>
        <v/>
      </c>
      <c r="CX416" s="13"/>
    </row>
    <row r="417" spans="1:102" x14ac:dyDescent="0.25">
      <c r="A417" s="31"/>
      <c r="B417" s="13"/>
      <c r="C417" s="13"/>
      <c r="D417" s="13"/>
      <c r="E417" s="32"/>
      <c r="F417" s="32"/>
      <c r="G417" s="32"/>
      <c r="H417" s="32"/>
      <c r="I417" s="32"/>
      <c r="J417" s="13"/>
      <c r="K417" s="33"/>
      <c r="L417" s="34" t="str">
        <f>IFERROR(INDEX('Pokemon Data'!A:A,MATCH($A417,'Pokemon Data'!$B:$B,0)),"")</f>
        <v/>
      </c>
      <c r="M417" s="34" t="str">
        <f>IFERROR(INDEX('Pokemon Data'!I:I,MATCH($A417,'Pokemon Data'!$B:$B,0)),"")</f>
        <v/>
      </c>
      <c r="N417" s="34" t="str">
        <f>IFERROR(INDEX('Pokemon Data'!J:J,MATCH($A417,'Pokemon Data'!$B:$B,0)),"")</f>
        <v/>
      </c>
      <c r="O417" s="34" t="str">
        <f>IFERROR(INDEX('Pokemon Data'!K:K,MATCH($A417,'Pokemon Data'!$B:$B,0)),"")</f>
        <v/>
      </c>
      <c r="P417" s="35" t="str">
        <f>IFERROR(INDEX('Level Multipliers'!$A:$A,MATCH($D417,'Level Multipliers'!$B:$B,0)),"")</f>
        <v/>
      </c>
      <c r="Q417" s="36" t="str">
        <f>IFERROR(INDEX('Level Multipliers'!$D:$D,MATCH(P417,'Level Multipliers'!$A:$A,0)),"")</f>
        <v/>
      </c>
      <c r="R417" s="37" t="str">
        <f t="shared" si="222"/>
        <v/>
      </c>
      <c r="S417" s="37" t="str">
        <f t="shared" si="223"/>
        <v/>
      </c>
      <c r="T417" s="38" t="str">
        <f t="shared" si="224"/>
        <v/>
      </c>
      <c r="U417" s="38" t="str">
        <f t="shared" si="225"/>
        <v/>
      </c>
      <c r="V417" s="38" t="b">
        <f t="shared" si="226"/>
        <v>1</v>
      </c>
      <c r="W417" s="37" t="str">
        <f t="array" ref="W417:AG417">IF(V417,"",IVSolution($M417,$N417,$O417,R417,S417,T417,U417,$E417,$F417,$G417,$H417,$I417))</f>
        <v/>
      </c>
      <c r="X417" s="37" t="str">
        <v/>
      </c>
      <c r="Y417" s="37" t="str">
        <v/>
      </c>
      <c r="Z417" s="39" t="str">
        <v/>
      </c>
      <c r="AA417" s="39" t="str">
        <v/>
      </c>
      <c r="AB417" s="37" t="str">
        <v/>
      </c>
      <c r="AC417" s="37" t="str">
        <v/>
      </c>
      <c r="AD417" s="37" t="str">
        <v/>
      </c>
      <c r="AE417" s="37" t="str">
        <v/>
      </c>
      <c r="AF417" s="37" t="str">
        <v/>
      </c>
      <c r="AG417" s="37" t="str">
        <v/>
      </c>
      <c r="AH417" s="40" t="str">
        <f t="shared" si="227"/>
        <v/>
      </c>
      <c r="AI417" s="36" t="str">
        <f>IFERROR(INDEX('Level Multipliers'!$D:$D,MATCH(AH417,'Level Multipliers'!$A:$A,0)),"")</f>
        <v/>
      </c>
      <c r="AJ417" s="37" t="str">
        <f t="shared" si="228"/>
        <v/>
      </c>
      <c r="AK417" s="37" t="str">
        <f t="shared" si="229"/>
        <v/>
      </c>
      <c r="AL417" s="38" t="str">
        <f t="shared" si="230"/>
        <v/>
      </c>
      <c r="AM417" s="38" t="str">
        <f t="shared" si="231"/>
        <v/>
      </c>
      <c r="AN417" s="38" t="b">
        <f t="shared" si="232"/>
        <v>1</v>
      </c>
      <c r="AO417" s="37" t="str">
        <f t="array" ref="AO417:AY417">IF(AN417,"",IVSolution($M417,$N417,$O417,AJ417,AK417,AL417,AM417,$E417,$F417,$G417,$H417,$I417))</f>
        <v/>
      </c>
      <c r="AP417" s="37" t="str">
        <v/>
      </c>
      <c r="AQ417" s="37" t="str">
        <v/>
      </c>
      <c r="AR417" s="39" t="str">
        <v/>
      </c>
      <c r="AS417" s="39" t="str">
        <v/>
      </c>
      <c r="AT417" s="37" t="str">
        <v/>
      </c>
      <c r="AU417" s="37" t="str">
        <v/>
      </c>
      <c r="AV417" s="37" t="str">
        <v/>
      </c>
      <c r="AW417" s="37" t="str">
        <v/>
      </c>
      <c r="AX417" s="37" t="str">
        <v/>
      </c>
      <c r="AY417" s="37" t="str">
        <v/>
      </c>
      <c r="AZ417" s="40" t="str">
        <f t="shared" si="233"/>
        <v/>
      </c>
      <c r="BA417" s="36" t="str">
        <f>IFERROR(INDEX('Level Multipliers'!$D:$D,MATCH(AZ417,'Level Multipliers'!$A:$A,0)),"")</f>
        <v/>
      </c>
      <c r="BB417" s="37" t="str">
        <f t="shared" si="234"/>
        <v/>
      </c>
      <c r="BC417" s="37" t="str">
        <f t="shared" si="235"/>
        <v/>
      </c>
      <c r="BD417" s="38" t="str">
        <f t="shared" si="236"/>
        <v/>
      </c>
      <c r="BE417" s="38" t="str">
        <f t="shared" si="237"/>
        <v/>
      </c>
      <c r="BF417" s="38" t="b">
        <f t="shared" si="238"/>
        <v>1</v>
      </c>
      <c r="BG417" s="37" t="str">
        <f t="array" ref="BG417:BQ417">IF(BF417,"",IVSolution($M417,$N417,$O417,BB417,BC417,BD417,BE417,$E417,$F417,$G417,$H417,$I417))</f>
        <v/>
      </c>
      <c r="BH417" s="37" t="str">
        <v/>
      </c>
      <c r="BI417" s="37" t="str">
        <v/>
      </c>
      <c r="BJ417" s="39" t="str">
        <v/>
      </c>
      <c r="BK417" s="39" t="str">
        <v/>
      </c>
      <c r="BL417" s="37" t="str">
        <v/>
      </c>
      <c r="BM417" s="37" t="str">
        <v/>
      </c>
      <c r="BN417" s="37" t="str">
        <v/>
      </c>
      <c r="BO417" s="37" t="str">
        <v/>
      </c>
      <c r="BP417" s="37" t="str">
        <v/>
      </c>
      <c r="BQ417" s="37" t="str">
        <v/>
      </c>
      <c r="BR417" s="40" t="str">
        <f t="shared" si="239"/>
        <v/>
      </c>
      <c r="BS417" s="36" t="str">
        <f>IFERROR(INDEX('Level Multipliers'!$D:$D,MATCH(BR417,'Level Multipliers'!$A:$A,0)),"")</f>
        <v/>
      </c>
      <c r="BT417" s="37" t="str">
        <f t="shared" si="240"/>
        <v/>
      </c>
      <c r="BU417" s="37" t="str">
        <f t="shared" si="241"/>
        <v/>
      </c>
      <c r="BV417" s="38" t="str">
        <f t="shared" si="242"/>
        <v/>
      </c>
      <c r="BW417" s="38" t="str">
        <f t="shared" si="243"/>
        <v/>
      </c>
      <c r="BX417" s="38" t="b">
        <f t="shared" si="244"/>
        <v>1</v>
      </c>
      <c r="BY417" s="37" t="str">
        <f t="array" ref="BY417:CI417">IF(BX417,"",IVSolution($M417,$N417,$O417,BT417,BU417,BV417,BW417,$E417,$F417,$G417,$H417,$I417))</f>
        <v/>
      </c>
      <c r="BZ417" s="37" t="str">
        <v/>
      </c>
      <c r="CA417" s="37" t="str">
        <v/>
      </c>
      <c r="CB417" s="39" t="str">
        <v/>
      </c>
      <c r="CC417" s="39" t="str">
        <v/>
      </c>
      <c r="CD417" s="37" t="str">
        <v/>
      </c>
      <c r="CE417" s="37" t="str">
        <v/>
      </c>
      <c r="CF417" s="37" t="str">
        <v/>
      </c>
      <c r="CG417" s="37" t="str">
        <v/>
      </c>
      <c r="CH417" s="37" t="str">
        <v/>
      </c>
      <c r="CI417" s="37" t="str">
        <v/>
      </c>
      <c r="CJ417" s="41" t="str">
        <f t="shared" si="245"/>
        <v/>
      </c>
      <c r="CK417" s="41" t="str">
        <f t="shared" si="246"/>
        <v/>
      </c>
      <c r="CL417" s="66" t="str">
        <f t="shared" si="247"/>
        <v/>
      </c>
      <c r="CM417" s="39" t="str">
        <f t="shared" si="248"/>
        <v/>
      </c>
      <c r="CN417" s="39" t="str">
        <f t="shared" si="249"/>
        <v/>
      </c>
      <c r="CO417" s="42" t="str">
        <f t="shared" si="250"/>
        <v/>
      </c>
      <c r="CP417" s="42" t="str">
        <f t="shared" si="251"/>
        <v/>
      </c>
      <c r="CQ417" s="42" t="str">
        <f t="shared" si="252"/>
        <v/>
      </c>
      <c r="CR417" s="42" t="str">
        <f t="shared" si="253"/>
        <v/>
      </c>
      <c r="CS417" s="42" t="str">
        <f t="shared" si="254"/>
        <v/>
      </c>
      <c r="CT417" s="42" t="str">
        <f t="shared" si="255"/>
        <v/>
      </c>
      <c r="CU417" s="43" t="str">
        <f t="shared" si="256"/>
        <v/>
      </c>
      <c r="CV417" s="43" t="str">
        <f t="shared" si="257"/>
        <v/>
      </c>
      <c r="CW417" s="43" t="str">
        <f t="shared" si="258"/>
        <v/>
      </c>
      <c r="CX417" s="13"/>
    </row>
    <row r="418" spans="1:102" x14ac:dyDescent="0.25">
      <c r="A418" s="31"/>
      <c r="B418" s="13"/>
      <c r="C418" s="13"/>
      <c r="D418" s="13"/>
      <c r="E418" s="32"/>
      <c r="F418" s="32"/>
      <c r="G418" s="32"/>
      <c r="H418" s="32"/>
      <c r="I418" s="32"/>
      <c r="J418" s="13"/>
      <c r="K418" s="33"/>
      <c r="L418" s="34" t="str">
        <f>IFERROR(INDEX('Pokemon Data'!A:A,MATCH($A418,'Pokemon Data'!$B:$B,0)),"")</f>
        <v/>
      </c>
      <c r="M418" s="34" t="str">
        <f>IFERROR(INDEX('Pokemon Data'!I:I,MATCH($A418,'Pokemon Data'!$B:$B,0)),"")</f>
        <v/>
      </c>
      <c r="N418" s="34" t="str">
        <f>IFERROR(INDEX('Pokemon Data'!J:J,MATCH($A418,'Pokemon Data'!$B:$B,0)),"")</f>
        <v/>
      </c>
      <c r="O418" s="34" t="str">
        <f>IFERROR(INDEX('Pokemon Data'!K:K,MATCH($A418,'Pokemon Data'!$B:$B,0)),"")</f>
        <v/>
      </c>
      <c r="P418" s="35" t="str">
        <f>IFERROR(INDEX('Level Multipliers'!$A:$A,MATCH($D418,'Level Multipliers'!$B:$B,0)),"")</f>
        <v/>
      </c>
      <c r="Q418" s="36" t="str">
        <f>IFERROR(INDEX('Level Multipliers'!$D:$D,MATCH(P418,'Level Multipliers'!$A:$A,0)),"")</f>
        <v/>
      </c>
      <c r="R418" s="37" t="str">
        <f t="shared" si="222"/>
        <v/>
      </c>
      <c r="S418" s="37" t="str">
        <f t="shared" si="223"/>
        <v/>
      </c>
      <c r="T418" s="38" t="str">
        <f t="shared" si="224"/>
        <v/>
      </c>
      <c r="U418" s="38" t="str">
        <f t="shared" si="225"/>
        <v/>
      </c>
      <c r="V418" s="38" t="b">
        <f t="shared" si="226"/>
        <v>1</v>
      </c>
      <c r="W418" s="37" t="str">
        <f t="array" ref="W418:AG418">IF(V418,"",IVSolution($M418,$N418,$O418,R418,S418,T418,U418,$E418,$F418,$G418,$H418,$I418))</f>
        <v/>
      </c>
      <c r="X418" s="37" t="str">
        <v/>
      </c>
      <c r="Y418" s="37" t="str">
        <v/>
      </c>
      <c r="Z418" s="39" t="str">
        <v/>
      </c>
      <c r="AA418" s="39" t="str">
        <v/>
      </c>
      <c r="AB418" s="37" t="str">
        <v/>
      </c>
      <c r="AC418" s="37" t="str">
        <v/>
      </c>
      <c r="AD418" s="37" t="str">
        <v/>
      </c>
      <c r="AE418" s="37" t="str">
        <v/>
      </c>
      <c r="AF418" s="37" t="str">
        <v/>
      </c>
      <c r="AG418" s="37" t="str">
        <v/>
      </c>
      <c r="AH418" s="40" t="str">
        <f t="shared" si="227"/>
        <v/>
      </c>
      <c r="AI418" s="36" t="str">
        <f>IFERROR(INDEX('Level Multipliers'!$D:$D,MATCH(AH418,'Level Multipliers'!$A:$A,0)),"")</f>
        <v/>
      </c>
      <c r="AJ418" s="37" t="str">
        <f t="shared" si="228"/>
        <v/>
      </c>
      <c r="AK418" s="37" t="str">
        <f t="shared" si="229"/>
        <v/>
      </c>
      <c r="AL418" s="38" t="str">
        <f t="shared" si="230"/>
        <v/>
      </c>
      <c r="AM418" s="38" t="str">
        <f t="shared" si="231"/>
        <v/>
      </c>
      <c r="AN418" s="38" t="b">
        <f t="shared" si="232"/>
        <v>1</v>
      </c>
      <c r="AO418" s="37" t="str">
        <f t="array" ref="AO418:AY418">IF(AN418,"",IVSolution($M418,$N418,$O418,AJ418,AK418,AL418,AM418,$E418,$F418,$G418,$H418,$I418))</f>
        <v/>
      </c>
      <c r="AP418" s="37" t="str">
        <v/>
      </c>
      <c r="AQ418" s="37" t="str">
        <v/>
      </c>
      <c r="AR418" s="39" t="str">
        <v/>
      </c>
      <c r="AS418" s="39" t="str">
        <v/>
      </c>
      <c r="AT418" s="37" t="str">
        <v/>
      </c>
      <c r="AU418" s="37" t="str">
        <v/>
      </c>
      <c r="AV418" s="37" t="str">
        <v/>
      </c>
      <c r="AW418" s="37" t="str">
        <v/>
      </c>
      <c r="AX418" s="37" t="str">
        <v/>
      </c>
      <c r="AY418" s="37" t="str">
        <v/>
      </c>
      <c r="AZ418" s="40" t="str">
        <f t="shared" si="233"/>
        <v/>
      </c>
      <c r="BA418" s="36" t="str">
        <f>IFERROR(INDEX('Level Multipliers'!$D:$D,MATCH(AZ418,'Level Multipliers'!$A:$A,0)),"")</f>
        <v/>
      </c>
      <c r="BB418" s="37" t="str">
        <f t="shared" si="234"/>
        <v/>
      </c>
      <c r="BC418" s="37" t="str">
        <f t="shared" si="235"/>
        <v/>
      </c>
      <c r="BD418" s="38" t="str">
        <f t="shared" si="236"/>
        <v/>
      </c>
      <c r="BE418" s="38" t="str">
        <f t="shared" si="237"/>
        <v/>
      </c>
      <c r="BF418" s="38" t="b">
        <f t="shared" si="238"/>
        <v>1</v>
      </c>
      <c r="BG418" s="37" t="str">
        <f t="array" ref="BG418:BQ418">IF(BF418,"",IVSolution($M418,$N418,$O418,BB418,BC418,BD418,BE418,$E418,$F418,$G418,$H418,$I418))</f>
        <v/>
      </c>
      <c r="BH418" s="37" t="str">
        <v/>
      </c>
      <c r="BI418" s="37" t="str">
        <v/>
      </c>
      <c r="BJ418" s="39" t="str">
        <v/>
      </c>
      <c r="BK418" s="39" t="str">
        <v/>
      </c>
      <c r="BL418" s="37" t="str">
        <v/>
      </c>
      <c r="BM418" s="37" t="str">
        <v/>
      </c>
      <c r="BN418" s="37" t="str">
        <v/>
      </c>
      <c r="BO418" s="37" t="str">
        <v/>
      </c>
      <c r="BP418" s="37" t="str">
        <v/>
      </c>
      <c r="BQ418" s="37" t="str">
        <v/>
      </c>
      <c r="BR418" s="40" t="str">
        <f t="shared" si="239"/>
        <v/>
      </c>
      <c r="BS418" s="36" t="str">
        <f>IFERROR(INDEX('Level Multipliers'!$D:$D,MATCH(BR418,'Level Multipliers'!$A:$A,0)),"")</f>
        <v/>
      </c>
      <c r="BT418" s="37" t="str">
        <f t="shared" si="240"/>
        <v/>
      </c>
      <c r="BU418" s="37" t="str">
        <f t="shared" si="241"/>
        <v/>
      </c>
      <c r="BV418" s="38" t="str">
        <f t="shared" si="242"/>
        <v/>
      </c>
      <c r="BW418" s="38" t="str">
        <f t="shared" si="243"/>
        <v/>
      </c>
      <c r="BX418" s="38" t="b">
        <f t="shared" si="244"/>
        <v>1</v>
      </c>
      <c r="BY418" s="37" t="str">
        <f t="array" ref="BY418:CI418">IF(BX418,"",IVSolution($M418,$N418,$O418,BT418,BU418,BV418,BW418,$E418,$F418,$G418,$H418,$I418))</f>
        <v/>
      </c>
      <c r="BZ418" s="37" t="str">
        <v/>
      </c>
      <c r="CA418" s="37" t="str">
        <v/>
      </c>
      <c r="CB418" s="39" t="str">
        <v/>
      </c>
      <c r="CC418" s="39" t="str">
        <v/>
      </c>
      <c r="CD418" s="37" t="str">
        <v/>
      </c>
      <c r="CE418" s="37" t="str">
        <v/>
      </c>
      <c r="CF418" s="37" t="str">
        <v/>
      </c>
      <c r="CG418" s="37" t="str">
        <v/>
      </c>
      <c r="CH418" s="37" t="str">
        <v/>
      </c>
      <c r="CI418" s="37" t="str">
        <v/>
      </c>
      <c r="CJ418" s="41" t="str">
        <f t="shared" si="245"/>
        <v/>
      </c>
      <c r="CK418" s="41" t="str">
        <f t="shared" si="246"/>
        <v/>
      </c>
      <c r="CL418" s="66" t="str">
        <f t="shared" si="247"/>
        <v/>
      </c>
      <c r="CM418" s="39" t="str">
        <f t="shared" si="248"/>
        <v/>
      </c>
      <c r="CN418" s="39" t="str">
        <f t="shared" si="249"/>
        <v/>
      </c>
      <c r="CO418" s="42" t="str">
        <f t="shared" si="250"/>
        <v/>
      </c>
      <c r="CP418" s="42" t="str">
        <f t="shared" si="251"/>
        <v/>
      </c>
      <c r="CQ418" s="42" t="str">
        <f t="shared" si="252"/>
        <v/>
      </c>
      <c r="CR418" s="42" t="str">
        <f t="shared" si="253"/>
        <v/>
      </c>
      <c r="CS418" s="42" t="str">
        <f t="shared" si="254"/>
        <v/>
      </c>
      <c r="CT418" s="42" t="str">
        <f t="shared" si="255"/>
        <v/>
      </c>
      <c r="CU418" s="43" t="str">
        <f t="shared" si="256"/>
        <v/>
      </c>
      <c r="CV418" s="43" t="str">
        <f t="shared" si="257"/>
        <v/>
      </c>
      <c r="CW418" s="43" t="str">
        <f t="shared" si="258"/>
        <v/>
      </c>
      <c r="CX418" s="13"/>
    </row>
    <row r="419" spans="1:102" x14ac:dyDescent="0.25">
      <c r="A419" s="31"/>
      <c r="B419" s="13"/>
      <c r="C419" s="13"/>
      <c r="D419" s="13"/>
      <c r="E419" s="32"/>
      <c r="F419" s="32"/>
      <c r="G419" s="32"/>
      <c r="H419" s="32"/>
      <c r="I419" s="32"/>
      <c r="J419" s="13"/>
      <c r="K419" s="33"/>
      <c r="L419" s="34" t="str">
        <f>IFERROR(INDEX('Pokemon Data'!A:A,MATCH($A419,'Pokemon Data'!$B:$B,0)),"")</f>
        <v/>
      </c>
      <c r="M419" s="34" t="str">
        <f>IFERROR(INDEX('Pokemon Data'!I:I,MATCH($A419,'Pokemon Data'!$B:$B,0)),"")</f>
        <v/>
      </c>
      <c r="N419" s="34" t="str">
        <f>IFERROR(INDEX('Pokemon Data'!J:J,MATCH($A419,'Pokemon Data'!$B:$B,0)),"")</f>
        <v/>
      </c>
      <c r="O419" s="34" t="str">
        <f>IFERROR(INDEX('Pokemon Data'!K:K,MATCH($A419,'Pokemon Data'!$B:$B,0)),"")</f>
        <v/>
      </c>
      <c r="P419" s="35" t="str">
        <f>IFERROR(INDEX('Level Multipliers'!$A:$A,MATCH($D419,'Level Multipliers'!$B:$B,0)),"")</f>
        <v/>
      </c>
      <c r="Q419" s="36" t="str">
        <f>IFERROR(INDEX('Level Multipliers'!$D:$D,MATCH(P419,'Level Multipliers'!$A:$A,0)),"")</f>
        <v/>
      </c>
      <c r="R419" s="37" t="str">
        <f t="shared" si="222"/>
        <v/>
      </c>
      <c r="S419" s="37" t="str">
        <f t="shared" si="223"/>
        <v/>
      </c>
      <c r="T419" s="38" t="str">
        <f t="shared" si="224"/>
        <v/>
      </c>
      <c r="U419" s="38" t="str">
        <f t="shared" si="225"/>
        <v/>
      </c>
      <c r="V419" s="38" t="b">
        <f t="shared" si="226"/>
        <v>1</v>
      </c>
      <c r="W419" s="37" t="str">
        <f t="array" ref="W419:AG419">IF(V419,"",IVSolution($M419,$N419,$O419,R419,S419,T419,U419,$E419,$F419,$G419,$H419,$I419))</f>
        <v/>
      </c>
      <c r="X419" s="37" t="str">
        <v/>
      </c>
      <c r="Y419" s="37" t="str">
        <v/>
      </c>
      <c r="Z419" s="39" t="str">
        <v/>
      </c>
      <c r="AA419" s="39" t="str">
        <v/>
      </c>
      <c r="AB419" s="37" t="str">
        <v/>
      </c>
      <c r="AC419" s="37" t="str">
        <v/>
      </c>
      <c r="AD419" s="37" t="str">
        <v/>
      </c>
      <c r="AE419" s="37" t="str">
        <v/>
      </c>
      <c r="AF419" s="37" t="str">
        <v/>
      </c>
      <c r="AG419" s="37" t="str">
        <v/>
      </c>
      <c r="AH419" s="40" t="str">
        <f t="shared" si="227"/>
        <v/>
      </c>
      <c r="AI419" s="36" t="str">
        <f>IFERROR(INDEX('Level Multipliers'!$D:$D,MATCH(AH419,'Level Multipliers'!$A:$A,0)),"")</f>
        <v/>
      </c>
      <c r="AJ419" s="37" t="str">
        <f t="shared" si="228"/>
        <v/>
      </c>
      <c r="AK419" s="37" t="str">
        <f t="shared" si="229"/>
        <v/>
      </c>
      <c r="AL419" s="38" t="str">
        <f t="shared" si="230"/>
        <v/>
      </c>
      <c r="AM419" s="38" t="str">
        <f t="shared" si="231"/>
        <v/>
      </c>
      <c r="AN419" s="38" t="b">
        <f t="shared" si="232"/>
        <v>1</v>
      </c>
      <c r="AO419" s="37" t="str">
        <f t="array" ref="AO419:AY419">IF(AN419,"",IVSolution($M419,$N419,$O419,AJ419,AK419,AL419,AM419,$E419,$F419,$G419,$H419,$I419))</f>
        <v/>
      </c>
      <c r="AP419" s="37" t="str">
        <v/>
      </c>
      <c r="AQ419" s="37" t="str">
        <v/>
      </c>
      <c r="AR419" s="39" t="str">
        <v/>
      </c>
      <c r="AS419" s="39" t="str">
        <v/>
      </c>
      <c r="AT419" s="37" t="str">
        <v/>
      </c>
      <c r="AU419" s="37" t="str">
        <v/>
      </c>
      <c r="AV419" s="37" t="str">
        <v/>
      </c>
      <c r="AW419" s="37" t="str">
        <v/>
      </c>
      <c r="AX419" s="37" t="str">
        <v/>
      </c>
      <c r="AY419" s="37" t="str">
        <v/>
      </c>
      <c r="AZ419" s="40" t="str">
        <f t="shared" si="233"/>
        <v/>
      </c>
      <c r="BA419" s="36" t="str">
        <f>IFERROR(INDEX('Level Multipliers'!$D:$D,MATCH(AZ419,'Level Multipliers'!$A:$A,0)),"")</f>
        <v/>
      </c>
      <c r="BB419" s="37" t="str">
        <f t="shared" si="234"/>
        <v/>
      </c>
      <c r="BC419" s="37" t="str">
        <f t="shared" si="235"/>
        <v/>
      </c>
      <c r="BD419" s="38" t="str">
        <f t="shared" si="236"/>
        <v/>
      </c>
      <c r="BE419" s="38" t="str">
        <f t="shared" si="237"/>
        <v/>
      </c>
      <c r="BF419" s="38" t="b">
        <f t="shared" si="238"/>
        <v>1</v>
      </c>
      <c r="BG419" s="37" t="str">
        <f t="array" ref="BG419:BQ419">IF(BF419,"",IVSolution($M419,$N419,$O419,BB419,BC419,BD419,BE419,$E419,$F419,$G419,$H419,$I419))</f>
        <v/>
      </c>
      <c r="BH419" s="37" t="str">
        <v/>
      </c>
      <c r="BI419" s="37" t="str">
        <v/>
      </c>
      <c r="BJ419" s="39" t="str">
        <v/>
      </c>
      <c r="BK419" s="39" t="str">
        <v/>
      </c>
      <c r="BL419" s="37" t="str">
        <v/>
      </c>
      <c r="BM419" s="37" t="str">
        <v/>
      </c>
      <c r="BN419" s="37" t="str">
        <v/>
      </c>
      <c r="BO419" s="37" t="str">
        <v/>
      </c>
      <c r="BP419" s="37" t="str">
        <v/>
      </c>
      <c r="BQ419" s="37" t="str">
        <v/>
      </c>
      <c r="BR419" s="40" t="str">
        <f t="shared" si="239"/>
        <v/>
      </c>
      <c r="BS419" s="36" t="str">
        <f>IFERROR(INDEX('Level Multipliers'!$D:$D,MATCH(BR419,'Level Multipliers'!$A:$A,0)),"")</f>
        <v/>
      </c>
      <c r="BT419" s="37" t="str">
        <f t="shared" si="240"/>
        <v/>
      </c>
      <c r="BU419" s="37" t="str">
        <f t="shared" si="241"/>
        <v/>
      </c>
      <c r="BV419" s="38" t="str">
        <f t="shared" si="242"/>
        <v/>
      </c>
      <c r="BW419" s="38" t="str">
        <f t="shared" si="243"/>
        <v/>
      </c>
      <c r="BX419" s="38" t="b">
        <f t="shared" si="244"/>
        <v>1</v>
      </c>
      <c r="BY419" s="37" t="str">
        <f t="array" ref="BY419:CI419">IF(BX419,"",IVSolution($M419,$N419,$O419,BT419,BU419,BV419,BW419,$E419,$F419,$G419,$H419,$I419))</f>
        <v/>
      </c>
      <c r="BZ419" s="37" t="str">
        <v/>
      </c>
      <c r="CA419" s="37" t="str">
        <v/>
      </c>
      <c r="CB419" s="39" t="str">
        <v/>
      </c>
      <c r="CC419" s="39" t="str">
        <v/>
      </c>
      <c r="CD419" s="37" t="str">
        <v/>
      </c>
      <c r="CE419" s="37" t="str">
        <v/>
      </c>
      <c r="CF419" s="37" t="str">
        <v/>
      </c>
      <c r="CG419" s="37" t="str">
        <v/>
      </c>
      <c r="CH419" s="37" t="str">
        <v/>
      </c>
      <c r="CI419" s="37" t="str">
        <v/>
      </c>
      <c r="CJ419" s="41" t="str">
        <f t="shared" si="245"/>
        <v/>
      </c>
      <c r="CK419" s="41" t="str">
        <f t="shared" si="246"/>
        <v/>
      </c>
      <c r="CL419" s="66" t="str">
        <f t="shared" si="247"/>
        <v/>
      </c>
      <c r="CM419" s="39" t="str">
        <f t="shared" si="248"/>
        <v/>
      </c>
      <c r="CN419" s="39" t="str">
        <f t="shared" si="249"/>
        <v/>
      </c>
      <c r="CO419" s="42" t="str">
        <f t="shared" si="250"/>
        <v/>
      </c>
      <c r="CP419" s="42" t="str">
        <f t="shared" si="251"/>
        <v/>
      </c>
      <c r="CQ419" s="42" t="str">
        <f t="shared" si="252"/>
        <v/>
      </c>
      <c r="CR419" s="42" t="str">
        <f t="shared" si="253"/>
        <v/>
      </c>
      <c r="CS419" s="42" t="str">
        <f t="shared" si="254"/>
        <v/>
      </c>
      <c r="CT419" s="42" t="str">
        <f t="shared" si="255"/>
        <v/>
      </c>
      <c r="CU419" s="43" t="str">
        <f t="shared" si="256"/>
        <v/>
      </c>
      <c r="CV419" s="43" t="str">
        <f t="shared" si="257"/>
        <v/>
      </c>
      <c r="CW419" s="43" t="str">
        <f t="shared" si="258"/>
        <v/>
      </c>
      <c r="CX419" s="13"/>
    </row>
    <row r="420" spans="1:102" x14ac:dyDescent="0.25">
      <c r="A420" s="31"/>
      <c r="B420" s="13"/>
      <c r="C420" s="13"/>
      <c r="D420" s="13"/>
      <c r="E420" s="32"/>
      <c r="F420" s="32"/>
      <c r="G420" s="32"/>
      <c r="H420" s="32"/>
      <c r="I420" s="32"/>
      <c r="J420" s="13"/>
      <c r="K420" s="33"/>
      <c r="L420" s="34" t="str">
        <f>IFERROR(INDEX('Pokemon Data'!A:A,MATCH($A420,'Pokemon Data'!$B:$B,0)),"")</f>
        <v/>
      </c>
      <c r="M420" s="34" t="str">
        <f>IFERROR(INDEX('Pokemon Data'!I:I,MATCH($A420,'Pokemon Data'!$B:$B,0)),"")</f>
        <v/>
      </c>
      <c r="N420" s="34" t="str">
        <f>IFERROR(INDEX('Pokemon Data'!J:J,MATCH($A420,'Pokemon Data'!$B:$B,0)),"")</f>
        <v/>
      </c>
      <c r="O420" s="34" t="str">
        <f>IFERROR(INDEX('Pokemon Data'!K:K,MATCH($A420,'Pokemon Data'!$B:$B,0)),"")</f>
        <v/>
      </c>
      <c r="P420" s="35" t="str">
        <f>IFERROR(INDEX('Level Multipliers'!$A:$A,MATCH($D420,'Level Multipliers'!$B:$B,0)),"")</f>
        <v/>
      </c>
      <c r="Q420" s="36" t="str">
        <f>IFERROR(INDEX('Level Multipliers'!$D:$D,MATCH(P420,'Level Multipliers'!$A:$A,0)),"")</f>
        <v/>
      </c>
      <c r="R420" s="37" t="str">
        <f t="shared" si="222"/>
        <v/>
      </c>
      <c r="S420" s="37" t="str">
        <f t="shared" si="223"/>
        <v/>
      </c>
      <c r="T420" s="38" t="str">
        <f t="shared" si="224"/>
        <v/>
      </c>
      <c r="U420" s="38" t="str">
        <f t="shared" si="225"/>
        <v/>
      </c>
      <c r="V420" s="38" t="b">
        <f t="shared" si="226"/>
        <v>1</v>
      </c>
      <c r="W420" s="37" t="str">
        <f t="array" ref="W420:AG420">IF(V420,"",IVSolution($M420,$N420,$O420,R420,S420,T420,U420,$E420,$F420,$G420,$H420,$I420))</f>
        <v/>
      </c>
      <c r="X420" s="37" t="str">
        <v/>
      </c>
      <c r="Y420" s="37" t="str">
        <v/>
      </c>
      <c r="Z420" s="39" t="str">
        <v/>
      </c>
      <c r="AA420" s="39" t="str">
        <v/>
      </c>
      <c r="AB420" s="37" t="str">
        <v/>
      </c>
      <c r="AC420" s="37" t="str">
        <v/>
      </c>
      <c r="AD420" s="37" t="str">
        <v/>
      </c>
      <c r="AE420" s="37" t="str">
        <v/>
      </c>
      <c r="AF420" s="37" t="str">
        <v/>
      </c>
      <c r="AG420" s="37" t="str">
        <v/>
      </c>
      <c r="AH420" s="40" t="str">
        <f t="shared" si="227"/>
        <v/>
      </c>
      <c r="AI420" s="36" t="str">
        <f>IFERROR(INDEX('Level Multipliers'!$D:$D,MATCH(AH420,'Level Multipliers'!$A:$A,0)),"")</f>
        <v/>
      </c>
      <c r="AJ420" s="37" t="str">
        <f t="shared" si="228"/>
        <v/>
      </c>
      <c r="AK420" s="37" t="str">
        <f t="shared" si="229"/>
        <v/>
      </c>
      <c r="AL420" s="38" t="str">
        <f t="shared" si="230"/>
        <v/>
      </c>
      <c r="AM420" s="38" t="str">
        <f t="shared" si="231"/>
        <v/>
      </c>
      <c r="AN420" s="38" t="b">
        <f t="shared" si="232"/>
        <v>1</v>
      </c>
      <c r="AO420" s="37" t="str">
        <f t="array" ref="AO420:AY420">IF(AN420,"",IVSolution($M420,$N420,$O420,AJ420,AK420,AL420,AM420,$E420,$F420,$G420,$H420,$I420))</f>
        <v/>
      </c>
      <c r="AP420" s="37" t="str">
        <v/>
      </c>
      <c r="AQ420" s="37" t="str">
        <v/>
      </c>
      <c r="AR420" s="39" t="str">
        <v/>
      </c>
      <c r="AS420" s="39" t="str">
        <v/>
      </c>
      <c r="AT420" s="37" t="str">
        <v/>
      </c>
      <c r="AU420" s="37" t="str">
        <v/>
      </c>
      <c r="AV420" s="37" t="str">
        <v/>
      </c>
      <c r="AW420" s="37" t="str">
        <v/>
      </c>
      <c r="AX420" s="37" t="str">
        <v/>
      </c>
      <c r="AY420" s="37" t="str">
        <v/>
      </c>
      <c r="AZ420" s="40" t="str">
        <f t="shared" si="233"/>
        <v/>
      </c>
      <c r="BA420" s="36" t="str">
        <f>IFERROR(INDEX('Level Multipliers'!$D:$D,MATCH(AZ420,'Level Multipliers'!$A:$A,0)),"")</f>
        <v/>
      </c>
      <c r="BB420" s="37" t="str">
        <f t="shared" si="234"/>
        <v/>
      </c>
      <c r="BC420" s="37" t="str">
        <f t="shared" si="235"/>
        <v/>
      </c>
      <c r="BD420" s="38" t="str">
        <f t="shared" si="236"/>
        <v/>
      </c>
      <c r="BE420" s="38" t="str">
        <f t="shared" si="237"/>
        <v/>
      </c>
      <c r="BF420" s="38" t="b">
        <f t="shared" si="238"/>
        <v>1</v>
      </c>
      <c r="BG420" s="37" t="str">
        <f t="array" ref="BG420:BQ420">IF(BF420,"",IVSolution($M420,$N420,$O420,BB420,BC420,BD420,BE420,$E420,$F420,$G420,$H420,$I420))</f>
        <v/>
      </c>
      <c r="BH420" s="37" t="str">
        <v/>
      </c>
      <c r="BI420" s="37" t="str">
        <v/>
      </c>
      <c r="BJ420" s="39" t="str">
        <v/>
      </c>
      <c r="BK420" s="39" t="str">
        <v/>
      </c>
      <c r="BL420" s="37" t="str">
        <v/>
      </c>
      <c r="BM420" s="37" t="str">
        <v/>
      </c>
      <c r="BN420" s="37" t="str">
        <v/>
      </c>
      <c r="BO420" s="37" t="str">
        <v/>
      </c>
      <c r="BP420" s="37" t="str">
        <v/>
      </c>
      <c r="BQ420" s="37" t="str">
        <v/>
      </c>
      <c r="BR420" s="40" t="str">
        <f t="shared" si="239"/>
        <v/>
      </c>
      <c r="BS420" s="36" t="str">
        <f>IFERROR(INDEX('Level Multipliers'!$D:$D,MATCH(BR420,'Level Multipliers'!$A:$A,0)),"")</f>
        <v/>
      </c>
      <c r="BT420" s="37" t="str">
        <f t="shared" si="240"/>
        <v/>
      </c>
      <c r="BU420" s="37" t="str">
        <f t="shared" si="241"/>
        <v/>
      </c>
      <c r="BV420" s="38" t="str">
        <f t="shared" si="242"/>
        <v/>
      </c>
      <c r="BW420" s="38" t="str">
        <f t="shared" si="243"/>
        <v/>
      </c>
      <c r="BX420" s="38" t="b">
        <f t="shared" si="244"/>
        <v>1</v>
      </c>
      <c r="BY420" s="37" t="str">
        <f t="array" ref="BY420:CI420">IF(BX420,"",IVSolution($M420,$N420,$O420,BT420,BU420,BV420,BW420,$E420,$F420,$G420,$H420,$I420))</f>
        <v/>
      </c>
      <c r="BZ420" s="37" t="str">
        <v/>
      </c>
      <c r="CA420" s="37" t="str">
        <v/>
      </c>
      <c r="CB420" s="39" t="str">
        <v/>
      </c>
      <c r="CC420" s="39" t="str">
        <v/>
      </c>
      <c r="CD420" s="37" t="str">
        <v/>
      </c>
      <c r="CE420" s="37" t="str">
        <v/>
      </c>
      <c r="CF420" s="37" t="str">
        <v/>
      </c>
      <c r="CG420" s="37" t="str">
        <v/>
      </c>
      <c r="CH420" s="37" t="str">
        <v/>
      </c>
      <c r="CI420" s="37" t="str">
        <v/>
      </c>
      <c r="CJ420" s="41" t="str">
        <f t="shared" si="245"/>
        <v/>
      </c>
      <c r="CK420" s="41" t="str">
        <f t="shared" si="246"/>
        <v/>
      </c>
      <c r="CL420" s="66" t="str">
        <f t="shared" si="247"/>
        <v/>
      </c>
      <c r="CM420" s="39" t="str">
        <f t="shared" si="248"/>
        <v/>
      </c>
      <c r="CN420" s="39" t="str">
        <f t="shared" si="249"/>
        <v/>
      </c>
      <c r="CO420" s="42" t="str">
        <f t="shared" si="250"/>
        <v/>
      </c>
      <c r="CP420" s="42" t="str">
        <f t="shared" si="251"/>
        <v/>
      </c>
      <c r="CQ420" s="42" t="str">
        <f t="shared" si="252"/>
        <v/>
      </c>
      <c r="CR420" s="42" t="str">
        <f t="shared" si="253"/>
        <v/>
      </c>
      <c r="CS420" s="42" t="str">
        <f t="shared" si="254"/>
        <v/>
      </c>
      <c r="CT420" s="42" t="str">
        <f t="shared" si="255"/>
        <v/>
      </c>
      <c r="CU420" s="43" t="str">
        <f t="shared" si="256"/>
        <v/>
      </c>
      <c r="CV420" s="43" t="str">
        <f t="shared" si="257"/>
        <v/>
      </c>
      <c r="CW420" s="43" t="str">
        <f t="shared" si="258"/>
        <v/>
      </c>
      <c r="CX420" s="13"/>
    </row>
    <row r="421" spans="1:102" x14ac:dyDescent="0.25">
      <c r="A421" s="31"/>
      <c r="B421" s="13"/>
      <c r="C421" s="13"/>
      <c r="D421" s="13"/>
      <c r="E421" s="32"/>
      <c r="F421" s="32"/>
      <c r="G421" s="32"/>
      <c r="H421" s="32"/>
      <c r="I421" s="32"/>
      <c r="J421" s="13"/>
      <c r="K421" s="33"/>
      <c r="L421" s="34" t="str">
        <f>IFERROR(INDEX('Pokemon Data'!A:A,MATCH($A421,'Pokemon Data'!$B:$B,0)),"")</f>
        <v/>
      </c>
      <c r="M421" s="34" t="str">
        <f>IFERROR(INDEX('Pokemon Data'!I:I,MATCH($A421,'Pokemon Data'!$B:$B,0)),"")</f>
        <v/>
      </c>
      <c r="N421" s="34" t="str">
        <f>IFERROR(INDEX('Pokemon Data'!J:J,MATCH($A421,'Pokemon Data'!$B:$B,0)),"")</f>
        <v/>
      </c>
      <c r="O421" s="34" t="str">
        <f>IFERROR(INDEX('Pokemon Data'!K:K,MATCH($A421,'Pokemon Data'!$B:$B,0)),"")</f>
        <v/>
      </c>
      <c r="P421" s="35" t="str">
        <f>IFERROR(INDEX('Level Multipliers'!$A:$A,MATCH($D421,'Level Multipliers'!$B:$B,0)),"")</f>
        <v/>
      </c>
      <c r="Q421" s="36" t="str">
        <f>IFERROR(INDEX('Level Multipliers'!$D:$D,MATCH(P421,'Level Multipliers'!$A:$A,0)),"")</f>
        <v/>
      </c>
      <c r="R421" s="37" t="str">
        <f t="shared" si="222"/>
        <v/>
      </c>
      <c r="S421" s="37" t="str">
        <f t="shared" si="223"/>
        <v/>
      </c>
      <c r="T421" s="38" t="str">
        <f t="shared" si="224"/>
        <v/>
      </c>
      <c r="U421" s="38" t="str">
        <f t="shared" si="225"/>
        <v/>
      </c>
      <c r="V421" s="38" t="b">
        <f t="shared" si="226"/>
        <v>1</v>
      </c>
      <c r="W421" s="37" t="str">
        <f t="array" ref="W421:AG421">IF(V421,"",IVSolution($M421,$N421,$O421,R421,S421,T421,U421,$E421,$F421,$G421,$H421,$I421))</f>
        <v/>
      </c>
      <c r="X421" s="37" t="str">
        <v/>
      </c>
      <c r="Y421" s="37" t="str">
        <v/>
      </c>
      <c r="Z421" s="39" t="str">
        <v/>
      </c>
      <c r="AA421" s="39" t="str">
        <v/>
      </c>
      <c r="AB421" s="37" t="str">
        <v/>
      </c>
      <c r="AC421" s="37" t="str">
        <v/>
      </c>
      <c r="AD421" s="37" t="str">
        <v/>
      </c>
      <c r="AE421" s="37" t="str">
        <v/>
      </c>
      <c r="AF421" s="37" t="str">
        <v/>
      </c>
      <c r="AG421" s="37" t="str">
        <v/>
      </c>
      <c r="AH421" s="40" t="str">
        <f t="shared" si="227"/>
        <v/>
      </c>
      <c r="AI421" s="36" t="str">
        <f>IFERROR(INDEX('Level Multipliers'!$D:$D,MATCH(AH421,'Level Multipliers'!$A:$A,0)),"")</f>
        <v/>
      </c>
      <c r="AJ421" s="37" t="str">
        <f t="shared" si="228"/>
        <v/>
      </c>
      <c r="AK421" s="37" t="str">
        <f t="shared" si="229"/>
        <v/>
      </c>
      <c r="AL421" s="38" t="str">
        <f t="shared" si="230"/>
        <v/>
      </c>
      <c r="AM421" s="38" t="str">
        <f t="shared" si="231"/>
        <v/>
      </c>
      <c r="AN421" s="38" t="b">
        <f t="shared" si="232"/>
        <v>1</v>
      </c>
      <c r="AO421" s="37" t="str">
        <f t="array" ref="AO421:AY421">IF(AN421,"",IVSolution($M421,$N421,$O421,AJ421,AK421,AL421,AM421,$E421,$F421,$G421,$H421,$I421))</f>
        <v/>
      </c>
      <c r="AP421" s="37" t="str">
        <v/>
      </c>
      <c r="AQ421" s="37" t="str">
        <v/>
      </c>
      <c r="AR421" s="39" t="str">
        <v/>
      </c>
      <c r="AS421" s="39" t="str">
        <v/>
      </c>
      <c r="AT421" s="37" t="str">
        <v/>
      </c>
      <c r="AU421" s="37" t="str">
        <v/>
      </c>
      <c r="AV421" s="37" t="str">
        <v/>
      </c>
      <c r="AW421" s="37" t="str">
        <v/>
      </c>
      <c r="AX421" s="37" t="str">
        <v/>
      </c>
      <c r="AY421" s="37" t="str">
        <v/>
      </c>
      <c r="AZ421" s="40" t="str">
        <f t="shared" si="233"/>
        <v/>
      </c>
      <c r="BA421" s="36" t="str">
        <f>IFERROR(INDEX('Level Multipliers'!$D:$D,MATCH(AZ421,'Level Multipliers'!$A:$A,0)),"")</f>
        <v/>
      </c>
      <c r="BB421" s="37" t="str">
        <f t="shared" si="234"/>
        <v/>
      </c>
      <c r="BC421" s="37" t="str">
        <f t="shared" si="235"/>
        <v/>
      </c>
      <c r="BD421" s="38" t="str">
        <f t="shared" si="236"/>
        <v/>
      </c>
      <c r="BE421" s="38" t="str">
        <f t="shared" si="237"/>
        <v/>
      </c>
      <c r="BF421" s="38" t="b">
        <f t="shared" si="238"/>
        <v>1</v>
      </c>
      <c r="BG421" s="37" t="str">
        <f t="array" ref="BG421:BQ421">IF(BF421,"",IVSolution($M421,$N421,$O421,BB421,BC421,BD421,BE421,$E421,$F421,$G421,$H421,$I421))</f>
        <v/>
      </c>
      <c r="BH421" s="37" t="str">
        <v/>
      </c>
      <c r="BI421" s="37" t="str">
        <v/>
      </c>
      <c r="BJ421" s="39" t="str">
        <v/>
      </c>
      <c r="BK421" s="39" t="str">
        <v/>
      </c>
      <c r="BL421" s="37" t="str">
        <v/>
      </c>
      <c r="BM421" s="37" t="str">
        <v/>
      </c>
      <c r="BN421" s="37" t="str">
        <v/>
      </c>
      <c r="BO421" s="37" t="str">
        <v/>
      </c>
      <c r="BP421" s="37" t="str">
        <v/>
      </c>
      <c r="BQ421" s="37" t="str">
        <v/>
      </c>
      <c r="BR421" s="40" t="str">
        <f t="shared" si="239"/>
        <v/>
      </c>
      <c r="BS421" s="36" t="str">
        <f>IFERROR(INDEX('Level Multipliers'!$D:$D,MATCH(BR421,'Level Multipliers'!$A:$A,0)),"")</f>
        <v/>
      </c>
      <c r="BT421" s="37" t="str">
        <f t="shared" si="240"/>
        <v/>
      </c>
      <c r="BU421" s="37" t="str">
        <f t="shared" si="241"/>
        <v/>
      </c>
      <c r="BV421" s="38" t="str">
        <f t="shared" si="242"/>
        <v/>
      </c>
      <c r="BW421" s="38" t="str">
        <f t="shared" si="243"/>
        <v/>
      </c>
      <c r="BX421" s="38" t="b">
        <f t="shared" si="244"/>
        <v>1</v>
      </c>
      <c r="BY421" s="37" t="str">
        <f t="array" ref="BY421:CI421">IF(BX421,"",IVSolution($M421,$N421,$O421,BT421,BU421,BV421,BW421,$E421,$F421,$G421,$H421,$I421))</f>
        <v/>
      </c>
      <c r="BZ421" s="37" t="str">
        <v/>
      </c>
      <c r="CA421" s="37" t="str">
        <v/>
      </c>
      <c r="CB421" s="39" t="str">
        <v/>
      </c>
      <c r="CC421" s="39" t="str">
        <v/>
      </c>
      <c r="CD421" s="37" t="str">
        <v/>
      </c>
      <c r="CE421" s="37" t="str">
        <v/>
      </c>
      <c r="CF421" s="37" t="str">
        <v/>
      </c>
      <c r="CG421" s="37" t="str">
        <v/>
      </c>
      <c r="CH421" s="37" t="str">
        <v/>
      </c>
      <c r="CI421" s="37" t="str">
        <v/>
      </c>
      <c r="CJ421" s="41" t="str">
        <f t="shared" si="245"/>
        <v/>
      </c>
      <c r="CK421" s="41" t="str">
        <f t="shared" si="246"/>
        <v/>
      </c>
      <c r="CL421" s="66" t="str">
        <f t="shared" si="247"/>
        <v/>
      </c>
      <c r="CM421" s="39" t="str">
        <f t="shared" si="248"/>
        <v/>
      </c>
      <c r="CN421" s="39" t="str">
        <f t="shared" si="249"/>
        <v/>
      </c>
      <c r="CO421" s="42" t="str">
        <f t="shared" si="250"/>
        <v/>
      </c>
      <c r="CP421" s="42" t="str">
        <f t="shared" si="251"/>
        <v/>
      </c>
      <c r="CQ421" s="42" t="str">
        <f t="shared" si="252"/>
        <v/>
      </c>
      <c r="CR421" s="42" t="str">
        <f t="shared" si="253"/>
        <v/>
      </c>
      <c r="CS421" s="42" t="str">
        <f t="shared" si="254"/>
        <v/>
      </c>
      <c r="CT421" s="42" t="str">
        <f t="shared" si="255"/>
        <v/>
      </c>
      <c r="CU421" s="43" t="str">
        <f t="shared" si="256"/>
        <v/>
      </c>
      <c r="CV421" s="43" t="str">
        <f t="shared" si="257"/>
        <v/>
      </c>
      <c r="CW421" s="43" t="str">
        <f t="shared" si="258"/>
        <v/>
      </c>
      <c r="CX421" s="13"/>
    </row>
    <row r="422" spans="1:102" x14ac:dyDescent="0.25">
      <c r="A422" s="31"/>
      <c r="B422" s="13"/>
      <c r="C422" s="13"/>
      <c r="D422" s="13"/>
      <c r="E422" s="32"/>
      <c r="F422" s="32"/>
      <c r="G422" s="32"/>
      <c r="H422" s="32"/>
      <c r="I422" s="32"/>
      <c r="J422" s="13"/>
      <c r="K422" s="33"/>
      <c r="L422" s="34" t="str">
        <f>IFERROR(INDEX('Pokemon Data'!A:A,MATCH($A422,'Pokemon Data'!$B:$B,0)),"")</f>
        <v/>
      </c>
      <c r="M422" s="34" t="str">
        <f>IFERROR(INDEX('Pokemon Data'!I:I,MATCH($A422,'Pokemon Data'!$B:$B,0)),"")</f>
        <v/>
      </c>
      <c r="N422" s="34" t="str">
        <f>IFERROR(INDEX('Pokemon Data'!J:J,MATCH($A422,'Pokemon Data'!$B:$B,0)),"")</f>
        <v/>
      </c>
      <c r="O422" s="34" t="str">
        <f>IFERROR(INDEX('Pokemon Data'!K:K,MATCH($A422,'Pokemon Data'!$B:$B,0)),"")</f>
        <v/>
      </c>
      <c r="P422" s="35" t="str">
        <f>IFERROR(INDEX('Level Multipliers'!$A:$A,MATCH($D422,'Level Multipliers'!$B:$B,0)),"")</f>
        <v/>
      </c>
      <c r="Q422" s="36" t="str">
        <f>IFERROR(INDEX('Level Multipliers'!$D:$D,MATCH(P422,'Level Multipliers'!$A:$A,0)),"")</f>
        <v/>
      </c>
      <c r="R422" s="37" t="str">
        <f t="shared" si="222"/>
        <v/>
      </c>
      <c r="S422" s="37" t="str">
        <f t="shared" si="223"/>
        <v/>
      </c>
      <c r="T422" s="38" t="str">
        <f t="shared" si="224"/>
        <v/>
      </c>
      <c r="U422" s="38" t="str">
        <f t="shared" si="225"/>
        <v/>
      </c>
      <c r="V422" s="38" t="b">
        <f t="shared" si="226"/>
        <v>1</v>
      </c>
      <c r="W422" s="37" t="str">
        <f t="array" ref="W422:AG422">IF(V422,"",IVSolution($M422,$N422,$O422,R422,S422,T422,U422,$E422,$F422,$G422,$H422,$I422))</f>
        <v/>
      </c>
      <c r="X422" s="37" t="str">
        <v/>
      </c>
      <c r="Y422" s="37" t="str">
        <v/>
      </c>
      <c r="Z422" s="39" t="str">
        <v/>
      </c>
      <c r="AA422" s="39" t="str">
        <v/>
      </c>
      <c r="AB422" s="37" t="str">
        <v/>
      </c>
      <c r="AC422" s="37" t="str">
        <v/>
      </c>
      <c r="AD422" s="37" t="str">
        <v/>
      </c>
      <c r="AE422" s="37" t="str">
        <v/>
      </c>
      <c r="AF422" s="37" t="str">
        <v/>
      </c>
      <c r="AG422" s="37" t="str">
        <v/>
      </c>
      <c r="AH422" s="40" t="str">
        <f t="shared" si="227"/>
        <v/>
      </c>
      <c r="AI422" s="36" t="str">
        <f>IFERROR(INDEX('Level Multipliers'!$D:$D,MATCH(AH422,'Level Multipliers'!$A:$A,0)),"")</f>
        <v/>
      </c>
      <c r="AJ422" s="37" t="str">
        <f t="shared" si="228"/>
        <v/>
      </c>
      <c r="AK422" s="37" t="str">
        <f t="shared" si="229"/>
        <v/>
      </c>
      <c r="AL422" s="38" t="str">
        <f t="shared" si="230"/>
        <v/>
      </c>
      <c r="AM422" s="38" t="str">
        <f t="shared" si="231"/>
        <v/>
      </c>
      <c r="AN422" s="38" t="b">
        <f t="shared" si="232"/>
        <v>1</v>
      </c>
      <c r="AO422" s="37" t="str">
        <f t="array" ref="AO422:AY422">IF(AN422,"",IVSolution($M422,$N422,$O422,AJ422,AK422,AL422,AM422,$E422,$F422,$G422,$H422,$I422))</f>
        <v/>
      </c>
      <c r="AP422" s="37" t="str">
        <v/>
      </c>
      <c r="AQ422" s="37" t="str">
        <v/>
      </c>
      <c r="AR422" s="39" t="str">
        <v/>
      </c>
      <c r="AS422" s="39" t="str">
        <v/>
      </c>
      <c r="AT422" s="37" t="str">
        <v/>
      </c>
      <c r="AU422" s="37" t="str">
        <v/>
      </c>
      <c r="AV422" s="37" t="str">
        <v/>
      </c>
      <c r="AW422" s="37" t="str">
        <v/>
      </c>
      <c r="AX422" s="37" t="str">
        <v/>
      </c>
      <c r="AY422" s="37" t="str">
        <v/>
      </c>
      <c r="AZ422" s="40" t="str">
        <f t="shared" si="233"/>
        <v/>
      </c>
      <c r="BA422" s="36" t="str">
        <f>IFERROR(INDEX('Level Multipliers'!$D:$D,MATCH(AZ422,'Level Multipliers'!$A:$A,0)),"")</f>
        <v/>
      </c>
      <c r="BB422" s="37" t="str">
        <f t="shared" si="234"/>
        <v/>
      </c>
      <c r="BC422" s="37" t="str">
        <f t="shared" si="235"/>
        <v/>
      </c>
      <c r="BD422" s="38" t="str">
        <f t="shared" si="236"/>
        <v/>
      </c>
      <c r="BE422" s="38" t="str">
        <f t="shared" si="237"/>
        <v/>
      </c>
      <c r="BF422" s="38" t="b">
        <f t="shared" si="238"/>
        <v>1</v>
      </c>
      <c r="BG422" s="37" t="str">
        <f t="array" ref="BG422:BQ422">IF(BF422,"",IVSolution($M422,$N422,$O422,BB422,BC422,BD422,BE422,$E422,$F422,$G422,$H422,$I422))</f>
        <v/>
      </c>
      <c r="BH422" s="37" t="str">
        <v/>
      </c>
      <c r="BI422" s="37" t="str">
        <v/>
      </c>
      <c r="BJ422" s="39" t="str">
        <v/>
      </c>
      <c r="BK422" s="39" t="str">
        <v/>
      </c>
      <c r="BL422" s="37" t="str">
        <v/>
      </c>
      <c r="BM422" s="37" t="str">
        <v/>
      </c>
      <c r="BN422" s="37" t="str">
        <v/>
      </c>
      <c r="BO422" s="37" t="str">
        <v/>
      </c>
      <c r="BP422" s="37" t="str">
        <v/>
      </c>
      <c r="BQ422" s="37" t="str">
        <v/>
      </c>
      <c r="BR422" s="40" t="str">
        <f t="shared" si="239"/>
        <v/>
      </c>
      <c r="BS422" s="36" t="str">
        <f>IFERROR(INDEX('Level Multipliers'!$D:$D,MATCH(BR422,'Level Multipliers'!$A:$A,0)),"")</f>
        <v/>
      </c>
      <c r="BT422" s="37" t="str">
        <f t="shared" si="240"/>
        <v/>
      </c>
      <c r="BU422" s="37" t="str">
        <f t="shared" si="241"/>
        <v/>
      </c>
      <c r="BV422" s="38" t="str">
        <f t="shared" si="242"/>
        <v/>
      </c>
      <c r="BW422" s="38" t="str">
        <f t="shared" si="243"/>
        <v/>
      </c>
      <c r="BX422" s="38" t="b">
        <f t="shared" si="244"/>
        <v>1</v>
      </c>
      <c r="BY422" s="37" t="str">
        <f t="array" ref="BY422:CI422">IF(BX422,"",IVSolution($M422,$N422,$O422,BT422,BU422,BV422,BW422,$E422,$F422,$G422,$H422,$I422))</f>
        <v/>
      </c>
      <c r="BZ422" s="37" t="str">
        <v/>
      </c>
      <c r="CA422" s="37" t="str">
        <v/>
      </c>
      <c r="CB422" s="39" t="str">
        <v/>
      </c>
      <c r="CC422" s="39" t="str">
        <v/>
      </c>
      <c r="CD422" s="37" t="str">
        <v/>
      </c>
      <c r="CE422" s="37" t="str">
        <v/>
      </c>
      <c r="CF422" s="37" t="str">
        <v/>
      </c>
      <c r="CG422" s="37" t="str">
        <v/>
      </c>
      <c r="CH422" s="37" t="str">
        <v/>
      </c>
      <c r="CI422" s="37" t="str">
        <v/>
      </c>
      <c r="CJ422" s="41" t="str">
        <f t="shared" si="245"/>
        <v/>
      </c>
      <c r="CK422" s="41" t="str">
        <f t="shared" si="246"/>
        <v/>
      </c>
      <c r="CL422" s="66" t="str">
        <f t="shared" si="247"/>
        <v/>
      </c>
      <c r="CM422" s="39" t="str">
        <f t="shared" si="248"/>
        <v/>
      </c>
      <c r="CN422" s="39" t="str">
        <f t="shared" si="249"/>
        <v/>
      </c>
      <c r="CO422" s="42" t="str">
        <f t="shared" si="250"/>
        <v/>
      </c>
      <c r="CP422" s="42" t="str">
        <f t="shared" si="251"/>
        <v/>
      </c>
      <c r="CQ422" s="42" t="str">
        <f t="shared" si="252"/>
        <v/>
      </c>
      <c r="CR422" s="42" t="str">
        <f t="shared" si="253"/>
        <v/>
      </c>
      <c r="CS422" s="42" t="str">
        <f t="shared" si="254"/>
        <v/>
      </c>
      <c r="CT422" s="42" t="str">
        <f t="shared" si="255"/>
        <v/>
      </c>
      <c r="CU422" s="43" t="str">
        <f t="shared" si="256"/>
        <v/>
      </c>
      <c r="CV422" s="43" t="str">
        <f t="shared" si="257"/>
        <v/>
      </c>
      <c r="CW422" s="43" t="str">
        <f t="shared" si="258"/>
        <v/>
      </c>
      <c r="CX422" s="13"/>
    </row>
    <row r="423" spans="1:102" x14ac:dyDescent="0.25">
      <c r="A423" s="31"/>
      <c r="B423" s="13"/>
      <c r="C423" s="13"/>
      <c r="D423" s="13"/>
      <c r="E423" s="32"/>
      <c r="F423" s="32"/>
      <c r="G423" s="32"/>
      <c r="H423" s="32"/>
      <c r="I423" s="32"/>
      <c r="J423" s="13"/>
      <c r="K423" s="33"/>
      <c r="L423" s="34" t="str">
        <f>IFERROR(INDEX('Pokemon Data'!A:A,MATCH($A423,'Pokemon Data'!$B:$B,0)),"")</f>
        <v/>
      </c>
      <c r="M423" s="34" t="str">
        <f>IFERROR(INDEX('Pokemon Data'!I:I,MATCH($A423,'Pokemon Data'!$B:$B,0)),"")</f>
        <v/>
      </c>
      <c r="N423" s="34" t="str">
        <f>IFERROR(INDEX('Pokemon Data'!J:J,MATCH($A423,'Pokemon Data'!$B:$B,0)),"")</f>
        <v/>
      </c>
      <c r="O423" s="34" t="str">
        <f>IFERROR(INDEX('Pokemon Data'!K:K,MATCH($A423,'Pokemon Data'!$B:$B,0)),"")</f>
        <v/>
      </c>
      <c r="P423" s="35" t="str">
        <f>IFERROR(INDEX('Level Multipliers'!$A:$A,MATCH($D423,'Level Multipliers'!$B:$B,0)),"")</f>
        <v/>
      </c>
      <c r="Q423" s="36" t="str">
        <f>IFERROR(INDEX('Level Multipliers'!$D:$D,MATCH(P423,'Level Multipliers'!$A:$A,0)),"")</f>
        <v/>
      </c>
      <c r="R423" s="37" t="str">
        <f t="shared" si="222"/>
        <v/>
      </c>
      <c r="S423" s="37" t="str">
        <f t="shared" si="223"/>
        <v/>
      </c>
      <c r="T423" s="38" t="str">
        <f t="shared" si="224"/>
        <v/>
      </c>
      <c r="U423" s="38" t="str">
        <f t="shared" si="225"/>
        <v/>
      </c>
      <c r="V423" s="38" t="b">
        <f t="shared" si="226"/>
        <v>1</v>
      </c>
      <c r="W423" s="37" t="str">
        <f t="array" ref="W423:AG423">IF(V423,"",IVSolution($M423,$N423,$O423,R423,S423,T423,U423,$E423,$F423,$G423,$H423,$I423))</f>
        <v/>
      </c>
      <c r="X423" s="37" t="str">
        <v/>
      </c>
      <c r="Y423" s="37" t="str">
        <v/>
      </c>
      <c r="Z423" s="39" t="str">
        <v/>
      </c>
      <c r="AA423" s="39" t="str">
        <v/>
      </c>
      <c r="AB423" s="37" t="str">
        <v/>
      </c>
      <c r="AC423" s="37" t="str">
        <v/>
      </c>
      <c r="AD423" s="37" t="str">
        <v/>
      </c>
      <c r="AE423" s="37" t="str">
        <v/>
      </c>
      <c r="AF423" s="37" t="str">
        <v/>
      </c>
      <c r="AG423" s="37" t="str">
        <v/>
      </c>
      <c r="AH423" s="40" t="str">
        <f t="shared" si="227"/>
        <v/>
      </c>
      <c r="AI423" s="36" t="str">
        <f>IFERROR(INDEX('Level Multipliers'!$D:$D,MATCH(AH423,'Level Multipliers'!$A:$A,0)),"")</f>
        <v/>
      </c>
      <c r="AJ423" s="37" t="str">
        <f t="shared" si="228"/>
        <v/>
      </c>
      <c r="AK423" s="37" t="str">
        <f t="shared" si="229"/>
        <v/>
      </c>
      <c r="AL423" s="38" t="str">
        <f t="shared" si="230"/>
        <v/>
      </c>
      <c r="AM423" s="38" t="str">
        <f t="shared" si="231"/>
        <v/>
      </c>
      <c r="AN423" s="38" t="b">
        <f t="shared" si="232"/>
        <v>1</v>
      </c>
      <c r="AO423" s="37" t="str">
        <f t="array" ref="AO423:AY423">IF(AN423,"",IVSolution($M423,$N423,$O423,AJ423,AK423,AL423,AM423,$E423,$F423,$G423,$H423,$I423))</f>
        <v/>
      </c>
      <c r="AP423" s="37" t="str">
        <v/>
      </c>
      <c r="AQ423" s="37" t="str">
        <v/>
      </c>
      <c r="AR423" s="39" t="str">
        <v/>
      </c>
      <c r="AS423" s="39" t="str">
        <v/>
      </c>
      <c r="AT423" s="37" t="str">
        <v/>
      </c>
      <c r="AU423" s="37" t="str">
        <v/>
      </c>
      <c r="AV423" s="37" t="str">
        <v/>
      </c>
      <c r="AW423" s="37" t="str">
        <v/>
      </c>
      <c r="AX423" s="37" t="str">
        <v/>
      </c>
      <c r="AY423" s="37" t="str">
        <v/>
      </c>
      <c r="AZ423" s="40" t="str">
        <f t="shared" si="233"/>
        <v/>
      </c>
      <c r="BA423" s="36" t="str">
        <f>IFERROR(INDEX('Level Multipliers'!$D:$D,MATCH(AZ423,'Level Multipliers'!$A:$A,0)),"")</f>
        <v/>
      </c>
      <c r="BB423" s="37" t="str">
        <f t="shared" si="234"/>
        <v/>
      </c>
      <c r="BC423" s="37" t="str">
        <f t="shared" si="235"/>
        <v/>
      </c>
      <c r="BD423" s="38" t="str">
        <f t="shared" si="236"/>
        <v/>
      </c>
      <c r="BE423" s="38" t="str">
        <f t="shared" si="237"/>
        <v/>
      </c>
      <c r="BF423" s="38" t="b">
        <f t="shared" si="238"/>
        <v>1</v>
      </c>
      <c r="BG423" s="37" t="str">
        <f t="array" ref="BG423:BQ423">IF(BF423,"",IVSolution($M423,$N423,$O423,BB423,BC423,BD423,BE423,$E423,$F423,$G423,$H423,$I423))</f>
        <v/>
      </c>
      <c r="BH423" s="37" t="str">
        <v/>
      </c>
      <c r="BI423" s="37" t="str">
        <v/>
      </c>
      <c r="BJ423" s="39" t="str">
        <v/>
      </c>
      <c r="BK423" s="39" t="str">
        <v/>
      </c>
      <c r="BL423" s="37" t="str">
        <v/>
      </c>
      <c r="BM423" s="37" t="str">
        <v/>
      </c>
      <c r="BN423" s="37" t="str">
        <v/>
      </c>
      <c r="BO423" s="37" t="str">
        <v/>
      </c>
      <c r="BP423" s="37" t="str">
        <v/>
      </c>
      <c r="BQ423" s="37" t="str">
        <v/>
      </c>
      <c r="BR423" s="40" t="str">
        <f t="shared" si="239"/>
        <v/>
      </c>
      <c r="BS423" s="36" t="str">
        <f>IFERROR(INDEX('Level Multipliers'!$D:$D,MATCH(BR423,'Level Multipliers'!$A:$A,0)),"")</f>
        <v/>
      </c>
      <c r="BT423" s="37" t="str">
        <f t="shared" si="240"/>
        <v/>
      </c>
      <c r="BU423" s="37" t="str">
        <f t="shared" si="241"/>
        <v/>
      </c>
      <c r="BV423" s="38" t="str">
        <f t="shared" si="242"/>
        <v/>
      </c>
      <c r="BW423" s="38" t="str">
        <f t="shared" si="243"/>
        <v/>
      </c>
      <c r="BX423" s="38" t="b">
        <f t="shared" si="244"/>
        <v>1</v>
      </c>
      <c r="BY423" s="37" t="str">
        <f t="array" ref="BY423:CI423">IF(BX423,"",IVSolution($M423,$N423,$O423,BT423,BU423,BV423,BW423,$E423,$F423,$G423,$H423,$I423))</f>
        <v/>
      </c>
      <c r="BZ423" s="37" t="str">
        <v/>
      </c>
      <c r="CA423" s="37" t="str">
        <v/>
      </c>
      <c r="CB423" s="39" t="str">
        <v/>
      </c>
      <c r="CC423" s="39" t="str">
        <v/>
      </c>
      <c r="CD423" s="37" t="str">
        <v/>
      </c>
      <c r="CE423" s="37" t="str">
        <v/>
      </c>
      <c r="CF423" s="37" t="str">
        <v/>
      </c>
      <c r="CG423" s="37" t="str">
        <v/>
      </c>
      <c r="CH423" s="37" t="str">
        <v/>
      </c>
      <c r="CI423" s="37" t="str">
        <v/>
      </c>
      <c r="CJ423" s="41" t="str">
        <f t="shared" si="245"/>
        <v/>
      </c>
      <c r="CK423" s="41" t="str">
        <f t="shared" si="246"/>
        <v/>
      </c>
      <c r="CL423" s="66" t="str">
        <f t="shared" si="247"/>
        <v/>
      </c>
      <c r="CM423" s="39" t="str">
        <f t="shared" si="248"/>
        <v/>
      </c>
      <c r="CN423" s="39" t="str">
        <f t="shared" si="249"/>
        <v/>
      </c>
      <c r="CO423" s="42" t="str">
        <f t="shared" si="250"/>
        <v/>
      </c>
      <c r="CP423" s="42" t="str">
        <f t="shared" si="251"/>
        <v/>
      </c>
      <c r="CQ423" s="42" t="str">
        <f t="shared" si="252"/>
        <v/>
      </c>
      <c r="CR423" s="42" t="str">
        <f t="shared" si="253"/>
        <v/>
      </c>
      <c r="CS423" s="42" t="str">
        <f t="shared" si="254"/>
        <v/>
      </c>
      <c r="CT423" s="42" t="str">
        <f t="shared" si="255"/>
        <v/>
      </c>
      <c r="CU423" s="43" t="str">
        <f t="shared" si="256"/>
        <v/>
      </c>
      <c r="CV423" s="43" t="str">
        <f t="shared" si="257"/>
        <v/>
      </c>
      <c r="CW423" s="43" t="str">
        <f t="shared" si="258"/>
        <v/>
      </c>
      <c r="CX423" s="13"/>
    </row>
    <row r="424" spans="1:102" x14ac:dyDescent="0.25">
      <c r="A424" s="31"/>
      <c r="B424" s="13"/>
      <c r="C424" s="13"/>
      <c r="D424" s="13"/>
      <c r="E424" s="32"/>
      <c r="F424" s="32"/>
      <c r="G424" s="32"/>
      <c r="H424" s="32"/>
      <c r="I424" s="32"/>
      <c r="J424" s="13"/>
      <c r="K424" s="33"/>
      <c r="L424" s="34" t="str">
        <f>IFERROR(INDEX('Pokemon Data'!A:A,MATCH($A424,'Pokemon Data'!$B:$B,0)),"")</f>
        <v/>
      </c>
      <c r="M424" s="34" t="str">
        <f>IFERROR(INDEX('Pokemon Data'!I:I,MATCH($A424,'Pokemon Data'!$B:$B,0)),"")</f>
        <v/>
      </c>
      <c r="N424" s="34" t="str">
        <f>IFERROR(INDEX('Pokemon Data'!J:J,MATCH($A424,'Pokemon Data'!$B:$B,0)),"")</f>
        <v/>
      </c>
      <c r="O424" s="34" t="str">
        <f>IFERROR(INDEX('Pokemon Data'!K:K,MATCH($A424,'Pokemon Data'!$B:$B,0)),"")</f>
        <v/>
      </c>
      <c r="P424" s="35" t="str">
        <f>IFERROR(INDEX('Level Multipliers'!$A:$A,MATCH($D424,'Level Multipliers'!$B:$B,0)),"")</f>
        <v/>
      </c>
      <c r="Q424" s="36" t="str">
        <f>IFERROR(INDEX('Level Multipliers'!$D:$D,MATCH(P424,'Level Multipliers'!$A:$A,0)),"")</f>
        <v/>
      </c>
      <c r="R424" s="37" t="str">
        <f t="shared" si="222"/>
        <v/>
      </c>
      <c r="S424" s="37" t="str">
        <f t="shared" si="223"/>
        <v/>
      </c>
      <c r="T424" s="38" t="str">
        <f t="shared" si="224"/>
        <v/>
      </c>
      <c r="U424" s="38" t="str">
        <f t="shared" si="225"/>
        <v/>
      </c>
      <c r="V424" s="38" t="b">
        <f t="shared" si="226"/>
        <v>1</v>
      </c>
      <c r="W424" s="37" t="str">
        <f t="array" ref="W424:AG424">IF(V424,"",IVSolution($M424,$N424,$O424,R424,S424,T424,U424,$E424,$F424,$G424,$H424,$I424))</f>
        <v/>
      </c>
      <c r="X424" s="37" t="str">
        <v/>
      </c>
      <c r="Y424" s="37" t="str">
        <v/>
      </c>
      <c r="Z424" s="39" t="str">
        <v/>
      </c>
      <c r="AA424" s="39" t="str">
        <v/>
      </c>
      <c r="AB424" s="37" t="str">
        <v/>
      </c>
      <c r="AC424" s="37" t="str">
        <v/>
      </c>
      <c r="AD424" s="37" t="str">
        <v/>
      </c>
      <c r="AE424" s="37" t="str">
        <v/>
      </c>
      <c r="AF424" s="37" t="str">
        <v/>
      </c>
      <c r="AG424" s="37" t="str">
        <v/>
      </c>
      <c r="AH424" s="40" t="str">
        <f t="shared" si="227"/>
        <v/>
      </c>
      <c r="AI424" s="36" t="str">
        <f>IFERROR(INDEX('Level Multipliers'!$D:$D,MATCH(AH424,'Level Multipliers'!$A:$A,0)),"")</f>
        <v/>
      </c>
      <c r="AJ424" s="37" t="str">
        <f t="shared" si="228"/>
        <v/>
      </c>
      <c r="AK424" s="37" t="str">
        <f t="shared" si="229"/>
        <v/>
      </c>
      <c r="AL424" s="38" t="str">
        <f t="shared" si="230"/>
        <v/>
      </c>
      <c r="AM424" s="38" t="str">
        <f t="shared" si="231"/>
        <v/>
      </c>
      <c r="AN424" s="38" t="b">
        <f t="shared" si="232"/>
        <v>1</v>
      </c>
      <c r="AO424" s="37" t="str">
        <f t="array" ref="AO424:AY424">IF(AN424,"",IVSolution($M424,$N424,$O424,AJ424,AK424,AL424,AM424,$E424,$F424,$G424,$H424,$I424))</f>
        <v/>
      </c>
      <c r="AP424" s="37" t="str">
        <v/>
      </c>
      <c r="AQ424" s="37" t="str">
        <v/>
      </c>
      <c r="AR424" s="39" t="str">
        <v/>
      </c>
      <c r="AS424" s="39" t="str">
        <v/>
      </c>
      <c r="AT424" s="37" t="str">
        <v/>
      </c>
      <c r="AU424" s="37" t="str">
        <v/>
      </c>
      <c r="AV424" s="37" t="str">
        <v/>
      </c>
      <c r="AW424" s="37" t="str">
        <v/>
      </c>
      <c r="AX424" s="37" t="str">
        <v/>
      </c>
      <c r="AY424" s="37" t="str">
        <v/>
      </c>
      <c r="AZ424" s="40" t="str">
        <f t="shared" si="233"/>
        <v/>
      </c>
      <c r="BA424" s="36" t="str">
        <f>IFERROR(INDEX('Level Multipliers'!$D:$D,MATCH(AZ424,'Level Multipliers'!$A:$A,0)),"")</f>
        <v/>
      </c>
      <c r="BB424" s="37" t="str">
        <f t="shared" si="234"/>
        <v/>
      </c>
      <c r="BC424" s="37" t="str">
        <f t="shared" si="235"/>
        <v/>
      </c>
      <c r="BD424" s="38" t="str">
        <f t="shared" si="236"/>
        <v/>
      </c>
      <c r="BE424" s="38" t="str">
        <f t="shared" si="237"/>
        <v/>
      </c>
      <c r="BF424" s="38" t="b">
        <f t="shared" si="238"/>
        <v>1</v>
      </c>
      <c r="BG424" s="37" t="str">
        <f t="array" ref="BG424:BQ424">IF(BF424,"",IVSolution($M424,$N424,$O424,BB424,BC424,BD424,BE424,$E424,$F424,$G424,$H424,$I424))</f>
        <v/>
      </c>
      <c r="BH424" s="37" t="str">
        <v/>
      </c>
      <c r="BI424" s="37" t="str">
        <v/>
      </c>
      <c r="BJ424" s="39" t="str">
        <v/>
      </c>
      <c r="BK424" s="39" t="str">
        <v/>
      </c>
      <c r="BL424" s="37" t="str">
        <v/>
      </c>
      <c r="BM424" s="37" t="str">
        <v/>
      </c>
      <c r="BN424" s="37" t="str">
        <v/>
      </c>
      <c r="BO424" s="37" t="str">
        <v/>
      </c>
      <c r="BP424" s="37" t="str">
        <v/>
      </c>
      <c r="BQ424" s="37" t="str">
        <v/>
      </c>
      <c r="BR424" s="40" t="str">
        <f t="shared" si="239"/>
        <v/>
      </c>
      <c r="BS424" s="36" t="str">
        <f>IFERROR(INDEX('Level Multipliers'!$D:$D,MATCH(BR424,'Level Multipliers'!$A:$A,0)),"")</f>
        <v/>
      </c>
      <c r="BT424" s="37" t="str">
        <f t="shared" si="240"/>
        <v/>
      </c>
      <c r="BU424" s="37" t="str">
        <f t="shared" si="241"/>
        <v/>
      </c>
      <c r="BV424" s="38" t="str">
        <f t="shared" si="242"/>
        <v/>
      </c>
      <c r="BW424" s="38" t="str">
        <f t="shared" si="243"/>
        <v/>
      </c>
      <c r="BX424" s="38" t="b">
        <f t="shared" si="244"/>
        <v>1</v>
      </c>
      <c r="BY424" s="37" t="str">
        <f t="array" ref="BY424:CI424">IF(BX424,"",IVSolution($M424,$N424,$O424,BT424,BU424,BV424,BW424,$E424,$F424,$G424,$H424,$I424))</f>
        <v/>
      </c>
      <c r="BZ424" s="37" t="str">
        <v/>
      </c>
      <c r="CA424" s="37" t="str">
        <v/>
      </c>
      <c r="CB424" s="39" t="str">
        <v/>
      </c>
      <c r="CC424" s="39" t="str">
        <v/>
      </c>
      <c r="CD424" s="37" t="str">
        <v/>
      </c>
      <c r="CE424" s="37" t="str">
        <v/>
      </c>
      <c r="CF424" s="37" t="str">
        <v/>
      </c>
      <c r="CG424" s="37" t="str">
        <v/>
      </c>
      <c r="CH424" s="37" t="str">
        <v/>
      </c>
      <c r="CI424" s="37" t="str">
        <v/>
      </c>
      <c r="CJ424" s="41" t="str">
        <f t="shared" si="245"/>
        <v/>
      </c>
      <c r="CK424" s="41" t="str">
        <f t="shared" si="246"/>
        <v/>
      </c>
      <c r="CL424" s="66" t="str">
        <f t="shared" si="247"/>
        <v/>
      </c>
      <c r="CM424" s="39" t="str">
        <f t="shared" si="248"/>
        <v/>
      </c>
      <c r="CN424" s="39" t="str">
        <f t="shared" si="249"/>
        <v/>
      </c>
      <c r="CO424" s="42" t="str">
        <f t="shared" si="250"/>
        <v/>
      </c>
      <c r="CP424" s="42" t="str">
        <f t="shared" si="251"/>
        <v/>
      </c>
      <c r="CQ424" s="42" t="str">
        <f t="shared" si="252"/>
        <v/>
      </c>
      <c r="CR424" s="42" t="str">
        <f t="shared" si="253"/>
        <v/>
      </c>
      <c r="CS424" s="42" t="str">
        <f t="shared" si="254"/>
        <v/>
      </c>
      <c r="CT424" s="42" t="str">
        <f t="shared" si="255"/>
        <v/>
      </c>
      <c r="CU424" s="43" t="str">
        <f t="shared" si="256"/>
        <v/>
      </c>
      <c r="CV424" s="43" t="str">
        <f t="shared" si="257"/>
        <v/>
      </c>
      <c r="CW424" s="43" t="str">
        <f t="shared" si="258"/>
        <v/>
      </c>
      <c r="CX424" s="13"/>
    </row>
    <row r="425" spans="1:102" x14ac:dyDescent="0.25">
      <c r="A425" s="31"/>
      <c r="B425" s="13"/>
      <c r="C425" s="13"/>
      <c r="D425" s="13"/>
      <c r="E425" s="32"/>
      <c r="F425" s="32"/>
      <c r="G425" s="32"/>
      <c r="H425" s="32"/>
      <c r="I425" s="32"/>
      <c r="J425" s="13"/>
      <c r="K425" s="33"/>
      <c r="L425" s="34" t="str">
        <f>IFERROR(INDEX('Pokemon Data'!A:A,MATCH($A425,'Pokemon Data'!$B:$B,0)),"")</f>
        <v/>
      </c>
      <c r="M425" s="34" t="str">
        <f>IFERROR(INDEX('Pokemon Data'!I:I,MATCH($A425,'Pokemon Data'!$B:$B,0)),"")</f>
        <v/>
      </c>
      <c r="N425" s="34" t="str">
        <f>IFERROR(INDEX('Pokemon Data'!J:J,MATCH($A425,'Pokemon Data'!$B:$B,0)),"")</f>
        <v/>
      </c>
      <c r="O425" s="34" t="str">
        <f>IFERROR(INDEX('Pokemon Data'!K:K,MATCH($A425,'Pokemon Data'!$B:$B,0)),"")</f>
        <v/>
      </c>
      <c r="P425" s="35" t="str">
        <f>IFERROR(INDEX('Level Multipliers'!$A:$A,MATCH($D425,'Level Multipliers'!$B:$B,0)),"")</f>
        <v/>
      </c>
      <c r="Q425" s="36" t="str">
        <f>IFERROR(INDEX('Level Multipliers'!$D:$D,MATCH(P425,'Level Multipliers'!$A:$A,0)),"")</f>
        <v/>
      </c>
      <c r="R425" s="37" t="str">
        <f t="shared" si="222"/>
        <v/>
      </c>
      <c r="S425" s="37" t="str">
        <f t="shared" si="223"/>
        <v/>
      </c>
      <c r="T425" s="38" t="str">
        <f t="shared" si="224"/>
        <v/>
      </c>
      <c r="U425" s="38" t="str">
        <f t="shared" si="225"/>
        <v/>
      </c>
      <c r="V425" s="38" t="b">
        <f t="shared" si="226"/>
        <v>1</v>
      </c>
      <c r="W425" s="37" t="str">
        <f t="array" ref="W425:AG425">IF(V425,"",IVSolution($M425,$N425,$O425,R425,S425,T425,U425,$E425,$F425,$G425,$H425,$I425))</f>
        <v/>
      </c>
      <c r="X425" s="37" t="str">
        <v/>
      </c>
      <c r="Y425" s="37" t="str">
        <v/>
      </c>
      <c r="Z425" s="39" t="str">
        <v/>
      </c>
      <c r="AA425" s="39" t="str">
        <v/>
      </c>
      <c r="AB425" s="37" t="str">
        <v/>
      </c>
      <c r="AC425" s="37" t="str">
        <v/>
      </c>
      <c r="AD425" s="37" t="str">
        <v/>
      </c>
      <c r="AE425" s="37" t="str">
        <v/>
      </c>
      <c r="AF425" s="37" t="str">
        <v/>
      </c>
      <c r="AG425" s="37" t="str">
        <v/>
      </c>
      <c r="AH425" s="40" t="str">
        <f t="shared" si="227"/>
        <v/>
      </c>
      <c r="AI425" s="36" t="str">
        <f>IFERROR(INDEX('Level Multipliers'!$D:$D,MATCH(AH425,'Level Multipliers'!$A:$A,0)),"")</f>
        <v/>
      </c>
      <c r="AJ425" s="37" t="str">
        <f t="shared" si="228"/>
        <v/>
      </c>
      <c r="AK425" s="37" t="str">
        <f t="shared" si="229"/>
        <v/>
      </c>
      <c r="AL425" s="38" t="str">
        <f t="shared" si="230"/>
        <v/>
      </c>
      <c r="AM425" s="38" t="str">
        <f t="shared" si="231"/>
        <v/>
      </c>
      <c r="AN425" s="38" t="b">
        <f t="shared" si="232"/>
        <v>1</v>
      </c>
      <c r="AO425" s="37" t="str">
        <f t="array" ref="AO425:AY425">IF(AN425,"",IVSolution($M425,$N425,$O425,AJ425,AK425,AL425,AM425,$E425,$F425,$G425,$H425,$I425))</f>
        <v/>
      </c>
      <c r="AP425" s="37" t="str">
        <v/>
      </c>
      <c r="AQ425" s="37" t="str">
        <v/>
      </c>
      <c r="AR425" s="39" t="str">
        <v/>
      </c>
      <c r="AS425" s="39" t="str">
        <v/>
      </c>
      <c r="AT425" s="37" t="str">
        <v/>
      </c>
      <c r="AU425" s="37" t="str">
        <v/>
      </c>
      <c r="AV425" s="37" t="str">
        <v/>
      </c>
      <c r="AW425" s="37" t="str">
        <v/>
      </c>
      <c r="AX425" s="37" t="str">
        <v/>
      </c>
      <c r="AY425" s="37" t="str">
        <v/>
      </c>
      <c r="AZ425" s="40" t="str">
        <f t="shared" si="233"/>
        <v/>
      </c>
      <c r="BA425" s="36" t="str">
        <f>IFERROR(INDEX('Level Multipliers'!$D:$D,MATCH(AZ425,'Level Multipliers'!$A:$A,0)),"")</f>
        <v/>
      </c>
      <c r="BB425" s="37" t="str">
        <f t="shared" si="234"/>
        <v/>
      </c>
      <c r="BC425" s="37" t="str">
        <f t="shared" si="235"/>
        <v/>
      </c>
      <c r="BD425" s="38" t="str">
        <f t="shared" si="236"/>
        <v/>
      </c>
      <c r="BE425" s="38" t="str">
        <f t="shared" si="237"/>
        <v/>
      </c>
      <c r="BF425" s="38" t="b">
        <f t="shared" si="238"/>
        <v>1</v>
      </c>
      <c r="BG425" s="37" t="str">
        <f t="array" ref="BG425:BQ425">IF(BF425,"",IVSolution($M425,$N425,$O425,BB425,BC425,BD425,BE425,$E425,$F425,$G425,$H425,$I425))</f>
        <v/>
      </c>
      <c r="BH425" s="37" t="str">
        <v/>
      </c>
      <c r="BI425" s="37" t="str">
        <v/>
      </c>
      <c r="BJ425" s="39" t="str">
        <v/>
      </c>
      <c r="BK425" s="39" t="str">
        <v/>
      </c>
      <c r="BL425" s="37" t="str">
        <v/>
      </c>
      <c r="BM425" s="37" t="str">
        <v/>
      </c>
      <c r="BN425" s="37" t="str">
        <v/>
      </c>
      <c r="BO425" s="37" t="str">
        <v/>
      </c>
      <c r="BP425" s="37" t="str">
        <v/>
      </c>
      <c r="BQ425" s="37" t="str">
        <v/>
      </c>
      <c r="BR425" s="40" t="str">
        <f t="shared" si="239"/>
        <v/>
      </c>
      <c r="BS425" s="36" t="str">
        <f>IFERROR(INDEX('Level Multipliers'!$D:$D,MATCH(BR425,'Level Multipliers'!$A:$A,0)),"")</f>
        <v/>
      </c>
      <c r="BT425" s="37" t="str">
        <f t="shared" si="240"/>
        <v/>
      </c>
      <c r="BU425" s="37" t="str">
        <f t="shared" si="241"/>
        <v/>
      </c>
      <c r="BV425" s="38" t="str">
        <f t="shared" si="242"/>
        <v/>
      </c>
      <c r="BW425" s="38" t="str">
        <f t="shared" si="243"/>
        <v/>
      </c>
      <c r="BX425" s="38" t="b">
        <f t="shared" si="244"/>
        <v>1</v>
      </c>
      <c r="BY425" s="37" t="str">
        <f t="array" ref="BY425:CI425">IF(BX425,"",IVSolution($M425,$N425,$O425,BT425,BU425,BV425,BW425,$E425,$F425,$G425,$H425,$I425))</f>
        <v/>
      </c>
      <c r="BZ425" s="37" t="str">
        <v/>
      </c>
      <c r="CA425" s="37" t="str">
        <v/>
      </c>
      <c r="CB425" s="39" t="str">
        <v/>
      </c>
      <c r="CC425" s="39" t="str">
        <v/>
      </c>
      <c r="CD425" s="37" t="str">
        <v/>
      </c>
      <c r="CE425" s="37" t="str">
        <v/>
      </c>
      <c r="CF425" s="37" t="str">
        <v/>
      </c>
      <c r="CG425" s="37" t="str">
        <v/>
      </c>
      <c r="CH425" s="37" t="str">
        <v/>
      </c>
      <c r="CI425" s="37" t="str">
        <v/>
      </c>
      <c r="CJ425" s="41" t="str">
        <f t="shared" si="245"/>
        <v/>
      </c>
      <c r="CK425" s="41" t="str">
        <f t="shared" si="246"/>
        <v/>
      </c>
      <c r="CL425" s="66" t="str">
        <f t="shared" si="247"/>
        <v/>
      </c>
      <c r="CM425" s="39" t="str">
        <f t="shared" si="248"/>
        <v/>
      </c>
      <c r="CN425" s="39" t="str">
        <f t="shared" si="249"/>
        <v/>
      </c>
      <c r="CO425" s="42" t="str">
        <f t="shared" si="250"/>
        <v/>
      </c>
      <c r="CP425" s="42" t="str">
        <f t="shared" si="251"/>
        <v/>
      </c>
      <c r="CQ425" s="42" t="str">
        <f t="shared" si="252"/>
        <v/>
      </c>
      <c r="CR425" s="42" t="str">
        <f t="shared" si="253"/>
        <v/>
      </c>
      <c r="CS425" s="42" t="str">
        <f t="shared" si="254"/>
        <v/>
      </c>
      <c r="CT425" s="42" t="str">
        <f t="shared" si="255"/>
        <v/>
      </c>
      <c r="CU425" s="43" t="str">
        <f t="shared" si="256"/>
        <v/>
      </c>
      <c r="CV425" s="43" t="str">
        <f t="shared" si="257"/>
        <v/>
      </c>
      <c r="CW425" s="43" t="str">
        <f t="shared" si="258"/>
        <v/>
      </c>
      <c r="CX425" s="13"/>
    </row>
    <row r="426" spans="1:102" x14ac:dyDescent="0.25">
      <c r="A426" s="31"/>
      <c r="B426" s="13"/>
      <c r="C426" s="13"/>
      <c r="D426" s="13"/>
      <c r="E426" s="32"/>
      <c r="F426" s="32"/>
      <c r="G426" s="32"/>
      <c r="H426" s="32"/>
      <c r="I426" s="32"/>
      <c r="J426" s="13"/>
      <c r="K426" s="33"/>
      <c r="L426" s="34" t="str">
        <f>IFERROR(INDEX('Pokemon Data'!A:A,MATCH($A426,'Pokemon Data'!$B:$B,0)),"")</f>
        <v/>
      </c>
      <c r="M426" s="34" t="str">
        <f>IFERROR(INDEX('Pokemon Data'!I:I,MATCH($A426,'Pokemon Data'!$B:$B,0)),"")</f>
        <v/>
      </c>
      <c r="N426" s="34" t="str">
        <f>IFERROR(INDEX('Pokemon Data'!J:J,MATCH($A426,'Pokemon Data'!$B:$B,0)),"")</f>
        <v/>
      </c>
      <c r="O426" s="34" t="str">
        <f>IFERROR(INDEX('Pokemon Data'!K:K,MATCH($A426,'Pokemon Data'!$B:$B,0)),"")</f>
        <v/>
      </c>
      <c r="P426" s="35" t="str">
        <f>IFERROR(INDEX('Level Multipliers'!$A:$A,MATCH($D426,'Level Multipliers'!$B:$B,0)),"")</f>
        <v/>
      </c>
      <c r="Q426" s="36" t="str">
        <f>IFERROR(INDEX('Level Multipliers'!$D:$D,MATCH(P426,'Level Multipliers'!$A:$A,0)),"")</f>
        <v/>
      </c>
      <c r="R426" s="37" t="str">
        <f t="shared" si="222"/>
        <v/>
      </c>
      <c r="S426" s="37" t="str">
        <f t="shared" si="223"/>
        <v/>
      </c>
      <c r="T426" s="38" t="str">
        <f t="shared" si="224"/>
        <v/>
      </c>
      <c r="U426" s="38" t="str">
        <f t="shared" si="225"/>
        <v/>
      </c>
      <c r="V426" s="38" t="b">
        <f t="shared" si="226"/>
        <v>1</v>
      </c>
      <c r="W426" s="37" t="str">
        <f t="array" ref="W426:AG426">IF(V426,"",IVSolution($M426,$N426,$O426,R426,S426,T426,U426,$E426,$F426,$G426,$H426,$I426))</f>
        <v/>
      </c>
      <c r="X426" s="37" t="str">
        <v/>
      </c>
      <c r="Y426" s="37" t="str">
        <v/>
      </c>
      <c r="Z426" s="39" t="str">
        <v/>
      </c>
      <c r="AA426" s="39" t="str">
        <v/>
      </c>
      <c r="AB426" s="37" t="str">
        <v/>
      </c>
      <c r="AC426" s="37" t="str">
        <v/>
      </c>
      <c r="AD426" s="37" t="str">
        <v/>
      </c>
      <c r="AE426" s="37" t="str">
        <v/>
      </c>
      <c r="AF426" s="37" t="str">
        <v/>
      </c>
      <c r="AG426" s="37" t="str">
        <v/>
      </c>
      <c r="AH426" s="40" t="str">
        <f t="shared" si="227"/>
        <v/>
      </c>
      <c r="AI426" s="36" t="str">
        <f>IFERROR(INDEX('Level Multipliers'!$D:$D,MATCH(AH426,'Level Multipliers'!$A:$A,0)),"")</f>
        <v/>
      </c>
      <c r="AJ426" s="37" t="str">
        <f t="shared" si="228"/>
        <v/>
      </c>
      <c r="AK426" s="37" t="str">
        <f t="shared" si="229"/>
        <v/>
      </c>
      <c r="AL426" s="38" t="str">
        <f t="shared" si="230"/>
        <v/>
      </c>
      <c r="AM426" s="38" t="str">
        <f t="shared" si="231"/>
        <v/>
      </c>
      <c r="AN426" s="38" t="b">
        <f t="shared" si="232"/>
        <v>1</v>
      </c>
      <c r="AO426" s="37" t="str">
        <f t="array" ref="AO426:AY426">IF(AN426,"",IVSolution($M426,$N426,$O426,AJ426,AK426,AL426,AM426,$E426,$F426,$G426,$H426,$I426))</f>
        <v/>
      </c>
      <c r="AP426" s="37" t="str">
        <v/>
      </c>
      <c r="AQ426" s="37" t="str">
        <v/>
      </c>
      <c r="AR426" s="39" t="str">
        <v/>
      </c>
      <c r="AS426" s="39" t="str">
        <v/>
      </c>
      <c r="AT426" s="37" t="str">
        <v/>
      </c>
      <c r="AU426" s="37" t="str">
        <v/>
      </c>
      <c r="AV426" s="37" t="str">
        <v/>
      </c>
      <c r="AW426" s="37" t="str">
        <v/>
      </c>
      <c r="AX426" s="37" t="str">
        <v/>
      </c>
      <c r="AY426" s="37" t="str">
        <v/>
      </c>
      <c r="AZ426" s="40" t="str">
        <f t="shared" si="233"/>
        <v/>
      </c>
      <c r="BA426" s="36" t="str">
        <f>IFERROR(INDEX('Level Multipliers'!$D:$D,MATCH(AZ426,'Level Multipliers'!$A:$A,0)),"")</f>
        <v/>
      </c>
      <c r="BB426" s="37" t="str">
        <f t="shared" si="234"/>
        <v/>
      </c>
      <c r="BC426" s="37" t="str">
        <f t="shared" si="235"/>
        <v/>
      </c>
      <c r="BD426" s="38" t="str">
        <f t="shared" si="236"/>
        <v/>
      </c>
      <c r="BE426" s="38" t="str">
        <f t="shared" si="237"/>
        <v/>
      </c>
      <c r="BF426" s="38" t="b">
        <f t="shared" si="238"/>
        <v>1</v>
      </c>
      <c r="BG426" s="37" t="str">
        <f t="array" ref="BG426:BQ426">IF(BF426,"",IVSolution($M426,$N426,$O426,BB426,BC426,BD426,BE426,$E426,$F426,$G426,$H426,$I426))</f>
        <v/>
      </c>
      <c r="BH426" s="37" t="str">
        <v/>
      </c>
      <c r="BI426" s="37" t="str">
        <v/>
      </c>
      <c r="BJ426" s="39" t="str">
        <v/>
      </c>
      <c r="BK426" s="39" t="str">
        <v/>
      </c>
      <c r="BL426" s="37" t="str">
        <v/>
      </c>
      <c r="BM426" s="37" t="str">
        <v/>
      </c>
      <c r="BN426" s="37" t="str">
        <v/>
      </c>
      <c r="BO426" s="37" t="str">
        <v/>
      </c>
      <c r="BP426" s="37" t="str">
        <v/>
      </c>
      <c r="BQ426" s="37" t="str">
        <v/>
      </c>
      <c r="BR426" s="40" t="str">
        <f t="shared" si="239"/>
        <v/>
      </c>
      <c r="BS426" s="36" t="str">
        <f>IFERROR(INDEX('Level Multipliers'!$D:$D,MATCH(BR426,'Level Multipliers'!$A:$A,0)),"")</f>
        <v/>
      </c>
      <c r="BT426" s="37" t="str">
        <f t="shared" si="240"/>
        <v/>
      </c>
      <c r="BU426" s="37" t="str">
        <f t="shared" si="241"/>
        <v/>
      </c>
      <c r="BV426" s="38" t="str">
        <f t="shared" si="242"/>
        <v/>
      </c>
      <c r="BW426" s="38" t="str">
        <f t="shared" si="243"/>
        <v/>
      </c>
      <c r="BX426" s="38" t="b">
        <f t="shared" si="244"/>
        <v>1</v>
      </c>
      <c r="BY426" s="37" t="str">
        <f t="array" ref="BY426:CI426">IF(BX426,"",IVSolution($M426,$N426,$O426,BT426,BU426,BV426,BW426,$E426,$F426,$G426,$H426,$I426))</f>
        <v/>
      </c>
      <c r="BZ426" s="37" t="str">
        <v/>
      </c>
      <c r="CA426" s="37" t="str">
        <v/>
      </c>
      <c r="CB426" s="39" t="str">
        <v/>
      </c>
      <c r="CC426" s="39" t="str">
        <v/>
      </c>
      <c r="CD426" s="37" t="str">
        <v/>
      </c>
      <c r="CE426" s="37" t="str">
        <v/>
      </c>
      <c r="CF426" s="37" t="str">
        <v/>
      </c>
      <c r="CG426" s="37" t="str">
        <v/>
      </c>
      <c r="CH426" s="37" t="str">
        <v/>
      </c>
      <c r="CI426" s="37" t="str">
        <v/>
      </c>
      <c r="CJ426" s="41" t="str">
        <f t="shared" si="245"/>
        <v/>
      </c>
      <c r="CK426" s="41" t="str">
        <f t="shared" si="246"/>
        <v/>
      </c>
      <c r="CL426" s="66" t="str">
        <f t="shared" si="247"/>
        <v/>
      </c>
      <c r="CM426" s="39" t="str">
        <f t="shared" si="248"/>
        <v/>
      </c>
      <c r="CN426" s="39" t="str">
        <f t="shared" si="249"/>
        <v/>
      </c>
      <c r="CO426" s="42" t="str">
        <f t="shared" si="250"/>
        <v/>
      </c>
      <c r="CP426" s="42" t="str">
        <f t="shared" si="251"/>
        <v/>
      </c>
      <c r="CQ426" s="42" t="str">
        <f t="shared" si="252"/>
        <v/>
      </c>
      <c r="CR426" s="42" t="str">
        <f t="shared" si="253"/>
        <v/>
      </c>
      <c r="CS426" s="42" t="str">
        <f t="shared" si="254"/>
        <v/>
      </c>
      <c r="CT426" s="42" t="str">
        <f t="shared" si="255"/>
        <v/>
      </c>
      <c r="CU426" s="43" t="str">
        <f t="shared" si="256"/>
        <v/>
      </c>
      <c r="CV426" s="43" t="str">
        <f t="shared" si="257"/>
        <v/>
      </c>
      <c r="CW426" s="43" t="str">
        <f t="shared" si="258"/>
        <v/>
      </c>
      <c r="CX426" s="13"/>
    </row>
    <row r="427" spans="1:102" x14ac:dyDescent="0.25">
      <c r="A427" s="31"/>
      <c r="B427" s="13"/>
      <c r="C427" s="13"/>
      <c r="D427" s="13"/>
      <c r="E427" s="32"/>
      <c r="F427" s="32"/>
      <c r="G427" s="32"/>
      <c r="H427" s="32"/>
      <c r="I427" s="32"/>
      <c r="J427" s="13"/>
      <c r="K427" s="33"/>
      <c r="L427" s="34" t="str">
        <f>IFERROR(INDEX('Pokemon Data'!A:A,MATCH($A427,'Pokemon Data'!$B:$B,0)),"")</f>
        <v/>
      </c>
      <c r="M427" s="34" t="str">
        <f>IFERROR(INDEX('Pokemon Data'!I:I,MATCH($A427,'Pokemon Data'!$B:$B,0)),"")</f>
        <v/>
      </c>
      <c r="N427" s="34" t="str">
        <f>IFERROR(INDEX('Pokemon Data'!J:J,MATCH($A427,'Pokemon Data'!$B:$B,0)),"")</f>
        <v/>
      </c>
      <c r="O427" s="34" t="str">
        <f>IFERROR(INDEX('Pokemon Data'!K:K,MATCH($A427,'Pokemon Data'!$B:$B,0)),"")</f>
        <v/>
      </c>
      <c r="P427" s="35" t="str">
        <f>IFERROR(INDEX('Level Multipliers'!$A:$A,MATCH($D427,'Level Multipliers'!$B:$B,0)),"")</f>
        <v/>
      </c>
      <c r="Q427" s="36" t="str">
        <f>IFERROR(INDEX('Level Multipliers'!$D:$D,MATCH(P427,'Level Multipliers'!$A:$A,0)),"")</f>
        <v/>
      </c>
      <c r="R427" s="37" t="str">
        <f t="shared" si="222"/>
        <v/>
      </c>
      <c r="S427" s="37" t="str">
        <f t="shared" si="223"/>
        <v/>
      </c>
      <c r="T427" s="38" t="str">
        <f t="shared" si="224"/>
        <v/>
      </c>
      <c r="U427" s="38" t="str">
        <f t="shared" si="225"/>
        <v/>
      </c>
      <c r="V427" s="38" t="b">
        <f t="shared" si="226"/>
        <v>1</v>
      </c>
      <c r="W427" s="37" t="str">
        <f t="array" ref="W427:AG427">IF(V427,"",IVSolution($M427,$N427,$O427,R427,S427,T427,U427,$E427,$F427,$G427,$H427,$I427))</f>
        <v/>
      </c>
      <c r="X427" s="37" t="str">
        <v/>
      </c>
      <c r="Y427" s="37" t="str">
        <v/>
      </c>
      <c r="Z427" s="39" t="str">
        <v/>
      </c>
      <c r="AA427" s="39" t="str">
        <v/>
      </c>
      <c r="AB427" s="37" t="str">
        <v/>
      </c>
      <c r="AC427" s="37" t="str">
        <v/>
      </c>
      <c r="AD427" s="37" t="str">
        <v/>
      </c>
      <c r="AE427" s="37" t="str">
        <v/>
      </c>
      <c r="AF427" s="37" t="str">
        <v/>
      </c>
      <c r="AG427" s="37" t="str">
        <v/>
      </c>
      <c r="AH427" s="40" t="str">
        <f t="shared" si="227"/>
        <v/>
      </c>
      <c r="AI427" s="36" t="str">
        <f>IFERROR(INDEX('Level Multipliers'!$D:$D,MATCH(AH427,'Level Multipliers'!$A:$A,0)),"")</f>
        <v/>
      </c>
      <c r="AJ427" s="37" t="str">
        <f t="shared" si="228"/>
        <v/>
      </c>
      <c r="AK427" s="37" t="str">
        <f t="shared" si="229"/>
        <v/>
      </c>
      <c r="AL427" s="38" t="str">
        <f t="shared" si="230"/>
        <v/>
      </c>
      <c r="AM427" s="38" t="str">
        <f t="shared" si="231"/>
        <v/>
      </c>
      <c r="AN427" s="38" t="b">
        <f t="shared" si="232"/>
        <v>1</v>
      </c>
      <c r="AO427" s="37" t="str">
        <f t="array" ref="AO427:AY427">IF(AN427,"",IVSolution($M427,$N427,$O427,AJ427,AK427,AL427,AM427,$E427,$F427,$G427,$H427,$I427))</f>
        <v/>
      </c>
      <c r="AP427" s="37" t="str">
        <v/>
      </c>
      <c r="AQ427" s="37" t="str">
        <v/>
      </c>
      <c r="AR427" s="39" t="str">
        <v/>
      </c>
      <c r="AS427" s="39" t="str">
        <v/>
      </c>
      <c r="AT427" s="37" t="str">
        <v/>
      </c>
      <c r="AU427" s="37" t="str">
        <v/>
      </c>
      <c r="AV427" s="37" t="str">
        <v/>
      </c>
      <c r="AW427" s="37" t="str">
        <v/>
      </c>
      <c r="AX427" s="37" t="str">
        <v/>
      </c>
      <c r="AY427" s="37" t="str">
        <v/>
      </c>
      <c r="AZ427" s="40" t="str">
        <f t="shared" si="233"/>
        <v/>
      </c>
      <c r="BA427" s="36" t="str">
        <f>IFERROR(INDEX('Level Multipliers'!$D:$D,MATCH(AZ427,'Level Multipliers'!$A:$A,0)),"")</f>
        <v/>
      </c>
      <c r="BB427" s="37" t="str">
        <f t="shared" si="234"/>
        <v/>
      </c>
      <c r="BC427" s="37" t="str">
        <f t="shared" si="235"/>
        <v/>
      </c>
      <c r="BD427" s="38" t="str">
        <f t="shared" si="236"/>
        <v/>
      </c>
      <c r="BE427" s="38" t="str">
        <f t="shared" si="237"/>
        <v/>
      </c>
      <c r="BF427" s="38" t="b">
        <f t="shared" si="238"/>
        <v>1</v>
      </c>
      <c r="BG427" s="37" t="str">
        <f t="array" ref="BG427:BQ427">IF(BF427,"",IVSolution($M427,$N427,$O427,BB427,BC427,BD427,BE427,$E427,$F427,$G427,$H427,$I427))</f>
        <v/>
      </c>
      <c r="BH427" s="37" t="str">
        <v/>
      </c>
      <c r="BI427" s="37" t="str">
        <v/>
      </c>
      <c r="BJ427" s="39" t="str">
        <v/>
      </c>
      <c r="BK427" s="39" t="str">
        <v/>
      </c>
      <c r="BL427" s="37" t="str">
        <v/>
      </c>
      <c r="BM427" s="37" t="str">
        <v/>
      </c>
      <c r="BN427" s="37" t="str">
        <v/>
      </c>
      <c r="BO427" s="37" t="str">
        <v/>
      </c>
      <c r="BP427" s="37" t="str">
        <v/>
      </c>
      <c r="BQ427" s="37" t="str">
        <v/>
      </c>
      <c r="BR427" s="40" t="str">
        <f t="shared" si="239"/>
        <v/>
      </c>
      <c r="BS427" s="36" t="str">
        <f>IFERROR(INDEX('Level Multipliers'!$D:$D,MATCH(BR427,'Level Multipliers'!$A:$A,0)),"")</f>
        <v/>
      </c>
      <c r="BT427" s="37" t="str">
        <f t="shared" si="240"/>
        <v/>
      </c>
      <c r="BU427" s="37" t="str">
        <f t="shared" si="241"/>
        <v/>
      </c>
      <c r="BV427" s="38" t="str">
        <f t="shared" si="242"/>
        <v/>
      </c>
      <c r="BW427" s="38" t="str">
        <f t="shared" si="243"/>
        <v/>
      </c>
      <c r="BX427" s="38" t="b">
        <f t="shared" si="244"/>
        <v>1</v>
      </c>
      <c r="BY427" s="37" t="str">
        <f t="array" ref="BY427:CI427">IF(BX427,"",IVSolution($M427,$N427,$O427,BT427,BU427,BV427,BW427,$E427,$F427,$G427,$H427,$I427))</f>
        <v/>
      </c>
      <c r="BZ427" s="37" t="str">
        <v/>
      </c>
      <c r="CA427" s="37" t="str">
        <v/>
      </c>
      <c r="CB427" s="39" t="str">
        <v/>
      </c>
      <c r="CC427" s="39" t="str">
        <v/>
      </c>
      <c r="CD427" s="37" t="str">
        <v/>
      </c>
      <c r="CE427" s="37" t="str">
        <v/>
      </c>
      <c r="CF427" s="37" t="str">
        <v/>
      </c>
      <c r="CG427" s="37" t="str">
        <v/>
      </c>
      <c r="CH427" s="37" t="str">
        <v/>
      </c>
      <c r="CI427" s="37" t="str">
        <v/>
      </c>
      <c r="CJ427" s="41" t="str">
        <f t="shared" si="245"/>
        <v/>
      </c>
      <c r="CK427" s="41" t="str">
        <f t="shared" si="246"/>
        <v/>
      </c>
      <c r="CL427" s="66" t="str">
        <f t="shared" si="247"/>
        <v/>
      </c>
      <c r="CM427" s="39" t="str">
        <f t="shared" si="248"/>
        <v/>
      </c>
      <c r="CN427" s="39" t="str">
        <f t="shared" si="249"/>
        <v/>
      </c>
      <c r="CO427" s="42" t="str">
        <f t="shared" si="250"/>
        <v/>
      </c>
      <c r="CP427" s="42" t="str">
        <f t="shared" si="251"/>
        <v/>
      </c>
      <c r="CQ427" s="42" t="str">
        <f t="shared" si="252"/>
        <v/>
      </c>
      <c r="CR427" s="42" t="str">
        <f t="shared" si="253"/>
        <v/>
      </c>
      <c r="CS427" s="42" t="str">
        <f t="shared" si="254"/>
        <v/>
      </c>
      <c r="CT427" s="42" t="str">
        <f t="shared" si="255"/>
        <v/>
      </c>
      <c r="CU427" s="43" t="str">
        <f t="shared" si="256"/>
        <v/>
      </c>
      <c r="CV427" s="43" t="str">
        <f t="shared" si="257"/>
        <v/>
      </c>
      <c r="CW427" s="43" t="str">
        <f t="shared" si="258"/>
        <v/>
      </c>
      <c r="CX427" s="13"/>
    </row>
    <row r="428" spans="1:102" x14ac:dyDescent="0.25">
      <c r="A428" s="31"/>
      <c r="B428" s="13"/>
      <c r="C428" s="13"/>
      <c r="D428" s="13"/>
      <c r="E428" s="32"/>
      <c r="F428" s="32"/>
      <c r="G428" s="32"/>
      <c r="H428" s="32"/>
      <c r="I428" s="32"/>
      <c r="J428" s="13"/>
      <c r="K428" s="33"/>
      <c r="L428" s="34" t="str">
        <f>IFERROR(INDEX('Pokemon Data'!A:A,MATCH($A428,'Pokemon Data'!$B:$B,0)),"")</f>
        <v/>
      </c>
      <c r="M428" s="34" t="str">
        <f>IFERROR(INDEX('Pokemon Data'!I:I,MATCH($A428,'Pokemon Data'!$B:$B,0)),"")</f>
        <v/>
      </c>
      <c r="N428" s="34" t="str">
        <f>IFERROR(INDEX('Pokemon Data'!J:J,MATCH($A428,'Pokemon Data'!$B:$B,0)),"")</f>
        <v/>
      </c>
      <c r="O428" s="34" t="str">
        <f>IFERROR(INDEX('Pokemon Data'!K:K,MATCH($A428,'Pokemon Data'!$B:$B,0)),"")</f>
        <v/>
      </c>
      <c r="P428" s="35" t="str">
        <f>IFERROR(INDEX('Level Multipliers'!$A:$A,MATCH($D428,'Level Multipliers'!$B:$B,0)),"")</f>
        <v/>
      </c>
      <c r="Q428" s="36" t="str">
        <f>IFERROR(INDEX('Level Multipliers'!$D:$D,MATCH(P428,'Level Multipliers'!$A:$A,0)),"")</f>
        <v/>
      </c>
      <c r="R428" s="37" t="str">
        <f t="shared" si="222"/>
        <v/>
      </c>
      <c r="S428" s="37" t="str">
        <f t="shared" si="223"/>
        <v/>
      </c>
      <c r="T428" s="38" t="str">
        <f t="shared" si="224"/>
        <v/>
      </c>
      <c r="U428" s="38" t="str">
        <f t="shared" si="225"/>
        <v/>
      </c>
      <c r="V428" s="38" t="b">
        <f t="shared" si="226"/>
        <v>1</v>
      </c>
      <c r="W428" s="37" t="str">
        <f t="array" ref="W428:AG428">IF(V428,"",IVSolution($M428,$N428,$O428,R428,S428,T428,U428,$E428,$F428,$G428,$H428,$I428))</f>
        <v/>
      </c>
      <c r="X428" s="37" t="str">
        <v/>
      </c>
      <c r="Y428" s="37" t="str">
        <v/>
      </c>
      <c r="Z428" s="39" t="str">
        <v/>
      </c>
      <c r="AA428" s="39" t="str">
        <v/>
      </c>
      <c r="AB428" s="37" t="str">
        <v/>
      </c>
      <c r="AC428" s="37" t="str">
        <v/>
      </c>
      <c r="AD428" s="37" t="str">
        <v/>
      </c>
      <c r="AE428" s="37" t="str">
        <v/>
      </c>
      <c r="AF428" s="37" t="str">
        <v/>
      </c>
      <c r="AG428" s="37" t="str">
        <v/>
      </c>
      <c r="AH428" s="40" t="str">
        <f t="shared" si="227"/>
        <v/>
      </c>
      <c r="AI428" s="36" t="str">
        <f>IFERROR(INDEX('Level Multipliers'!$D:$D,MATCH(AH428,'Level Multipliers'!$A:$A,0)),"")</f>
        <v/>
      </c>
      <c r="AJ428" s="37" t="str">
        <f t="shared" si="228"/>
        <v/>
      </c>
      <c r="AK428" s="37" t="str">
        <f t="shared" si="229"/>
        <v/>
      </c>
      <c r="AL428" s="38" t="str">
        <f t="shared" si="230"/>
        <v/>
      </c>
      <c r="AM428" s="38" t="str">
        <f t="shared" si="231"/>
        <v/>
      </c>
      <c r="AN428" s="38" t="b">
        <f t="shared" si="232"/>
        <v>1</v>
      </c>
      <c r="AO428" s="37" t="str">
        <f t="array" ref="AO428:AY428">IF(AN428,"",IVSolution($M428,$N428,$O428,AJ428,AK428,AL428,AM428,$E428,$F428,$G428,$H428,$I428))</f>
        <v/>
      </c>
      <c r="AP428" s="37" t="str">
        <v/>
      </c>
      <c r="AQ428" s="37" t="str">
        <v/>
      </c>
      <c r="AR428" s="39" t="str">
        <v/>
      </c>
      <c r="AS428" s="39" t="str">
        <v/>
      </c>
      <c r="AT428" s="37" t="str">
        <v/>
      </c>
      <c r="AU428" s="37" t="str">
        <v/>
      </c>
      <c r="AV428" s="37" t="str">
        <v/>
      </c>
      <c r="AW428" s="37" t="str">
        <v/>
      </c>
      <c r="AX428" s="37" t="str">
        <v/>
      </c>
      <c r="AY428" s="37" t="str">
        <v/>
      </c>
      <c r="AZ428" s="40" t="str">
        <f t="shared" si="233"/>
        <v/>
      </c>
      <c r="BA428" s="36" t="str">
        <f>IFERROR(INDEX('Level Multipliers'!$D:$D,MATCH(AZ428,'Level Multipliers'!$A:$A,0)),"")</f>
        <v/>
      </c>
      <c r="BB428" s="37" t="str">
        <f t="shared" si="234"/>
        <v/>
      </c>
      <c r="BC428" s="37" t="str">
        <f t="shared" si="235"/>
        <v/>
      </c>
      <c r="BD428" s="38" t="str">
        <f t="shared" si="236"/>
        <v/>
      </c>
      <c r="BE428" s="38" t="str">
        <f t="shared" si="237"/>
        <v/>
      </c>
      <c r="BF428" s="38" t="b">
        <f t="shared" si="238"/>
        <v>1</v>
      </c>
      <c r="BG428" s="37" t="str">
        <f t="array" ref="BG428:BQ428">IF(BF428,"",IVSolution($M428,$N428,$O428,BB428,BC428,BD428,BE428,$E428,$F428,$G428,$H428,$I428))</f>
        <v/>
      </c>
      <c r="BH428" s="37" t="str">
        <v/>
      </c>
      <c r="BI428" s="37" t="str">
        <v/>
      </c>
      <c r="BJ428" s="39" t="str">
        <v/>
      </c>
      <c r="BK428" s="39" t="str">
        <v/>
      </c>
      <c r="BL428" s="37" t="str">
        <v/>
      </c>
      <c r="BM428" s="37" t="str">
        <v/>
      </c>
      <c r="BN428" s="37" t="str">
        <v/>
      </c>
      <c r="BO428" s="37" t="str">
        <v/>
      </c>
      <c r="BP428" s="37" t="str">
        <v/>
      </c>
      <c r="BQ428" s="37" t="str">
        <v/>
      </c>
      <c r="BR428" s="40" t="str">
        <f t="shared" si="239"/>
        <v/>
      </c>
      <c r="BS428" s="36" t="str">
        <f>IFERROR(INDEX('Level Multipliers'!$D:$D,MATCH(BR428,'Level Multipliers'!$A:$A,0)),"")</f>
        <v/>
      </c>
      <c r="BT428" s="37" t="str">
        <f t="shared" si="240"/>
        <v/>
      </c>
      <c r="BU428" s="37" t="str">
        <f t="shared" si="241"/>
        <v/>
      </c>
      <c r="BV428" s="38" t="str">
        <f t="shared" si="242"/>
        <v/>
      </c>
      <c r="BW428" s="38" t="str">
        <f t="shared" si="243"/>
        <v/>
      </c>
      <c r="BX428" s="38" t="b">
        <f t="shared" si="244"/>
        <v>1</v>
      </c>
      <c r="BY428" s="37" t="str">
        <f t="array" ref="BY428:CI428">IF(BX428,"",IVSolution($M428,$N428,$O428,BT428,BU428,BV428,BW428,$E428,$F428,$G428,$H428,$I428))</f>
        <v/>
      </c>
      <c r="BZ428" s="37" t="str">
        <v/>
      </c>
      <c r="CA428" s="37" t="str">
        <v/>
      </c>
      <c r="CB428" s="39" t="str">
        <v/>
      </c>
      <c r="CC428" s="39" t="str">
        <v/>
      </c>
      <c r="CD428" s="37" t="str">
        <v/>
      </c>
      <c r="CE428" s="37" t="str">
        <v/>
      </c>
      <c r="CF428" s="37" t="str">
        <v/>
      </c>
      <c r="CG428" s="37" t="str">
        <v/>
      </c>
      <c r="CH428" s="37" t="str">
        <v/>
      </c>
      <c r="CI428" s="37" t="str">
        <v/>
      </c>
      <c r="CJ428" s="41" t="str">
        <f t="shared" si="245"/>
        <v/>
      </c>
      <c r="CK428" s="41" t="str">
        <f t="shared" si="246"/>
        <v/>
      </c>
      <c r="CL428" s="66" t="str">
        <f t="shared" si="247"/>
        <v/>
      </c>
      <c r="CM428" s="39" t="str">
        <f t="shared" si="248"/>
        <v/>
      </c>
      <c r="CN428" s="39" t="str">
        <f t="shared" si="249"/>
        <v/>
      </c>
      <c r="CO428" s="42" t="str">
        <f t="shared" si="250"/>
        <v/>
      </c>
      <c r="CP428" s="42" t="str">
        <f t="shared" si="251"/>
        <v/>
      </c>
      <c r="CQ428" s="42" t="str">
        <f t="shared" si="252"/>
        <v/>
      </c>
      <c r="CR428" s="42" t="str">
        <f t="shared" si="253"/>
        <v/>
      </c>
      <c r="CS428" s="42" t="str">
        <f t="shared" si="254"/>
        <v/>
      </c>
      <c r="CT428" s="42" t="str">
        <f t="shared" si="255"/>
        <v/>
      </c>
      <c r="CU428" s="43" t="str">
        <f t="shared" si="256"/>
        <v/>
      </c>
      <c r="CV428" s="43" t="str">
        <f t="shared" si="257"/>
        <v/>
      </c>
      <c r="CW428" s="43" t="str">
        <f t="shared" si="258"/>
        <v/>
      </c>
      <c r="CX428" s="13"/>
    </row>
    <row r="429" spans="1:102" x14ac:dyDescent="0.25">
      <c r="A429" s="31"/>
      <c r="B429" s="13"/>
      <c r="C429" s="13"/>
      <c r="D429" s="13"/>
      <c r="E429" s="32"/>
      <c r="F429" s="32"/>
      <c r="G429" s="32"/>
      <c r="H429" s="32"/>
      <c r="I429" s="32"/>
      <c r="J429" s="13"/>
      <c r="K429" s="33"/>
      <c r="L429" s="34" t="str">
        <f>IFERROR(INDEX('Pokemon Data'!A:A,MATCH($A429,'Pokemon Data'!$B:$B,0)),"")</f>
        <v/>
      </c>
      <c r="M429" s="34" t="str">
        <f>IFERROR(INDEX('Pokemon Data'!I:I,MATCH($A429,'Pokemon Data'!$B:$B,0)),"")</f>
        <v/>
      </c>
      <c r="N429" s="34" t="str">
        <f>IFERROR(INDEX('Pokemon Data'!J:J,MATCH($A429,'Pokemon Data'!$B:$B,0)),"")</f>
        <v/>
      </c>
      <c r="O429" s="34" t="str">
        <f>IFERROR(INDEX('Pokemon Data'!K:K,MATCH($A429,'Pokemon Data'!$B:$B,0)),"")</f>
        <v/>
      </c>
      <c r="P429" s="35" t="str">
        <f>IFERROR(INDEX('Level Multipliers'!$A:$A,MATCH($D429,'Level Multipliers'!$B:$B,0)),"")</f>
        <v/>
      </c>
      <c r="Q429" s="36" t="str">
        <f>IFERROR(INDEX('Level Multipliers'!$D:$D,MATCH(P429,'Level Multipliers'!$A:$A,0)),"")</f>
        <v/>
      </c>
      <c r="R429" s="37" t="str">
        <f t="shared" si="222"/>
        <v/>
      </c>
      <c r="S429" s="37" t="str">
        <f t="shared" si="223"/>
        <v/>
      </c>
      <c r="T429" s="38" t="str">
        <f t="shared" si="224"/>
        <v/>
      </c>
      <c r="U429" s="38" t="str">
        <f t="shared" si="225"/>
        <v/>
      </c>
      <c r="V429" s="38" t="b">
        <f t="shared" si="226"/>
        <v>1</v>
      </c>
      <c r="W429" s="37" t="str">
        <f t="array" ref="W429:AG429">IF(V429,"",IVSolution($M429,$N429,$O429,R429,S429,T429,U429,$E429,$F429,$G429,$H429,$I429))</f>
        <v/>
      </c>
      <c r="X429" s="37" t="str">
        <v/>
      </c>
      <c r="Y429" s="37" t="str">
        <v/>
      </c>
      <c r="Z429" s="39" t="str">
        <v/>
      </c>
      <c r="AA429" s="39" t="str">
        <v/>
      </c>
      <c r="AB429" s="37" t="str">
        <v/>
      </c>
      <c r="AC429" s="37" t="str">
        <v/>
      </c>
      <c r="AD429" s="37" t="str">
        <v/>
      </c>
      <c r="AE429" s="37" t="str">
        <v/>
      </c>
      <c r="AF429" s="37" t="str">
        <v/>
      </c>
      <c r="AG429" s="37" t="str">
        <v/>
      </c>
      <c r="AH429" s="40" t="str">
        <f t="shared" si="227"/>
        <v/>
      </c>
      <c r="AI429" s="36" t="str">
        <f>IFERROR(INDEX('Level Multipliers'!$D:$D,MATCH(AH429,'Level Multipliers'!$A:$A,0)),"")</f>
        <v/>
      </c>
      <c r="AJ429" s="37" t="str">
        <f t="shared" si="228"/>
        <v/>
      </c>
      <c r="AK429" s="37" t="str">
        <f t="shared" si="229"/>
        <v/>
      </c>
      <c r="AL429" s="38" t="str">
        <f t="shared" si="230"/>
        <v/>
      </c>
      <c r="AM429" s="38" t="str">
        <f t="shared" si="231"/>
        <v/>
      </c>
      <c r="AN429" s="38" t="b">
        <f t="shared" si="232"/>
        <v>1</v>
      </c>
      <c r="AO429" s="37" t="str">
        <f t="array" ref="AO429:AY429">IF(AN429,"",IVSolution($M429,$N429,$O429,AJ429,AK429,AL429,AM429,$E429,$F429,$G429,$H429,$I429))</f>
        <v/>
      </c>
      <c r="AP429" s="37" t="str">
        <v/>
      </c>
      <c r="AQ429" s="37" t="str">
        <v/>
      </c>
      <c r="AR429" s="39" t="str">
        <v/>
      </c>
      <c r="AS429" s="39" t="str">
        <v/>
      </c>
      <c r="AT429" s="37" t="str">
        <v/>
      </c>
      <c r="AU429" s="37" t="str">
        <v/>
      </c>
      <c r="AV429" s="37" t="str">
        <v/>
      </c>
      <c r="AW429" s="37" t="str">
        <v/>
      </c>
      <c r="AX429" s="37" t="str">
        <v/>
      </c>
      <c r="AY429" s="37" t="str">
        <v/>
      </c>
      <c r="AZ429" s="40" t="str">
        <f t="shared" si="233"/>
        <v/>
      </c>
      <c r="BA429" s="36" t="str">
        <f>IFERROR(INDEX('Level Multipliers'!$D:$D,MATCH(AZ429,'Level Multipliers'!$A:$A,0)),"")</f>
        <v/>
      </c>
      <c r="BB429" s="37" t="str">
        <f t="shared" si="234"/>
        <v/>
      </c>
      <c r="BC429" s="37" t="str">
        <f t="shared" si="235"/>
        <v/>
      </c>
      <c r="BD429" s="38" t="str">
        <f t="shared" si="236"/>
        <v/>
      </c>
      <c r="BE429" s="38" t="str">
        <f t="shared" si="237"/>
        <v/>
      </c>
      <c r="BF429" s="38" t="b">
        <f t="shared" si="238"/>
        <v>1</v>
      </c>
      <c r="BG429" s="37" t="str">
        <f t="array" ref="BG429:BQ429">IF(BF429,"",IVSolution($M429,$N429,$O429,BB429,BC429,BD429,BE429,$E429,$F429,$G429,$H429,$I429))</f>
        <v/>
      </c>
      <c r="BH429" s="37" t="str">
        <v/>
      </c>
      <c r="BI429" s="37" t="str">
        <v/>
      </c>
      <c r="BJ429" s="39" t="str">
        <v/>
      </c>
      <c r="BK429" s="39" t="str">
        <v/>
      </c>
      <c r="BL429" s="37" t="str">
        <v/>
      </c>
      <c r="BM429" s="37" t="str">
        <v/>
      </c>
      <c r="BN429" s="37" t="str">
        <v/>
      </c>
      <c r="BO429" s="37" t="str">
        <v/>
      </c>
      <c r="BP429" s="37" t="str">
        <v/>
      </c>
      <c r="BQ429" s="37" t="str">
        <v/>
      </c>
      <c r="BR429" s="40" t="str">
        <f t="shared" si="239"/>
        <v/>
      </c>
      <c r="BS429" s="36" t="str">
        <f>IFERROR(INDEX('Level Multipliers'!$D:$D,MATCH(BR429,'Level Multipliers'!$A:$A,0)),"")</f>
        <v/>
      </c>
      <c r="BT429" s="37" t="str">
        <f t="shared" si="240"/>
        <v/>
      </c>
      <c r="BU429" s="37" t="str">
        <f t="shared" si="241"/>
        <v/>
      </c>
      <c r="BV429" s="38" t="str">
        <f t="shared" si="242"/>
        <v/>
      </c>
      <c r="BW429" s="38" t="str">
        <f t="shared" si="243"/>
        <v/>
      </c>
      <c r="BX429" s="38" t="b">
        <f t="shared" si="244"/>
        <v>1</v>
      </c>
      <c r="BY429" s="37" t="str">
        <f t="array" ref="BY429:CI429">IF(BX429,"",IVSolution($M429,$N429,$O429,BT429,BU429,BV429,BW429,$E429,$F429,$G429,$H429,$I429))</f>
        <v/>
      </c>
      <c r="BZ429" s="37" t="str">
        <v/>
      </c>
      <c r="CA429" s="37" t="str">
        <v/>
      </c>
      <c r="CB429" s="39" t="str">
        <v/>
      </c>
      <c r="CC429" s="39" t="str">
        <v/>
      </c>
      <c r="CD429" s="37" t="str">
        <v/>
      </c>
      <c r="CE429" s="37" t="str">
        <v/>
      </c>
      <c r="CF429" s="37" t="str">
        <v/>
      </c>
      <c r="CG429" s="37" t="str">
        <v/>
      </c>
      <c r="CH429" s="37" t="str">
        <v/>
      </c>
      <c r="CI429" s="37" t="str">
        <v/>
      </c>
      <c r="CJ429" s="41" t="str">
        <f t="shared" si="245"/>
        <v/>
      </c>
      <c r="CK429" s="41" t="str">
        <f t="shared" si="246"/>
        <v/>
      </c>
      <c r="CL429" s="66" t="str">
        <f t="shared" si="247"/>
        <v/>
      </c>
      <c r="CM429" s="39" t="str">
        <f t="shared" si="248"/>
        <v/>
      </c>
      <c r="CN429" s="39" t="str">
        <f t="shared" si="249"/>
        <v/>
      </c>
      <c r="CO429" s="42" t="str">
        <f t="shared" si="250"/>
        <v/>
      </c>
      <c r="CP429" s="42" t="str">
        <f t="shared" si="251"/>
        <v/>
      </c>
      <c r="CQ429" s="42" t="str">
        <f t="shared" si="252"/>
        <v/>
      </c>
      <c r="CR429" s="42" t="str">
        <f t="shared" si="253"/>
        <v/>
      </c>
      <c r="CS429" s="42" t="str">
        <f t="shared" si="254"/>
        <v/>
      </c>
      <c r="CT429" s="42" t="str">
        <f t="shared" si="255"/>
        <v/>
      </c>
      <c r="CU429" s="43" t="str">
        <f t="shared" si="256"/>
        <v/>
      </c>
      <c r="CV429" s="43" t="str">
        <f t="shared" si="257"/>
        <v/>
      </c>
      <c r="CW429" s="43" t="str">
        <f t="shared" si="258"/>
        <v/>
      </c>
      <c r="CX429" s="13"/>
    </row>
    <row r="430" spans="1:102" x14ac:dyDescent="0.25">
      <c r="A430" s="31"/>
      <c r="B430" s="13"/>
      <c r="C430" s="13"/>
      <c r="D430" s="13"/>
      <c r="E430" s="32"/>
      <c r="F430" s="32"/>
      <c r="G430" s="32"/>
      <c r="H430" s="32"/>
      <c r="I430" s="32"/>
      <c r="J430" s="13"/>
      <c r="K430" s="33"/>
      <c r="L430" s="34" t="str">
        <f>IFERROR(INDEX('Pokemon Data'!A:A,MATCH($A430,'Pokemon Data'!$B:$B,0)),"")</f>
        <v/>
      </c>
      <c r="M430" s="34" t="str">
        <f>IFERROR(INDEX('Pokemon Data'!I:I,MATCH($A430,'Pokemon Data'!$B:$B,0)),"")</f>
        <v/>
      </c>
      <c r="N430" s="34" t="str">
        <f>IFERROR(INDEX('Pokemon Data'!J:J,MATCH($A430,'Pokemon Data'!$B:$B,0)),"")</f>
        <v/>
      </c>
      <c r="O430" s="34" t="str">
        <f>IFERROR(INDEX('Pokemon Data'!K:K,MATCH($A430,'Pokemon Data'!$B:$B,0)),"")</f>
        <v/>
      </c>
      <c r="P430" s="35" t="str">
        <f>IFERROR(INDEX('Level Multipliers'!$A:$A,MATCH($D430,'Level Multipliers'!$B:$B,0)),"")</f>
        <v/>
      </c>
      <c r="Q430" s="36" t="str">
        <f>IFERROR(INDEX('Level Multipliers'!$D:$D,MATCH(P430,'Level Multipliers'!$A:$A,0)),"")</f>
        <v/>
      </c>
      <c r="R430" s="37" t="str">
        <f t="shared" si="222"/>
        <v/>
      </c>
      <c r="S430" s="37" t="str">
        <f t="shared" si="223"/>
        <v/>
      </c>
      <c r="T430" s="38" t="str">
        <f t="shared" si="224"/>
        <v/>
      </c>
      <c r="U430" s="38" t="str">
        <f t="shared" si="225"/>
        <v/>
      </c>
      <c r="V430" s="38" t="b">
        <f t="shared" si="226"/>
        <v>1</v>
      </c>
      <c r="W430" s="37" t="str">
        <f t="array" ref="W430:AG430">IF(V430,"",IVSolution($M430,$N430,$O430,R430,S430,T430,U430,$E430,$F430,$G430,$H430,$I430))</f>
        <v/>
      </c>
      <c r="X430" s="37" t="str">
        <v/>
      </c>
      <c r="Y430" s="37" t="str">
        <v/>
      </c>
      <c r="Z430" s="39" t="str">
        <v/>
      </c>
      <c r="AA430" s="39" t="str">
        <v/>
      </c>
      <c r="AB430" s="37" t="str">
        <v/>
      </c>
      <c r="AC430" s="37" t="str">
        <v/>
      </c>
      <c r="AD430" s="37" t="str">
        <v/>
      </c>
      <c r="AE430" s="37" t="str">
        <v/>
      </c>
      <c r="AF430" s="37" t="str">
        <v/>
      </c>
      <c r="AG430" s="37" t="str">
        <v/>
      </c>
      <c r="AH430" s="40" t="str">
        <f t="shared" si="227"/>
        <v/>
      </c>
      <c r="AI430" s="36" t="str">
        <f>IFERROR(INDEX('Level Multipliers'!$D:$D,MATCH(AH430,'Level Multipliers'!$A:$A,0)),"")</f>
        <v/>
      </c>
      <c r="AJ430" s="37" t="str">
        <f t="shared" si="228"/>
        <v/>
      </c>
      <c r="AK430" s="37" t="str">
        <f t="shared" si="229"/>
        <v/>
      </c>
      <c r="AL430" s="38" t="str">
        <f t="shared" si="230"/>
        <v/>
      </c>
      <c r="AM430" s="38" t="str">
        <f t="shared" si="231"/>
        <v/>
      </c>
      <c r="AN430" s="38" t="b">
        <f t="shared" si="232"/>
        <v>1</v>
      </c>
      <c r="AO430" s="37" t="str">
        <f t="array" ref="AO430:AY430">IF(AN430,"",IVSolution($M430,$N430,$O430,AJ430,AK430,AL430,AM430,$E430,$F430,$G430,$H430,$I430))</f>
        <v/>
      </c>
      <c r="AP430" s="37" t="str">
        <v/>
      </c>
      <c r="AQ430" s="37" t="str">
        <v/>
      </c>
      <c r="AR430" s="39" t="str">
        <v/>
      </c>
      <c r="AS430" s="39" t="str">
        <v/>
      </c>
      <c r="AT430" s="37" t="str">
        <v/>
      </c>
      <c r="AU430" s="37" t="str">
        <v/>
      </c>
      <c r="AV430" s="37" t="str">
        <v/>
      </c>
      <c r="AW430" s="37" t="str">
        <v/>
      </c>
      <c r="AX430" s="37" t="str">
        <v/>
      </c>
      <c r="AY430" s="37" t="str">
        <v/>
      </c>
      <c r="AZ430" s="40" t="str">
        <f t="shared" si="233"/>
        <v/>
      </c>
      <c r="BA430" s="36" t="str">
        <f>IFERROR(INDEX('Level Multipliers'!$D:$D,MATCH(AZ430,'Level Multipliers'!$A:$A,0)),"")</f>
        <v/>
      </c>
      <c r="BB430" s="37" t="str">
        <f t="shared" si="234"/>
        <v/>
      </c>
      <c r="BC430" s="37" t="str">
        <f t="shared" si="235"/>
        <v/>
      </c>
      <c r="BD430" s="38" t="str">
        <f t="shared" si="236"/>
        <v/>
      </c>
      <c r="BE430" s="38" t="str">
        <f t="shared" si="237"/>
        <v/>
      </c>
      <c r="BF430" s="38" t="b">
        <f t="shared" si="238"/>
        <v>1</v>
      </c>
      <c r="BG430" s="37" t="str">
        <f t="array" ref="BG430:BQ430">IF(BF430,"",IVSolution($M430,$N430,$O430,BB430,BC430,BD430,BE430,$E430,$F430,$G430,$H430,$I430))</f>
        <v/>
      </c>
      <c r="BH430" s="37" t="str">
        <v/>
      </c>
      <c r="BI430" s="37" t="str">
        <v/>
      </c>
      <c r="BJ430" s="39" t="str">
        <v/>
      </c>
      <c r="BK430" s="39" t="str">
        <v/>
      </c>
      <c r="BL430" s="37" t="str">
        <v/>
      </c>
      <c r="BM430" s="37" t="str">
        <v/>
      </c>
      <c r="BN430" s="37" t="str">
        <v/>
      </c>
      <c r="BO430" s="37" t="str">
        <v/>
      </c>
      <c r="BP430" s="37" t="str">
        <v/>
      </c>
      <c r="BQ430" s="37" t="str">
        <v/>
      </c>
      <c r="BR430" s="40" t="str">
        <f t="shared" si="239"/>
        <v/>
      </c>
      <c r="BS430" s="36" t="str">
        <f>IFERROR(INDEX('Level Multipliers'!$D:$D,MATCH(BR430,'Level Multipliers'!$A:$A,0)),"")</f>
        <v/>
      </c>
      <c r="BT430" s="37" t="str">
        <f t="shared" si="240"/>
        <v/>
      </c>
      <c r="BU430" s="37" t="str">
        <f t="shared" si="241"/>
        <v/>
      </c>
      <c r="BV430" s="38" t="str">
        <f t="shared" si="242"/>
        <v/>
      </c>
      <c r="BW430" s="38" t="str">
        <f t="shared" si="243"/>
        <v/>
      </c>
      <c r="BX430" s="38" t="b">
        <f t="shared" si="244"/>
        <v>1</v>
      </c>
      <c r="BY430" s="37" t="str">
        <f t="array" ref="BY430:CI430">IF(BX430,"",IVSolution($M430,$N430,$O430,BT430,BU430,BV430,BW430,$E430,$F430,$G430,$H430,$I430))</f>
        <v/>
      </c>
      <c r="BZ430" s="37" t="str">
        <v/>
      </c>
      <c r="CA430" s="37" t="str">
        <v/>
      </c>
      <c r="CB430" s="39" t="str">
        <v/>
      </c>
      <c r="CC430" s="39" t="str">
        <v/>
      </c>
      <c r="CD430" s="37" t="str">
        <v/>
      </c>
      <c r="CE430" s="37" t="str">
        <v/>
      </c>
      <c r="CF430" s="37" t="str">
        <v/>
      </c>
      <c r="CG430" s="37" t="str">
        <v/>
      </c>
      <c r="CH430" s="37" t="str">
        <v/>
      </c>
      <c r="CI430" s="37" t="str">
        <v/>
      </c>
      <c r="CJ430" s="41" t="str">
        <f t="shared" si="245"/>
        <v/>
      </c>
      <c r="CK430" s="41" t="str">
        <f t="shared" si="246"/>
        <v/>
      </c>
      <c r="CL430" s="66" t="str">
        <f t="shared" si="247"/>
        <v/>
      </c>
      <c r="CM430" s="39" t="str">
        <f t="shared" si="248"/>
        <v/>
      </c>
      <c r="CN430" s="39" t="str">
        <f t="shared" si="249"/>
        <v/>
      </c>
      <c r="CO430" s="42" t="str">
        <f t="shared" si="250"/>
        <v/>
      </c>
      <c r="CP430" s="42" t="str">
        <f t="shared" si="251"/>
        <v/>
      </c>
      <c r="CQ430" s="42" t="str">
        <f t="shared" si="252"/>
        <v/>
      </c>
      <c r="CR430" s="42" t="str">
        <f t="shared" si="253"/>
        <v/>
      </c>
      <c r="CS430" s="42" t="str">
        <f t="shared" si="254"/>
        <v/>
      </c>
      <c r="CT430" s="42" t="str">
        <f t="shared" si="255"/>
        <v/>
      </c>
      <c r="CU430" s="43" t="str">
        <f t="shared" si="256"/>
        <v/>
      </c>
      <c r="CV430" s="43" t="str">
        <f t="shared" si="257"/>
        <v/>
      </c>
      <c r="CW430" s="43" t="str">
        <f t="shared" si="258"/>
        <v/>
      </c>
      <c r="CX430" s="13"/>
    </row>
    <row r="431" spans="1:102" x14ac:dyDescent="0.25">
      <c r="A431" s="31"/>
      <c r="B431" s="13"/>
      <c r="C431" s="13"/>
      <c r="D431" s="13"/>
      <c r="E431" s="32"/>
      <c r="F431" s="32"/>
      <c r="G431" s="32"/>
      <c r="H431" s="32"/>
      <c r="I431" s="32"/>
      <c r="J431" s="13"/>
      <c r="K431" s="33"/>
      <c r="L431" s="34" t="str">
        <f>IFERROR(INDEX('Pokemon Data'!A:A,MATCH($A431,'Pokemon Data'!$B:$B,0)),"")</f>
        <v/>
      </c>
      <c r="M431" s="34" t="str">
        <f>IFERROR(INDEX('Pokemon Data'!I:I,MATCH($A431,'Pokemon Data'!$B:$B,0)),"")</f>
        <v/>
      </c>
      <c r="N431" s="34" t="str">
        <f>IFERROR(INDEX('Pokemon Data'!J:J,MATCH($A431,'Pokemon Data'!$B:$B,0)),"")</f>
        <v/>
      </c>
      <c r="O431" s="34" t="str">
        <f>IFERROR(INDEX('Pokemon Data'!K:K,MATCH($A431,'Pokemon Data'!$B:$B,0)),"")</f>
        <v/>
      </c>
      <c r="P431" s="35" t="str">
        <f>IFERROR(INDEX('Level Multipliers'!$A:$A,MATCH($D431,'Level Multipliers'!$B:$B,0)),"")</f>
        <v/>
      </c>
      <c r="Q431" s="36" t="str">
        <f>IFERROR(INDEX('Level Multipliers'!$D:$D,MATCH(P431,'Level Multipliers'!$A:$A,0)),"")</f>
        <v/>
      </c>
      <c r="R431" s="37" t="str">
        <f t="shared" si="222"/>
        <v/>
      </c>
      <c r="S431" s="37" t="str">
        <f t="shared" si="223"/>
        <v/>
      </c>
      <c r="T431" s="38" t="str">
        <f t="shared" si="224"/>
        <v/>
      </c>
      <c r="U431" s="38" t="str">
        <f t="shared" si="225"/>
        <v/>
      </c>
      <c r="V431" s="38" t="b">
        <f t="shared" si="226"/>
        <v>1</v>
      </c>
      <c r="W431" s="37" t="str">
        <f t="array" ref="W431:AG431">IF(V431,"",IVSolution($M431,$N431,$O431,R431,S431,T431,U431,$E431,$F431,$G431,$H431,$I431))</f>
        <v/>
      </c>
      <c r="X431" s="37" t="str">
        <v/>
      </c>
      <c r="Y431" s="37" t="str">
        <v/>
      </c>
      <c r="Z431" s="39" t="str">
        <v/>
      </c>
      <c r="AA431" s="39" t="str">
        <v/>
      </c>
      <c r="AB431" s="37" t="str">
        <v/>
      </c>
      <c r="AC431" s="37" t="str">
        <v/>
      </c>
      <c r="AD431" s="37" t="str">
        <v/>
      </c>
      <c r="AE431" s="37" t="str">
        <v/>
      </c>
      <c r="AF431" s="37" t="str">
        <v/>
      </c>
      <c r="AG431" s="37" t="str">
        <v/>
      </c>
      <c r="AH431" s="40" t="str">
        <f t="shared" si="227"/>
        <v/>
      </c>
      <c r="AI431" s="36" t="str">
        <f>IFERROR(INDEX('Level Multipliers'!$D:$D,MATCH(AH431,'Level Multipliers'!$A:$A,0)),"")</f>
        <v/>
      </c>
      <c r="AJ431" s="37" t="str">
        <f t="shared" si="228"/>
        <v/>
      </c>
      <c r="AK431" s="37" t="str">
        <f t="shared" si="229"/>
        <v/>
      </c>
      <c r="AL431" s="38" t="str">
        <f t="shared" si="230"/>
        <v/>
      </c>
      <c r="AM431" s="38" t="str">
        <f t="shared" si="231"/>
        <v/>
      </c>
      <c r="AN431" s="38" t="b">
        <f t="shared" si="232"/>
        <v>1</v>
      </c>
      <c r="AO431" s="37" t="str">
        <f t="array" ref="AO431:AY431">IF(AN431,"",IVSolution($M431,$N431,$O431,AJ431,AK431,AL431,AM431,$E431,$F431,$G431,$H431,$I431))</f>
        <v/>
      </c>
      <c r="AP431" s="37" t="str">
        <v/>
      </c>
      <c r="AQ431" s="37" t="str">
        <v/>
      </c>
      <c r="AR431" s="39" t="str">
        <v/>
      </c>
      <c r="AS431" s="39" t="str">
        <v/>
      </c>
      <c r="AT431" s="37" t="str">
        <v/>
      </c>
      <c r="AU431" s="37" t="str">
        <v/>
      </c>
      <c r="AV431" s="37" t="str">
        <v/>
      </c>
      <c r="AW431" s="37" t="str">
        <v/>
      </c>
      <c r="AX431" s="37" t="str">
        <v/>
      </c>
      <c r="AY431" s="37" t="str">
        <v/>
      </c>
      <c r="AZ431" s="40" t="str">
        <f t="shared" si="233"/>
        <v/>
      </c>
      <c r="BA431" s="36" t="str">
        <f>IFERROR(INDEX('Level Multipliers'!$D:$D,MATCH(AZ431,'Level Multipliers'!$A:$A,0)),"")</f>
        <v/>
      </c>
      <c r="BB431" s="37" t="str">
        <f t="shared" si="234"/>
        <v/>
      </c>
      <c r="BC431" s="37" t="str">
        <f t="shared" si="235"/>
        <v/>
      </c>
      <c r="BD431" s="38" t="str">
        <f t="shared" si="236"/>
        <v/>
      </c>
      <c r="BE431" s="38" t="str">
        <f t="shared" si="237"/>
        <v/>
      </c>
      <c r="BF431" s="38" t="b">
        <f t="shared" si="238"/>
        <v>1</v>
      </c>
      <c r="BG431" s="37" t="str">
        <f t="array" ref="BG431:BQ431">IF(BF431,"",IVSolution($M431,$N431,$O431,BB431,BC431,BD431,BE431,$E431,$F431,$G431,$H431,$I431))</f>
        <v/>
      </c>
      <c r="BH431" s="37" t="str">
        <v/>
      </c>
      <c r="BI431" s="37" t="str">
        <v/>
      </c>
      <c r="BJ431" s="39" t="str">
        <v/>
      </c>
      <c r="BK431" s="39" t="str">
        <v/>
      </c>
      <c r="BL431" s="37" t="str">
        <v/>
      </c>
      <c r="BM431" s="37" t="str">
        <v/>
      </c>
      <c r="BN431" s="37" t="str">
        <v/>
      </c>
      <c r="BO431" s="37" t="str">
        <v/>
      </c>
      <c r="BP431" s="37" t="str">
        <v/>
      </c>
      <c r="BQ431" s="37" t="str">
        <v/>
      </c>
      <c r="BR431" s="40" t="str">
        <f t="shared" si="239"/>
        <v/>
      </c>
      <c r="BS431" s="36" t="str">
        <f>IFERROR(INDEX('Level Multipliers'!$D:$D,MATCH(BR431,'Level Multipliers'!$A:$A,0)),"")</f>
        <v/>
      </c>
      <c r="BT431" s="37" t="str">
        <f t="shared" si="240"/>
        <v/>
      </c>
      <c r="BU431" s="37" t="str">
        <f t="shared" si="241"/>
        <v/>
      </c>
      <c r="BV431" s="38" t="str">
        <f t="shared" si="242"/>
        <v/>
      </c>
      <c r="BW431" s="38" t="str">
        <f t="shared" si="243"/>
        <v/>
      </c>
      <c r="BX431" s="38" t="b">
        <f t="shared" si="244"/>
        <v>1</v>
      </c>
      <c r="BY431" s="37" t="str">
        <f t="array" ref="BY431:CI431">IF(BX431,"",IVSolution($M431,$N431,$O431,BT431,BU431,BV431,BW431,$E431,$F431,$G431,$H431,$I431))</f>
        <v/>
      </c>
      <c r="BZ431" s="37" t="str">
        <v/>
      </c>
      <c r="CA431" s="37" t="str">
        <v/>
      </c>
      <c r="CB431" s="39" t="str">
        <v/>
      </c>
      <c r="CC431" s="39" t="str">
        <v/>
      </c>
      <c r="CD431" s="37" t="str">
        <v/>
      </c>
      <c r="CE431" s="37" t="str">
        <v/>
      </c>
      <c r="CF431" s="37" t="str">
        <v/>
      </c>
      <c r="CG431" s="37" t="str">
        <v/>
      </c>
      <c r="CH431" s="37" t="str">
        <v/>
      </c>
      <c r="CI431" s="37" t="str">
        <v/>
      </c>
      <c r="CJ431" s="41" t="str">
        <f t="shared" si="245"/>
        <v/>
      </c>
      <c r="CK431" s="41" t="str">
        <f t="shared" si="246"/>
        <v/>
      </c>
      <c r="CL431" s="66" t="str">
        <f t="shared" si="247"/>
        <v/>
      </c>
      <c r="CM431" s="39" t="str">
        <f t="shared" si="248"/>
        <v/>
      </c>
      <c r="CN431" s="39" t="str">
        <f t="shared" si="249"/>
        <v/>
      </c>
      <c r="CO431" s="42" t="str">
        <f t="shared" si="250"/>
        <v/>
      </c>
      <c r="CP431" s="42" t="str">
        <f t="shared" si="251"/>
        <v/>
      </c>
      <c r="CQ431" s="42" t="str">
        <f t="shared" si="252"/>
        <v/>
      </c>
      <c r="CR431" s="42" t="str">
        <f t="shared" si="253"/>
        <v/>
      </c>
      <c r="CS431" s="42" t="str">
        <f t="shared" si="254"/>
        <v/>
      </c>
      <c r="CT431" s="42" t="str">
        <f t="shared" si="255"/>
        <v/>
      </c>
      <c r="CU431" s="43" t="str">
        <f t="shared" si="256"/>
        <v/>
      </c>
      <c r="CV431" s="43" t="str">
        <f t="shared" si="257"/>
        <v/>
      </c>
      <c r="CW431" s="43" t="str">
        <f t="shared" si="258"/>
        <v/>
      </c>
      <c r="CX431" s="13"/>
    </row>
    <row r="432" spans="1:102" x14ac:dyDescent="0.25">
      <c r="A432" s="31"/>
      <c r="B432" s="13"/>
      <c r="C432" s="13"/>
      <c r="D432" s="13"/>
      <c r="E432" s="32"/>
      <c r="F432" s="32"/>
      <c r="G432" s="32"/>
      <c r="H432" s="32"/>
      <c r="I432" s="32"/>
      <c r="J432" s="13"/>
      <c r="K432" s="33"/>
      <c r="L432" s="34" t="str">
        <f>IFERROR(INDEX('Pokemon Data'!A:A,MATCH($A432,'Pokemon Data'!$B:$B,0)),"")</f>
        <v/>
      </c>
      <c r="M432" s="34" t="str">
        <f>IFERROR(INDEX('Pokemon Data'!I:I,MATCH($A432,'Pokemon Data'!$B:$B,0)),"")</f>
        <v/>
      </c>
      <c r="N432" s="34" t="str">
        <f>IFERROR(INDEX('Pokemon Data'!J:J,MATCH($A432,'Pokemon Data'!$B:$B,0)),"")</f>
        <v/>
      </c>
      <c r="O432" s="34" t="str">
        <f>IFERROR(INDEX('Pokemon Data'!K:K,MATCH($A432,'Pokemon Data'!$B:$B,0)),"")</f>
        <v/>
      </c>
      <c r="P432" s="35" t="str">
        <f>IFERROR(INDEX('Level Multipliers'!$A:$A,MATCH($D432,'Level Multipliers'!$B:$B,0)),"")</f>
        <v/>
      </c>
      <c r="Q432" s="36" t="str">
        <f>IFERROR(INDEX('Level Multipliers'!$D:$D,MATCH(P432,'Level Multipliers'!$A:$A,0)),"")</f>
        <v/>
      </c>
      <c r="R432" s="37" t="str">
        <f t="shared" si="222"/>
        <v/>
      </c>
      <c r="S432" s="37" t="str">
        <f t="shared" si="223"/>
        <v/>
      </c>
      <c r="T432" s="38" t="str">
        <f t="shared" si="224"/>
        <v/>
      </c>
      <c r="U432" s="38" t="str">
        <f t="shared" si="225"/>
        <v/>
      </c>
      <c r="V432" s="38" t="b">
        <f t="shared" si="226"/>
        <v>1</v>
      </c>
      <c r="W432" s="37" t="str">
        <f t="array" ref="W432:AG432">IF(V432,"",IVSolution($M432,$N432,$O432,R432,S432,T432,U432,$E432,$F432,$G432,$H432,$I432))</f>
        <v/>
      </c>
      <c r="X432" s="37" t="str">
        <v/>
      </c>
      <c r="Y432" s="37" t="str">
        <v/>
      </c>
      <c r="Z432" s="39" t="str">
        <v/>
      </c>
      <c r="AA432" s="39" t="str">
        <v/>
      </c>
      <c r="AB432" s="37" t="str">
        <v/>
      </c>
      <c r="AC432" s="37" t="str">
        <v/>
      </c>
      <c r="AD432" s="37" t="str">
        <v/>
      </c>
      <c r="AE432" s="37" t="str">
        <v/>
      </c>
      <c r="AF432" s="37" t="str">
        <v/>
      </c>
      <c r="AG432" s="37" t="str">
        <v/>
      </c>
      <c r="AH432" s="40" t="str">
        <f t="shared" si="227"/>
        <v/>
      </c>
      <c r="AI432" s="36" t="str">
        <f>IFERROR(INDEX('Level Multipliers'!$D:$D,MATCH(AH432,'Level Multipliers'!$A:$A,0)),"")</f>
        <v/>
      </c>
      <c r="AJ432" s="37" t="str">
        <f t="shared" si="228"/>
        <v/>
      </c>
      <c r="AK432" s="37" t="str">
        <f t="shared" si="229"/>
        <v/>
      </c>
      <c r="AL432" s="38" t="str">
        <f t="shared" si="230"/>
        <v/>
      </c>
      <c r="AM432" s="38" t="str">
        <f t="shared" si="231"/>
        <v/>
      </c>
      <c r="AN432" s="38" t="b">
        <f t="shared" si="232"/>
        <v>1</v>
      </c>
      <c r="AO432" s="37" t="str">
        <f t="array" ref="AO432:AY432">IF(AN432,"",IVSolution($M432,$N432,$O432,AJ432,AK432,AL432,AM432,$E432,$F432,$G432,$H432,$I432))</f>
        <v/>
      </c>
      <c r="AP432" s="37" t="str">
        <v/>
      </c>
      <c r="AQ432" s="37" t="str">
        <v/>
      </c>
      <c r="AR432" s="39" t="str">
        <v/>
      </c>
      <c r="AS432" s="39" t="str">
        <v/>
      </c>
      <c r="AT432" s="37" t="str">
        <v/>
      </c>
      <c r="AU432" s="37" t="str">
        <v/>
      </c>
      <c r="AV432" s="37" t="str">
        <v/>
      </c>
      <c r="AW432" s="37" t="str">
        <v/>
      </c>
      <c r="AX432" s="37" t="str">
        <v/>
      </c>
      <c r="AY432" s="37" t="str">
        <v/>
      </c>
      <c r="AZ432" s="40" t="str">
        <f t="shared" si="233"/>
        <v/>
      </c>
      <c r="BA432" s="36" t="str">
        <f>IFERROR(INDEX('Level Multipliers'!$D:$D,MATCH(AZ432,'Level Multipliers'!$A:$A,0)),"")</f>
        <v/>
      </c>
      <c r="BB432" s="37" t="str">
        <f t="shared" si="234"/>
        <v/>
      </c>
      <c r="BC432" s="37" t="str">
        <f t="shared" si="235"/>
        <v/>
      </c>
      <c r="BD432" s="38" t="str">
        <f t="shared" si="236"/>
        <v/>
      </c>
      <c r="BE432" s="38" t="str">
        <f t="shared" si="237"/>
        <v/>
      </c>
      <c r="BF432" s="38" t="b">
        <f t="shared" si="238"/>
        <v>1</v>
      </c>
      <c r="BG432" s="37" t="str">
        <f t="array" ref="BG432:BQ432">IF(BF432,"",IVSolution($M432,$N432,$O432,BB432,BC432,BD432,BE432,$E432,$F432,$G432,$H432,$I432))</f>
        <v/>
      </c>
      <c r="BH432" s="37" t="str">
        <v/>
      </c>
      <c r="BI432" s="37" t="str">
        <v/>
      </c>
      <c r="BJ432" s="39" t="str">
        <v/>
      </c>
      <c r="BK432" s="39" t="str">
        <v/>
      </c>
      <c r="BL432" s="37" t="str">
        <v/>
      </c>
      <c r="BM432" s="37" t="str">
        <v/>
      </c>
      <c r="BN432" s="37" t="str">
        <v/>
      </c>
      <c r="BO432" s="37" t="str">
        <v/>
      </c>
      <c r="BP432" s="37" t="str">
        <v/>
      </c>
      <c r="BQ432" s="37" t="str">
        <v/>
      </c>
      <c r="BR432" s="40" t="str">
        <f t="shared" si="239"/>
        <v/>
      </c>
      <c r="BS432" s="36" t="str">
        <f>IFERROR(INDEX('Level Multipliers'!$D:$D,MATCH(BR432,'Level Multipliers'!$A:$A,0)),"")</f>
        <v/>
      </c>
      <c r="BT432" s="37" t="str">
        <f t="shared" si="240"/>
        <v/>
      </c>
      <c r="BU432" s="37" t="str">
        <f t="shared" si="241"/>
        <v/>
      </c>
      <c r="BV432" s="38" t="str">
        <f t="shared" si="242"/>
        <v/>
      </c>
      <c r="BW432" s="38" t="str">
        <f t="shared" si="243"/>
        <v/>
      </c>
      <c r="BX432" s="38" t="b">
        <f t="shared" si="244"/>
        <v>1</v>
      </c>
      <c r="BY432" s="37" t="str">
        <f t="array" ref="BY432:CI432">IF(BX432,"",IVSolution($M432,$N432,$O432,BT432,BU432,BV432,BW432,$E432,$F432,$G432,$H432,$I432))</f>
        <v/>
      </c>
      <c r="BZ432" s="37" t="str">
        <v/>
      </c>
      <c r="CA432" s="37" t="str">
        <v/>
      </c>
      <c r="CB432" s="39" t="str">
        <v/>
      </c>
      <c r="CC432" s="39" t="str">
        <v/>
      </c>
      <c r="CD432" s="37" t="str">
        <v/>
      </c>
      <c r="CE432" s="37" t="str">
        <v/>
      </c>
      <c r="CF432" s="37" t="str">
        <v/>
      </c>
      <c r="CG432" s="37" t="str">
        <v/>
      </c>
      <c r="CH432" s="37" t="str">
        <v/>
      </c>
      <c r="CI432" s="37" t="str">
        <v/>
      </c>
      <c r="CJ432" s="41" t="str">
        <f t="shared" si="245"/>
        <v/>
      </c>
      <c r="CK432" s="41" t="str">
        <f t="shared" si="246"/>
        <v/>
      </c>
      <c r="CL432" s="66" t="str">
        <f t="shared" si="247"/>
        <v/>
      </c>
      <c r="CM432" s="39" t="str">
        <f t="shared" si="248"/>
        <v/>
      </c>
      <c r="CN432" s="39" t="str">
        <f t="shared" si="249"/>
        <v/>
      </c>
      <c r="CO432" s="42" t="str">
        <f t="shared" si="250"/>
        <v/>
      </c>
      <c r="CP432" s="42" t="str">
        <f t="shared" si="251"/>
        <v/>
      </c>
      <c r="CQ432" s="42" t="str">
        <f t="shared" si="252"/>
        <v/>
      </c>
      <c r="CR432" s="42" t="str">
        <f t="shared" si="253"/>
        <v/>
      </c>
      <c r="CS432" s="42" t="str">
        <f t="shared" si="254"/>
        <v/>
      </c>
      <c r="CT432" s="42" t="str">
        <f t="shared" si="255"/>
        <v/>
      </c>
      <c r="CU432" s="43" t="str">
        <f t="shared" si="256"/>
        <v/>
      </c>
      <c r="CV432" s="43" t="str">
        <f t="shared" si="257"/>
        <v/>
      </c>
      <c r="CW432" s="43" t="str">
        <f t="shared" si="258"/>
        <v/>
      </c>
      <c r="CX432" s="13"/>
    </row>
    <row r="433" spans="1:102" x14ac:dyDescent="0.25">
      <c r="A433" s="31"/>
      <c r="B433" s="13"/>
      <c r="C433" s="13"/>
      <c r="D433" s="13"/>
      <c r="E433" s="32"/>
      <c r="F433" s="32"/>
      <c r="G433" s="32"/>
      <c r="H433" s="32"/>
      <c r="I433" s="32"/>
      <c r="J433" s="13"/>
      <c r="K433" s="33"/>
      <c r="L433" s="34" t="str">
        <f>IFERROR(INDEX('Pokemon Data'!A:A,MATCH($A433,'Pokemon Data'!$B:$B,0)),"")</f>
        <v/>
      </c>
      <c r="M433" s="34" t="str">
        <f>IFERROR(INDEX('Pokemon Data'!I:I,MATCH($A433,'Pokemon Data'!$B:$B,0)),"")</f>
        <v/>
      </c>
      <c r="N433" s="34" t="str">
        <f>IFERROR(INDEX('Pokemon Data'!J:J,MATCH($A433,'Pokemon Data'!$B:$B,0)),"")</f>
        <v/>
      </c>
      <c r="O433" s="34" t="str">
        <f>IFERROR(INDEX('Pokemon Data'!K:K,MATCH($A433,'Pokemon Data'!$B:$B,0)),"")</f>
        <v/>
      </c>
      <c r="P433" s="35" t="str">
        <f>IFERROR(INDEX('Level Multipliers'!$A:$A,MATCH($D433,'Level Multipliers'!$B:$B,0)),"")</f>
        <v/>
      </c>
      <c r="Q433" s="36" t="str">
        <f>IFERROR(INDEX('Level Multipliers'!$D:$D,MATCH(P433,'Level Multipliers'!$A:$A,0)),"")</f>
        <v/>
      </c>
      <c r="R433" s="37" t="str">
        <f t="shared" si="222"/>
        <v/>
      </c>
      <c r="S433" s="37" t="str">
        <f t="shared" si="223"/>
        <v/>
      </c>
      <c r="T433" s="38" t="str">
        <f t="shared" si="224"/>
        <v/>
      </c>
      <c r="U433" s="38" t="str">
        <f t="shared" si="225"/>
        <v/>
      </c>
      <c r="V433" s="38" t="b">
        <f t="shared" si="226"/>
        <v>1</v>
      </c>
      <c r="W433" s="37" t="str">
        <f t="array" ref="W433:AG433">IF(V433,"",IVSolution($M433,$N433,$O433,R433,S433,T433,U433,$E433,$F433,$G433,$H433,$I433))</f>
        <v/>
      </c>
      <c r="X433" s="37" t="str">
        <v/>
      </c>
      <c r="Y433" s="37" t="str">
        <v/>
      </c>
      <c r="Z433" s="39" t="str">
        <v/>
      </c>
      <c r="AA433" s="39" t="str">
        <v/>
      </c>
      <c r="AB433" s="37" t="str">
        <v/>
      </c>
      <c r="AC433" s="37" t="str">
        <v/>
      </c>
      <c r="AD433" s="37" t="str">
        <v/>
      </c>
      <c r="AE433" s="37" t="str">
        <v/>
      </c>
      <c r="AF433" s="37" t="str">
        <v/>
      </c>
      <c r="AG433" s="37" t="str">
        <v/>
      </c>
      <c r="AH433" s="40" t="str">
        <f t="shared" si="227"/>
        <v/>
      </c>
      <c r="AI433" s="36" t="str">
        <f>IFERROR(INDEX('Level Multipliers'!$D:$D,MATCH(AH433,'Level Multipliers'!$A:$A,0)),"")</f>
        <v/>
      </c>
      <c r="AJ433" s="37" t="str">
        <f t="shared" si="228"/>
        <v/>
      </c>
      <c r="AK433" s="37" t="str">
        <f t="shared" si="229"/>
        <v/>
      </c>
      <c r="AL433" s="38" t="str">
        <f t="shared" si="230"/>
        <v/>
      </c>
      <c r="AM433" s="38" t="str">
        <f t="shared" si="231"/>
        <v/>
      </c>
      <c r="AN433" s="38" t="b">
        <f t="shared" si="232"/>
        <v>1</v>
      </c>
      <c r="AO433" s="37" t="str">
        <f t="array" ref="AO433:AY433">IF(AN433,"",IVSolution($M433,$N433,$O433,AJ433,AK433,AL433,AM433,$E433,$F433,$G433,$H433,$I433))</f>
        <v/>
      </c>
      <c r="AP433" s="37" t="str">
        <v/>
      </c>
      <c r="AQ433" s="37" t="str">
        <v/>
      </c>
      <c r="AR433" s="39" t="str">
        <v/>
      </c>
      <c r="AS433" s="39" t="str">
        <v/>
      </c>
      <c r="AT433" s="37" t="str">
        <v/>
      </c>
      <c r="AU433" s="37" t="str">
        <v/>
      </c>
      <c r="AV433" s="37" t="str">
        <v/>
      </c>
      <c r="AW433" s="37" t="str">
        <v/>
      </c>
      <c r="AX433" s="37" t="str">
        <v/>
      </c>
      <c r="AY433" s="37" t="str">
        <v/>
      </c>
      <c r="AZ433" s="40" t="str">
        <f t="shared" si="233"/>
        <v/>
      </c>
      <c r="BA433" s="36" t="str">
        <f>IFERROR(INDEX('Level Multipliers'!$D:$D,MATCH(AZ433,'Level Multipliers'!$A:$A,0)),"")</f>
        <v/>
      </c>
      <c r="BB433" s="37" t="str">
        <f t="shared" si="234"/>
        <v/>
      </c>
      <c r="BC433" s="37" t="str">
        <f t="shared" si="235"/>
        <v/>
      </c>
      <c r="BD433" s="38" t="str">
        <f t="shared" si="236"/>
        <v/>
      </c>
      <c r="BE433" s="38" t="str">
        <f t="shared" si="237"/>
        <v/>
      </c>
      <c r="BF433" s="38" t="b">
        <f t="shared" si="238"/>
        <v>1</v>
      </c>
      <c r="BG433" s="37" t="str">
        <f t="array" ref="BG433:BQ433">IF(BF433,"",IVSolution($M433,$N433,$O433,BB433,BC433,BD433,BE433,$E433,$F433,$G433,$H433,$I433))</f>
        <v/>
      </c>
      <c r="BH433" s="37" t="str">
        <v/>
      </c>
      <c r="BI433" s="37" t="str">
        <v/>
      </c>
      <c r="BJ433" s="39" t="str">
        <v/>
      </c>
      <c r="BK433" s="39" t="str">
        <v/>
      </c>
      <c r="BL433" s="37" t="str">
        <v/>
      </c>
      <c r="BM433" s="37" t="str">
        <v/>
      </c>
      <c r="BN433" s="37" t="str">
        <v/>
      </c>
      <c r="BO433" s="37" t="str">
        <v/>
      </c>
      <c r="BP433" s="37" t="str">
        <v/>
      </c>
      <c r="BQ433" s="37" t="str">
        <v/>
      </c>
      <c r="BR433" s="40" t="str">
        <f t="shared" si="239"/>
        <v/>
      </c>
      <c r="BS433" s="36" t="str">
        <f>IFERROR(INDEX('Level Multipliers'!$D:$D,MATCH(BR433,'Level Multipliers'!$A:$A,0)),"")</f>
        <v/>
      </c>
      <c r="BT433" s="37" t="str">
        <f t="shared" si="240"/>
        <v/>
      </c>
      <c r="BU433" s="37" t="str">
        <f t="shared" si="241"/>
        <v/>
      </c>
      <c r="BV433" s="38" t="str">
        <f t="shared" si="242"/>
        <v/>
      </c>
      <c r="BW433" s="38" t="str">
        <f t="shared" si="243"/>
        <v/>
      </c>
      <c r="BX433" s="38" t="b">
        <f t="shared" si="244"/>
        <v>1</v>
      </c>
      <c r="BY433" s="37" t="str">
        <f t="array" ref="BY433:CI433">IF(BX433,"",IVSolution($M433,$N433,$O433,BT433,BU433,BV433,BW433,$E433,$F433,$G433,$H433,$I433))</f>
        <v/>
      </c>
      <c r="BZ433" s="37" t="str">
        <v/>
      </c>
      <c r="CA433" s="37" t="str">
        <v/>
      </c>
      <c r="CB433" s="39" t="str">
        <v/>
      </c>
      <c r="CC433" s="39" t="str">
        <v/>
      </c>
      <c r="CD433" s="37" t="str">
        <v/>
      </c>
      <c r="CE433" s="37" t="str">
        <v/>
      </c>
      <c r="CF433" s="37" t="str">
        <v/>
      </c>
      <c r="CG433" s="37" t="str">
        <v/>
      </c>
      <c r="CH433" s="37" t="str">
        <v/>
      </c>
      <c r="CI433" s="37" t="str">
        <v/>
      </c>
      <c r="CJ433" s="41" t="str">
        <f t="shared" si="245"/>
        <v/>
      </c>
      <c r="CK433" s="41" t="str">
        <f t="shared" si="246"/>
        <v/>
      </c>
      <c r="CL433" s="66" t="str">
        <f t="shared" si="247"/>
        <v/>
      </c>
      <c r="CM433" s="39" t="str">
        <f t="shared" si="248"/>
        <v/>
      </c>
      <c r="CN433" s="39" t="str">
        <f t="shared" si="249"/>
        <v/>
      </c>
      <c r="CO433" s="42" t="str">
        <f t="shared" si="250"/>
        <v/>
      </c>
      <c r="CP433" s="42" t="str">
        <f t="shared" si="251"/>
        <v/>
      </c>
      <c r="CQ433" s="42" t="str">
        <f t="shared" si="252"/>
        <v/>
      </c>
      <c r="CR433" s="42" t="str">
        <f t="shared" si="253"/>
        <v/>
      </c>
      <c r="CS433" s="42" t="str">
        <f t="shared" si="254"/>
        <v/>
      </c>
      <c r="CT433" s="42" t="str">
        <f t="shared" si="255"/>
        <v/>
      </c>
      <c r="CU433" s="43" t="str">
        <f t="shared" si="256"/>
        <v/>
      </c>
      <c r="CV433" s="43" t="str">
        <f t="shared" si="257"/>
        <v/>
      </c>
      <c r="CW433" s="43" t="str">
        <f t="shared" si="258"/>
        <v/>
      </c>
      <c r="CX433" s="13"/>
    </row>
    <row r="434" spans="1:102" x14ac:dyDescent="0.25">
      <c r="A434" s="31"/>
      <c r="B434" s="13"/>
      <c r="C434" s="13"/>
      <c r="D434" s="13"/>
      <c r="E434" s="32"/>
      <c r="F434" s="32"/>
      <c r="G434" s="32"/>
      <c r="H434" s="32"/>
      <c r="I434" s="32"/>
      <c r="J434" s="13"/>
      <c r="K434" s="33"/>
      <c r="L434" s="34" t="str">
        <f>IFERROR(INDEX('Pokemon Data'!A:A,MATCH($A434,'Pokemon Data'!$B:$B,0)),"")</f>
        <v/>
      </c>
      <c r="M434" s="34" t="str">
        <f>IFERROR(INDEX('Pokemon Data'!I:I,MATCH($A434,'Pokemon Data'!$B:$B,0)),"")</f>
        <v/>
      </c>
      <c r="N434" s="34" t="str">
        <f>IFERROR(INDEX('Pokemon Data'!J:J,MATCH($A434,'Pokemon Data'!$B:$B,0)),"")</f>
        <v/>
      </c>
      <c r="O434" s="34" t="str">
        <f>IFERROR(INDEX('Pokemon Data'!K:K,MATCH($A434,'Pokemon Data'!$B:$B,0)),"")</f>
        <v/>
      </c>
      <c r="P434" s="35" t="str">
        <f>IFERROR(INDEX('Level Multipliers'!$A:$A,MATCH($D434,'Level Multipliers'!$B:$B,0)),"")</f>
        <v/>
      </c>
      <c r="Q434" s="36" t="str">
        <f>IFERROR(INDEX('Level Multipliers'!$D:$D,MATCH(P434,'Level Multipliers'!$A:$A,0)),"")</f>
        <v/>
      </c>
      <c r="R434" s="37" t="str">
        <f t="shared" si="222"/>
        <v/>
      </c>
      <c r="S434" s="37" t="str">
        <f t="shared" si="223"/>
        <v/>
      </c>
      <c r="T434" s="38" t="str">
        <f t="shared" si="224"/>
        <v/>
      </c>
      <c r="U434" s="38" t="str">
        <f t="shared" si="225"/>
        <v/>
      </c>
      <c r="V434" s="38" t="b">
        <f t="shared" si="226"/>
        <v>1</v>
      </c>
      <c r="W434" s="37" t="str">
        <f t="array" ref="W434:AG434">IF(V434,"",IVSolution($M434,$N434,$O434,R434,S434,T434,U434,$E434,$F434,$G434,$H434,$I434))</f>
        <v/>
      </c>
      <c r="X434" s="37" t="str">
        <v/>
      </c>
      <c r="Y434" s="37" t="str">
        <v/>
      </c>
      <c r="Z434" s="39" t="str">
        <v/>
      </c>
      <c r="AA434" s="39" t="str">
        <v/>
      </c>
      <c r="AB434" s="37" t="str">
        <v/>
      </c>
      <c r="AC434" s="37" t="str">
        <v/>
      </c>
      <c r="AD434" s="37" t="str">
        <v/>
      </c>
      <c r="AE434" s="37" t="str">
        <v/>
      </c>
      <c r="AF434" s="37" t="str">
        <v/>
      </c>
      <c r="AG434" s="37" t="str">
        <v/>
      </c>
      <c r="AH434" s="40" t="str">
        <f t="shared" si="227"/>
        <v/>
      </c>
      <c r="AI434" s="36" t="str">
        <f>IFERROR(INDEX('Level Multipliers'!$D:$D,MATCH(AH434,'Level Multipliers'!$A:$A,0)),"")</f>
        <v/>
      </c>
      <c r="AJ434" s="37" t="str">
        <f t="shared" si="228"/>
        <v/>
      </c>
      <c r="AK434" s="37" t="str">
        <f t="shared" si="229"/>
        <v/>
      </c>
      <c r="AL434" s="38" t="str">
        <f t="shared" si="230"/>
        <v/>
      </c>
      <c r="AM434" s="38" t="str">
        <f t="shared" si="231"/>
        <v/>
      </c>
      <c r="AN434" s="38" t="b">
        <f t="shared" si="232"/>
        <v>1</v>
      </c>
      <c r="AO434" s="37" t="str">
        <f t="array" ref="AO434:AY434">IF(AN434,"",IVSolution($M434,$N434,$O434,AJ434,AK434,AL434,AM434,$E434,$F434,$G434,$H434,$I434))</f>
        <v/>
      </c>
      <c r="AP434" s="37" t="str">
        <v/>
      </c>
      <c r="AQ434" s="37" t="str">
        <v/>
      </c>
      <c r="AR434" s="39" t="str">
        <v/>
      </c>
      <c r="AS434" s="39" t="str">
        <v/>
      </c>
      <c r="AT434" s="37" t="str">
        <v/>
      </c>
      <c r="AU434" s="37" t="str">
        <v/>
      </c>
      <c r="AV434" s="37" t="str">
        <v/>
      </c>
      <c r="AW434" s="37" t="str">
        <v/>
      </c>
      <c r="AX434" s="37" t="str">
        <v/>
      </c>
      <c r="AY434" s="37" t="str">
        <v/>
      </c>
      <c r="AZ434" s="40" t="str">
        <f t="shared" si="233"/>
        <v/>
      </c>
      <c r="BA434" s="36" t="str">
        <f>IFERROR(INDEX('Level Multipliers'!$D:$D,MATCH(AZ434,'Level Multipliers'!$A:$A,0)),"")</f>
        <v/>
      </c>
      <c r="BB434" s="37" t="str">
        <f t="shared" si="234"/>
        <v/>
      </c>
      <c r="BC434" s="37" t="str">
        <f t="shared" si="235"/>
        <v/>
      </c>
      <c r="BD434" s="38" t="str">
        <f t="shared" si="236"/>
        <v/>
      </c>
      <c r="BE434" s="38" t="str">
        <f t="shared" si="237"/>
        <v/>
      </c>
      <c r="BF434" s="38" t="b">
        <f t="shared" si="238"/>
        <v>1</v>
      </c>
      <c r="BG434" s="37" t="str">
        <f t="array" ref="BG434:BQ434">IF(BF434,"",IVSolution($M434,$N434,$O434,BB434,BC434,BD434,BE434,$E434,$F434,$G434,$H434,$I434))</f>
        <v/>
      </c>
      <c r="BH434" s="37" t="str">
        <v/>
      </c>
      <c r="BI434" s="37" t="str">
        <v/>
      </c>
      <c r="BJ434" s="39" t="str">
        <v/>
      </c>
      <c r="BK434" s="39" t="str">
        <v/>
      </c>
      <c r="BL434" s="37" t="str">
        <v/>
      </c>
      <c r="BM434" s="37" t="str">
        <v/>
      </c>
      <c r="BN434" s="37" t="str">
        <v/>
      </c>
      <c r="BO434" s="37" t="str">
        <v/>
      </c>
      <c r="BP434" s="37" t="str">
        <v/>
      </c>
      <c r="BQ434" s="37" t="str">
        <v/>
      </c>
      <c r="BR434" s="40" t="str">
        <f t="shared" si="239"/>
        <v/>
      </c>
      <c r="BS434" s="36" t="str">
        <f>IFERROR(INDEX('Level Multipliers'!$D:$D,MATCH(BR434,'Level Multipliers'!$A:$A,0)),"")</f>
        <v/>
      </c>
      <c r="BT434" s="37" t="str">
        <f t="shared" si="240"/>
        <v/>
      </c>
      <c r="BU434" s="37" t="str">
        <f t="shared" si="241"/>
        <v/>
      </c>
      <c r="BV434" s="38" t="str">
        <f t="shared" si="242"/>
        <v/>
      </c>
      <c r="BW434" s="38" t="str">
        <f t="shared" si="243"/>
        <v/>
      </c>
      <c r="BX434" s="38" t="b">
        <f t="shared" si="244"/>
        <v>1</v>
      </c>
      <c r="BY434" s="37" t="str">
        <f t="array" ref="BY434:CI434">IF(BX434,"",IVSolution($M434,$N434,$O434,BT434,BU434,BV434,BW434,$E434,$F434,$G434,$H434,$I434))</f>
        <v/>
      </c>
      <c r="BZ434" s="37" t="str">
        <v/>
      </c>
      <c r="CA434" s="37" t="str">
        <v/>
      </c>
      <c r="CB434" s="39" t="str">
        <v/>
      </c>
      <c r="CC434" s="39" t="str">
        <v/>
      </c>
      <c r="CD434" s="37" t="str">
        <v/>
      </c>
      <c r="CE434" s="37" t="str">
        <v/>
      </c>
      <c r="CF434" s="37" t="str">
        <v/>
      </c>
      <c r="CG434" s="37" t="str">
        <v/>
      </c>
      <c r="CH434" s="37" t="str">
        <v/>
      </c>
      <c r="CI434" s="37" t="str">
        <v/>
      </c>
      <c r="CJ434" s="41" t="str">
        <f t="shared" si="245"/>
        <v/>
      </c>
      <c r="CK434" s="41" t="str">
        <f t="shared" si="246"/>
        <v/>
      </c>
      <c r="CL434" s="66" t="str">
        <f t="shared" si="247"/>
        <v/>
      </c>
      <c r="CM434" s="39" t="str">
        <f t="shared" si="248"/>
        <v/>
      </c>
      <c r="CN434" s="39" t="str">
        <f t="shared" si="249"/>
        <v/>
      </c>
      <c r="CO434" s="42" t="str">
        <f t="shared" si="250"/>
        <v/>
      </c>
      <c r="CP434" s="42" t="str">
        <f t="shared" si="251"/>
        <v/>
      </c>
      <c r="CQ434" s="42" t="str">
        <f t="shared" si="252"/>
        <v/>
      </c>
      <c r="CR434" s="42" t="str">
        <f t="shared" si="253"/>
        <v/>
      </c>
      <c r="CS434" s="42" t="str">
        <f t="shared" si="254"/>
        <v/>
      </c>
      <c r="CT434" s="42" t="str">
        <f t="shared" si="255"/>
        <v/>
      </c>
      <c r="CU434" s="43" t="str">
        <f t="shared" si="256"/>
        <v/>
      </c>
      <c r="CV434" s="43" t="str">
        <f t="shared" si="257"/>
        <v/>
      </c>
      <c r="CW434" s="43" t="str">
        <f t="shared" si="258"/>
        <v/>
      </c>
      <c r="CX434" s="13"/>
    </row>
    <row r="435" spans="1:102" x14ac:dyDescent="0.25">
      <c r="A435" s="31"/>
      <c r="B435" s="13"/>
      <c r="C435" s="13"/>
      <c r="D435" s="13"/>
      <c r="E435" s="32"/>
      <c r="F435" s="32"/>
      <c r="G435" s="32"/>
      <c r="H435" s="32"/>
      <c r="I435" s="32"/>
      <c r="J435" s="13"/>
      <c r="K435" s="33"/>
      <c r="L435" s="34" t="str">
        <f>IFERROR(INDEX('Pokemon Data'!A:A,MATCH($A435,'Pokemon Data'!$B:$B,0)),"")</f>
        <v/>
      </c>
      <c r="M435" s="34" t="str">
        <f>IFERROR(INDEX('Pokemon Data'!I:I,MATCH($A435,'Pokemon Data'!$B:$B,0)),"")</f>
        <v/>
      </c>
      <c r="N435" s="34" t="str">
        <f>IFERROR(INDEX('Pokemon Data'!J:J,MATCH($A435,'Pokemon Data'!$B:$B,0)),"")</f>
        <v/>
      </c>
      <c r="O435" s="34" t="str">
        <f>IFERROR(INDEX('Pokemon Data'!K:K,MATCH($A435,'Pokemon Data'!$B:$B,0)),"")</f>
        <v/>
      </c>
      <c r="P435" s="35" t="str">
        <f>IFERROR(INDEX('Level Multipliers'!$A:$A,MATCH($D435,'Level Multipliers'!$B:$B,0)),"")</f>
        <v/>
      </c>
      <c r="Q435" s="36" t="str">
        <f>IFERROR(INDEX('Level Multipliers'!$D:$D,MATCH(P435,'Level Multipliers'!$A:$A,0)),"")</f>
        <v/>
      </c>
      <c r="R435" s="37" t="str">
        <f t="shared" si="222"/>
        <v/>
      </c>
      <c r="S435" s="37" t="str">
        <f t="shared" si="223"/>
        <v/>
      </c>
      <c r="T435" s="38" t="str">
        <f t="shared" si="224"/>
        <v/>
      </c>
      <c r="U435" s="38" t="str">
        <f t="shared" si="225"/>
        <v/>
      </c>
      <c r="V435" s="38" t="b">
        <f t="shared" si="226"/>
        <v>1</v>
      </c>
      <c r="W435" s="37" t="str">
        <f t="array" ref="W435:AG435">IF(V435,"",IVSolution($M435,$N435,$O435,R435,S435,T435,U435,$E435,$F435,$G435,$H435,$I435))</f>
        <v/>
      </c>
      <c r="X435" s="37" t="str">
        <v/>
      </c>
      <c r="Y435" s="37" t="str">
        <v/>
      </c>
      <c r="Z435" s="39" t="str">
        <v/>
      </c>
      <c r="AA435" s="39" t="str">
        <v/>
      </c>
      <c r="AB435" s="37" t="str">
        <v/>
      </c>
      <c r="AC435" s="37" t="str">
        <v/>
      </c>
      <c r="AD435" s="37" t="str">
        <v/>
      </c>
      <c r="AE435" s="37" t="str">
        <v/>
      </c>
      <c r="AF435" s="37" t="str">
        <v/>
      </c>
      <c r="AG435" s="37" t="str">
        <v/>
      </c>
      <c r="AH435" s="40" t="str">
        <f t="shared" si="227"/>
        <v/>
      </c>
      <c r="AI435" s="36" t="str">
        <f>IFERROR(INDEX('Level Multipliers'!$D:$D,MATCH(AH435,'Level Multipliers'!$A:$A,0)),"")</f>
        <v/>
      </c>
      <c r="AJ435" s="37" t="str">
        <f t="shared" si="228"/>
        <v/>
      </c>
      <c r="AK435" s="37" t="str">
        <f t="shared" si="229"/>
        <v/>
      </c>
      <c r="AL435" s="38" t="str">
        <f t="shared" si="230"/>
        <v/>
      </c>
      <c r="AM435" s="38" t="str">
        <f t="shared" si="231"/>
        <v/>
      </c>
      <c r="AN435" s="38" t="b">
        <f t="shared" si="232"/>
        <v>1</v>
      </c>
      <c r="AO435" s="37" t="str">
        <f t="array" ref="AO435:AY435">IF(AN435,"",IVSolution($M435,$N435,$O435,AJ435,AK435,AL435,AM435,$E435,$F435,$G435,$H435,$I435))</f>
        <v/>
      </c>
      <c r="AP435" s="37" t="str">
        <v/>
      </c>
      <c r="AQ435" s="37" t="str">
        <v/>
      </c>
      <c r="AR435" s="39" t="str">
        <v/>
      </c>
      <c r="AS435" s="39" t="str">
        <v/>
      </c>
      <c r="AT435" s="37" t="str">
        <v/>
      </c>
      <c r="AU435" s="37" t="str">
        <v/>
      </c>
      <c r="AV435" s="37" t="str">
        <v/>
      </c>
      <c r="AW435" s="37" t="str">
        <v/>
      </c>
      <c r="AX435" s="37" t="str">
        <v/>
      </c>
      <c r="AY435" s="37" t="str">
        <v/>
      </c>
      <c r="AZ435" s="40" t="str">
        <f t="shared" si="233"/>
        <v/>
      </c>
      <c r="BA435" s="36" t="str">
        <f>IFERROR(INDEX('Level Multipliers'!$D:$D,MATCH(AZ435,'Level Multipliers'!$A:$A,0)),"")</f>
        <v/>
      </c>
      <c r="BB435" s="37" t="str">
        <f t="shared" si="234"/>
        <v/>
      </c>
      <c r="BC435" s="37" t="str">
        <f t="shared" si="235"/>
        <v/>
      </c>
      <c r="BD435" s="38" t="str">
        <f t="shared" si="236"/>
        <v/>
      </c>
      <c r="BE435" s="38" t="str">
        <f t="shared" si="237"/>
        <v/>
      </c>
      <c r="BF435" s="38" t="b">
        <f t="shared" si="238"/>
        <v>1</v>
      </c>
      <c r="BG435" s="37" t="str">
        <f t="array" ref="BG435:BQ435">IF(BF435,"",IVSolution($M435,$N435,$O435,BB435,BC435,BD435,BE435,$E435,$F435,$G435,$H435,$I435))</f>
        <v/>
      </c>
      <c r="BH435" s="37" t="str">
        <v/>
      </c>
      <c r="BI435" s="37" t="str">
        <v/>
      </c>
      <c r="BJ435" s="39" t="str">
        <v/>
      </c>
      <c r="BK435" s="39" t="str">
        <v/>
      </c>
      <c r="BL435" s="37" t="str">
        <v/>
      </c>
      <c r="BM435" s="37" t="str">
        <v/>
      </c>
      <c r="BN435" s="37" t="str">
        <v/>
      </c>
      <c r="BO435" s="37" t="str">
        <v/>
      </c>
      <c r="BP435" s="37" t="str">
        <v/>
      </c>
      <c r="BQ435" s="37" t="str">
        <v/>
      </c>
      <c r="BR435" s="40" t="str">
        <f t="shared" si="239"/>
        <v/>
      </c>
      <c r="BS435" s="36" t="str">
        <f>IFERROR(INDEX('Level Multipliers'!$D:$D,MATCH(BR435,'Level Multipliers'!$A:$A,0)),"")</f>
        <v/>
      </c>
      <c r="BT435" s="37" t="str">
        <f t="shared" si="240"/>
        <v/>
      </c>
      <c r="BU435" s="37" t="str">
        <f t="shared" si="241"/>
        <v/>
      </c>
      <c r="BV435" s="38" t="str">
        <f t="shared" si="242"/>
        <v/>
      </c>
      <c r="BW435" s="38" t="str">
        <f t="shared" si="243"/>
        <v/>
      </c>
      <c r="BX435" s="38" t="b">
        <f t="shared" si="244"/>
        <v>1</v>
      </c>
      <c r="BY435" s="37" t="str">
        <f t="array" ref="BY435:CI435">IF(BX435,"",IVSolution($M435,$N435,$O435,BT435,BU435,BV435,BW435,$E435,$F435,$G435,$H435,$I435))</f>
        <v/>
      </c>
      <c r="BZ435" s="37" t="str">
        <v/>
      </c>
      <c r="CA435" s="37" t="str">
        <v/>
      </c>
      <c r="CB435" s="39" t="str">
        <v/>
      </c>
      <c r="CC435" s="39" t="str">
        <v/>
      </c>
      <c r="CD435" s="37" t="str">
        <v/>
      </c>
      <c r="CE435" s="37" t="str">
        <v/>
      </c>
      <c r="CF435" s="37" t="str">
        <v/>
      </c>
      <c r="CG435" s="37" t="str">
        <v/>
      </c>
      <c r="CH435" s="37" t="str">
        <v/>
      </c>
      <c r="CI435" s="37" t="str">
        <v/>
      </c>
      <c r="CJ435" s="41" t="str">
        <f t="shared" si="245"/>
        <v/>
      </c>
      <c r="CK435" s="41" t="str">
        <f t="shared" si="246"/>
        <v/>
      </c>
      <c r="CL435" s="66" t="str">
        <f t="shared" si="247"/>
        <v/>
      </c>
      <c r="CM435" s="39" t="str">
        <f t="shared" si="248"/>
        <v/>
      </c>
      <c r="CN435" s="39" t="str">
        <f t="shared" si="249"/>
        <v/>
      </c>
      <c r="CO435" s="42" t="str">
        <f t="shared" si="250"/>
        <v/>
      </c>
      <c r="CP435" s="42" t="str">
        <f t="shared" si="251"/>
        <v/>
      </c>
      <c r="CQ435" s="42" t="str">
        <f t="shared" si="252"/>
        <v/>
      </c>
      <c r="CR435" s="42" t="str">
        <f t="shared" si="253"/>
        <v/>
      </c>
      <c r="CS435" s="42" t="str">
        <f t="shared" si="254"/>
        <v/>
      </c>
      <c r="CT435" s="42" t="str">
        <f t="shared" si="255"/>
        <v/>
      </c>
      <c r="CU435" s="43" t="str">
        <f t="shared" si="256"/>
        <v/>
      </c>
      <c r="CV435" s="43" t="str">
        <f t="shared" si="257"/>
        <v/>
      </c>
      <c r="CW435" s="43" t="str">
        <f t="shared" si="258"/>
        <v/>
      </c>
      <c r="CX435" s="13"/>
    </row>
    <row r="436" spans="1:102" x14ac:dyDescent="0.25">
      <c r="A436" s="31"/>
      <c r="B436" s="13"/>
      <c r="C436" s="13"/>
      <c r="D436" s="13"/>
      <c r="E436" s="32"/>
      <c r="F436" s="32"/>
      <c r="G436" s="32"/>
      <c r="H436" s="32"/>
      <c r="I436" s="32"/>
      <c r="J436" s="13"/>
      <c r="K436" s="33"/>
      <c r="L436" s="34" t="str">
        <f>IFERROR(INDEX('Pokemon Data'!A:A,MATCH($A436,'Pokemon Data'!$B:$B,0)),"")</f>
        <v/>
      </c>
      <c r="M436" s="34" t="str">
        <f>IFERROR(INDEX('Pokemon Data'!I:I,MATCH($A436,'Pokemon Data'!$B:$B,0)),"")</f>
        <v/>
      </c>
      <c r="N436" s="34" t="str">
        <f>IFERROR(INDEX('Pokemon Data'!J:J,MATCH($A436,'Pokemon Data'!$B:$B,0)),"")</f>
        <v/>
      </c>
      <c r="O436" s="34" t="str">
        <f>IFERROR(INDEX('Pokemon Data'!K:K,MATCH($A436,'Pokemon Data'!$B:$B,0)),"")</f>
        <v/>
      </c>
      <c r="P436" s="35" t="str">
        <f>IFERROR(INDEX('Level Multipliers'!$A:$A,MATCH($D436,'Level Multipliers'!$B:$B,0)),"")</f>
        <v/>
      </c>
      <c r="Q436" s="36" t="str">
        <f>IFERROR(INDEX('Level Multipliers'!$D:$D,MATCH(P436,'Level Multipliers'!$A:$A,0)),"")</f>
        <v/>
      </c>
      <c r="R436" s="37" t="str">
        <f t="shared" si="222"/>
        <v/>
      </c>
      <c r="S436" s="37" t="str">
        <f t="shared" si="223"/>
        <v/>
      </c>
      <c r="T436" s="38" t="str">
        <f t="shared" si="224"/>
        <v/>
      </c>
      <c r="U436" s="38" t="str">
        <f t="shared" si="225"/>
        <v/>
      </c>
      <c r="V436" s="38" t="b">
        <f t="shared" si="226"/>
        <v>1</v>
      </c>
      <c r="W436" s="37" t="str">
        <f t="array" ref="W436:AG436">IF(V436,"",IVSolution($M436,$N436,$O436,R436,S436,T436,U436,$E436,$F436,$G436,$H436,$I436))</f>
        <v/>
      </c>
      <c r="X436" s="37" t="str">
        <v/>
      </c>
      <c r="Y436" s="37" t="str">
        <v/>
      </c>
      <c r="Z436" s="39" t="str">
        <v/>
      </c>
      <c r="AA436" s="39" t="str">
        <v/>
      </c>
      <c r="AB436" s="37" t="str">
        <v/>
      </c>
      <c r="AC436" s="37" t="str">
        <v/>
      </c>
      <c r="AD436" s="37" t="str">
        <v/>
      </c>
      <c r="AE436" s="37" t="str">
        <v/>
      </c>
      <c r="AF436" s="37" t="str">
        <v/>
      </c>
      <c r="AG436" s="37" t="str">
        <v/>
      </c>
      <c r="AH436" s="40" t="str">
        <f t="shared" si="227"/>
        <v/>
      </c>
      <c r="AI436" s="36" t="str">
        <f>IFERROR(INDEX('Level Multipliers'!$D:$D,MATCH(AH436,'Level Multipliers'!$A:$A,0)),"")</f>
        <v/>
      </c>
      <c r="AJ436" s="37" t="str">
        <f t="shared" si="228"/>
        <v/>
      </c>
      <c r="AK436" s="37" t="str">
        <f t="shared" si="229"/>
        <v/>
      </c>
      <c r="AL436" s="38" t="str">
        <f t="shared" si="230"/>
        <v/>
      </c>
      <c r="AM436" s="38" t="str">
        <f t="shared" si="231"/>
        <v/>
      </c>
      <c r="AN436" s="38" t="b">
        <f t="shared" si="232"/>
        <v>1</v>
      </c>
      <c r="AO436" s="37" t="str">
        <f t="array" ref="AO436:AY436">IF(AN436,"",IVSolution($M436,$N436,$O436,AJ436,AK436,AL436,AM436,$E436,$F436,$G436,$H436,$I436))</f>
        <v/>
      </c>
      <c r="AP436" s="37" t="str">
        <v/>
      </c>
      <c r="AQ436" s="37" t="str">
        <v/>
      </c>
      <c r="AR436" s="39" t="str">
        <v/>
      </c>
      <c r="AS436" s="39" t="str">
        <v/>
      </c>
      <c r="AT436" s="37" t="str">
        <v/>
      </c>
      <c r="AU436" s="37" t="str">
        <v/>
      </c>
      <c r="AV436" s="37" t="str">
        <v/>
      </c>
      <c r="AW436" s="37" t="str">
        <v/>
      </c>
      <c r="AX436" s="37" t="str">
        <v/>
      </c>
      <c r="AY436" s="37" t="str">
        <v/>
      </c>
      <c r="AZ436" s="40" t="str">
        <f t="shared" si="233"/>
        <v/>
      </c>
      <c r="BA436" s="36" t="str">
        <f>IFERROR(INDEX('Level Multipliers'!$D:$D,MATCH(AZ436,'Level Multipliers'!$A:$A,0)),"")</f>
        <v/>
      </c>
      <c r="BB436" s="37" t="str">
        <f t="shared" si="234"/>
        <v/>
      </c>
      <c r="BC436" s="37" t="str">
        <f t="shared" si="235"/>
        <v/>
      </c>
      <c r="BD436" s="38" t="str">
        <f t="shared" si="236"/>
        <v/>
      </c>
      <c r="BE436" s="38" t="str">
        <f t="shared" si="237"/>
        <v/>
      </c>
      <c r="BF436" s="38" t="b">
        <f t="shared" si="238"/>
        <v>1</v>
      </c>
      <c r="BG436" s="37" t="str">
        <f t="array" ref="BG436:BQ436">IF(BF436,"",IVSolution($M436,$N436,$O436,BB436,BC436,BD436,BE436,$E436,$F436,$G436,$H436,$I436))</f>
        <v/>
      </c>
      <c r="BH436" s="37" t="str">
        <v/>
      </c>
      <c r="BI436" s="37" t="str">
        <v/>
      </c>
      <c r="BJ436" s="39" t="str">
        <v/>
      </c>
      <c r="BK436" s="39" t="str">
        <v/>
      </c>
      <c r="BL436" s="37" t="str">
        <v/>
      </c>
      <c r="BM436" s="37" t="str">
        <v/>
      </c>
      <c r="BN436" s="37" t="str">
        <v/>
      </c>
      <c r="BO436" s="37" t="str">
        <v/>
      </c>
      <c r="BP436" s="37" t="str">
        <v/>
      </c>
      <c r="BQ436" s="37" t="str">
        <v/>
      </c>
      <c r="BR436" s="40" t="str">
        <f t="shared" si="239"/>
        <v/>
      </c>
      <c r="BS436" s="36" t="str">
        <f>IFERROR(INDEX('Level Multipliers'!$D:$D,MATCH(BR436,'Level Multipliers'!$A:$A,0)),"")</f>
        <v/>
      </c>
      <c r="BT436" s="37" t="str">
        <f t="shared" si="240"/>
        <v/>
      </c>
      <c r="BU436" s="37" t="str">
        <f t="shared" si="241"/>
        <v/>
      </c>
      <c r="BV436" s="38" t="str">
        <f t="shared" si="242"/>
        <v/>
      </c>
      <c r="BW436" s="38" t="str">
        <f t="shared" si="243"/>
        <v/>
      </c>
      <c r="BX436" s="38" t="b">
        <f t="shared" si="244"/>
        <v>1</v>
      </c>
      <c r="BY436" s="37" t="str">
        <f t="array" ref="BY436:CI436">IF(BX436,"",IVSolution($M436,$N436,$O436,BT436,BU436,BV436,BW436,$E436,$F436,$G436,$H436,$I436))</f>
        <v/>
      </c>
      <c r="BZ436" s="37" t="str">
        <v/>
      </c>
      <c r="CA436" s="37" t="str">
        <v/>
      </c>
      <c r="CB436" s="39" t="str">
        <v/>
      </c>
      <c r="CC436" s="39" t="str">
        <v/>
      </c>
      <c r="CD436" s="37" t="str">
        <v/>
      </c>
      <c r="CE436" s="37" t="str">
        <v/>
      </c>
      <c r="CF436" s="37" t="str">
        <v/>
      </c>
      <c r="CG436" s="37" t="str">
        <v/>
      </c>
      <c r="CH436" s="37" t="str">
        <v/>
      </c>
      <c r="CI436" s="37" t="str">
        <v/>
      </c>
      <c r="CJ436" s="41" t="str">
        <f t="shared" si="245"/>
        <v/>
      </c>
      <c r="CK436" s="41" t="str">
        <f t="shared" si="246"/>
        <v/>
      </c>
      <c r="CL436" s="66" t="str">
        <f t="shared" si="247"/>
        <v/>
      </c>
      <c r="CM436" s="39" t="str">
        <f t="shared" si="248"/>
        <v/>
      </c>
      <c r="CN436" s="39" t="str">
        <f t="shared" si="249"/>
        <v/>
      </c>
      <c r="CO436" s="42" t="str">
        <f t="shared" si="250"/>
        <v/>
      </c>
      <c r="CP436" s="42" t="str">
        <f t="shared" si="251"/>
        <v/>
      </c>
      <c r="CQ436" s="42" t="str">
        <f t="shared" si="252"/>
        <v/>
      </c>
      <c r="CR436" s="42" t="str">
        <f t="shared" si="253"/>
        <v/>
      </c>
      <c r="CS436" s="42" t="str">
        <f t="shared" si="254"/>
        <v/>
      </c>
      <c r="CT436" s="42" t="str">
        <f t="shared" si="255"/>
        <v/>
      </c>
      <c r="CU436" s="43" t="str">
        <f t="shared" si="256"/>
        <v/>
      </c>
      <c r="CV436" s="43" t="str">
        <f t="shared" si="257"/>
        <v/>
      </c>
      <c r="CW436" s="43" t="str">
        <f t="shared" si="258"/>
        <v/>
      </c>
      <c r="CX436" s="13"/>
    </row>
    <row r="437" spans="1:102" x14ac:dyDescent="0.25">
      <c r="A437" s="31"/>
      <c r="B437" s="13"/>
      <c r="C437" s="13"/>
      <c r="D437" s="13"/>
      <c r="E437" s="32"/>
      <c r="F437" s="32"/>
      <c r="G437" s="32"/>
      <c r="H437" s="32"/>
      <c r="I437" s="32"/>
      <c r="J437" s="13"/>
      <c r="K437" s="33"/>
      <c r="L437" s="34" t="str">
        <f>IFERROR(INDEX('Pokemon Data'!A:A,MATCH($A437,'Pokemon Data'!$B:$B,0)),"")</f>
        <v/>
      </c>
      <c r="M437" s="34" t="str">
        <f>IFERROR(INDEX('Pokemon Data'!I:I,MATCH($A437,'Pokemon Data'!$B:$B,0)),"")</f>
        <v/>
      </c>
      <c r="N437" s="34" t="str">
        <f>IFERROR(INDEX('Pokemon Data'!J:J,MATCH($A437,'Pokemon Data'!$B:$B,0)),"")</f>
        <v/>
      </c>
      <c r="O437" s="34" t="str">
        <f>IFERROR(INDEX('Pokemon Data'!K:K,MATCH($A437,'Pokemon Data'!$B:$B,0)),"")</f>
        <v/>
      </c>
      <c r="P437" s="35" t="str">
        <f>IFERROR(INDEX('Level Multipliers'!$A:$A,MATCH($D437,'Level Multipliers'!$B:$B,0)),"")</f>
        <v/>
      </c>
      <c r="Q437" s="36" t="str">
        <f>IFERROR(INDEX('Level Multipliers'!$D:$D,MATCH(P437,'Level Multipliers'!$A:$A,0)),"")</f>
        <v/>
      </c>
      <c r="R437" s="37" t="str">
        <f t="shared" si="222"/>
        <v/>
      </c>
      <c r="S437" s="37" t="str">
        <f t="shared" si="223"/>
        <v/>
      </c>
      <c r="T437" s="38" t="str">
        <f t="shared" si="224"/>
        <v/>
      </c>
      <c r="U437" s="38" t="str">
        <f t="shared" si="225"/>
        <v/>
      </c>
      <c r="V437" s="38" t="b">
        <f t="shared" si="226"/>
        <v>1</v>
      </c>
      <c r="W437" s="37" t="str">
        <f t="array" ref="W437:AG437">IF(V437,"",IVSolution($M437,$N437,$O437,R437,S437,T437,U437,$E437,$F437,$G437,$H437,$I437))</f>
        <v/>
      </c>
      <c r="X437" s="37" t="str">
        <v/>
      </c>
      <c r="Y437" s="37" t="str">
        <v/>
      </c>
      <c r="Z437" s="39" t="str">
        <v/>
      </c>
      <c r="AA437" s="39" t="str">
        <v/>
      </c>
      <c r="AB437" s="37" t="str">
        <v/>
      </c>
      <c r="AC437" s="37" t="str">
        <v/>
      </c>
      <c r="AD437" s="37" t="str">
        <v/>
      </c>
      <c r="AE437" s="37" t="str">
        <v/>
      </c>
      <c r="AF437" s="37" t="str">
        <v/>
      </c>
      <c r="AG437" s="37" t="str">
        <v/>
      </c>
      <c r="AH437" s="40" t="str">
        <f t="shared" si="227"/>
        <v/>
      </c>
      <c r="AI437" s="36" t="str">
        <f>IFERROR(INDEX('Level Multipliers'!$D:$D,MATCH(AH437,'Level Multipliers'!$A:$A,0)),"")</f>
        <v/>
      </c>
      <c r="AJ437" s="37" t="str">
        <f t="shared" si="228"/>
        <v/>
      </c>
      <c r="AK437" s="37" t="str">
        <f t="shared" si="229"/>
        <v/>
      </c>
      <c r="AL437" s="38" t="str">
        <f t="shared" si="230"/>
        <v/>
      </c>
      <c r="AM437" s="38" t="str">
        <f t="shared" si="231"/>
        <v/>
      </c>
      <c r="AN437" s="38" t="b">
        <f t="shared" si="232"/>
        <v>1</v>
      </c>
      <c r="AO437" s="37" t="str">
        <f t="array" ref="AO437:AY437">IF(AN437,"",IVSolution($M437,$N437,$O437,AJ437,AK437,AL437,AM437,$E437,$F437,$G437,$H437,$I437))</f>
        <v/>
      </c>
      <c r="AP437" s="37" t="str">
        <v/>
      </c>
      <c r="AQ437" s="37" t="str">
        <v/>
      </c>
      <c r="AR437" s="39" t="str">
        <v/>
      </c>
      <c r="AS437" s="39" t="str">
        <v/>
      </c>
      <c r="AT437" s="37" t="str">
        <v/>
      </c>
      <c r="AU437" s="37" t="str">
        <v/>
      </c>
      <c r="AV437" s="37" t="str">
        <v/>
      </c>
      <c r="AW437" s="37" t="str">
        <v/>
      </c>
      <c r="AX437" s="37" t="str">
        <v/>
      </c>
      <c r="AY437" s="37" t="str">
        <v/>
      </c>
      <c r="AZ437" s="40" t="str">
        <f t="shared" si="233"/>
        <v/>
      </c>
      <c r="BA437" s="36" t="str">
        <f>IFERROR(INDEX('Level Multipliers'!$D:$D,MATCH(AZ437,'Level Multipliers'!$A:$A,0)),"")</f>
        <v/>
      </c>
      <c r="BB437" s="37" t="str">
        <f t="shared" si="234"/>
        <v/>
      </c>
      <c r="BC437" s="37" t="str">
        <f t="shared" si="235"/>
        <v/>
      </c>
      <c r="BD437" s="38" t="str">
        <f t="shared" si="236"/>
        <v/>
      </c>
      <c r="BE437" s="38" t="str">
        <f t="shared" si="237"/>
        <v/>
      </c>
      <c r="BF437" s="38" t="b">
        <f t="shared" si="238"/>
        <v>1</v>
      </c>
      <c r="BG437" s="37" t="str">
        <f t="array" ref="BG437:BQ437">IF(BF437,"",IVSolution($M437,$N437,$O437,BB437,BC437,BD437,BE437,$E437,$F437,$G437,$H437,$I437))</f>
        <v/>
      </c>
      <c r="BH437" s="37" t="str">
        <v/>
      </c>
      <c r="BI437" s="37" t="str">
        <v/>
      </c>
      <c r="BJ437" s="39" t="str">
        <v/>
      </c>
      <c r="BK437" s="39" t="str">
        <v/>
      </c>
      <c r="BL437" s="37" t="str">
        <v/>
      </c>
      <c r="BM437" s="37" t="str">
        <v/>
      </c>
      <c r="BN437" s="37" t="str">
        <v/>
      </c>
      <c r="BO437" s="37" t="str">
        <v/>
      </c>
      <c r="BP437" s="37" t="str">
        <v/>
      </c>
      <c r="BQ437" s="37" t="str">
        <v/>
      </c>
      <c r="BR437" s="40" t="str">
        <f t="shared" si="239"/>
        <v/>
      </c>
      <c r="BS437" s="36" t="str">
        <f>IFERROR(INDEX('Level Multipliers'!$D:$D,MATCH(BR437,'Level Multipliers'!$A:$A,0)),"")</f>
        <v/>
      </c>
      <c r="BT437" s="37" t="str">
        <f t="shared" si="240"/>
        <v/>
      </c>
      <c r="BU437" s="37" t="str">
        <f t="shared" si="241"/>
        <v/>
      </c>
      <c r="BV437" s="38" t="str">
        <f t="shared" si="242"/>
        <v/>
      </c>
      <c r="BW437" s="38" t="str">
        <f t="shared" si="243"/>
        <v/>
      </c>
      <c r="BX437" s="38" t="b">
        <f t="shared" si="244"/>
        <v>1</v>
      </c>
      <c r="BY437" s="37" t="str">
        <f t="array" ref="BY437:CI437">IF(BX437,"",IVSolution($M437,$N437,$O437,BT437,BU437,BV437,BW437,$E437,$F437,$G437,$H437,$I437))</f>
        <v/>
      </c>
      <c r="BZ437" s="37" t="str">
        <v/>
      </c>
      <c r="CA437" s="37" t="str">
        <v/>
      </c>
      <c r="CB437" s="39" t="str">
        <v/>
      </c>
      <c r="CC437" s="39" t="str">
        <v/>
      </c>
      <c r="CD437" s="37" t="str">
        <v/>
      </c>
      <c r="CE437" s="37" t="str">
        <v/>
      </c>
      <c r="CF437" s="37" t="str">
        <v/>
      </c>
      <c r="CG437" s="37" t="str">
        <v/>
      </c>
      <c r="CH437" s="37" t="str">
        <v/>
      </c>
      <c r="CI437" s="37" t="str">
        <v/>
      </c>
      <c r="CJ437" s="41" t="str">
        <f t="shared" si="245"/>
        <v/>
      </c>
      <c r="CK437" s="41" t="str">
        <f t="shared" si="246"/>
        <v/>
      </c>
      <c r="CL437" s="66" t="str">
        <f t="shared" si="247"/>
        <v/>
      </c>
      <c r="CM437" s="39" t="str">
        <f t="shared" si="248"/>
        <v/>
      </c>
      <c r="CN437" s="39" t="str">
        <f t="shared" si="249"/>
        <v/>
      </c>
      <c r="CO437" s="42" t="str">
        <f t="shared" si="250"/>
        <v/>
      </c>
      <c r="CP437" s="42" t="str">
        <f t="shared" si="251"/>
        <v/>
      </c>
      <c r="CQ437" s="42" t="str">
        <f t="shared" si="252"/>
        <v/>
      </c>
      <c r="CR437" s="42" t="str">
        <f t="shared" si="253"/>
        <v/>
      </c>
      <c r="CS437" s="42" t="str">
        <f t="shared" si="254"/>
        <v/>
      </c>
      <c r="CT437" s="42" t="str">
        <f t="shared" si="255"/>
        <v/>
      </c>
      <c r="CU437" s="43" t="str">
        <f t="shared" si="256"/>
        <v/>
      </c>
      <c r="CV437" s="43" t="str">
        <f t="shared" si="257"/>
        <v/>
      </c>
      <c r="CW437" s="43" t="str">
        <f t="shared" si="258"/>
        <v/>
      </c>
      <c r="CX437" s="13"/>
    </row>
    <row r="438" spans="1:102" x14ac:dyDescent="0.25">
      <c r="A438" s="31"/>
      <c r="B438" s="13"/>
      <c r="C438" s="13"/>
      <c r="D438" s="13"/>
      <c r="E438" s="32"/>
      <c r="F438" s="32"/>
      <c r="G438" s="32"/>
      <c r="H438" s="32"/>
      <c r="I438" s="32"/>
      <c r="J438" s="13"/>
      <c r="K438" s="33"/>
      <c r="L438" s="34" t="str">
        <f>IFERROR(INDEX('Pokemon Data'!A:A,MATCH($A438,'Pokemon Data'!$B:$B,0)),"")</f>
        <v/>
      </c>
      <c r="M438" s="34" t="str">
        <f>IFERROR(INDEX('Pokemon Data'!I:I,MATCH($A438,'Pokemon Data'!$B:$B,0)),"")</f>
        <v/>
      </c>
      <c r="N438" s="34" t="str">
        <f>IFERROR(INDEX('Pokemon Data'!J:J,MATCH($A438,'Pokemon Data'!$B:$B,0)),"")</f>
        <v/>
      </c>
      <c r="O438" s="34" t="str">
        <f>IFERROR(INDEX('Pokemon Data'!K:K,MATCH($A438,'Pokemon Data'!$B:$B,0)),"")</f>
        <v/>
      </c>
      <c r="P438" s="35" t="str">
        <f>IFERROR(INDEX('Level Multipliers'!$A:$A,MATCH($D438,'Level Multipliers'!$B:$B,0)),"")</f>
        <v/>
      </c>
      <c r="Q438" s="36" t="str">
        <f>IFERROR(INDEX('Level Multipliers'!$D:$D,MATCH(P438,'Level Multipliers'!$A:$A,0)),"")</f>
        <v/>
      </c>
      <c r="R438" s="37" t="str">
        <f t="shared" si="222"/>
        <v/>
      </c>
      <c r="S438" s="37" t="str">
        <f t="shared" si="223"/>
        <v/>
      </c>
      <c r="T438" s="38" t="str">
        <f t="shared" si="224"/>
        <v/>
      </c>
      <c r="U438" s="38" t="str">
        <f t="shared" si="225"/>
        <v/>
      </c>
      <c r="V438" s="38" t="b">
        <f t="shared" si="226"/>
        <v>1</v>
      </c>
      <c r="W438" s="37" t="str">
        <f t="array" ref="W438:AG438">IF(V438,"",IVSolution($M438,$N438,$O438,R438,S438,T438,U438,$E438,$F438,$G438,$H438,$I438))</f>
        <v/>
      </c>
      <c r="X438" s="37" t="str">
        <v/>
      </c>
      <c r="Y438" s="37" t="str">
        <v/>
      </c>
      <c r="Z438" s="39" t="str">
        <v/>
      </c>
      <c r="AA438" s="39" t="str">
        <v/>
      </c>
      <c r="AB438" s="37" t="str">
        <v/>
      </c>
      <c r="AC438" s="37" t="str">
        <v/>
      </c>
      <c r="AD438" s="37" t="str">
        <v/>
      </c>
      <c r="AE438" s="37" t="str">
        <v/>
      </c>
      <c r="AF438" s="37" t="str">
        <v/>
      </c>
      <c r="AG438" s="37" t="str">
        <v/>
      </c>
      <c r="AH438" s="40" t="str">
        <f t="shared" si="227"/>
        <v/>
      </c>
      <c r="AI438" s="36" t="str">
        <f>IFERROR(INDEX('Level Multipliers'!$D:$D,MATCH(AH438,'Level Multipliers'!$A:$A,0)),"")</f>
        <v/>
      </c>
      <c r="AJ438" s="37" t="str">
        <f t="shared" si="228"/>
        <v/>
      </c>
      <c r="AK438" s="37" t="str">
        <f t="shared" si="229"/>
        <v/>
      </c>
      <c r="AL438" s="38" t="str">
        <f t="shared" si="230"/>
        <v/>
      </c>
      <c r="AM438" s="38" t="str">
        <f t="shared" si="231"/>
        <v/>
      </c>
      <c r="AN438" s="38" t="b">
        <f t="shared" si="232"/>
        <v>1</v>
      </c>
      <c r="AO438" s="37" t="str">
        <f t="array" ref="AO438:AY438">IF(AN438,"",IVSolution($M438,$N438,$O438,AJ438,AK438,AL438,AM438,$E438,$F438,$G438,$H438,$I438))</f>
        <v/>
      </c>
      <c r="AP438" s="37" t="str">
        <v/>
      </c>
      <c r="AQ438" s="37" t="str">
        <v/>
      </c>
      <c r="AR438" s="39" t="str">
        <v/>
      </c>
      <c r="AS438" s="39" t="str">
        <v/>
      </c>
      <c r="AT438" s="37" t="str">
        <v/>
      </c>
      <c r="AU438" s="37" t="str">
        <v/>
      </c>
      <c r="AV438" s="37" t="str">
        <v/>
      </c>
      <c r="AW438" s="37" t="str">
        <v/>
      </c>
      <c r="AX438" s="37" t="str">
        <v/>
      </c>
      <c r="AY438" s="37" t="str">
        <v/>
      </c>
      <c r="AZ438" s="40" t="str">
        <f t="shared" si="233"/>
        <v/>
      </c>
      <c r="BA438" s="36" t="str">
        <f>IFERROR(INDEX('Level Multipliers'!$D:$D,MATCH(AZ438,'Level Multipliers'!$A:$A,0)),"")</f>
        <v/>
      </c>
      <c r="BB438" s="37" t="str">
        <f t="shared" si="234"/>
        <v/>
      </c>
      <c r="BC438" s="37" t="str">
        <f t="shared" si="235"/>
        <v/>
      </c>
      <c r="BD438" s="38" t="str">
        <f t="shared" si="236"/>
        <v/>
      </c>
      <c r="BE438" s="38" t="str">
        <f t="shared" si="237"/>
        <v/>
      </c>
      <c r="BF438" s="38" t="b">
        <f t="shared" si="238"/>
        <v>1</v>
      </c>
      <c r="BG438" s="37" t="str">
        <f t="array" ref="BG438:BQ438">IF(BF438,"",IVSolution($M438,$N438,$O438,BB438,BC438,BD438,BE438,$E438,$F438,$G438,$H438,$I438))</f>
        <v/>
      </c>
      <c r="BH438" s="37" t="str">
        <v/>
      </c>
      <c r="BI438" s="37" t="str">
        <v/>
      </c>
      <c r="BJ438" s="39" t="str">
        <v/>
      </c>
      <c r="BK438" s="39" t="str">
        <v/>
      </c>
      <c r="BL438" s="37" t="str">
        <v/>
      </c>
      <c r="BM438" s="37" t="str">
        <v/>
      </c>
      <c r="BN438" s="37" t="str">
        <v/>
      </c>
      <c r="BO438" s="37" t="str">
        <v/>
      </c>
      <c r="BP438" s="37" t="str">
        <v/>
      </c>
      <c r="BQ438" s="37" t="str">
        <v/>
      </c>
      <c r="BR438" s="40" t="str">
        <f t="shared" si="239"/>
        <v/>
      </c>
      <c r="BS438" s="36" t="str">
        <f>IFERROR(INDEX('Level Multipliers'!$D:$D,MATCH(BR438,'Level Multipliers'!$A:$A,0)),"")</f>
        <v/>
      </c>
      <c r="BT438" s="37" t="str">
        <f t="shared" si="240"/>
        <v/>
      </c>
      <c r="BU438" s="37" t="str">
        <f t="shared" si="241"/>
        <v/>
      </c>
      <c r="BV438" s="38" t="str">
        <f t="shared" si="242"/>
        <v/>
      </c>
      <c r="BW438" s="38" t="str">
        <f t="shared" si="243"/>
        <v/>
      </c>
      <c r="BX438" s="38" t="b">
        <f t="shared" si="244"/>
        <v>1</v>
      </c>
      <c r="BY438" s="37" t="str">
        <f t="array" ref="BY438:CI438">IF(BX438,"",IVSolution($M438,$N438,$O438,BT438,BU438,BV438,BW438,$E438,$F438,$G438,$H438,$I438))</f>
        <v/>
      </c>
      <c r="BZ438" s="37" t="str">
        <v/>
      </c>
      <c r="CA438" s="37" t="str">
        <v/>
      </c>
      <c r="CB438" s="39" t="str">
        <v/>
      </c>
      <c r="CC438" s="39" t="str">
        <v/>
      </c>
      <c r="CD438" s="37" t="str">
        <v/>
      </c>
      <c r="CE438" s="37" t="str">
        <v/>
      </c>
      <c r="CF438" s="37" t="str">
        <v/>
      </c>
      <c r="CG438" s="37" t="str">
        <v/>
      </c>
      <c r="CH438" s="37" t="str">
        <v/>
      </c>
      <c r="CI438" s="37" t="str">
        <v/>
      </c>
      <c r="CJ438" s="41" t="str">
        <f t="shared" si="245"/>
        <v/>
      </c>
      <c r="CK438" s="41" t="str">
        <f t="shared" si="246"/>
        <v/>
      </c>
      <c r="CL438" s="66" t="str">
        <f t="shared" si="247"/>
        <v/>
      </c>
      <c r="CM438" s="39" t="str">
        <f t="shared" si="248"/>
        <v/>
      </c>
      <c r="CN438" s="39" t="str">
        <f t="shared" si="249"/>
        <v/>
      </c>
      <c r="CO438" s="42" t="str">
        <f t="shared" si="250"/>
        <v/>
      </c>
      <c r="CP438" s="42" t="str">
        <f t="shared" si="251"/>
        <v/>
      </c>
      <c r="CQ438" s="42" t="str">
        <f t="shared" si="252"/>
        <v/>
      </c>
      <c r="CR438" s="42" t="str">
        <f t="shared" si="253"/>
        <v/>
      </c>
      <c r="CS438" s="42" t="str">
        <f t="shared" si="254"/>
        <v/>
      </c>
      <c r="CT438" s="42" t="str">
        <f t="shared" si="255"/>
        <v/>
      </c>
      <c r="CU438" s="43" t="str">
        <f t="shared" si="256"/>
        <v/>
      </c>
      <c r="CV438" s="43" t="str">
        <f t="shared" si="257"/>
        <v/>
      </c>
      <c r="CW438" s="43" t="str">
        <f t="shared" si="258"/>
        <v/>
      </c>
      <c r="CX438" s="13"/>
    </row>
    <row r="439" spans="1:102" x14ac:dyDescent="0.25">
      <c r="A439" s="31"/>
      <c r="B439" s="13"/>
      <c r="C439" s="13"/>
      <c r="D439" s="13"/>
      <c r="E439" s="32"/>
      <c r="F439" s="32"/>
      <c r="G439" s="32"/>
      <c r="H439" s="32"/>
      <c r="I439" s="32"/>
      <c r="J439" s="13"/>
      <c r="K439" s="33"/>
      <c r="L439" s="34" t="str">
        <f>IFERROR(INDEX('Pokemon Data'!A:A,MATCH($A439,'Pokemon Data'!$B:$B,0)),"")</f>
        <v/>
      </c>
      <c r="M439" s="34" t="str">
        <f>IFERROR(INDEX('Pokemon Data'!I:I,MATCH($A439,'Pokemon Data'!$B:$B,0)),"")</f>
        <v/>
      </c>
      <c r="N439" s="34" t="str">
        <f>IFERROR(INDEX('Pokemon Data'!J:J,MATCH($A439,'Pokemon Data'!$B:$B,0)),"")</f>
        <v/>
      </c>
      <c r="O439" s="34" t="str">
        <f>IFERROR(INDEX('Pokemon Data'!K:K,MATCH($A439,'Pokemon Data'!$B:$B,0)),"")</f>
        <v/>
      </c>
      <c r="P439" s="35" t="str">
        <f>IFERROR(INDEX('Level Multipliers'!$A:$A,MATCH($D439,'Level Multipliers'!$B:$B,0)),"")</f>
        <v/>
      </c>
      <c r="Q439" s="36" t="str">
        <f>IFERROR(INDEX('Level Multipliers'!$D:$D,MATCH(P439,'Level Multipliers'!$A:$A,0)),"")</f>
        <v/>
      </c>
      <c r="R439" s="37" t="str">
        <f t="shared" si="222"/>
        <v/>
      </c>
      <c r="S439" s="37" t="str">
        <f t="shared" si="223"/>
        <v/>
      </c>
      <c r="T439" s="38" t="str">
        <f t="shared" si="224"/>
        <v/>
      </c>
      <c r="U439" s="38" t="str">
        <f t="shared" si="225"/>
        <v/>
      </c>
      <c r="V439" s="38" t="b">
        <f t="shared" si="226"/>
        <v>1</v>
      </c>
      <c r="W439" s="37" t="str">
        <f t="array" ref="W439:AG439">IF(V439,"",IVSolution($M439,$N439,$O439,R439,S439,T439,U439,$E439,$F439,$G439,$H439,$I439))</f>
        <v/>
      </c>
      <c r="X439" s="37" t="str">
        <v/>
      </c>
      <c r="Y439" s="37" t="str">
        <v/>
      </c>
      <c r="Z439" s="39" t="str">
        <v/>
      </c>
      <c r="AA439" s="39" t="str">
        <v/>
      </c>
      <c r="AB439" s="37" t="str">
        <v/>
      </c>
      <c r="AC439" s="37" t="str">
        <v/>
      </c>
      <c r="AD439" s="37" t="str">
        <v/>
      </c>
      <c r="AE439" s="37" t="str">
        <v/>
      </c>
      <c r="AF439" s="37" t="str">
        <v/>
      </c>
      <c r="AG439" s="37" t="str">
        <v/>
      </c>
      <c r="AH439" s="40" t="str">
        <f t="shared" si="227"/>
        <v/>
      </c>
      <c r="AI439" s="36" t="str">
        <f>IFERROR(INDEX('Level Multipliers'!$D:$D,MATCH(AH439,'Level Multipliers'!$A:$A,0)),"")</f>
        <v/>
      </c>
      <c r="AJ439" s="37" t="str">
        <f t="shared" si="228"/>
        <v/>
      </c>
      <c r="AK439" s="37" t="str">
        <f t="shared" si="229"/>
        <v/>
      </c>
      <c r="AL439" s="38" t="str">
        <f t="shared" si="230"/>
        <v/>
      </c>
      <c r="AM439" s="38" t="str">
        <f t="shared" si="231"/>
        <v/>
      </c>
      <c r="AN439" s="38" t="b">
        <f t="shared" si="232"/>
        <v>1</v>
      </c>
      <c r="AO439" s="37" t="str">
        <f t="array" ref="AO439:AY439">IF(AN439,"",IVSolution($M439,$N439,$O439,AJ439,AK439,AL439,AM439,$E439,$F439,$G439,$H439,$I439))</f>
        <v/>
      </c>
      <c r="AP439" s="37" t="str">
        <v/>
      </c>
      <c r="AQ439" s="37" t="str">
        <v/>
      </c>
      <c r="AR439" s="39" t="str">
        <v/>
      </c>
      <c r="AS439" s="39" t="str">
        <v/>
      </c>
      <c r="AT439" s="37" t="str">
        <v/>
      </c>
      <c r="AU439" s="37" t="str">
        <v/>
      </c>
      <c r="AV439" s="37" t="str">
        <v/>
      </c>
      <c r="AW439" s="37" t="str">
        <v/>
      </c>
      <c r="AX439" s="37" t="str">
        <v/>
      </c>
      <c r="AY439" s="37" t="str">
        <v/>
      </c>
      <c r="AZ439" s="40" t="str">
        <f t="shared" si="233"/>
        <v/>
      </c>
      <c r="BA439" s="36" t="str">
        <f>IFERROR(INDEX('Level Multipliers'!$D:$D,MATCH(AZ439,'Level Multipliers'!$A:$A,0)),"")</f>
        <v/>
      </c>
      <c r="BB439" s="37" t="str">
        <f t="shared" si="234"/>
        <v/>
      </c>
      <c r="BC439" s="37" t="str">
        <f t="shared" si="235"/>
        <v/>
      </c>
      <c r="BD439" s="38" t="str">
        <f t="shared" si="236"/>
        <v/>
      </c>
      <c r="BE439" s="38" t="str">
        <f t="shared" si="237"/>
        <v/>
      </c>
      <c r="BF439" s="38" t="b">
        <f t="shared" si="238"/>
        <v>1</v>
      </c>
      <c r="BG439" s="37" t="str">
        <f t="array" ref="BG439:BQ439">IF(BF439,"",IVSolution($M439,$N439,$O439,BB439,BC439,BD439,BE439,$E439,$F439,$G439,$H439,$I439))</f>
        <v/>
      </c>
      <c r="BH439" s="37" t="str">
        <v/>
      </c>
      <c r="BI439" s="37" t="str">
        <v/>
      </c>
      <c r="BJ439" s="39" t="str">
        <v/>
      </c>
      <c r="BK439" s="39" t="str">
        <v/>
      </c>
      <c r="BL439" s="37" t="str">
        <v/>
      </c>
      <c r="BM439" s="37" t="str">
        <v/>
      </c>
      <c r="BN439" s="37" t="str">
        <v/>
      </c>
      <c r="BO439" s="37" t="str">
        <v/>
      </c>
      <c r="BP439" s="37" t="str">
        <v/>
      </c>
      <c r="BQ439" s="37" t="str">
        <v/>
      </c>
      <c r="BR439" s="40" t="str">
        <f t="shared" si="239"/>
        <v/>
      </c>
      <c r="BS439" s="36" t="str">
        <f>IFERROR(INDEX('Level Multipliers'!$D:$D,MATCH(BR439,'Level Multipliers'!$A:$A,0)),"")</f>
        <v/>
      </c>
      <c r="BT439" s="37" t="str">
        <f t="shared" si="240"/>
        <v/>
      </c>
      <c r="BU439" s="37" t="str">
        <f t="shared" si="241"/>
        <v/>
      </c>
      <c r="BV439" s="38" t="str">
        <f t="shared" si="242"/>
        <v/>
      </c>
      <c r="BW439" s="38" t="str">
        <f t="shared" si="243"/>
        <v/>
      </c>
      <c r="BX439" s="38" t="b">
        <f t="shared" si="244"/>
        <v>1</v>
      </c>
      <c r="BY439" s="37" t="str">
        <f t="array" ref="BY439:CI439">IF(BX439,"",IVSolution($M439,$N439,$O439,BT439,BU439,BV439,BW439,$E439,$F439,$G439,$H439,$I439))</f>
        <v/>
      </c>
      <c r="BZ439" s="37" t="str">
        <v/>
      </c>
      <c r="CA439" s="37" t="str">
        <v/>
      </c>
      <c r="CB439" s="39" t="str">
        <v/>
      </c>
      <c r="CC439" s="39" t="str">
        <v/>
      </c>
      <c r="CD439" s="37" t="str">
        <v/>
      </c>
      <c r="CE439" s="37" t="str">
        <v/>
      </c>
      <c r="CF439" s="37" t="str">
        <v/>
      </c>
      <c r="CG439" s="37" t="str">
        <v/>
      </c>
      <c r="CH439" s="37" t="str">
        <v/>
      </c>
      <c r="CI439" s="37" t="str">
        <v/>
      </c>
      <c r="CJ439" s="41" t="str">
        <f t="shared" si="245"/>
        <v/>
      </c>
      <c r="CK439" s="41" t="str">
        <f t="shared" si="246"/>
        <v/>
      </c>
      <c r="CL439" s="66" t="str">
        <f t="shared" si="247"/>
        <v/>
      </c>
      <c r="CM439" s="39" t="str">
        <f t="shared" si="248"/>
        <v/>
      </c>
      <c r="CN439" s="39" t="str">
        <f t="shared" si="249"/>
        <v/>
      </c>
      <c r="CO439" s="42" t="str">
        <f t="shared" si="250"/>
        <v/>
      </c>
      <c r="CP439" s="42" t="str">
        <f t="shared" si="251"/>
        <v/>
      </c>
      <c r="CQ439" s="42" t="str">
        <f t="shared" si="252"/>
        <v/>
      </c>
      <c r="CR439" s="42" t="str">
        <f t="shared" si="253"/>
        <v/>
      </c>
      <c r="CS439" s="42" t="str">
        <f t="shared" si="254"/>
        <v/>
      </c>
      <c r="CT439" s="42" t="str">
        <f t="shared" si="255"/>
        <v/>
      </c>
      <c r="CU439" s="43" t="str">
        <f t="shared" si="256"/>
        <v/>
      </c>
      <c r="CV439" s="43" t="str">
        <f t="shared" si="257"/>
        <v/>
      </c>
      <c r="CW439" s="43" t="str">
        <f t="shared" si="258"/>
        <v/>
      </c>
      <c r="CX439" s="13"/>
    </row>
    <row r="440" spans="1:102" x14ac:dyDescent="0.25">
      <c r="A440" s="31"/>
      <c r="B440" s="13"/>
      <c r="C440" s="13"/>
      <c r="D440" s="13"/>
      <c r="E440" s="32"/>
      <c r="F440" s="32"/>
      <c r="G440" s="32"/>
      <c r="H440" s="32"/>
      <c r="I440" s="32"/>
      <c r="J440" s="13"/>
      <c r="K440" s="33"/>
      <c r="L440" s="34" t="str">
        <f>IFERROR(INDEX('Pokemon Data'!A:A,MATCH($A440,'Pokemon Data'!$B:$B,0)),"")</f>
        <v/>
      </c>
      <c r="M440" s="34" t="str">
        <f>IFERROR(INDEX('Pokemon Data'!I:I,MATCH($A440,'Pokemon Data'!$B:$B,0)),"")</f>
        <v/>
      </c>
      <c r="N440" s="34" t="str">
        <f>IFERROR(INDEX('Pokemon Data'!J:J,MATCH($A440,'Pokemon Data'!$B:$B,0)),"")</f>
        <v/>
      </c>
      <c r="O440" s="34" t="str">
        <f>IFERROR(INDEX('Pokemon Data'!K:K,MATCH($A440,'Pokemon Data'!$B:$B,0)),"")</f>
        <v/>
      </c>
      <c r="P440" s="35" t="str">
        <f>IFERROR(INDEX('Level Multipliers'!$A:$A,MATCH($D440,'Level Multipliers'!$B:$B,0)),"")</f>
        <v/>
      </c>
      <c r="Q440" s="36" t="str">
        <f>IFERROR(INDEX('Level Multipliers'!$D:$D,MATCH(P440,'Level Multipliers'!$A:$A,0)),"")</f>
        <v/>
      </c>
      <c r="R440" s="37" t="str">
        <f t="shared" si="222"/>
        <v/>
      </c>
      <c r="S440" s="37" t="str">
        <f t="shared" si="223"/>
        <v/>
      </c>
      <c r="T440" s="38" t="str">
        <f t="shared" si="224"/>
        <v/>
      </c>
      <c r="U440" s="38" t="str">
        <f t="shared" si="225"/>
        <v/>
      </c>
      <c r="V440" s="38" t="b">
        <f t="shared" si="226"/>
        <v>1</v>
      </c>
      <c r="W440" s="37" t="str">
        <f t="array" ref="W440:AG440">IF(V440,"",IVSolution($M440,$N440,$O440,R440,S440,T440,U440,$E440,$F440,$G440,$H440,$I440))</f>
        <v/>
      </c>
      <c r="X440" s="37" t="str">
        <v/>
      </c>
      <c r="Y440" s="37" t="str">
        <v/>
      </c>
      <c r="Z440" s="39" t="str">
        <v/>
      </c>
      <c r="AA440" s="39" t="str">
        <v/>
      </c>
      <c r="AB440" s="37" t="str">
        <v/>
      </c>
      <c r="AC440" s="37" t="str">
        <v/>
      </c>
      <c r="AD440" s="37" t="str">
        <v/>
      </c>
      <c r="AE440" s="37" t="str">
        <v/>
      </c>
      <c r="AF440" s="37" t="str">
        <v/>
      </c>
      <c r="AG440" s="37" t="str">
        <v/>
      </c>
      <c r="AH440" s="40" t="str">
        <f t="shared" si="227"/>
        <v/>
      </c>
      <c r="AI440" s="36" t="str">
        <f>IFERROR(INDEX('Level Multipliers'!$D:$D,MATCH(AH440,'Level Multipliers'!$A:$A,0)),"")</f>
        <v/>
      </c>
      <c r="AJ440" s="37" t="str">
        <f t="shared" si="228"/>
        <v/>
      </c>
      <c r="AK440" s="37" t="str">
        <f t="shared" si="229"/>
        <v/>
      </c>
      <c r="AL440" s="38" t="str">
        <f t="shared" si="230"/>
        <v/>
      </c>
      <c r="AM440" s="38" t="str">
        <f t="shared" si="231"/>
        <v/>
      </c>
      <c r="AN440" s="38" t="b">
        <f t="shared" si="232"/>
        <v>1</v>
      </c>
      <c r="AO440" s="37" t="str">
        <f t="array" ref="AO440:AY440">IF(AN440,"",IVSolution($M440,$N440,$O440,AJ440,AK440,AL440,AM440,$E440,$F440,$G440,$H440,$I440))</f>
        <v/>
      </c>
      <c r="AP440" s="37" t="str">
        <v/>
      </c>
      <c r="AQ440" s="37" t="str">
        <v/>
      </c>
      <c r="AR440" s="39" t="str">
        <v/>
      </c>
      <c r="AS440" s="39" t="str">
        <v/>
      </c>
      <c r="AT440" s="37" t="str">
        <v/>
      </c>
      <c r="AU440" s="37" t="str">
        <v/>
      </c>
      <c r="AV440" s="37" t="str">
        <v/>
      </c>
      <c r="AW440" s="37" t="str">
        <v/>
      </c>
      <c r="AX440" s="37" t="str">
        <v/>
      </c>
      <c r="AY440" s="37" t="str">
        <v/>
      </c>
      <c r="AZ440" s="40" t="str">
        <f t="shared" si="233"/>
        <v/>
      </c>
      <c r="BA440" s="36" t="str">
        <f>IFERROR(INDEX('Level Multipliers'!$D:$D,MATCH(AZ440,'Level Multipliers'!$A:$A,0)),"")</f>
        <v/>
      </c>
      <c r="BB440" s="37" t="str">
        <f t="shared" si="234"/>
        <v/>
      </c>
      <c r="BC440" s="37" t="str">
        <f t="shared" si="235"/>
        <v/>
      </c>
      <c r="BD440" s="38" t="str">
        <f t="shared" si="236"/>
        <v/>
      </c>
      <c r="BE440" s="38" t="str">
        <f t="shared" si="237"/>
        <v/>
      </c>
      <c r="BF440" s="38" t="b">
        <f t="shared" si="238"/>
        <v>1</v>
      </c>
      <c r="BG440" s="37" t="str">
        <f t="array" ref="BG440:BQ440">IF(BF440,"",IVSolution($M440,$N440,$O440,BB440,BC440,BD440,BE440,$E440,$F440,$G440,$H440,$I440))</f>
        <v/>
      </c>
      <c r="BH440" s="37" t="str">
        <v/>
      </c>
      <c r="BI440" s="37" t="str">
        <v/>
      </c>
      <c r="BJ440" s="39" t="str">
        <v/>
      </c>
      <c r="BK440" s="39" t="str">
        <v/>
      </c>
      <c r="BL440" s="37" t="str">
        <v/>
      </c>
      <c r="BM440" s="37" t="str">
        <v/>
      </c>
      <c r="BN440" s="37" t="str">
        <v/>
      </c>
      <c r="BO440" s="37" t="str">
        <v/>
      </c>
      <c r="BP440" s="37" t="str">
        <v/>
      </c>
      <c r="BQ440" s="37" t="str">
        <v/>
      </c>
      <c r="BR440" s="40" t="str">
        <f t="shared" si="239"/>
        <v/>
      </c>
      <c r="BS440" s="36" t="str">
        <f>IFERROR(INDEX('Level Multipliers'!$D:$D,MATCH(BR440,'Level Multipliers'!$A:$A,0)),"")</f>
        <v/>
      </c>
      <c r="BT440" s="37" t="str">
        <f t="shared" si="240"/>
        <v/>
      </c>
      <c r="BU440" s="37" t="str">
        <f t="shared" si="241"/>
        <v/>
      </c>
      <c r="BV440" s="38" t="str">
        <f t="shared" si="242"/>
        <v/>
      </c>
      <c r="BW440" s="38" t="str">
        <f t="shared" si="243"/>
        <v/>
      </c>
      <c r="BX440" s="38" t="b">
        <f t="shared" si="244"/>
        <v>1</v>
      </c>
      <c r="BY440" s="37" t="str">
        <f t="array" ref="BY440:CI440">IF(BX440,"",IVSolution($M440,$N440,$O440,BT440,BU440,BV440,BW440,$E440,$F440,$G440,$H440,$I440))</f>
        <v/>
      </c>
      <c r="BZ440" s="37" t="str">
        <v/>
      </c>
      <c r="CA440" s="37" t="str">
        <v/>
      </c>
      <c r="CB440" s="39" t="str">
        <v/>
      </c>
      <c r="CC440" s="39" t="str">
        <v/>
      </c>
      <c r="CD440" s="37" t="str">
        <v/>
      </c>
      <c r="CE440" s="37" t="str">
        <v/>
      </c>
      <c r="CF440" s="37" t="str">
        <v/>
      </c>
      <c r="CG440" s="37" t="str">
        <v/>
      </c>
      <c r="CH440" s="37" t="str">
        <v/>
      </c>
      <c r="CI440" s="37" t="str">
        <v/>
      </c>
      <c r="CJ440" s="41" t="str">
        <f t="shared" si="245"/>
        <v/>
      </c>
      <c r="CK440" s="41" t="str">
        <f t="shared" si="246"/>
        <v/>
      </c>
      <c r="CL440" s="66" t="str">
        <f t="shared" si="247"/>
        <v/>
      </c>
      <c r="CM440" s="39" t="str">
        <f t="shared" si="248"/>
        <v/>
      </c>
      <c r="CN440" s="39" t="str">
        <f t="shared" si="249"/>
        <v/>
      </c>
      <c r="CO440" s="42" t="str">
        <f t="shared" si="250"/>
        <v/>
      </c>
      <c r="CP440" s="42" t="str">
        <f t="shared" si="251"/>
        <v/>
      </c>
      <c r="CQ440" s="42" t="str">
        <f t="shared" si="252"/>
        <v/>
      </c>
      <c r="CR440" s="42" t="str">
        <f t="shared" si="253"/>
        <v/>
      </c>
      <c r="CS440" s="42" t="str">
        <f t="shared" si="254"/>
        <v/>
      </c>
      <c r="CT440" s="42" t="str">
        <f t="shared" si="255"/>
        <v/>
      </c>
      <c r="CU440" s="43" t="str">
        <f t="shared" si="256"/>
        <v/>
      </c>
      <c r="CV440" s="43" t="str">
        <f t="shared" si="257"/>
        <v/>
      </c>
      <c r="CW440" s="43" t="str">
        <f t="shared" si="258"/>
        <v/>
      </c>
      <c r="CX440" s="13"/>
    </row>
    <row r="441" spans="1:102" x14ac:dyDescent="0.25">
      <c r="A441" s="31"/>
      <c r="B441" s="13"/>
      <c r="C441" s="13"/>
      <c r="D441" s="13"/>
      <c r="E441" s="32"/>
      <c r="F441" s="32"/>
      <c r="G441" s="32"/>
      <c r="H441" s="32"/>
      <c r="I441" s="32"/>
      <c r="J441" s="13"/>
      <c r="K441" s="33"/>
      <c r="L441" s="34" t="str">
        <f>IFERROR(INDEX('Pokemon Data'!A:A,MATCH($A441,'Pokemon Data'!$B:$B,0)),"")</f>
        <v/>
      </c>
      <c r="M441" s="34" t="str">
        <f>IFERROR(INDEX('Pokemon Data'!I:I,MATCH($A441,'Pokemon Data'!$B:$B,0)),"")</f>
        <v/>
      </c>
      <c r="N441" s="34" t="str">
        <f>IFERROR(INDEX('Pokemon Data'!J:J,MATCH($A441,'Pokemon Data'!$B:$B,0)),"")</f>
        <v/>
      </c>
      <c r="O441" s="34" t="str">
        <f>IFERROR(INDEX('Pokemon Data'!K:K,MATCH($A441,'Pokemon Data'!$B:$B,0)),"")</f>
        <v/>
      </c>
      <c r="P441" s="35" t="str">
        <f>IFERROR(INDEX('Level Multipliers'!$A:$A,MATCH($D441,'Level Multipliers'!$B:$B,0)),"")</f>
        <v/>
      </c>
      <c r="Q441" s="36" t="str">
        <f>IFERROR(INDEX('Level Multipliers'!$D:$D,MATCH(P441,'Level Multipliers'!$A:$A,0)),"")</f>
        <v/>
      </c>
      <c r="R441" s="37" t="str">
        <f t="shared" si="222"/>
        <v/>
      </c>
      <c r="S441" s="37" t="str">
        <f t="shared" si="223"/>
        <v/>
      </c>
      <c r="T441" s="38" t="str">
        <f t="shared" si="224"/>
        <v/>
      </c>
      <c r="U441" s="38" t="str">
        <f t="shared" si="225"/>
        <v/>
      </c>
      <c r="V441" s="38" t="b">
        <f t="shared" si="226"/>
        <v>1</v>
      </c>
      <c r="W441" s="37" t="str">
        <f t="array" ref="W441:AG441">IF(V441,"",IVSolution($M441,$N441,$O441,R441,S441,T441,U441,$E441,$F441,$G441,$H441,$I441))</f>
        <v/>
      </c>
      <c r="X441" s="37" t="str">
        <v/>
      </c>
      <c r="Y441" s="37" t="str">
        <v/>
      </c>
      <c r="Z441" s="39" t="str">
        <v/>
      </c>
      <c r="AA441" s="39" t="str">
        <v/>
      </c>
      <c r="AB441" s="37" t="str">
        <v/>
      </c>
      <c r="AC441" s="37" t="str">
        <v/>
      </c>
      <c r="AD441" s="37" t="str">
        <v/>
      </c>
      <c r="AE441" s="37" t="str">
        <v/>
      </c>
      <c r="AF441" s="37" t="str">
        <v/>
      </c>
      <c r="AG441" s="37" t="str">
        <v/>
      </c>
      <c r="AH441" s="40" t="str">
        <f t="shared" si="227"/>
        <v/>
      </c>
      <c r="AI441" s="36" t="str">
        <f>IFERROR(INDEX('Level Multipliers'!$D:$D,MATCH(AH441,'Level Multipliers'!$A:$A,0)),"")</f>
        <v/>
      </c>
      <c r="AJ441" s="37" t="str">
        <f t="shared" si="228"/>
        <v/>
      </c>
      <c r="AK441" s="37" t="str">
        <f t="shared" si="229"/>
        <v/>
      </c>
      <c r="AL441" s="38" t="str">
        <f t="shared" si="230"/>
        <v/>
      </c>
      <c r="AM441" s="38" t="str">
        <f t="shared" si="231"/>
        <v/>
      </c>
      <c r="AN441" s="38" t="b">
        <f t="shared" si="232"/>
        <v>1</v>
      </c>
      <c r="AO441" s="37" t="str">
        <f t="array" ref="AO441:AY441">IF(AN441,"",IVSolution($M441,$N441,$O441,AJ441,AK441,AL441,AM441,$E441,$F441,$G441,$H441,$I441))</f>
        <v/>
      </c>
      <c r="AP441" s="37" t="str">
        <v/>
      </c>
      <c r="AQ441" s="37" t="str">
        <v/>
      </c>
      <c r="AR441" s="39" t="str">
        <v/>
      </c>
      <c r="AS441" s="39" t="str">
        <v/>
      </c>
      <c r="AT441" s="37" t="str">
        <v/>
      </c>
      <c r="AU441" s="37" t="str">
        <v/>
      </c>
      <c r="AV441" s="37" t="str">
        <v/>
      </c>
      <c r="AW441" s="37" t="str">
        <v/>
      </c>
      <c r="AX441" s="37" t="str">
        <v/>
      </c>
      <c r="AY441" s="37" t="str">
        <v/>
      </c>
      <c r="AZ441" s="40" t="str">
        <f t="shared" si="233"/>
        <v/>
      </c>
      <c r="BA441" s="36" t="str">
        <f>IFERROR(INDEX('Level Multipliers'!$D:$D,MATCH(AZ441,'Level Multipliers'!$A:$A,0)),"")</f>
        <v/>
      </c>
      <c r="BB441" s="37" t="str">
        <f t="shared" si="234"/>
        <v/>
      </c>
      <c r="BC441" s="37" t="str">
        <f t="shared" si="235"/>
        <v/>
      </c>
      <c r="BD441" s="38" t="str">
        <f t="shared" si="236"/>
        <v/>
      </c>
      <c r="BE441" s="38" t="str">
        <f t="shared" si="237"/>
        <v/>
      </c>
      <c r="BF441" s="38" t="b">
        <f t="shared" si="238"/>
        <v>1</v>
      </c>
      <c r="BG441" s="37" t="str">
        <f t="array" ref="BG441:BQ441">IF(BF441,"",IVSolution($M441,$N441,$O441,BB441,BC441,BD441,BE441,$E441,$F441,$G441,$H441,$I441))</f>
        <v/>
      </c>
      <c r="BH441" s="37" t="str">
        <v/>
      </c>
      <c r="BI441" s="37" t="str">
        <v/>
      </c>
      <c r="BJ441" s="39" t="str">
        <v/>
      </c>
      <c r="BK441" s="39" t="str">
        <v/>
      </c>
      <c r="BL441" s="37" t="str">
        <v/>
      </c>
      <c r="BM441" s="37" t="str">
        <v/>
      </c>
      <c r="BN441" s="37" t="str">
        <v/>
      </c>
      <c r="BO441" s="37" t="str">
        <v/>
      </c>
      <c r="BP441" s="37" t="str">
        <v/>
      </c>
      <c r="BQ441" s="37" t="str">
        <v/>
      </c>
      <c r="BR441" s="40" t="str">
        <f t="shared" si="239"/>
        <v/>
      </c>
      <c r="BS441" s="36" t="str">
        <f>IFERROR(INDEX('Level Multipliers'!$D:$D,MATCH(BR441,'Level Multipliers'!$A:$A,0)),"")</f>
        <v/>
      </c>
      <c r="BT441" s="37" t="str">
        <f t="shared" si="240"/>
        <v/>
      </c>
      <c r="BU441" s="37" t="str">
        <f t="shared" si="241"/>
        <v/>
      </c>
      <c r="BV441" s="38" t="str">
        <f t="shared" si="242"/>
        <v/>
      </c>
      <c r="BW441" s="38" t="str">
        <f t="shared" si="243"/>
        <v/>
      </c>
      <c r="BX441" s="38" t="b">
        <f t="shared" si="244"/>
        <v>1</v>
      </c>
      <c r="BY441" s="37" t="str">
        <f t="array" ref="BY441:CI441">IF(BX441,"",IVSolution($M441,$N441,$O441,BT441,BU441,BV441,BW441,$E441,$F441,$G441,$H441,$I441))</f>
        <v/>
      </c>
      <c r="BZ441" s="37" t="str">
        <v/>
      </c>
      <c r="CA441" s="37" t="str">
        <v/>
      </c>
      <c r="CB441" s="39" t="str">
        <v/>
      </c>
      <c r="CC441" s="39" t="str">
        <v/>
      </c>
      <c r="CD441" s="37" t="str">
        <v/>
      </c>
      <c r="CE441" s="37" t="str">
        <v/>
      </c>
      <c r="CF441" s="37" t="str">
        <v/>
      </c>
      <c r="CG441" s="37" t="str">
        <v/>
      </c>
      <c r="CH441" s="37" t="str">
        <v/>
      </c>
      <c r="CI441" s="37" t="str">
        <v/>
      </c>
      <c r="CJ441" s="41" t="str">
        <f t="shared" si="245"/>
        <v/>
      </c>
      <c r="CK441" s="41" t="str">
        <f t="shared" si="246"/>
        <v/>
      </c>
      <c r="CL441" s="66" t="str">
        <f t="shared" si="247"/>
        <v/>
      </c>
      <c r="CM441" s="39" t="str">
        <f t="shared" si="248"/>
        <v/>
      </c>
      <c r="CN441" s="39" t="str">
        <f t="shared" si="249"/>
        <v/>
      </c>
      <c r="CO441" s="42" t="str">
        <f t="shared" si="250"/>
        <v/>
      </c>
      <c r="CP441" s="42" t="str">
        <f t="shared" si="251"/>
        <v/>
      </c>
      <c r="CQ441" s="42" t="str">
        <f t="shared" si="252"/>
        <v/>
      </c>
      <c r="CR441" s="42" t="str">
        <f t="shared" si="253"/>
        <v/>
      </c>
      <c r="CS441" s="42" t="str">
        <f t="shared" si="254"/>
        <v/>
      </c>
      <c r="CT441" s="42" t="str">
        <f t="shared" si="255"/>
        <v/>
      </c>
      <c r="CU441" s="43" t="str">
        <f t="shared" si="256"/>
        <v/>
      </c>
      <c r="CV441" s="43" t="str">
        <f t="shared" si="257"/>
        <v/>
      </c>
      <c r="CW441" s="43" t="str">
        <f t="shared" si="258"/>
        <v/>
      </c>
      <c r="CX441" s="13"/>
    </row>
    <row r="442" spans="1:102" x14ac:dyDescent="0.25">
      <c r="A442" s="31"/>
      <c r="B442" s="13"/>
      <c r="C442" s="13"/>
      <c r="D442" s="13"/>
      <c r="E442" s="32"/>
      <c r="F442" s="32"/>
      <c r="G442" s="32"/>
      <c r="H442" s="32"/>
      <c r="I442" s="32"/>
      <c r="J442" s="13"/>
      <c r="K442" s="33"/>
      <c r="L442" s="34" t="str">
        <f>IFERROR(INDEX('Pokemon Data'!A:A,MATCH($A442,'Pokemon Data'!$B:$B,0)),"")</f>
        <v/>
      </c>
      <c r="M442" s="34" t="str">
        <f>IFERROR(INDEX('Pokemon Data'!I:I,MATCH($A442,'Pokemon Data'!$B:$B,0)),"")</f>
        <v/>
      </c>
      <c r="N442" s="34" t="str">
        <f>IFERROR(INDEX('Pokemon Data'!J:J,MATCH($A442,'Pokemon Data'!$B:$B,0)),"")</f>
        <v/>
      </c>
      <c r="O442" s="34" t="str">
        <f>IFERROR(INDEX('Pokemon Data'!K:K,MATCH($A442,'Pokemon Data'!$B:$B,0)),"")</f>
        <v/>
      </c>
      <c r="P442" s="35" t="str">
        <f>IFERROR(INDEX('Level Multipliers'!$A:$A,MATCH($D442,'Level Multipliers'!$B:$B,0)),"")</f>
        <v/>
      </c>
      <c r="Q442" s="36" t="str">
        <f>IFERROR(INDEX('Level Multipliers'!$D:$D,MATCH(P442,'Level Multipliers'!$A:$A,0)),"")</f>
        <v/>
      </c>
      <c r="R442" s="37" t="str">
        <f t="shared" si="222"/>
        <v/>
      </c>
      <c r="S442" s="37" t="str">
        <f t="shared" si="223"/>
        <v/>
      </c>
      <c r="T442" s="38" t="str">
        <f t="shared" si="224"/>
        <v/>
      </c>
      <c r="U442" s="38" t="str">
        <f t="shared" si="225"/>
        <v/>
      </c>
      <c r="V442" s="38" t="b">
        <f t="shared" si="226"/>
        <v>1</v>
      </c>
      <c r="W442" s="37" t="str">
        <f t="array" ref="W442:AG442">IF(V442,"",IVSolution($M442,$N442,$O442,R442,S442,T442,U442,$E442,$F442,$G442,$H442,$I442))</f>
        <v/>
      </c>
      <c r="X442" s="37" t="str">
        <v/>
      </c>
      <c r="Y442" s="37" t="str">
        <v/>
      </c>
      <c r="Z442" s="39" t="str">
        <v/>
      </c>
      <c r="AA442" s="39" t="str">
        <v/>
      </c>
      <c r="AB442" s="37" t="str">
        <v/>
      </c>
      <c r="AC442" s="37" t="str">
        <v/>
      </c>
      <c r="AD442" s="37" t="str">
        <v/>
      </c>
      <c r="AE442" s="37" t="str">
        <v/>
      </c>
      <c r="AF442" s="37" t="str">
        <v/>
      </c>
      <c r="AG442" s="37" t="str">
        <v/>
      </c>
      <c r="AH442" s="40" t="str">
        <f t="shared" si="227"/>
        <v/>
      </c>
      <c r="AI442" s="36" t="str">
        <f>IFERROR(INDEX('Level Multipliers'!$D:$D,MATCH(AH442,'Level Multipliers'!$A:$A,0)),"")</f>
        <v/>
      </c>
      <c r="AJ442" s="37" t="str">
        <f t="shared" si="228"/>
        <v/>
      </c>
      <c r="AK442" s="37" t="str">
        <f t="shared" si="229"/>
        <v/>
      </c>
      <c r="AL442" s="38" t="str">
        <f t="shared" si="230"/>
        <v/>
      </c>
      <c r="AM442" s="38" t="str">
        <f t="shared" si="231"/>
        <v/>
      </c>
      <c r="AN442" s="38" t="b">
        <f t="shared" si="232"/>
        <v>1</v>
      </c>
      <c r="AO442" s="37" t="str">
        <f t="array" ref="AO442:AY442">IF(AN442,"",IVSolution($M442,$N442,$O442,AJ442,AK442,AL442,AM442,$E442,$F442,$G442,$H442,$I442))</f>
        <v/>
      </c>
      <c r="AP442" s="37" t="str">
        <v/>
      </c>
      <c r="AQ442" s="37" t="str">
        <v/>
      </c>
      <c r="AR442" s="39" t="str">
        <v/>
      </c>
      <c r="AS442" s="39" t="str">
        <v/>
      </c>
      <c r="AT442" s="37" t="str">
        <v/>
      </c>
      <c r="AU442" s="37" t="str">
        <v/>
      </c>
      <c r="AV442" s="37" t="str">
        <v/>
      </c>
      <c r="AW442" s="37" t="str">
        <v/>
      </c>
      <c r="AX442" s="37" t="str">
        <v/>
      </c>
      <c r="AY442" s="37" t="str">
        <v/>
      </c>
      <c r="AZ442" s="40" t="str">
        <f t="shared" si="233"/>
        <v/>
      </c>
      <c r="BA442" s="36" t="str">
        <f>IFERROR(INDEX('Level Multipliers'!$D:$D,MATCH(AZ442,'Level Multipliers'!$A:$A,0)),"")</f>
        <v/>
      </c>
      <c r="BB442" s="37" t="str">
        <f t="shared" si="234"/>
        <v/>
      </c>
      <c r="BC442" s="37" t="str">
        <f t="shared" si="235"/>
        <v/>
      </c>
      <c r="BD442" s="38" t="str">
        <f t="shared" si="236"/>
        <v/>
      </c>
      <c r="BE442" s="38" t="str">
        <f t="shared" si="237"/>
        <v/>
      </c>
      <c r="BF442" s="38" t="b">
        <f t="shared" si="238"/>
        <v>1</v>
      </c>
      <c r="BG442" s="37" t="str">
        <f t="array" ref="BG442:BQ442">IF(BF442,"",IVSolution($M442,$N442,$O442,BB442,BC442,BD442,BE442,$E442,$F442,$G442,$H442,$I442))</f>
        <v/>
      </c>
      <c r="BH442" s="37" t="str">
        <v/>
      </c>
      <c r="BI442" s="37" t="str">
        <v/>
      </c>
      <c r="BJ442" s="39" t="str">
        <v/>
      </c>
      <c r="BK442" s="39" t="str">
        <v/>
      </c>
      <c r="BL442" s="37" t="str">
        <v/>
      </c>
      <c r="BM442" s="37" t="str">
        <v/>
      </c>
      <c r="BN442" s="37" t="str">
        <v/>
      </c>
      <c r="BO442" s="37" t="str">
        <v/>
      </c>
      <c r="BP442" s="37" t="str">
        <v/>
      </c>
      <c r="BQ442" s="37" t="str">
        <v/>
      </c>
      <c r="BR442" s="40" t="str">
        <f t="shared" si="239"/>
        <v/>
      </c>
      <c r="BS442" s="36" t="str">
        <f>IFERROR(INDEX('Level Multipliers'!$D:$D,MATCH(BR442,'Level Multipliers'!$A:$A,0)),"")</f>
        <v/>
      </c>
      <c r="BT442" s="37" t="str">
        <f t="shared" si="240"/>
        <v/>
      </c>
      <c r="BU442" s="37" t="str">
        <f t="shared" si="241"/>
        <v/>
      </c>
      <c r="BV442" s="38" t="str">
        <f t="shared" si="242"/>
        <v/>
      </c>
      <c r="BW442" s="38" t="str">
        <f t="shared" si="243"/>
        <v/>
      </c>
      <c r="BX442" s="38" t="b">
        <f t="shared" si="244"/>
        <v>1</v>
      </c>
      <c r="BY442" s="37" t="str">
        <f t="array" ref="BY442:CI442">IF(BX442,"",IVSolution($M442,$N442,$O442,BT442,BU442,BV442,BW442,$E442,$F442,$G442,$H442,$I442))</f>
        <v/>
      </c>
      <c r="BZ442" s="37" t="str">
        <v/>
      </c>
      <c r="CA442" s="37" t="str">
        <v/>
      </c>
      <c r="CB442" s="39" t="str">
        <v/>
      </c>
      <c r="CC442" s="39" t="str">
        <v/>
      </c>
      <c r="CD442" s="37" t="str">
        <v/>
      </c>
      <c r="CE442" s="37" t="str">
        <v/>
      </c>
      <c r="CF442" s="37" t="str">
        <v/>
      </c>
      <c r="CG442" s="37" t="str">
        <v/>
      </c>
      <c r="CH442" s="37" t="str">
        <v/>
      </c>
      <c r="CI442" s="37" t="str">
        <v/>
      </c>
      <c r="CJ442" s="41" t="str">
        <f t="shared" si="245"/>
        <v/>
      </c>
      <c r="CK442" s="41" t="str">
        <f t="shared" si="246"/>
        <v/>
      </c>
      <c r="CL442" s="66" t="str">
        <f t="shared" si="247"/>
        <v/>
      </c>
      <c r="CM442" s="39" t="str">
        <f t="shared" si="248"/>
        <v/>
      </c>
      <c r="CN442" s="39" t="str">
        <f t="shared" si="249"/>
        <v/>
      </c>
      <c r="CO442" s="42" t="str">
        <f t="shared" si="250"/>
        <v/>
      </c>
      <c r="CP442" s="42" t="str">
        <f t="shared" si="251"/>
        <v/>
      </c>
      <c r="CQ442" s="42" t="str">
        <f t="shared" si="252"/>
        <v/>
      </c>
      <c r="CR442" s="42" t="str">
        <f t="shared" si="253"/>
        <v/>
      </c>
      <c r="CS442" s="42" t="str">
        <f t="shared" si="254"/>
        <v/>
      </c>
      <c r="CT442" s="42" t="str">
        <f t="shared" si="255"/>
        <v/>
      </c>
      <c r="CU442" s="43" t="str">
        <f t="shared" si="256"/>
        <v/>
      </c>
      <c r="CV442" s="43" t="str">
        <f t="shared" si="257"/>
        <v/>
      </c>
      <c r="CW442" s="43" t="str">
        <f t="shared" si="258"/>
        <v/>
      </c>
      <c r="CX442" s="13"/>
    </row>
    <row r="443" spans="1:102" x14ac:dyDescent="0.25">
      <c r="A443" s="31"/>
      <c r="B443" s="13"/>
      <c r="C443" s="13"/>
      <c r="D443" s="13"/>
      <c r="E443" s="32"/>
      <c r="F443" s="32"/>
      <c r="G443" s="32"/>
      <c r="H443" s="32"/>
      <c r="I443" s="32"/>
      <c r="J443" s="13"/>
      <c r="K443" s="33"/>
      <c r="L443" s="34" t="str">
        <f>IFERROR(INDEX('Pokemon Data'!A:A,MATCH($A443,'Pokemon Data'!$B:$B,0)),"")</f>
        <v/>
      </c>
      <c r="M443" s="34" t="str">
        <f>IFERROR(INDEX('Pokemon Data'!I:I,MATCH($A443,'Pokemon Data'!$B:$B,0)),"")</f>
        <v/>
      </c>
      <c r="N443" s="34" t="str">
        <f>IFERROR(INDEX('Pokemon Data'!J:J,MATCH($A443,'Pokemon Data'!$B:$B,0)),"")</f>
        <v/>
      </c>
      <c r="O443" s="34" t="str">
        <f>IFERROR(INDEX('Pokemon Data'!K:K,MATCH($A443,'Pokemon Data'!$B:$B,0)),"")</f>
        <v/>
      </c>
      <c r="P443" s="35" t="str">
        <f>IFERROR(INDEX('Level Multipliers'!$A:$A,MATCH($D443,'Level Multipliers'!$B:$B,0)),"")</f>
        <v/>
      </c>
      <c r="Q443" s="36" t="str">
        <f>IFERROR(INDEX('Level Multipliers'!$D:$D,MATCH(P443,'Level Multipliers'!$A:$A,0)),"")</f>
        <v/>
      </c>
      <c r="R443" s="37" t="str">
        <f t="shared" si="222"/>
        <v/>
      </c>
      <c r="S443" s="37" t="str">
        <f t="shared" si="223"/>
        <v/>
      </c>
      <c r="T443" s="38" t="str">
        <f t="shared" si="224"/>
        <v/>
      </c>
      <c r="U443" s="38" t="str">
        <f t="shared" si="225"/>
        <v/>
      </c>
      <c r="V443" s="38" t="b">
        <f t="shared" si="226"/>
        <v>1</v>
      </c>
      <c r="W443" s="37" t="str">
        <f t="array" ref="W443:AG443">IF(V443,"",IVSolution($M443,$N443,$O443,R443,S443,T443,U443,$E443,$F443,$G443,$H443,$I443))</f>
        <v/>
      </c>
      <c r="X443" s="37" t="str">
        <v/>
      </c>
      <c r="Y443" s="37" t="str">
        <v/>
      </c>
      <c r="Z443" s="39" t="str">
        <v/>
      </c>
      <c r="AA443" s="39" t="str">
        <v/>
      </c>
      <c r="AB443" s="37" t="str">
        <v/>
      </c>
      <c r="AC443" s="37" t="str">
        <v/>
      </c>
      <c r="AD443" s="37" t="str">
        <v/>
      </c>
      <c r="AE443" s="37" t="str">
        <v/>
      </c>
      <c r="AF443" s="37" t="str">
        <v/>
      </c>
      <c r="AG443" s="37" t="str">
        <v/>
      </c>
      <c r="AH443" s="40" t="str">
        <f t="shared" si="227"/>
        <v/>
      </c>
      <c r="AI443" s="36" t="str">
        <f>IFERROR(INDEX('Level Multipliers'!$D:$D,MATCH(AH443,'Level Multipliers'!$A:$A,0)),"")</f>
        <v/>
      </c>
      <c r="AJ443" s="37" t="str">
        <f t="shared" si="228"/>
        <v/>
      </c>
      <c r="AK443" s="37" t="str">
        <f t="shared" si="229"/>
        <v/>
      </c>
      <c r="AL443" s="38" t="str">
        <f t="shared" si="230"/>
        <v/>
      </c>
      <c r="AM443" s="38" t="str">
        <f t="shared" si="231"/>
        <v/>
      </c>
      <c r="AN443" s="38" t="b">
        <f t="shared" si="232"/>
        <v>1</v>
      </c>
      <c r="AO443" s="37" t="str">
        <f t="array" ref="AO443:AY443">IF(AN443,"",IVSolution($M443,$N443,$O443,AJ443,AK443,AL443,AM443,$E443,$F443,$G443,$H443,$I443))</f>
        <v/>
      </c>
      <c r="AP443" s="37" t="str">
        <v/>
      </c>
      <c r="AQ443" s="37" t="str">
        <v/>
      </c>
      <c r="AR443" s="39" t="str">
        <v/>
      </c>
      <c r="AS443" s="39" t="str">
        <v/>
      </c>
      <c r="AT443" s="37" t="str">
        <v/>
      </c>
      <c r="AU443" s="37" t="str">
        <v/>
      </c>
      <c r="AV443" s="37" t="str">
        <v/>
      </c>
      <c r="AW443" s="37" t="str">
        <v/>
      </c>
      <c r="AX443" s="37" t="str">
        <v/>
      </c>
      <c r="AY443" s="37" t="str">
        <v/>
      </c>
      <c r="AZ443" s="40" t="str">
        <f t="shared" si="233"/>
        <v/>
      </c>
      <c r="BA443" s="36" t="str">
        <f>IFERROR(INDEX('Level Multipliers'!$D:$D,MATCH(AZ443,'Level Multipliers'!$A:$A,0)),"")</f>
        <v/>
      </c>
      <c r="BB443" s="37" t="str">
        <f t="shared" si="234"/>
        <v/>
      </c>
      <c r="BC443" s="37" t="str">
        <f t="shared" si="235"/>
        <v/>
      </c>
      <c r="BD443" s="38" t="str">
        <f t="shared" si="236"/>
        <v/>
      </c>
      <c r="BE443" s="38" t="str">
        <f t="shared" si="237"/>
        <v/>
      </c>
      <c r="BF443" s="38" t="b">
        <f t="shared" si="238"/>
        <v>1</v>
      </c>
      <c r="BG443" s="37" t="str">
        <f t="array" ref="BG443:BQ443">IF(BF443,"",IVSolution($M443,$N443,$O443,BB443,BC443,BD443,BE443,$E443,$F443,$G443,$H443,$I443))</f>
        <v/>
      </c>
      <c r="BH443" s="37" t="str">
        <v/>
      </c>
      <c r="BI443" s="37" t="str">
        <v/>
      </c>
      <c r="BJ443" s="39" t="str">
        <v/>
      </c>
      <c r="BK443" s="39" t="str">
        <v/>
      </c>
      <c r="BL443" s="37" t="str">
        <v/>
      </c>
      <c r="BM443" s="37" t="str">
        <v/>
      </c>
      <c r="BN443" s="37" t="str">
        <v/>
      </c>
      <c r="BO443" s="37" t="str">
        <v/>
      </c>
      <c r="BP443" s="37" t="str">
        <v/>
      </c>
      <c r="BQ443" s="37" t="str">
        <v/>
      </c>
      <c r="BR443" s="40" t="str">
        <f t="shared" si="239"/>
        <v/>
      </c>
      <c r="BS443" s="36" t="str">
        <f>IFERROR(INDEX('Level Multipliers'!$D:$D,MATCH(BR443,'Level Multipliers'!$A:$A,0)),"")</f>
        <v/>
      </c>
      <c r="BT443" s="37" t="str">
        <f t="shared" si="240"/>
        <v/>
      </c>
      <c r="BU443" s="37" t="str">
        <f t="shared" si="241"/>
        <v/>
      </c>
      <c r="BV443" s="38" t="str">
        <f t="shared" si="242"/>
        <v/>
      </c>
      <c r="BW443" s="38" t="str">
        <f t="shared" si="243"/>
        <v/>
      </c>
      <c r="BX443" s="38" t="b">
        <f t="shared" si="244"/>
        <v>1</v>
      </c>
      <c r="BY443" s="37" t="str">
        <f t="array" ref="BY443:CI443">IF(BX443,"",IVSolution($M443,$N443,$O443,BT443,BU443,BV443,BW443,$E443,$F443,$G443,$H443,$I443))</f>
        <v/>
      </c>
      <c r="BZ443" s="37" t="str">
        <v/>
      </c>
      <c r="CA443" s="37" t="str">
        <v/>
      </c>
      <c r="CB443" s="39" t="str">
        <v/>
      </c>
      <c r="CC443" s="39" t="str">
        <v/>
      </c>
      <c r="CD443" s="37" t="str">
        <v/>
      </c>
      <c r="CE443" s="37" t="str">
        <v/>
      </c>
      <c r="CF443" s="37" t="str">
        <v/>
      </c>
      <c r="CG443" s="37" t="str">
        <v/>
      </c>
      <c r="CH443" s="37" t="str">
        <v/>
      </c>
      <c r="CI443" s="37" t="str">
        <v/>
      </c>
      <c r="CJ443" s="41" t="str">
        <f t="shared" si="245"/>
        <v/>
      </c>
      <c r="CK443" s="41" t="str">
        <f t="shared" si="246"/>
        <v/>
      </c>
      <c r="CL443" s="66" t="str">
        <f t="shared" si="247"/>
        <v/>
      </c>
      <c r="CM443" s="39" t="str">
        <f t="shared" si="248"/>
        <v/>
      </c>
      <c r="CN443" s="39" t="str">
        <f t="shared" si="249"/>
        <v/>
      </c>
      <c r="CO443" s="42" t="str">
        <f t="shared" si="250"/>
        <v/>
      </c>
      <c r="CP443" s="42" t="str">
        <f t="shared" si="251"/>
        <v/>
      </c>
      <c r="CQ443" s="42" t="str">
        <f t="shared" si="252"/>
        <v/>
      </c>
      <c r="CR443" s="42" t="str">
        <f t="shared" si="253"/>
        <v/>
      </c>
      <c r="CS443" s="42" t="str">
        <f t="shared" si="254"/>
        <v/>
      </c>
      <c r="CT443" s="42" t="str">
        <f t="shared" si="255"/>
        <v/>
      </c>
      <c r="CU443" s="43" t="str">
        <f t="shared" si="256"/>
        <v/>
      </c>
      <c r="CV443" s="43" t="str">
        <f t="shared" si="257"/>
        <v/>
      </c>
      <c r="CW443" s="43" t="str">
        <f t="shared" si="258"/>
        <v/>
      </c>
      <c r="CX443" s="13"/>
    </row>
    <row r="444" spans="1:102" x14ac:dyDescent="0.25">
      <c r="A444" s="31"/>
      <c r="B444" s="13"/>
      <c r="C444" s="13"/>
      <c r="D444" s="13"/>
      <c r="E444" s="32"/>
      <c r="F444" s="32"/>
      <c r="G444" s="32"/>
      <c r="H444" s="32"/>
      <c r="I444" s="32"/>
      <c r="J444" s="13"/>
      <c r="K444" s="33"/>
      <c r="L444" s="34" t="str">
        <f>IFERROR(INDEX('Pokemon Data'!A:A,MATCH($A444,'Pokemon Data'!$B:$B,0)),"")</f>
        <v/>
      </c>
      <c r="M444" s="34" t="str">
        <f>IFERROR(INDEX('Pokemon Data'!I:I,MATCH($A444,'Pokemon Data'!$B:$B,0)),"")</f>
        <v/>
      </c>
      <c r="N444" s="34" t="str">
        <f>IFERROR(INDEX('Pokemon Data'!J:J,MATCH($A444,'Pokemon Data'!$B:$B,0)),"")</f>
        <v/>
      </c>
      <c r="O444" s="34" t="str">
        <f>IFERROR(INDEX('Pokemon Data'!K:K,MATCH($A444,'Pokemon Data'!$B:$B,0)),"")</f>
        <v/>
      </c>
      <c r="P444" s="35" t="str">
        <f>IFERROR(INDEX('Level Multipliers'!$A:$A,MATCH($D444,'Level Multipliers'!$B:$B,0)),"")</f>
        <v/>
      </c>
      <c r="Q444" s="36" t="str">
        <f>IFERROR(INDEX('Level Multipliers'!$D:$D,MATCH(P444,'Level Multipliers'!$A:$A,0)),"")</f>
        <v/>
      </c>
      <c r="R444" s="37" t="str">
        <f t="shared" si="222"/>
        <v/>
      </c>
      <c r="S444" s="37" t="str">
        <f t="shared" si="223"/>
        <v/>
      </c>
      <c r="T444" s="38" t="str">
        <f t="shared" si="224"/>
        <v/>
      </c>
      <c r="U444" s="38" t="str">
        <f t="shared" si="225"/>
        <v/>
      </c>
      <c r="V444" s="38" t="b">
        <f t="shared" si="226"/>
        <v>1</v>
      </c>
      <c r="W444" s="37" t="str">
        <f t="array" ref="W444:AG444">IF(V444,"",IVSolution($M444,$N444,$O444,R444,S444,T444,U444,$E444,$F444,$G444,$H444,$I444))</f>
        <v/>
      </c>
      <c r="X444" s="37" t="str">
        <v/>
      </c>
      <c r="Y444" s="37" t="str">
        <v/>
      </c>
      <c r="Z444" s="39" t="str">
        <v/>
      </c>
      <c r="AA444" s="39" t="str">
        <v/>
      </c>
      <c r="AB444" s="37" t="str">
        <v/>
      </c>
      <c r="AC444" s="37" t="str">
        <v/>
      </c>
      <c r="AD444" s="37" t="str">
        <v/>
      </c>
      <c r="AE444" s="37" t="str">
        <v/>
      </c>
      <c r="AF444" s="37" t="str">
        <v/>
      </c>
      <c r="AG444" s="37" t="str">
        <v/>
      </c>
      <c r="AH444" s="40" t="str">
        <f t="shared" si="227"/>
        <v/>
      </c>
      <c r="AI444" s="36" t="str">
        <f>IFERROR(INDEX('Level Multipliers'!$D:$D,MATCH(AH444,'Level Multipliers'!$A:$A,0)),"")</f>
        <v/>
      </c>
      <c r="AJ444" s="37" t="str">
        <f t="shared" si="228"/>
        <v/>
      </c>
      <c r="AK444" s="37" t="str">
        <f t="shared" si="229"/>
        <v/>
      </c>
      <c r="AL444" s="38" t="str">
        <f t="shared" si="230"/>
        <v/>
      </c>
      <c r="AM444" s="38" t="str">
        <f t="shared" si="231"/>
        <v/>
      </c>
      <c r="AN444" s="38" t="b">
        <f t="shared" si="232"/>
        <v>1</v>
      </c>
      <c r="AO444" s="37" t="str">
        <f t="array" ref="AO444:AY444">IF(AN444,"",IVSolution($M444,$N444,$O444,AJ444,AK444,AL444,AM444,$E444,$F444,$G444,$H444,$I444))</f>
        <v/>
      </c>
      <c r="AP444" s="37" t="str">
        <v/>
      </c>
      <c r="AQ444" s="37" t="str">
        <v/>
      </c>
      <c r="AR444" s="39" t="str">
        <v/>
      </c>
      <c r="AS444" s="39" t="str">
        <v/>
      </c>
      <c r="AT444" s="37" t="str">
        <v/>
      </c>
      <c r="AU444" s="37" t="str">
        <v/>
      </c>
      <c r="AV444" s="37" t="str">
        <v/>
      </c>
      <c r="AW444" s="37" t="str">
        <v/>
      </c>
      <c r="AX444" s="37" t="str">
        <v/>
      </c>
      <c r="AY444" s="37" t="str">
        <v/>
      </c>
      <c r="AZ444" s="40" t="str">
        <f t="shared" si="233"/>
        <v/>
      </c>
      <c r="BA444" s="36" t="str">
        <f>IFERROR(INDEX('Level Multipliers'!$D:$D,MATCH(AZ444,'Level Multipliers'!$A:$A,0)),"")</f>
        <v/>
      </c>
      <c r="BB444" s="37" t="str">
        <f t="shared" si="234"/>
        <v/>
      </c>
      <c r="BC444" s="37" t="str">
        <f t="shared" si="235"/>
        <v/>
      </c>
      <c r="BD444" s="38" t="str">
        <f t="shared" si="236"/>
        <v/>
      </c>
      <c r="BE444" s="38" t="str">
        <f t="shared" si="237"/>
        <v/>
      </c>
      <c r="BF444" s="38" t="b">
        <f t="shared" si="238"/>
        <v>1</v>
      </c>
      <c r="BG444" s="37" t="str">
        <f t="array" ref="BG444:BQ444">IF(BF444,"",IVSolution($M444,$N444,$O444,BB444,BC444,BD444,BE444,$E444,$F444,$G444,$H444,$I444))</f>
        <v/>
      </c>
      <c r="BH444" s="37" t="str">
        <v/>
      </c>
      <c r="BI444" s="37" t="str">
        <v/>
      </c>
      <c r="BJ444" s="39" t="str">
        <v/>
      </c>
      <c r="BK444" s="39" t="str">
        <v/>
      </c>
      <c r="BL444" s="37" t="str">
        <v/>
      </c>
      <c r="BM444" s="37" t="str">
        <v/>
      </c>
      <c r="BN444" s="37" t="str">
        <v/>
      </c>
      <c r="BO444" s="37" t="str">
        <v/>
      </c>
      <c r="BP444" s="37" t="str">
        <v/>
      </c>
      <c r="BQ444" s="37" t="str">
        <v/>
      </c>
      <c r="BR444" s="40" t="str">
        <f t="shared" si="239"/>
        <v/>
      </c>
      <c r="BS444" s="36" t="str">
        <f>IFERROR(INDEX('Level Multipliers'!$D:$D,MATCH(BR444,'Level Multipliers'!$A:$A,0)),"")</f>
        <v/>
      </c>
      <c r="BT444" s="37" t="str">
        <f t="shared" si="240"/>
        <v/>
      </c>
      <c r="BU444" s="37" t="str">
        <f t="shared" si="241"/>
        <v/>
      </c>
      <c r="BV444" s="38" t="str">
        <f t="shared" si="242"/>
        <v/>
      </c>
      <c r="BW444" s="38" t="str">
        <f t="shared" si="243"/>
        <v/>
      </c>
      <c r="BX444" s="38" t="b">
        <f t="shared" si="244"/>
        <v>1</v>
      </c>
      <c r="BY444" s="37" t="str">
        <f t="array" ref="BY444:CI444">IF(BX444,"",IVSolution($M444,$N444,$O444,BT444,BU444,BV444,BW444,$E444,$F444,$G444,$H444,$I444))</f>
        <v/>
      </c>
      <c r="BZ444" s="37" t="str">
        <v/>
      </c>
      <c r="CA444" s="37" t="str">
        <v/>
      </c>
      <c r="CB444" s="39" t="str">
        <v/>
      </c>
      <c r="CC444" s="39" t="str">
        <v/>
      </c>
      <c r="CD444" s="37" t="str">
        <v/>
      </c>
      <c r="CE444" s="37" t="str">
        <v/>
      </c>
      <c r="CF444" s="37" t="str">
        <v/>
      </c>
      <c r="CG444" s="37" t="str">
        <v/>
      </c>
      <c r="CH444" s="37" t="str">
        <v/>
      </c>
      <c r="CI444" s="37" t="str">
        <v/>
      </c>
      <c r="CJ444" s="41" t="str">
        <f t="shared" si="245"/>
        <v/>
      </c>
      <c r="CK444" s="41" t="str">
        <f t="shared" si="246"/>
        <v/>
      </c>
      <c r="CL444" s="66" t="str">
        <f t="shared" si="247"/>
        <v/>
      </c>
      <c r="CM444" s="39" t="str">
        <f t="shared" si="248"/>
        <v/>
      </c>
      <c r="CN444" s="39" t="str">
        <f t="shared" si="249"/>
        <v/>
      </c>
      <c r="CO444" s="42" t="str">
        <f t="shared" si="250"/>
        <v/>
      </c>
      <c r="CP444" s="42" t="str">
        <f t="shared" si="251"/>
        <v/>
      </c>
      <c r="CQ444" s="42" t="str">
        <f t="shared" si="252"/>
        <v/>
      </c>
      <c r="CR444" s="42" t="str">
        <f t="shared" si="253"/>
        <v/>
      </c>
      <c r="CS444" s="42" t="str">
        <f t="shared" si="254"/>
        <v/>
      </c>
      <c r="CT444" s="42" t="str">
        <f t="shared" si="255"/>
        <v/>
      </c>
      <c r="CU444" s="43" t="str">
        <f t="shared" si="256"/>
        <v/>
      </c>
      <c r="CV444" s="43" t="str">
        <f t="shared" si="257"/>
        <v/>
      </c>
      <c r="CW444" s="43" t="str">
        <f t="shared" si="258"/>
        <v/>
      </c>
      <c r="CX444" s="13"/>
    </row>
    <row r="445" spans="1:102" x14ac:dyDescent="0.25">
      <c r="A445" s="31"/>
      <c r="B445" s="13"/>
      <c r="C445" s="13"/>
      <c r="D445" s="13"/>
      <c r="E445" s="32"/>
      <c r="F445" s="32"/>
      <c r="G445" s="32"/>
      <c r="H445" s="32"/>
      <c r="I445" s="32"/>
      <c r="J445" s="13"/>
      <c r="K445" s="33"/>
      <c r="L445" s="34" t="str">
        <f>IFERROR(INDEX('Pokemon Data'!A:A,MATCH($A445,'Pokemon Data'!$B:$B,0)),"")</f>
        <v/>
      </c>
      <c r="M445" s="34" t="str">
        <f>IFERROR(INDEX('Pokemon Data'!I:I,MATCH($A445,'Pokemon Data'!$B:$B,0)),"")</f>
        <v/>
      </c>
      <c r="N445" s="34" t="str">
        <f>IFERROR(INDEX('Pokemon Data'!J:J,MATCH($A445,'Pokemon Data'!$B:$B,0)),"")</f>
        <v/>
      </c>
      <c r="O445" s="34" t="str">
        <f>IFERROR(INDEX('Pokemon Data'!K:K,MATCH($A445,'Pokemon Data'!$B:$B,0)),"")</f>
        <v/>
      </c>
      <c r="P445" s="35" t="str">
        <f>IFERROR(INDEX('Level Multipliers'!$A:$A,MATCH($D445,'Level Multipliers'!$B:$B,0)),"")</f>
        <v/>
      </c>
      <c r="Q445" s="36" t="str">
        <f>IFERROR(INDEX('Level Multipliers'!$D:$D,MATCH(P445,'Level Multipliers'!$A:$A,0)),"")</f>
        <v/>
      </c>
      <c r="R445" s="37" t="str">
        <f t="shared" si="222"/>
        <v/>
      </c>
      <c r="S445" s="37" t="str">
        <f t="shared" si="223"/>
        <v/>
      </c>
      <c r="T445" s="38" t="str">
        <f t="shared" si="224"/>
        <v/>
      </c>
      <c r="U445" s="38" t="str">
        <f t="shared" si="225"/>
        <v/>
      </c>
      <c r="V445" s="38" t="b">
        <f t="shared" si="226"/>
        <v>1</v>
      </c>
      <c r="W445" s="37" t="str">
        <f t="array" ref="W445:AG445">IF(V445,"",IVSolution($M445,$N445,$O445,R445,S445,T445,U445,$E445,$F445,$G445,$H445,$I445))</f>
        <v/>
      </c>
      <c r="X445" s="37" t="str">
        <v/>
      </c>
      <c r="Y445" s="37" t="str">
        <v/>
      </c>
      <c r="Z445" s="39" t="str">
        <v/>
      </c>
      <c r="AA445" s="39" t="str">
        <v/>
      </c>
      <c r="AB445" s="37" t="str">
        <v/>
      </c>
      <c r="AC445" s="37" t="str">
        <v/>
      </c>
      <c r="AD445" s="37" t="str">
        <v/>
      </c>
      <c r="AE445" s="37" t="str">
        <v/>
      </c>
      <c r="AF445" s="37" t="str">
        <v/>
      </c>
      <c r="AG445" s="37" t="str">
        <v/>
      </c>
      <c r="AH445" s="40" t="str">
        <f t="shared" si="227"/>
        <v/>
      </c>
      <c r="AI445" s="36" t="str">
        <f>IFERROR(INDEX('Level Multipliers'!$D:$D,MATCH(AH445,'Level Multipliers'!$A:$A,0)),"")</f>
        <v/>
      </c>
      <c r="AJ445" s="37" t="str">
        <f t="shared" si="228"/>
        <v/>
      </c>
      <c r="AK445" s="37" t="str">
        <f t="shared" si="229"/>
        <v/>
      </c>
      <c r="AL445" s="38" t="str">
        <f t="shared" si="230"/>
        <v/>
      </c>
      <c r="AM445" s="38" t="str">
        <f t="shared" si="231"/>
        <v/>
      </c>
      <c r="AN445" s="38" t="b">
        <f t="shared" si="232"/>
        <v>1</v>
      </c>
      <c r="AO445" s="37" t="str">
        <f t="array" ref="AO445:AY445">IF(AN445,"",IVSolution($M445,$N445,$O445,AJ445,AK445,AL445,AM445,$E445,$F445,$G445,$H445,$I445))</f>
        <v/>
      </c>
      <c r="AP445" s="37" t="str">
        <v/>
      </c>
      <c r="AQ445" s="37" t="str">
        <v/>
      </c>
      <c r="AR445" s="39" t="str">
        <v/>
      </c>
      <c r="AS445" s="39" t="str">
        <v/>
      </c>
      <c r="AT445" s="37" t="str">
        <v/>
      </c>
      <c r="AU445" s="37" t="str">
        <v/>
      </c>
      <c r="AV445" s="37" t="str">
        <v/>
      </c>
      <c r="AW445" s="37" t="str">
        <v/>
      </c>
      <c r="AX445" s="37" t="str">
        <v/>
      </c>
      <c r="AY445" s="37" t="str">
        <v/>
      </c>
      <c r="AZ445" s="40" t="str">
        <f t="shared" si="233"/>
        <v/>
      </c>
      <c r="BA445" s="36" t="str">
        <f>IFERROR(INDEX('Level Multipliers'!$D:$D,MATCH(AZ445,'Level Multipliers'!$A:$A,0)),"")</f>
        <v/>
      </c>
      <c r="BB445" s="37" t="str">
        <f t="shared" si="234"/>
        <v/>
      </c>
      <c r="BC445" s="37" t="str">
        <f t="shared" si="235"/>
        <v/>
      </c>
      <c r="BD445" s="38" t="str">
        <f t="shared" si="236"/>
        <v/>
      </c>
      <c r="BE445" s="38" t="str">
        <f t="shared" si="237"/>
        <v/>
      </c>
      <c r="BF445" s="38" t="b">
        <f t="shared" si="238"/>
        <v>1</v>
      </c>
      <c r="BG445" s="37" t="str">
        <f t="array" ref="BG445:BQ445">IF(BF445,"",IVSolution($M445,$N445,$O445,BB445,BC445,BD445,BE445,$E445,$F445,$G445,$H445,$I445))</f>
        <v/>
      </c>
      <c r="BH445" s="37" t="str">
        <v/>
      </c>
      <c r="BI445" s="37" t="str">
        <v/>
      </c>
      <c r="BJ445" s="39" t="str">
        <v/>
      </c>
      <c r="BK445" s="39" t="str">
        <v/>
      </c>
      <c r="BL445" s="37" t="str">
        <v/>
      </c>
      <c r="BM445" s="37" t="str">
        <v/>
      </c>
      <c r="BN445" s="37" t="str">
        <v/>
      </c>
      <c r="BO445" s="37" t="str">
        <v/>
      </c>
      <c r="BP445" s="37" t="str">
        <v/>
      </c>
      <c r="BQ445" s="37" t="str">
        <v/>
      </c>
      <c r="BR445" s="40" t="str">
        <f t="shared" si="239"/>
        <v/>
      </c>
      <c r="BS445" s="36" t="str">
        <f>IFERROR(INDEX('Level Multipliers'!$D:$D,MATCH(BR445,'Level Multipliers'!$A:$A,0)),"")</f>
        <v/>
      </c>
      <c r="BT445" s="37" t="str">
        <f t="shared" si="240"/>
        <v/>
      </c>
      <c r="BU445" s="37" t="str">
        <f t="shared" si="241"/>
        <v/>
      </c>
      <c r="BV445" s="38" t="str">
        <f t="shared" si="242"/>
        <v/>
      </c>
      <c r="BW445" s="38" t="str">
        <f t="shared" si="243"/>
        <v/>
      </c>
      <c r="BX445" s="38" t="b">
        <f t="shared" si="244"/>
        <v>1</v>
      </c>
      <c r="BY445" s="37" t="str">
        <f t="array" ref="BY445:CI445">IF(BX445,"",IVSolution($M445,$N445,$O445,BT445,BU445,BV445,BW445,$E445,$F445,$G445,$H445,$I445))</f>
        <v/>
      </c>
      <c r="BZ445" s="37" t="str">
        <v/>
      </c>
      <c r="CA445" s="37" t="str">
        <v/>
      </c>
      <c r="CB445" s="39" t="str">
        <v/>
      </c>
      <c r="CC445" s="39" t="str">
        <v/>
      </c>
      <c r="CD445" s="37" t="str">
        <v/>
      </c>
      <c r="CE445" s="37" t="str">
        <v/>
      </c>
      <c r="CF445" s="37" t="str">
        <v/>
      </c>
      <c r="CG445" s="37" t="str">
        <v/>
      </c>
      <c r="CH445" s="37" t="str">
        <v/>
      </c>
      <c r="CI445" s="37" t="str">
        <v/>
      </c>
      <c r="CJ445" s="41" t="str">
        <f t="shared" si="245"/>
        <v/>
      </c>
      <c r="CK445" s="41" t="str">
        <f t="shared" si="246"/>
        <v/>
      </c>
      <c r="CL445" s="66" t="str">
        <f t="shared" si="247"/>
        <v/>
      </c>
      <c r="CM445" s="39" t="str">
        <f t="shared" si="248"/>
        <v/>
      </c>
      <c r="CN445" s="39" t="str">
        <f t="shared" si="249"/>
        <v/>
      </c>
      <c r="CO445" s="42" t="str">
        <f t="shared" si="250"/>
        <v/>
      </c>
      <c r="CP445" s="42" t="str">
        <f t="shared" si="251"/>
        <v/>
      </c>
      <c r="CQ445" s="42" t="str">
        <f t="shared" si="252"/>
        <v/>
      </c>
      <c r="CR445" s="42" t="str">
        <f t="shared" si="253"/>
        <v/>
      </c>
      <c r="CS445" s="42" t="str">
        <f t="shared" si="254"/>
        <v/>
      </c>
      <c r="CT445" s="42" t="str">
        <f t="shared" si="255"/>
        <v/>
      </c>
      <c r="CU445" s="43" t="str">
        <f t="shared" si="256"/>
        <v/>
      </c>
      <c r="CV445" s="43" t="str">
        <f t="shared" si="257"/>
        <v/>
      </c>
      <c r="CW445" s="43" t="str">
        <f t="shared" si="258"/>
        <v/>
      </c>
      <c r="CX445" s="13"/>
    </row>
    <row r="446" spans="1:102" x14ac:dyDescent="0.25">
      <c r="A446" s="31"/>
      <c r="B446" s="13"/>
      <c r="C446" s="13"/>
      <c r="D446" s="13"/>
      <c r="E446" s="32"/>
      <c r="F446" s="32"/>
      <c r="G446" s="32"/>
      <c r="H446" s="32"/>
      <c r="I446" s="32"/>
      <c r="J446" s="13"/>
      <c r="K446" s="33"/>
      <c r="L446" s="34" t="str">
        <f>IFERROR(INDEX('Pokemon Data'!A:A,MATCH($A446,'Pokemon Data'!$B:$B,0)),"")</f>
        <v/>
      </c>
      <c r="M446" s="34" t="str">
        <f>IFERROR(INDEX('Pokemon Data'!I:I,MATCH($A446,'Pokemon Data'!$B:$B,0)),"")</f>
        <v/>
      </c>
      <c r="N446" s="34" t="str">
        <f>IFERROR(INDEX('Pokemon Data'!J:J,MATCH($A446,'Pokemon Data'!$B:$B,0)),"")</f>
        <v/>
      </c>
      <c r="O446" s="34" t="str">
        <f>IFERROR(INDEX('Pokemon Data'!K:K,MATCH($A446,'Pokemon Data'!$B:$B,0)),"")</f>
        <v/>
      </c>
      <c r="P446" s="35" t="str">
        <f>IFERROR(INDEX('Level Multipliers'!$A:$A,MATCH($D446,'Level Multipliers'!$B:$B,0)),"")</f>
        <v/>
      </c>
      <c r="Q446" s="36" t="str">
        <f>IFERROR(INDEX('Level Multipliers'!$D:$D,MATCH(P446,'Level Multipliers'!$A:$A,0)),"")</f>
        <v/>
      </c>
      <c r="R446" s="37" t="str">
        <f t="shared" si="222"/>
        <v/>
      </c>
      <c r="S446" s="37" t="str">
        <f t="shared" si="223"/>
        <v/>
      </c>
      <c r="T446" s="38" t="str">
        <f t="shared" si="224"/>
        <v/>
      </c>
      <c r="U446" s="38" t="str">
        <f t="shared" si="225"/>
        <v/>
      </c>
      <c r="V446" s="38" t="b">
        <f t="shared" si="226"/>
        <v>1</v>
      </c>
      <c r="W446" s="37" t="str">
        <f t="array" ref="W446:AG446">IF(V446,"",IVSolution($M446,$N446,$O446,R446,S446,T446,U446,$E446,$F446,$G446,$H446,$I446))</f>
        <v/>
      </c>
      <c r="X446" s="37" t="str">
        <v/>
      </c>
      <c r="Y446" s="37" t="str">
        <v/>
      </c>
      <c r="Z446" s="39" t="str">
        <v/>
      </c>
      <c r="AA446" s="39" t="str">
        <v/>
      </c>
      <c r="AB446" s="37" t="str">
        <v/>
      </c>
      <c r="AC446" s="37" t="str">
        <v/>
      </c>
      <c r="AD446" s="37" t="str">
        <v/>
      </c>
      <c r="AE446" s="37" t="str">
        <v/>
      </c>
      <c r="AF446" s="37" t="str">
        <v/>
      </c>
      <c r="AG446" s="37" t="str">
        <v/>
      </c>
      <c r="AH446" s="40" t="str">
        <f t="shared" si="227"/>
        <v/>
      </c>
      <c r="AI446" s="36" t="str">
        <f>IFERROR(INDEX('Level Multipliers'!$D:$D,MATCH(AH446,'Level Multipliers'!$A:$A,0)),"")</f>
        <v/>
      </c>
      <c r="AJ446" s="37" t="str">
        <f t="shared" si="228"/>
        <v/>
      </c>
      <c r="AK446" s="37" t="str">
        <f t="shared" si="229"/>
        <v/>
      </c>
      <c r="AL446" s="38" t="str">
        <f t="shared" si="230"/>
        <v/>
      </c>
      <c r="AM446" s="38" t="str">
        <f t="shared" si="231"/>
        <v/>
      </c>
      <c r="AN446" s="38" t="b">
        <f t="shared" si="232"/>
        <v>1</v>
      </c>
      <c r="AO446" s="37" t="str">
        <f t="array" ref="AO446:AY446">IF(AN446,"",IVSolution($M446,$N446,$O446,AJ446,AK446,AL446,AM446,$E446,$F446,$G446,$H446,$I446))</f>
        <v/>
      </c>
      <c r="AP446" s="37" t="str">
        <v/>
      </c>
      <c r="AQ446" s="37" t="str">
        <v/>
      </c>
      <c r="AR446" s="39" t="str">
        <v/>
      </c>
      <c r="AS446" s="39" t="str">
        <v/>
      </c>
      <c r="AT446" s="37" t="str">
        <v/>
      </c>
      <c r="AU446" s="37" t="str">
        <v/>
      </c>
      <c r="AV446" s="37" t="str">
        <v/>
      </c>
      <c r="AW446" s="37" t="str">
        <v/>
      </c>
      <c r="AX446" s="37" t="str">
        <v/>
      </c>
      <c r="AY446" s="37" t="str">
        <v/>
      </c>
      <c r="AZ446" s="40" t="str">
        <f t="shared" si="233"/>
        <v/>
      </c>
      <c r="BA446" s="36" t="str">
        <f>IFERROR(INDEX('Level Multipliers'!$D:$D,MATCH(AZ446,'Level Multipliers'!$A:$A,0)),"")</f>
        <v/>
      </c>
      <c r="BB446" s="37" t="str">
        <f t="shared" si="234"/>
        <v/>
      </c>
      <c r="BC446" s="37" t="str">
        <f t="shared" si="235"/>
        <v/>
      </c>
      <c r="BD446" s="38" t="str">
        <f t="shared" si="236"/>
        <v/>
      </c>
      <c r="BE446" s="38" t="str">
        <f t="shared" si="237"/>
        <v/>
      </c>
      <c r="BF446" s="38" t="b">
        <f t="shared" si="238"/>
        <v>1</v>
      </c>
      <c r="BG446" s="37" t="str">
        <f t="array" ref="BG446:BQ446">IF(BF446,"",IVSolution($M446,$N446,$O446,BB446,BC446,BD446,BE446,$E446,$F446,$G446,$H446,$I446))</f>
        <v/>
      </c>
      <c r="BH446" s="37" t="str">
        <v/>
      </c>
      <c r="BI446" s="37" t="str">
        <v/>
      </c>
      <c r="BJ446" s="39" t="str">
        <v/>
      </c>
      <c r="BK446" s="39" t="str">
        <v/>
      </c>
      <c r="BL446" s="37" t="str">
        <v/>
      </c>
      <c r="BM446" s="37" t="str">
        <v/>
      </c>
      <c r="BN446" s="37" t="str">
        <v/>
      </c>
      <c r="BO446" s="37" t="str">
        <v/>
      </c>
      <c r="BP446" s="37" t="str">
        <v/>
      </c>
      <c r="BQ446" s="37" t="str">
        <v/>
      </c>
      <c r="BR446" s="40" t="str">
        <f t="shared" si="239"/>
        <v/>
      </c>
      <c r="BS446" s="36" t="str">
        <f>IFERROR(INDEX('Level Multipliers'!$D:$D,MATCH(BR446,'Level Multipliers'!$A:$A,0)),"")</f>
        <v/>
      </c>
      <c r="BT446" s="37" t="str">
        <f t="shared" si="240"/>
        <v/>
      </c>
      <c r="BU446" s="37" t="str">
        <f t="shared" si="241"/>
        <v/>
      </c>
      <c r="BV446" s="38" t="str">
        <f t="shared" si="242"/>
        <v/>
      </c>
      <c r="BW446" s="38" t="str">
        <f t="shared" si="243"/>
        <v/>
      </c>
      <c r="BX446" s="38" t="b">
        <f t="shared" si="244"/>
        <v>1</v>
      </c>
      <c r="BY446" s="37" t="str">
        <f t="array" ref="BY446:CI446">IF(BX446,"",IVSolution($M446,$N446,$O446,BT446,BU446,BV446,BW446,$E446,$F446,$G446,$H446,$I446))</f>
        <v/>
      </c>
      <c r="BZ446" s="37" t="str">
        <v/>
      </c>
      <c r="CA446" s="37" t="str">
        <v/>
      </c>
      <c r="CB446" s="39" t="str">
        <v/>
      </c>
      <c r="CC446" s="39" t="str">
        <v/>
      </c>
      <c r="CD446" s="37" t="str">
        <v/>
      </c>
      <c r="CE446" s="37" t="str">
        <v/>
      </c>
      <c r="CF446" s="37" t="str">
        <v/>
      </c>
      <c r="CG446" s="37" t="str">
        <v/>
      </c>
      <c r="CH446" s="37" t="str">
        <v/>
      </c>
      <c r="CI446" s="37" t="str">
        <v/>
      </c>
      <c r="CJ446" s="41" t="str">
        <f t="shared" si="245"/>
        <v/>
      </c>
      <c r="CK446" s="41" t="str">
        <f t="shared" si="246"/>
        <v/>
      </c>
      <c r="CL446" s="66" t="str">
        <f t="shared" si="247"/>
        <v/>
      </c>
      <c r="CM446" s="39" t="str">
        <f t="shared" si="248"/>
        <v/>
      </c>
      <c r="CN446" s="39" t="str">
        <f t="shared" si="249"/>
        <v/>
      </c>
      <c r="CO446" s="42" t="str">
        <f t="shared" si="250"/>
        <v/>
      </c>
      <c r="CP446" s="42" t="str">
        <f t="shared" si="251"/>
        <v/>
      </c>
      <c r="CQ446" s="42" t="str">
        <f t="shared" si="252"/>
        <v/>
      </c>
      <c r="CR446" s="42" t="str">
        <f t="shared" si="253"/>
        <v/>
      </c>
      <c r="CS446" s="42" t="str">
        <f t="shared" si="254"/>
        <v/>
      </c>
      <c r="CT446" s="42" t="str">
        <f t="shared" si="255"/>
        <v/>
      </c>
      <c r="CU446" s="43" t="str">
        <f t="shared" si="256"/>
        <v/>
      </c>
      <c r="CV446" s="43" t="str">
        <f t="shared" si="257"/>
        <v/>
      </c>
      <c r="CW446" s="43" t="str">
        <f t="shared" si="258"/>
        <v/>
      </c>
      <c r="CX446" s="13"/>
    </row>
    <row r="447" spans="1:102" x14ac:dyDescent="0.25">
      <c r="A447" s="31"/>
      <c r="B447" s="13"/>
      <c r="C447" s="13"/>
      <c r="D447" s="13"/>
      <c r="E447" s="32"/>
      <c r="F447" s="32"/>
      <c r="G447" s="32"/>
      <c r="H447" s="32"/>
      <c r="I447" s="32"/>
      <c r="J447" s="13"/>
      <c r="K447" s="33"/>
      <c r="L447" s="34" t="str">
        <f>IFERROR(INDEX('Pokemon Data'!A:A,MATCH($A447,'Pokemon Data'!$B:$B,0)),"")</f>
        <v/>
      </c>
      <c r="M447" s="34" t="str">
        <f>IFERROR(INDEX('Pokemon Data'!I:I,MATCH($A447,'Pokemon Data'!$B:$B,0)),"")</f>
        <v/>
      </c>
      <c r="N447" s="34" t="str">
        <f>IFERROR(INDEX('Pokemon Data'!J:J,MATCH($A447,'Pokemon Data'!$B:$B,0)),"")</f>
        <v/>
      </c>
      <c r="O447" s="34" t="str">
        <f>IFERROR(INDEX('Pokemon Data'!K:K,MATCH($A447,'Pokemon Data'!$B:$B,0)),"")</f>
        <v/>
      </c>
      <c r="P447" s="35" t="str">
        <f>IFERROR(INDEX('Level Multipliers'!$A:$A,MATCH($D447,'Level Multipliers'!$B:$B,0)),"")</f>
        <v/>
      </c>
      <c r="Q447" s="36" t="str">
        <f>IFERROR(INDEX('Level Multipliers'!$D:$D,MATCH(P447,'Level Multipliers'!$A:$A,0)),"")</f>
        <v/>
      </c>
      <c r="R447" s="37" t="str">
        <f t="shared" si="222"/>
        <v/>
      </c>
      <c r="S447" s="37" t="str">
        <f t="shared" si="223"/>
        <v/>
      </c>
      <c r="T447" s="38" t="str">
        <f t="shared" si="224"/>
        <v/>
      </c>
      <c r="U447" s="38" t="str">
        <f t="shared" si="225"/>
        <v/>
      </c>
      <c r="V447" s="38" t="b">
        <f t="shared" si="226"/>
        <v>1</v>
      </c>
      <c r="W447" s="37" t="str">
        <f t="array" ref="W447:AG447">IF(V447,"",IVSolution($M447,$N447,$O447,R447,S447,T447,U447,$E447,$F447,$G447,$H447,$I447))</f>
        <v/>
      </c>
      <c r="X447" s="37" t="str">
        <v/>
      </c>
      <c r="Y447" s="37" t="str">
        <v/>
      </c>
      <c r="Z447" s="39" t="str">
        <v/>
      </c>
      <c r="AA447" s="39" t="str">
        <v/>
      </c>
      <c r="AB447" s="37" t="str">
        <v/>
      </c>
      <c r="AC447" s="37" t="str">
        <v/>
      </c>
      <c r="AD447" s="37" t="str">
        <v/>
      </c>
      <c r="AE447" s="37" t="str">
        <v/>
      </c>
      <c r="AF447" s="37" t="str">
        <v/>
      </c>
      <c r="AG447" s="37" t="str">
        <v/>
      </c>
      <c r="AH447" s="40" t="str">
        <f t="shared" si="227"/>
        <v/>
      </c>
      <c r="AI447" s="36" t="str">
        <f>IFERROR(INDEX('Level Multipliers'!$D:$D,MATCH(AH447,'Level Multipliers'!$A:$A,0)),"")</f>
        <v/>
      </c>
      <c r="AJ447" s="37" t="str">
        <f t="shared" si="228"/>
        <v/>
      </c>
      <c r="AK447" s="37" t="str">
        <f t="shared" si="229"/>
        <v/>
      </c>
      <c r="AL447" s="38" t="str">
        <f t="shared" si="230"/>
        <v/>
      </c>
      <c r="AM447" s="38" t="str">
        <f t="shared" si="231"/>
        <v/>
      </c>
      <c r="AN447" s="38" t="b">
        <f t="shared" si="232"/>
        <v>1</v>
      </c>
      <c r="AO447" s="37" t="str">
        <f t="array" ref="AO447:AY447">IF(AN447,"",IVSolution($M447,$N447,$O447,AJ447,AK447,AL447,AM447,$E447,$F447,$G447,$H447,$I447))</f>
        <v/>
      </c>
      <c r="AP447" s="37" t="str">
        <v/>
      </c>
      <c r="AQ447" s="37" t="str">
        <v/>
      </c>
      <c r="AR447" s="39" t="str">
        <v/>
      </c>
      <c r="AS447" s="39" t="str">
        <v/>
      </c>
      <c r="AT447" s="37" t="str">
        <v/>
      </c>
      <c r="AU447" s="37" t="str">
        <v/>
      </c>
      <c r="AV447" s="37" t="str">
        <v/>
      </c>
      <c r="AW447" s="37" t="str">
        <v/>
      </c>
      <c r="AX447" s="37" t="str">
        <v/>
      </c>
      <c r="AY447" s="37" t="str">
        <v/>
      </c>
      <c r="AZ447" s="40" t="str">
        <f t="shared" si="233"/>
        <v/>
      </c>
      <c r="BA447" s="36" t="str">
        <f>IFERROR(INDEX('Level Multipliers'!$D:$D,MATCH(AZ447,'Level Multipliers'!$A:$A,0)),"")</f>
        <v/>
      </c>
      <c r="BB447" s="37" t="str">
        <f t="shared" si="234"/>
        <v/>
      </c>
      <c r="BC447" s="37" t="str">
        <f t="shared" si="235"/>
        <v/>
      </c>
      <c r="BD447" s="38" t="str">
        <f t="shared" si="236"/>
        <v/>
      </c>
      <c r="BE447" s="38" t="str">
        <f t="shared" si="237"/>
        <v/>
      </c>
      <c r="BF447" s="38" t="b">
        <f t="shared" si="238"/>
        <v>1</v>
      </c>
      <c r="BG447" s="37" t="str">
        <f t="array" ref="BG447:BQ447">IF(BF447,"",IVSolution($M447,$N447,$O447,BB447,BC447,BD447,BE447,$E447,$F447,$G447,$H447,$I447))</f>
        <v/>
      </c>
      <c r="BH447" s="37" t="str">
        <v/>
      </c>
      <c r="BI447" s="37" t="str">
        <v/>
      </c>
      <c r="BJ447" s="39" t="str">
        <v/>
      </c>
      <c r="BK447" s="39" t="str">
        <v/>
      </c>
      <c r="BL447" s="37" t="str">
        <v/>
      </c>
      <c r="BM447" s="37" t="str">
        <v/>
      </c>
      <c r="BN447" s="37" t="str">
        <v/>
      </c>
      <c r="BO447" s="37" t="str">
        <v/>
      </c>
      <c r="BP447" s="37" t="str">
        <v/>
      </c>
      <c r="BQ447" s="37" t="str">
        <v/>
      </c>
      <c r="BR447" s="40" t="str">
        <f t="shared" si="239"/>
        <v/>
      </c>
      <c r="BS447" s="36" t="str">
        <f>IFERROR(INDEX('Level Multipliers'!$D:$D,MATCH(BR447,'Level Multipliers'!$A:$A,0)),"")</f>
        <v/>
      </c>
      <c r="BT447" s="37" t="str">
        <f t="shared" si="240"/>
        <v/>
      </c>
      <c r="BU447" s="37" t="str">
        <f t="shared" si="241"/>
        <v/>
      </c>
      <c r="BV447" s="38" t="str">
        <f t="shared" si="242"/>
        <v/>
      </c>
      <c r="BW447" s="38" t="str">
        <f t="shared" si="243"/>
        <v/>
      </c>
      <c r="BX447" s="38" t="b">
        <f t="shared" si="244"/>
        <v>1</v>
      </c>
      <c r="BY447" s="37" t="str">
        <f t="array" ref="BY447:CI447">IF(BX447,"",IVSolution($M447,$N447,$O447,BT447,BU447,BV447,BW447,$E447,$F447,$G447,$H447,$I447))</f>
        <v/>
      </c>
      <c r="BZ447" s="37" t="str">
        <v/>
      </c>
      <c r="CA447" s="37" t="str">
        <v/>
      </c>
      <c r="CB447" s="39" t="str">
        <v/>
      </c>
      <c r="CC447" s="39" t="str">
        <v/>
      </c>
      <c r="CD447" s="37" t="str">
        <v/>
      </c>
      <c r="CE447" s="37" t="str">
        <v/>
      </c>
      <c r="CF447" s="37" t="str">
        <v/>
      </c>
      <c r="CG447" s="37" t="str">
        <v/>
      </c>
      <c r="CH447" s="37" t="str">
        <v/>
      </c>
      <c r="CI447" s="37" t="str">
        <v/>
      </c>
      <c r="CJ447" s="41" t="str">
        <f t="shared" si="245"/>
        <v/>
      </c>
      <c r="CK447" s="41" t="str">
        <f t="shared" si="246"/>
        <v/>
      </c>
      <c r="CL447" s="66" t="str">
        <f t="shared" si="247"/>
        <v/>
      </c>
      <c r="CM447" s="39" t="str">
        <f t="shared" si="248"/>
        <v/>
      </c>
      <c r="CN447" s="39" t="str">
        <f t="shared" si="249"/>
        <v/>
      </c>
      <c r="CO447" s="42" t="str">
        <f t="shared" si="250"/>
        <v/>
      </c>
      <c r="CP447" s="42" t="str">
        <f t="shared" si="251"/>
        <v/>
      </c>
      <c r="CQ447" s="42" t="str">
        <f t="shared" si="252"/>
        <v/>
      </c>
      <c r="CR447" s="42" t="str">
        <f t="shared" si="253"/>
        <v/>
      </c>
      <c r="CS447" s="42" t="str">
        <f t="shared" si="254"/>
        <v/>
      </c>
      <c r="CT447" s="42" t="str">
        <f t="shared" si="255"/>
        <v/>
      </c>
      <c r="CU447" s="43" t="str">
        <f t="shared" si="256"/>
        <v/>
      </c>
      <c r="CV447" s="43" t="str">
        <f t="shared" si="257"/>
        <v/>
      </c>
      <c r="CW447" s="43" t="str">
        <f t="shared" si="258"/>
        <v/>
      </c>
      <c r="CX447" s="13"/>
    </row>
    <row r="448" spans="1:102" x14ac:dyDescent="0.25">
      <c r="A448" s="31"/>
      <c r="B448" s="13"/>
      <c r="C448" s="13"/>
      <c r="D448" s="13"/>
      <c r="E448" s="32"/>
      <c r="F448" s="32"/>
      <c r="G448" s="32"/>
      <c r="H448" s="32"/>
      <c r="I448" s="32"/>
      <c r="J448" s="13"/>
      <c r="K448" s="33"/>
      <c r="L448" s="34" t="str">
        <f>IFERROR(INDEX('Pokemon Data'!A:A,MATCH($A448,'Pokemon Data'!$B:$B,0)),"")</f>
        <v/>
      </c>
      <c r="M448" s="34" t="str">
        <f>IFERROR(INDEX('Pokemon Data'!I:I,MATCH($A448,'Pokemon Data'!$B:$B,0)),"")</f>
        <v/>
      </c>
      <c r="N448" s="34" t="str">
        <f>IFERROR(INDEX('Pokemon Data'!J:J,MATCH($A448,'Pokemon Data'!$B:$B,0)),"")</f>
        <v/>
      </c>
      <c r="O448" s="34" t="str">
        <f>IFERROR(INDEX('Pokemon Data'!K:K,MATCH($A448,'Pokemon Data'!$B:$B,0)),"")</f>
        <v/>
      </c>
      <c r="P448" s="35" t="str">
        <f>IFERROR(INDEX('Level Multipliers'!$A:$A,MATCH($D448,'Level Multipliers'!$B:$B,0)),"")</f>
        <v/>
      </c>
      <c r="Q448" s="36" t="str">
        <f>IFERROR(INDEX('Level Multipliers'!$D:$D,MATCH(P448,'Level Multipliers'!$A:$A,0)),"")</f>
        <v/>
      </c>
      <c r="R448" s="37" t="str">
        <f t="shared" si="222"/>
        <v/>
      </c>
      <c r="S448" s="37" t="str">
        <f t="shared" si="223"/>
        <v/>
      </c>
      <c r="T448" s="38" t="str">
        <f t="shared" si="224"/>
        <v/>
      </c>
      <c r="U448" s="38" t="str">
        <f t="shared" si="225"/>
        <v/>
      </c>
      <c r="V448" s="38" t="b">
        <f t="shared" si="226"/>
        <v>1</v>
      </c>
      <c r="W448" s="37" t="str">
        <f t="array" ref="W448:AG448">IF(V448,"",IVSolution($M448,$N448,$O448,R448,S448,T448,U448,$E448,$F448,$G448,$H448,$I448))</f>
        <v/>
      </c>
      <c r="X448" s="37" t="str">
        <v/>
      </c>
      <c r="Y448" s="37" t="str">
        <v/>
      </c>
      <c r="Z448" s="39" t="str">
        <v/>
      </c>
      <c r="AA448" s="39" t="str">
        <v/>
      </c>
      <c r="AB448" s="37" t="str">
        <v/>
      </c>
      <c r="AC448" s="37" t="str">
        <v/>
      </c>
      <c r="AD448" s="37" t="str">
        <v/>
      </c>
      <c r="AE448" s="37" t="str">
        <v/>
      </c>
      <c r="AF448" s="37" t="str">
        <v/>
      </c>
      <c r="AG448" s="37" t="str">
        <v/>
      </c>
      <c r="AH448" s="40" t="str">
        <f t="shared" si="227"/>
        <v/>
      </c>
      <c r="AI448" s="36" t="str">
        <f>IFERROR(INDEX('Level Multipliers'!$D:$D,MATCH(AH448,'Level Multipliers'!$A:$A,0)),"")</f>
        <v/>
      </c>
      <c r="AJ448" s="37" t="str">
        <f t="shared" si="228"/>
        <v/>
      </c>
      <c r="AK448" s="37" t="str">
        <f t="shared" si="229"/>
        <v/>
      </c>
      <c r="AL448" s="38" t="str">
        <f t="shared" si="230"/>
        <v/>
      </c>
      <c r="AM448" s="38" t="str">
        <f t="shared" si="231"/>
        <v/>
      </c>
      <c r="AN448" s="38" t="b">
        <f t="shared" si="232"/>
        <v>1</v>
      </c>
      <c r="AO448" s="37" t="str">
        <f t="array" ref="AO448:AY448">IF(AN448,"",IVSolution($M448,$N448,$O448,AJ448,AK448,AL448,AM448,$E448,$F448,$G448,$H448,$I448))</f>
        <v/>
      </c>
      <c r="AP448" s="37" t="str">
        <v/>
      </c>
      <c r="AQ448" s="37" t="str">
        <v/>
      </c>
      <c r="AR448" s="39" t="str">
        <v/>
      </c>
      <c r="AS448" s="39" t="str">
        <v/>
      </c>
      <c r="AT448" s="37" t="str">
        <v/>
      </c>
      <c r="AU448" s="37" t="str">
        <v/>
      </c>
      <c r="AV448" s="37" t="str">
        <v/>
      </c>
      <c r="AW448" s="37" t="str">
        <v/>
      </c>
      <c r="AX448" s="37" t="str">
        <v/>
      </c>
      <c r="AY448" s="37" t="str">
        <v/>
      </c>
      <c r="AZ448" s="40" t="str">
        <f t="shared" si="233"/>
        <v/>
      </c>
      <c r="BA448" s="36" t="str">
        <f>IFERROR(INDEX('Level Multipliers'!$D:$D,MATCH(AZ448,'Level Multipliers'!$A:$A,0)),"")</f>
        <v/>
      </c>
      <c r="BB448" s="37" t="str">
        <f t="shared" si="234"/>
        <v/>
      </c>
      <c r="BC448" s="37" t="str">
        <f t="shared" si="235"/>
        <v/>
      </c>
      <c r="BD448" s="38" t="str">
        <f t="shared" si="236"/>
        <v/>
      </c>
      <c r="BE448" s="38" t="str">
        <f t="shared" si="237"/>
        <v/>
      </c>
      <c r="BF448" s="38" t="b">
        <f t="shared" si="238"/>
        <v>1</v>
      </c>
      <c r="BG448" s="37" t="str">
        <f t="array" ref="BG448:BQ448">IF(BF448,"",IVSolution($M448,$N448,$O448,BB448,BC448,BD448,BE448,$E448,$F448,$G448,$H448,$I448))</f>
        <v/>
      </c>
      <c r="BH448" s="37" t="str">
        <v/>
      </c>
      <c r="BI448" s="37" t="str">
        <v/>
      </c>
      <c r="BJ448" s="39" t="str">
        <v/>
      </c>
      <c r="BK448" s="39" t="str">
        <v/>
      </c>
      <c r="BL448" s="37" t="str">
        <v/>
      </c>
      <c r="BM448" s="37" t="str">
        <v/>
      </c>
      <c r="BN448" s="37" t="str">
        <v/>
      </c>
      <c r="BO448" s="37" t="str">
        <v/>
      </c>
      <c r="BP448" s="37" t="str">
        <v/>
      </c>
      <c r="BQ448" s="37" t="str">
        <v/>
      </c>
      <c r="BR448" s="40" t="str">
        <f t="shared" si="239"/>
        <v/>
      </c>
      <c r="BS448" s="36" t="str">
        <f>IFERROR(INDEX('Level Multipliers'!$D:$D,MATCH(BR448,'Level Multipliers'!$A:$A,0)),"")</f>
        <v/>
      </c>
      <c r="BT448" s="37" t="str">
        <f t="shared" si="240"/>
        <v/>
      </c>
      <c r="BU448" s="37" t="str">
        <f t="shared" si="241"/>
        <v/>
      </c>
      <c r="BV448" s="38" t="str">
        <f t="shared" si="242"/>
        <v/>
      </c>
      <c r="BW448" s="38" t="str">
        <f t="shared" si="243"/>
        <v/>
      </c>
      <c r="BX448" s="38" t="b">
        <f t="shared" si="244"/>
        <v>1</v>
      </c>
      <c r="BY448" s="37" t="str">
        <f t="array" ref="BY448:CI448">IF(BX448,"",IVSolution($M448,$N448,$O448,BT448,BU448,BV448,BW448,$E448,$F448,$G448,$H448,$I448))</f>
        <v/>
      </c>
      <c r="BZ448" s="37" t="str">
        <v/>
      </c>
      <c r="CA448" s="37" t="str">
        <v/>
      </c>
      <c r="CB448" s="39" t="str">
        <v/>
      </c>
      <c r="CC448" s="39" t="str">
        <v/>
      </c>
      <c r="CD448" s="37" t="str">
        <v/>
      </c>
      <c r="CE448" s="37" t="str">
        <v/>
      </c>
      <c r="CF448" s="37" t="str">
        <v/>
      </c>
      <c r="CG448" s="37" t="str">
        <v/>
      </c>
      <c r="CH448" s="37" t="str">
        <v/>
      </c>
      <c r="CI448" s="37" t="str">
        <v/>
      </c>
      <c r="CJ448" s="41" t="str">
        <f t="shared" si="245"/>
        <v/>
      </c>
      <c r="CK448" s="41" t="str">
        <f t="shared" si="246"/>
        <v/>
      </c>
      <c r="CL448" s="66" t="str">
        <f t="shared" si="247"/>
        <v/>
      </c>
      <c r="CM448" s="39" t="str">
        <f t="shared" si="248"/>
        <v/>
      </c>
      <c r="CN448" s="39" t="str">
        <f t="shared" si="249"/>
        <v/>
      </c>
      <c r="CO448" s="42" t="str">
        <f t="shared" si="250"/>
        <v/>
      </c>
      <c r="CP448" s="42" t="str">
        <f t="shared" si="251"/>
        <v/>
      </c>
      <c r="CQ448" s="42" t="str">
        <f t="shared" si="252"/>
        <v/>
      </c>
      <c r="CR448" s="42" t="str">
        <f t="shared" si="253"/>
        <v/>
      </c>
      <c r="CS448" s="42" t="str">
        <f t="shared" si="254"/>
        <v/>
      </c>
      <c r="CT448" s="42" t="str">
        <f t="shared" si="255"/>
        <v/>
      </c>
      <c r="CU448" s="43" t="str">
        <f t="shared" si="256"/>
        <v/>
      </c>
      <c r="CV448" s="43" t="str">
        <f t="shared" si="257"/>
        <v/>
      </c>
      <c r="CW448" s="43" t="str">
        <f t="shared" si="258"/>
        <v/>
      </c>
      <c r="CX448" s="13"/>
    </row>
    <row r="449" spans="1:102" x14ac:dyDescent="0.25">
      <c r="A449" s="31"/>
      <c r="B449" s="13"/>
      <c r="C449" s="13"/>
      <c r="D449" s="13"/>
      <c r="E449" s="32"/>
      <c r="F449" s="32"/>
      <c r="G449" s="32"/>
      <c r="H449" s="32"/>
      <c r="I449" s="32"/>
      <c r="J449" s="13"/>
      <c r="K449" s="33"/>
      <c r="L449" s="34" t="str">
        <f>IFERROR(INDEX('Pokemon Data'!A:A,MATCH($A449,'Pokemon Data'!$B:$B,0)),"")</f>
        <v/>
      </c>
      <c r="M449" s="34" t="str">
        <f>IFERROR(INDEX('Pokemon Data'!I:I,MATCH($A449,'Pokemon Data'!$B:$B,0)),"")</f>
        <v/>
      </c>
      <c r="N449" s="34" t="str">
        <f>IFERROR(INDEX('Pokemon Data'!J:J,MATCH($A449,'Pokemon Data'!$B:$B,0)),"")</f>
        <v/>
      </c>
      <c r="O449" s="34" t="str">
        <f>IFERROR(INDEX('Pokemon Data'!K:K,MATCH($A449,'Pokemon Data'!$B:$B,0)),"")</f>
        <v/>
      </c>
      <c r="P449" s="35" t="str">
        <f>IFERROR(INDEX('Level Multipliers'!$A:$A,MATCH($D449,'Level Multipliers'!$B:$B,0)),"")</f>
        <v/>
      </c>
      <c r="Q449" s="36" t="str">
        <f>IFERROR(INDEX('Level Multipliers'!$D:$D,MATCH(P449,'Level Multipliers'!$A:$A,0)),"")</f>
        <v/>
      </c>
      <c r="R449" s="37" t="str">
        <f t="shared" si="222"/>
        <v/>
      </c>
      <c r="S449" s="37" t="str">
        <f t="shared" si="223"/>
        <v/>
      </c>
      <c r="T449" s="38" t="str">
        <f t="shared" si="224"/>
        <v/>
      </c>
      <c r="U449" s="38" t="str">
        <f t="shared" si="225"/>
        <v/>
      </c>
      <c r="V449" s="38" t="b">
        <f t="shared" si="226"/>
        <v>1</v>
      </c>
      <c r="W449" s="37" t="str">
        <f t="array" ref="W449:AG449">IF(V449,"",IVSolution($M449,$N449,$O449,R449,S449,T449,U449,$E449,$F449,$G449,$H449,$I449))</f>
        <v/>
      </c>
      <c r="X449" s="37" t="str">
        <v/>
      </c>
      <c r="Y449" s="37" t="str">
        <v/>
      </c>
      <c r="Z449" s="39" t="str">
        <v/>
      </c>
      <c r="AA449" s="39" t="str">
        <v/>
      </c>
      <c r="AB449" s="37" t="str">
        <v/>
      </c>
      <c r="AC449" s="37" t="str">
        <v/>
      </c>
      <c r="AD449" s="37" t="str">
        <v/>
      </c>
      <c r="AE449" s="37" t="str">
        <v/>
      </c>
      <c r="AF449" s="37" t="str">
        <v/>
      </c>
      <c r="AG449" s="37" t="str">
        <v/>
      </c>
      <c r="AH449" s="40" t="str">
        <f t="shared" si="227"/>
        <v/>
      </c>
      <c r="AI449" s="36" t="str">
        <f>IFERROR(INDEX('Level Multipliers'!$D:$D,MATCH(AH449,'Level Multipliers'!$A:$A,0)),"")</f>
        <v/>
      </c>
      <c r="AJ449" s="37" t="str">
        <f t="shared" si="228"/>
        <v/>
      </c>
      <c r="AK449" s="37" t="str">
        <f t="shared" si="229"/>
        <v/>
      </c>
      <c r="AL449" s="38" t="str">
        <f t="shared" si="230"/>
        <v/>
      </c>
      <c r="AM449" s="38" t="str">
        <f t="shared" si="231"/>
        <v/>
      </c>
      <c r="AN449" s="38" t="b">
        <f t="shared" si="232"/>
        <v>1</v>
      </c>
      <c r="AO449" s="37" t="str">
        <f t="array" ref="AO449:AY449">IF(AN449,"",IVSolution($M449,$N449,$O449,AJ449,AK449,AL449,AM449,$E449,$F449,$G449,$H449,$I449))</f>
        <v/>
      </c>
      <c r="AP449" s="37" t="str">
        <v/>
      </c>
      <c r="AQ449" s="37" t="str">
        <v/>
      </c>
      <c r="AR449" s="39" t="str">
        <v/>
      </c>
      <c r="AS449" s="39" t="str">
        <v/>
      </c>
      <c r="AT449" s="37" t="str">
        <v/>
      </c>
      <c r="AU449" s="37" t="str">
        <v/>
      </c>
      <c r="AV449" s="37" t="str">
        <v/>
      </c>
      <c r="AW449" s="37" t="str">
        <v/>
      </c>
      <c r="AX449" s="37" t="str">
        <v/>
      </c>
      <c r="AY449" s="37" t="str">
        <v/>
      </c>
      <c r="AZ449" s="40" t="str">
        <f t="shared" si="233"/>
        <v/>
      </c>
      <c r="BA449" s="36" t="str">
        <f>IFERROR(INDEX('Level Multipliers'!$D:$D,MATCH(AZ449,'Level Multipliers'!$A:$A,0)),"")</f>
        <v/>
      </c>
      <c r="BB449" s="37" t="str">
        <f t="shared" si="234"/>
        <v/>
      </c>
      <c r="BC449" s="37" t="str">
        <f t="shared" si="235"/>
        <v/>
      </c>
      <c r="BD449" s="38" t="str">
        <f t="shared" si="236"/>
        <v/>
      </c>
      <c r="BE449" s="38" t="str">
        <f t="shared" si="237"/>
        <v/>
      </c>
      <c r="BF449" s="38" t="b">
        <f t="shared" si="238"/>
        <v>1</v>
      </c>
      <c r="BG449" s="37" t="str">
        <f t="array" ref="BG449:BQ449">IF(BF449,"",IVSolution($M449,$N449,$O449,BB449,BC449,BD449,BE449,$E449,$F449,$G449,$H449,$I449))</f>
        <v/>
      </c>
      <c r="BH449" s="37" t="str">
        <v/>
      </c>
      <c r="BI449" s="37" t="str">
        <v/>
      </c>
      <c r="BJ449" s="39" t="str">
        <v/>
      </c>
      <c r="BK449" s="39" t="str">
        <v/>
      </c>
      <c r="BL449" s="37" t="str">
        <v/>
      </c>
      <c r="BM449" s="37" t="str">
        <v/>
      </c>
      <c r="BN449" s="37" t="str">
        <v/>
      </c>
      <c r="BO449" s="37" t="str">
        <v/>
      </c>
      <c r="BP449" s="37" t="str">
        <v/>
      </c>
      <c r="BQ449" s="37" t="str">
        <v/>
      </c>
      <c r="BR449" s="40" t="str">
        <f t="shared" si="239"/>
        <v/>
      </c>
      <c r="BS449" s="36" t="str">
        <f>IFERROR(INDEX('Level Multipliers'!$D:$D,MATCH(BR449,'Level Multipliers'!$A:$A,0)),"")</f>
        <v/>
      </c>
      <c r="BT449" s="37" t="str">
        <f t="shared" si="240"/>
        <v/>
      </c>
      <c r="BU449" s="37" t="str">
        <f t="shared" si="241"/>
        <v/>
      </c>
      <c r="BV449" s="38" t="str">
        <f t="shared" si="242"/>
        <v/>
      </c>
      <c r="BW449" s="38" t="str">
        <f t="shared" si="243"/>
        <v/>
      </c>
      <c r="BX449" s="38" t="b">
        <f t="shared" si="244"/>
        <v>1</v>
      </c>
      <c r="BY449" s="37" t="str">
        <f t="array" ref="BY449:CI449">IF(BX449,"",IVSolution($M449,$N449,$O449,BT449,BU449,BV449,BW449,$E449,$F449,$G449,$H449,$I449))</f>
        <v/>
      </c>
      <c r="BZ449" s="37" t="str">
        <v/>
      </c>
      <c r="CA449" s="37" t="str">
        <v/>
      </c>
      <c r="CB449" s="39" t="str">
        <v/>
      </c>
      <c r="CC449" s="39" t="str">
        <v/>
      </c>
      <c r="CD449" s="37" t="str">
        <v/>
      </c>
      <c r="CE449" s="37" t="str">
        <v/>
      </c>
      <c r="CF449" s="37" t="str">
        <v/>
      </c>
      <c r="CG449" s="37" t="str">
        <v/>
      </c>
      <c r="CH449" s="37" t="str">
        <v/>
      </c>
      <c r="CI449" s="37" t="str">
        <v/>
      </c>
      <c r="CJ449" s="41" t="str">
        <f t="shared" si="245"/>
        <v/>
      </c>
      <c r="CK449" s="41" t="str">
        <f t="shared" si="246"/>
        <v/>
      </c>
      <c r="CL449" s="66" t="str">
        <f t="shared" si="247"/>
        <v/>
      </c>
      <c r="CM449" s="39" t="str">
        <f t="shared" si="248"/>
        <v/>
      </c>
      <c r="CN449" s="39" t="str">
        <f t="shared" si="249"/>
        <v/>
      </c>
      <c r="CO449" s="42" t="str">
        <f t="shared" si="250"/>
        <v/>
      </c>
      <c r="CP449" s="42" t="str">
        <f t="shared" si="251"/>
        <v/>
      </c>
      <c r="CQ449" s="42" t="str">
        <f t="shared" si="252"/>
        <v/>
      </c>
      <c r="CR449" s="42" t="str">
        <f t="shared" si="253"/>
        <v/>
      </c>
      <c r="CS449" s="42" t="str">
        <f t="shared" si="254"/>
        <v/>
      </c>
      <c r="CT449" s="42" t="str">
        <f t="shared" si="255"/>
        <v/>
      </c>
      <c r="CU449" s="43" t="str">
        <f t="shared" si="256"/>
        <v/>
      </c>
      <c r="CV449" s="43" t="str">
        <f t="shared" si="257"/>
        <v/>
      </c>
      <c r="CW449" s="43" t="str">
        <f t="shared" si="258"/>
        <v/>
      </c>
      <c r="CX449" s="13"/>
    </row>
    <row r="450" spans="1:102" x14ac:dyDescent="0.25">
      <c r="A450" s="31"/>
      <c r="B450" s="13"/>
      <c r="C450" s="13"/>
      <c r="D450" s="13"/>
      <c r="E450" s="32"/>
      <c r="F450" s="32"/>
      <c r="G450" s="32"/>
      <c r="H450" s="32"/>
      <c r="I450" s="32"/>
      <c r="J450" s="13"/>
      <c r="K450" s="33"/>
      <c r="L450" s="34" t="str">
        <f>IFERROR(INDEX('Pokemon Data'!A:A,MATCH($A450,'Pokemon Data'!$B:$B,0)),"")</f>
        <v/>
      </c>
      <c r="M450" s="34" t="str">
        <f>IFERROR(INDEX('Pokemon Data'!I:I,MATCH($A450,'Pokemon Data'!$B:$B,0)),"")</f>
        <v/>
      </c>
      <c r="N450" s="34" t="str">
        <f>IFERROR(INDEX('Pokemon Data'!J:J,MATCH($A450,'Pokemon Data'!$B:$B,0)),"")</f>
        <v/>
      </c>
      <c r="O450" s="34" t="str">
        <f>IFERROR(INDEX('Pokemon Data'!K:K,MATCH($A450,'Pokemon Data'!$B:$B,0)),"")</f>
        <v/>
      </c>
      <c r="P450" s="35" t="str">
        <f>IFERROR(INDEX('Level Multipliers'!$A:$A,MATCH($D450,'Level Multipliers'!$B:$B,0)),"")</f>
        <v/>
      </c>
      <c r="Q450" s="36" t="str">
        <f>IFERROR(INDEX('Level Multipliers'!$D:$D,MATCH(P450,'Level Multipliers'!$A:$A,0)),"")</f>
        <v/>
      </c>
      <c r="R450" s="37" t="str">
        <f t="shared" si="222"/>
        <v/>
      </c>
      <c r="S450" s="37" t="str">
        <f t="shared" si="223"/>
        <v/>
      </c>
      <c r="T450" s="38" t="str">
        <f t="shared" si="224"/>
        <v/>
      </c>
      <c r="U450" s="38" t="str">
        <f t="shared" si="225"/>
        <v/>
      </c>
      <c r="V450" s="38" t="b">
        <f t="shared" si="226"/>
        <v>1</v>
      </c>
      <c r="W450" s="37" t="str">
        <f t="array" ref="W450:AG450">IF(V450,"",IVSolution($M450,$N450,$O450,R450,S450,T450,U450,$E450,$F450,$G450,$H450,$I450))</f>
        <v/>
      </c>
      <c r="X450" s="37" t="str">
        <v/>
      </c>
      <c r="Y450" s="37" t="str">
        <v/>
      </c>
      <c r="Z450" s="39" t="str">
        <v/>
      </c>
      <c r="AA450" s="39" t="str">
        <v/>
      </c>
      <c r="AB450" s="37" t="str">
        <v/>
      </c>
      <c r="AC450" s="37" t="str">
        <v/>
      </c>
      <c r="AD450" s="37" t="str">
        <v/>
      </c>
      <c r="AE450" s="37" t="str">
        <v/>
      </c>
      <c r="AF450" s="37" t="str">
        <v/>
      </c>
      <c r="AG450" s="37" t="str">
        <v/>
      </c>
      <c r="AH450" s="40" t="str">
        <f t="shared" si="227"/>
        <v/>
      </c>
      <c r="AI450" s="36" t="str">
        <f>IFERROR(INDEX('Level Multipliers'!$D:$D,MATCH(AH450,'Level Multipliers'!$A:$A,0)),"")</f>
        <v/>
      </c>
      <c r="AJ450" s="37" t="str">
        <f t="shared" si="228"/>
        <v/>
      </c>
      <c r="AK450" s="37" t="str">
        <f t="shared" si="229"/>
        <v/>
      </c>
      <c r="AL450" s="38" t="str">
        <f t="shared" si="230"/>
        <v/>
      </c>
      <c r="AM450" s="38" t="str">
        <f t="shared" si="231"/>
        <v/>
      </c>
      <c r="AN450" s="38" t="b">
        <f t="shared" si="232"/>
        <v>1</v>
      </c>
      <c r="AO450" s="37" t="str">
        <f t="array" ref="AO450:AY450">IF(AN450,"",IVSolution($M450,$N450,$O450,AJ450,AK450,AL450,AM450,$E450,$F450,$G450,$H450,$I450))</f>
        <v/>
      </c>
      <c r="AP450" s="37" t="str">
        <v/>
      </c>
      <c r="AQ450" s="37" t="str">
        <v/>
      </c>
      <c r="AR450" s="39" t="str">
        <v/>
      </c>
      <c r="AS450" s="39" t="str">
        <v/>
      </c>
      <c r="AT450" s="37" t="str">
        <v/>
      </c>
      <c r="AU450" s="37" t="str">
        <v/>
      </c>
      <c r="AV450" s="37" t="str">
        <v/>
      </c>
      <c r="AW450" s="37" t="str">
        <v/>
      </c>
      <c r="AX450" s="37" t="str">
        <v/>
      </c>
      <c r="AY450" s="37" t="str">
        <v/>
      </c>
      <c r="AZ450" s="40" t="str">
        <f t="shared" si="233"/>
        <v/>
      </c>
      <c r="BA450" s="36" t="str">
        <f>IFERROR(INDEX('Level Multipliers'!$D:$D,MATCH(AZ450,'Level Multipliers'!$A:$A,0)),"")</f>
        <v/>
      </c>
      <c r="BB450" s="37" t="str">
        <f t="shared" si="234"/>
        <v/>
      </c>
      <c r="BC450" s="37" t="str">
        <f t="shared" si="235"/>
        <v/>
      </c>
      <c r="BD450" s="38" t="str">
        <f t="shared" si="236"/>
        <v/>
      </c>
      <c r="BE450" s="38" t="str">
        <f t="shared" si="237"/>
        <v/>
      </c>
      <c r="BF450" s="38" t="b">
        <f t="shared" si="238"/>
        <v>1</v>
      </c>
      <c r="BG450" s="37" t="str">
        <f t="array" ref="BG450:BQ450">IF(BF450,"",IVSolution($M450,$N450,$O450,BB450,BC450,BD450,BE450,$E450,$F450,$G450,$H450,$I450))</f>
        <v/>
      </c>
      <c r="BH450" s="37" t="str">
        <v/>
      </c>
      <c r="BI450" s="37" t="str">
        <v/>
      </c>
      <c r="BJ450" s="39" t="str">
        <v/>
      </c>
      <c r="BK450" s="39" t="str">
        <v/>
      </c>
      <c r="BL450" s="37" t="str">
        <v/>
      </c>
      <c r="BM450" s="37" t="str">
        <v/>
      </c>
      <c r="BN450" s="37" t="str">
        <v/>
      </c>
      <c r="BO450" s="37" t="str">
        <v/>
      </c>
      <c r="BP450" s="37" t="str">
        <v/>
      </c>
      <c r="BQ450" s="37" t="str">
        <v/>
      </c>
      <c r="BR450" s="40" t="str">
        <f t="shared" si="239"/>
        <v/>
      </c>
      <c r="BS450" s="36" t="str">
        <f>IFERROR(INDEX('Level Multipliers'!$D:$D,MATCH(BR450,'Level Multipliers'!$A:$A,0)),"")</f>
        <v/>
      </c>
      <c r="BT450" s="37" t="str">
        <f t="shared" si="240"/>
        <v/>
      </c>
      <c r="BU450" s="37" t="str">
        <f t="shared" si="241"/>
        <v/>
      </c>
      <c r="BV450" s="38" t="str">
        <f t="shared" si="242"/>
        <v/>
      </c>
      <c r="BW450" s="38" t="str">
        <f t="shared" si="243"/>
        <v/>
      </c>
      <c r="BX450" s="38" t="b">
        <f t="shared" si="244"/>
        <v>1</v>
      </c>
      <c r="BY450" s="37" t="str">
        <f t="array" ref="BY450:CI450">IF(BX450,"",IVSolution($M450,$N450,$O450,BT450,BU450,BV450,BW450,$E450,$F450,$G450,$H450,$I450))</f>
        <v/>
      </c>
      <c r="BZ450" s="37" t="str">
        <v/>
      </c>
      <c r="CA450" s="37" t="str">
        <v/>
      </c>
      <c r="CB450" s="39" t="str">
        <v/>
      </c>
      <c r="CC450" s="39" t="str">
        <v/>
      </c>
      <c r="CD450" s="37" t="str">
        <v/>
      </c>
      <c r="CE450" s="37" t="str">
        <v/>
      </c>
      <c r="CF450" s="37" t="str">
        <v/>
      </c>
      <c r="CG450" s="37" t="str">
        <v/>
      </c>
      <c r="CH450" s="37" t="str">
        <v/>
      </c>
      <c r="CI450" s="37" t="str">
        <v/>
      </c>
      <c r="CJ450" s="41" t="str">
        <f t="shared" si="245"/>
        <v/>
      </c>
      <c r="CK450" s="41" t="str">
        <f t="shared" si="246"/>
        <v/>
      </c>
      <c r="CL450" s="66" t="str">
        <f t="shared" si="247"/>
        <v/>
      </c>
      <c r="CM450" s="39" t="str">
        <f t="shared" si="248"/>
        <v/>
      </c>
      <c r="CN450" s="39" t="str">
        <f t="shared" si="249"/>
        <v/>
      </c>
      <c r="CO450" s="42" t="str">
        <f t="shared" si="250"/>
        <v/>
      </c>
      <c r="CP450" s="42" t="str">
        <f t="shared" si="251"/>
        <v/>
      </c>
      <c r="CQ450" s="42" t="str">
        <f t="shared" si="252"/>
        <v/>
      </c>
      <c r="CR450" s="42" t="str">
        <f t="shared" si="253"/>
        <v/>
      </c>
      <c r="CS450" s="42" t="str">
        <f t="shared" si="254"/>
        <v/>
      </c>
      <c r="CT450" s="42" t="str">
        <f t="shared" si="255"/>
        <v/>
      </c>
      <c r="CU450" s="43" t="str">
        <f t="shared" si="256"/>
        <v/>
      </c>
      <c r="CV450" s="43" t="str">
        <f t="shared" si="257"/>
        <v/>
      </c>
      <c r="CW450" s="43" t="str">
        <f t="shared" si="258"/>
        <v/>
      </c>
      <c r="CX450" s="13"/>
    </row>
    <row r="451" spans="1:102" x14ac:dyDescent="0.25">
      <c r="A451" s="31"/>
      <c r="B451" s="13"/>
      <c r="C451" s="13"/>
      <c r="D451" s="13"/>
      <c r="E451" s="32"/>
      <c r="F451" s="32"/>
      <c r="G451" s="32"/>
      <c r="H451" s="32"/>
      <c r="I451" s="32"/>
      <c r="J451" s="13"/>
      <c r="K451" s="33"/>
      <c r="L451" s="34" t="str">
        <f>IFERROR(INDEX('Pokemon Data'!A:A,MATCH($A451,'Pokemon Data'!$B:$B,0)),"")</f>
        <v/>
      </c>
      <c r="M451" s="34" t="str">
        <f>IFERROR(INDEX('Pokemon Data'!I:I,MATCH($A451,'Pokemon Data'!$B:$B,0)),"")</f>
        <v/>
      </c>
      <c r="N451" s="34" t="str">
        <f>IFERROR(INDEX('Pokemon Data'!J:J,MATCH($A451,'Pokemon Data'!$B:$B,0)),"")</f>
        <v/>
      </c>
      <c r="O451" s="34" t="str">
        <f>IFERROR(INDEX('Pokemon Data'!K:K,MATCH($A451,'Pokemon Data'!$B:$B,0)),"")</f>
        <v/>
      </c>
      <c r="P451" s="35" t="str">
        <f>IFERROR(INDEX('Level Multipliers'!$A:$A,MATCH($D451,'Level Multipliers'!$B:$B,0)),"")</f>
        <v/>
      </c>
      <c r="Q451" s="36" t="str">
        <f>IFERROR(INDEX('Level Multipliers'!$D:$D,MATCH(P451,'Level Multipliers'!$A:$A,0)),"")</f>
        <v/>
      </c>
      <c r="R451" s="37" t="str">
        <f t="shared" ref="R451:R514" si="259">IF(P451="","",IF($C451&gt;10,MAX(0,ROUNDUP(Q451*$C451-$M451+1000,0)-1000),0))</f>
        <v/>
      </c>
      <c r="S451" s="37" t="str">
        <f t="shared" ref="S451:S502" si="260">IF(P451="","",MIN(15,ROUNDDOWN(Q451*($C451+1)-$M451+1000,0)-1000))</f>
        <v/>
      </c>
      <c r="T451" s="38" t="str">
        <f t="shared" ref="T451:T502" si="261">IFERROR(IF($B451&gt;10,100*Q451^4*$B451^2,$N451^2*$O451*($M451+R451)),"")</f>
        <v/>
      </c>
      <c r="U451" s="38" t="str">
        <f t="shared" ref="U451:U502" si="262">IFERROR(100*Q451^4*($B451+1)^2,"")</f>
        <v/>
      </c>
      <c r="V451" s="38" t="b">
        <f t="shared" ref="V451:V514" si="263">IFERROR(OR(AND($J451=0,INT(P451)&lt;&gt;P451),AND($K451&lt;&gt;"",P451&lt;&gt;$K451),R451&gt;15,S451&lt;0,T451&gt;(($N451+15)^2*($O451+15)*($M451+S451)),U451&lt;($N451^2*$O451*($M451+R451))),TRUE())</f>
        <v>1</v>
      </c>
      <c r="W451" s="37" t="str">
        <f t="array" ref="W451:AG451">IF(V451,"",IVSolution($M451,$N451,$O451,R451,S451,T451,U451,$E451,$F451,$G451,$H451,$I451))</f>
        <v/>
      </c>
      <c r="X451" s="37" t="str">
        <v/>
      </c>
      <c r="Y451" s="37" t="str">
        <v/>
      </c>
      <c r="Z451" s="39" t="str">
        <v/>
      </c>
      <c r="AA451" s="39" t="str">
        <v/>
      </c>
      <c r="AB451" s="37" t="str">
        <v/>
      </c>
      <c r="AC451" s="37" t="str">
        <v/>
      </c>
      <c r="AD451" s="37" t="str">
        <v/>
      </c>
      <c r="AE451" s="37" t="str">
        <v/>
      </c>
      <c r="AF451" s="37" t="str">
        <v/>
      </c>
      <c r="AG451" s="37" t="str">
        <v/>
      </c>
      <c r="AH451" s="40" t="str">
        <f t="shared" ref="AH451:AH502" si="264">IFERROR(P451+0.5,"")</f>
        <v/>
      </c>
      <c r="AI451" s="36" t="str">
        <f>IFERROR(INDEX('Level Multipliers'!$D:$D,MATCH(AH451,'Level Multipliers'!$A:$A,0)),"")</f>
        <v/>
      </c>
      <c r="AJ451" s="37" t="str">
        <f t="shared" ref="AJ451:AJ514" si="265">IF(AH451="","",IF($C451&gt;10,MAX(0,ROUNDUP(AI451*$C451-$M451+1000,0)-1000),0))</f>
        <v/>
      </c>
      <c r="AK451" s="37" t="str">
        <f t="shared" ref="AK451:AK502" si="266">IF(AH451="","",MIN(15,ROUNDDOWN(AI451*($C451+1)-$M451+1000,0)-1000))</f>
        <v/>
      </c>
      <c r="AL451" s="38" t="str">
        <f t="shared" ref="AL451:AL502" si="267">IFERROR(IF($B451&gt;10,100*AI451^4*$B451^2,$N451^2*$O451*($M451+AJ451)),"")</f>
        <v/>
      </c>
      <c r="AM451" s="38" t="str">
        <f t="shared" ref="AM451:AM502" si="268">IFERROR(100*AI451^4*($B451+1)^2,"")</f>
        <v/>
      </c>
      <c r="AN451" s="38" t="b">
        <f t="shared" ref="AN451:AN514" si="269">IFERROR(OR(AND($J451=0,INT(AH451)&lt;&gt;AH451),AND($K451&lt;&gt;"",AH451&lt;&gt;$K451),AJ451&gt;15,AK451&lt;0,AL451&gt;(($N451+15)^2*($O451+15)*($M451+AK451)),AM451&lt;($N451^2*$O451*($M451+AJ451))),TRUE())</f>
        <v>1</v>
      </c>
      <c r="AO451" s="37" t="str">
        <f t="array" ref="AO451:AY451">IF(AN451,"",IVSolution($M451,$N451,$O451,AJ451,AK451,AL451,AM451,$E451,$F451,$G451,$H451,$I451))</f>
        <v/>
      </c>
      <c r="AP451" s="37" t="str">
        <v/>
      </c>
      <c r="AQ451" s="37" t="str">
        <v/>
      </c>
      <c r="AR451" s="39" t="str">
        <v/>
      </c>
      <c r="AS451" s="39" t="str">
        <v/>
      </c>
      <c r="AT451" s="37" t="str">
        <v/>
      </c>
      <c r="AU451" s="37" t="str">
        <v/>
      </c>
      <c r="AV451" s="37" t="str">
        <v/>
      </c>
      <c r="AW451" s="37" t="str">
        <v/>
      </c>
      <c r="AX451" s="37" t="str">
        <v/>
      </c>
      <c r="AY451" s="37" t="str">
        <v/>
      </c>
      <c r="AZ451" s="40" t="str">
        <f t="shared" ref="AZ451:AZ502" si="270">IFERROR(AH451+0.5,"")</f>
        <v/>
      </c>
      <c r="BA451" s="36" t="str">
        <f>IFERROR(INDEX('Level Multipliers'!$D:$D,MATCH(AZ451,'Level Multipliers'!$A:$A,0)),"")</f>
        <v/>
      </c>
      <c r="BB451" s="37" t="str">
        <f t="shared" ref="BB451:BB514" si="271">IF(AZ451="","",IF($C451&gt;10,MAX(0,ROUNDUP(BA451*$C451-$M451+1000,0)-1000),0))</f>
        <v/>
      </c>
      <c r="BC451" s="37" t="str">
        <f t="shared" ref="BC451:BC502" si="272">IF(AZ451="","",MIN(15,ROUNDDOWN(BA451*($C451+1)-$M451+1000,0)-1000))</f>
        <v/>
      </c>
      <c r="BD451" s="38" t="str">
        <f t="shared" ref="BD451:BD502" si="273">IFERROR(IF($B451&gt;10,100*BA451^4*$B451^2,$N451^2*$O451*($M451+BB451)),"")</f>
        <v/>
      </c>
      <c r="BE451" s="38" t="str">
        <f t="shared" ref="BE451:BE502" si="274">IFERROR(100*BA451^4*($B451+1)^2,"")</f>
        <v/>
      </c>
      <c r="BF451" s="38" t="b">
        <f t="shared" ref="BF451:BF514" si="275">IFERROR(OR(AND($J451=0,INT(AZ451)&lt;&gt;AZ451),AND($K451&lt;&gt;"",AZ451&lt;&gt;$K451),BB451&gt;15,BC451&lt;0,BD451&gt;(($N451+15)^2*($O451+15)*($M451+BC451)),BE451&lt;($N451^2*$O451*($M451+BB451))),TRUE())</f>
        <v>1</v>
      </c>
      <c r="BG451" s="37" t="str">
        <f t="array" ref="BG451:BQ451">IF(BF451,"",IVSolution($M451,$N451,$O451,BB451,BC451,BD451,BE451,$E451,$F451,$G451,$H451,$I451))</f>
        <v/>
      </c>
      <c r="BH451" s="37" t="str">
        <v/>
      </c>
      <c r="BI451" s="37" t="str">
        <v/>
      </c>
      <c r="BJ451" s="39" t="str">
        <v/>
      </c>
      <c r="BK451" s="39" t="str">
        <v/>
      </c>
      <c r="BL451" s="37" t="str">
        <v/>
      </c>
      <c r="BM451" s="37" t="str">
        <v/>
      </c>
      <c r="BN451" s="37" t="str">
        <v/>
      </c>
      <c r="BO451" s="37" t="str">
        <v/>
      </c>
      <c r="BP451" s="37" t="str">
        <v/>
      </c>
      <c r="BQ451" s="37" t="str">
        <v/>
      </c>
      <c r="BR451" s="40" t="str">
        <f t="shared" ref="BR451:BR502" si="276">IFERROR(AZ451+0.5,"")</f>
        <v/>
      </c>
      <c r="BS451" s="36" t="str">
        <f>IFERROR(INDEX('Level Multipliers'!$D:$D,MATCH(BR451,'Level Multipliers'!$A:$A,0)),"")</f>
        <v/>
      </c>
      <c r="BT451" s="37" t="str">
        <f t="shared" ref="BT451:BT514" si="277">IF(BR451="","",IF($C451&gt;10,MAX(0,ROUNDUP(BS451*$C451-$M451+1000,0)-1000),0))</f>
        <v/>
      </c>
      <c r="BU451" s="37" t="str">
        <f t="shared" ref="BU451:BU502" si="278">IF(BR451="","",MIN(15,ROUNDDOWN(BS451*($C451+1)-$M451+1000,0)-1000))</f>
        <v/>
      </c>
      <c r="BV451" s="38" t="str">
        <f t="shared" ref="BV451:BV502" si="279">IFERROR(IF($B451&gt;10,100*BS451^4*$B451^2,$N451^2*$O451*($M451+BT451)),"")</f>
        <v/>
      </c>
      <c r="BW451" s="38" t="str">
        <f t="shared" ref="BW451:BW502" si="280">IFERROR(100*BS451^4*($B451+1)^2,"")</f>
        <v/>
      </c>
      <c r="BX451" s="38" t="b">
        <f t="shared" ref="BX451:BX514" si="281">IFERROR(OR(AND($J451=0,INT(BR451)&lt;&gt;BR451),AND($K451&lt;&gt;"",BR451&lt;&gt;$K451),BT451&gt;15,BU451&lt;0,BV451&gt;(($N451+15)^2*($O451+15)*($M451+BU451)),BW451&lt;($N451^2*$O451*($M451+BT451))),TRUE())</f>
        <v>1</v>
      </c>
      <c r="BY451" s="37" t="str">
        <f t="array" ref="BY451:CI451">IF(BX451,"",IVSolution($M451,$N451,$O451,BT451,BU451,BV451,BW451,$E451,$F451,$G451,$H451,$I451))</f>
        <v/>
      </c>
      <c r="BZ451" s="37" t="str">
        <v/>
      </c>
      <c r="CA451" s="37" t="str">
        <v/>
      </c>
      <c r="CB451" s="39" t="str">
        <v/>
      </c>
      <c r="CC451" s="39" t="str">
        <v/>
      </c>
      <c r="CD451" s="37" t="str">
        <v/>
      </c>
      <c r="CE451" s="37" t="str">
        <v/>
      </c>
      <c r="CF451" s="37" t="str">
        <v/>
      </c>
      <c r="CG451" s="37" t="str">
        <v/>
      </c>
      <c r="CH451" s="37" t="str">
        <v/>
      </c>
      <c r="CI451" s="37" t="str">
        <v/>
      </c>
      <c r="CJ451" s="41" t="str">
        <f t="shared" ref="CJ451:CJ502" si="282">IF(IFERROR(W451*1,0)&gt;0,P451,IF(IFERROR(AO451*1,0)&gt;0,AH451,IF(IFERROR(BG451*1,0)&gt;0,AZ451,IF(IFERROR(BY451*1,0)&gt;0,BR451,""))))</f>
        <v/>
      </c>
      <c r="CK451" s="41" t="str">
        <f t="shared" ref="CK451:CK502" si="283">IF(IFERROR(BY451*1,0)&gt;0,BR451,IF(IFERROR(BG451*1,0)&gt;0,AZ451,IF(IFERROR(AO451*1,0)&gt;0,AH451,IF(IFERROR(W451*1,0)&gt;0,P451,""))))</f>
        <v/>
      </c>
      <c r="CL451" s="66" t="str">
        <f t="shared" ref="CL451:CL514" si="284">IF(OR(CJ451="",CK451=""),"",(CM451+CN451)/2)</f>
        <v/>
      </c>
      <c r="CM451" s="39" t="str">
        <f t="shared" ref="CM451:CM502" si="285">IF(OR(CJ451="",CK451=""),"",MIN(Z451,AR451,BJ451,CB451))</f>
        <v/>
      </c>
      <c r="CN451" s="39" t="str">
        <f t="shared" ref="CN451:CN502" si="286">IF(OR(CJ451="",CK451=""),"",MAX(AA451,AS451,BK451,CC451))</f>
        <v/>
      </c>
      <c r="CO451" s="42" t="str">
        <f t="shared" ref="CO451:CO502" si="287">IF(OR(CJ451="",CK451=""),"",MIN(AB451,AT451,BL451,CD451))</f>
        <v/>
      </c>
      <c r="CP451" s="42" t="str">
        <f t="shared" ref="CP451:CP502" si="288">IF(OR(CJ451="",CK451=""),"",MAX(AC451,AU451,BM451,CE451))</f>
        <v/>
      </c>
      <c r="CQ451" s="42" t="str">
        <f t="shared" ref="CQ451:CQ502" si="289">IF(OR(CJ451="",CK451=""),"",MIN(AD451,AV451,BN451,CF451))</f>
        <v/>
      </c>
      <c r="CR451" s="42" t="str">
        <f t="shared" ref="CR451:CR502" si="290">IF(OR(CJ451="",CK451=""),"",MAX(AE451,AW451,BO451,CG451))</f>
        <v/>
      </c>
      <c r="CS451" s="42" t="str">
        <f t="shared" ref="CS451:CS502" si="291">IF(OR(CJ451="",CK451=""),"",MIN(AF451,AX451,BP451,CH451))</f>
        <v/>
      </c>
      <c r="CT451" s="42" t="str">
        <f t="shared" ref="CT451:CT502" si="292">IF(OR(CJ451="",CK451=""),"",MAX(AG451,AY451,BQ451,CI451))</f>
        <v/>
      </c>
      <c r="CU451" s="43" t="str">
        <f t="shared" ref="CU451:CU502" si="293">IF(CO451=CP451,CP451,CO451&amp;"-"&amp;CP451)</f>
        <v/>
      </c>
      <c r="CV451" s="43" t="str">
        <f t="shared" ref="CV451:CV502" si="294">IF(CQ451=CR451,CR451,CQ451&amp;"-"&amp;CR451)</f>
        <v/>
      </c>
      <c r="CW451" s="43" t="str">
        <f t="shared" ref="CW451:CW502" si="295">IF(CS451=CT451,CT451,CS451&amp;"-"&amp;CT451)</f>
        <v/>
      </c>
      <c r="CX451" s="13"/>
    </row>
    <row r="452" spans="1:102" x14ac:dyDescent="0.25">
      <c r="A452" s="31"/>
      <c r="B452" s="13"/>
      <c r="C452" s="13"/>
      <c r="D452" s="13"/>
      <c r="E452" s="32"/>
      <c r="F452" s="32"/>
      <c r="G452" s="32"/>
      <c r="H452" s="32"/>
      <c r="I452" s="32"/>
      <c r="J452" s="13"/>
      <c r="K452" s="33"/>
      <c r="L452" s="34" t="str">
        <f>IFERROR(INDEX('Pokemon Data'!A:A,MATCH($A452,'Pokemon Data'!$B:$B,0)),"")</f>
        <v/>
      </c>
      <c r="M452" s="34" t="str">
        <f>IFERROR(INDEX('Pokemon Data'!I:I,MATCH($A452,'Pokemon Data'!$B:$B,0)),"")</f>
        <v/>
      </c>
      <c r="N452" s="34" t="str">
        <f>IFERROR(INDEX('Pokemon Data'!J:J,MATCH($A452,'Pokemon Data'!$B:$B,0)),"")</f>
        <v/>
      </c>
      <c r="O452" s="34" t="str">
        <f>IFERROR(INDEX('Pokemon Data'!K:K,MATCH($A452,'Pokemon Data'!$B:$B,0)),"")</f>
        <v/>
      </c>
      <c r="P452" s="35" t="str">
        <f>IFERROR(INDEX('Level Multipliers'!$A:$A,MATCH($D452,'Level Multipliers'!$B:$B,0)),"")</f>
        <v/>
      </c>
      <c r="Q452" s="36" t="str">
        <f>IFERROR(INDEX('Level Multipliers'!$D:$D,MATCH(P452,'Level Multipliers'!$A:$A,0)),"")</f>
        <v/>
      </c>
      <c r="R452" s="37" t="str">
        <f t="shared" si="259"/>
        <v/>
      </c>
      <c r="S452" s="37" t="str">
        <f t="shared" si="260"/>
        <v/>
      </c>
      <c r="T452" s="38" t="str">
        <f t="shared" si="261"/>
        <v/>
      </c>
      <c r="U452" s="38" t="str">
        <f t="shared" si="262"/>
        <v/>
      </c>
      <c r="V452" s="38" t="b">
        <f t="shared" si="263"/>
        <v>1</v>
      </c>
      <c r="W452" s="37" t="str">
        <f t="array" ref="W452:AG452">IF(V452,"",IVSolution($M452,$N452,$O452,R452,S452,T452,U452,$E452,$F452,$G452,$H452,$I452))</f>
        <v/>
      </c>
      <c r="X452" s="37" t="str">
        <v/>
      </c>
      <c r="Y452" s="37" t="str">
        <v/>
      </c>
      <c r="Z452" s="39" t="str">
        <v/>
      </c>
      <c r="AA452" s="39" t="str">
        <v/>
      </c>
      <c r="AB452" s="37" t="str">
        <v/>
      </c>
      <c r="AC452" s="37" t="str">
        <v/>
      </c>
      <c r="AD452" s="37" t="str">
        <v/>
      </c>
      <c r="AE452" s="37" t="str">
        <v/>
      </c>
      <c r="AF452" s="37" t="str">
        <v/>
      </c>
      <c r="AG452" s="37" t="str">
        <v/>
      </c>
      <c r="AH452" s="40" t="str">
        <f t="shared" si="264"/>
        <v/>
      </c>
      <c r="AI452" s="36" t="str">
        <f>IFERROR(INDEX('Level Multipliers'!$D:$D,MATCH(AH452,'Level Multipliers'!$A:$A,0)),"")</f>
        <v/>
      </c>
      <c r="AJ452" s="37" t="str">
        <f t="shared" si="265"/>
        <v/>
      </c>
      <c r="AK452" s="37" t="str">
        <f t="shared" si="266"/>
        <v/>
      </c>
      <c r="AL452" s="38" t="str">
        <f t="shared" si="267"/>
        <v/>
      </c>
      <c r="AM452" s="38" t="str">
        <f t="shared" si="268"/>
        <v/>
      </c>
      <c r="AN452" s="38" t="b">
        <f t="shared" si="269"/>
        <v>1</v>
      </c>
      <c r="AO452" s="37" t="str">
        <f t="array" ref="AO452:AY452">IF(AN452,"",IVSolution($M452,$N452,$O452,AJ452,AK452,AL452,AM452,$E452,$F452,$G452,$H452,$I452))</f>
        <v/>
      </c>
      <c r="AP452" s="37" t="str">
        <v/>
      </c>
      <c r="AQ452" s="37" t="str">
        <v/>
      </c>
      <c r="AR452" s="39" t="str">
        <v/>
      </c>
      <c r="AS452" s="39" t="str">
        <v/>
      </c>
      <c r="AT452" s="37" t="str">
        <v/>
      </c>
      <c r="AU452" s="37" t="str">
        <v/>
      </c>
      <c r="AV452" s="37" t="str">
        <v/>
      </c>
      <c r="AW452" s="37" t="str">
        <v/>
      </c>
      <c r="AX452" s="37" t="str">
        <v/>
      </c>
      <c r="AY452" s="37" t="str">
        <v/>
      </c>
      <c r="AZ452" s="40" t="str">
        <f t="shared" si="270"/>
        <v/>
      </c>
      <c r="BA452" s="36" t="str">
        <f>IFERROR(INDEX('Level Multipliers'!$D:$D,MATCH(AZ452,'Level Multipliers'!$A:$A,0)),"")</f>
        <v/>
      </c>
      <c r="BB452" s="37" t="str">
        <f t="shared" si="271"/>
        <v/>
      </c>
      <c r="BC452" s="37" t="str">
        <f t="shared" si="272"/>
        <v/>
      </c>
      <c r="BD452" s="38" t="str">
        <f t="shared" si="273"/>
        <v/>
      </c>
      <c r="BE452" s="38" t="str">
        <f t="shared" si="274"/>
        <v/>
      </c>
      <c r="BF452" s="38" t="b">
        <f t="shared" si="275"/>
        <v>1</v>
      </c>
      <c r="BG452" s="37" t="str">
        <f t="array" ref="BG452:BQ452">IF(BF452,"",IVSolution($M452,$N452,$O452,BB452,BC452,BD452,BE452,$E452,$F452,$G452,$H452,$I452))</f>
        <v/>
      </c>
      <c r="BH452" s="37" t="str">
        <v/>
      </c>
      <c r="BI452" s="37" t="str">
        <v/>
      </c>
      <c r="BJ452" s="39" t="str">
        <v/>
      </c>
      <c r="BK452" s="39" t="str">
        <v/>
      </c>
      <c r="BL452" s="37" t="str">
        <v/>
      </c>
      <c r="BM452" s="37" t="str">
        <v/>
      </c>
      <c r="BN452" s="37" t="str">
        <v/>
      </c>
      <c r="BO452" s="37" t="str">
        <v/>
      </c>
      <c r="BP452" s="37" t="str">
        <v/>
      </c>
      <c r="BQ452" s="37" t="str">
        <v/>
      </c>
      <c r="BR452" s="40" t="str">
        <f t="shared" si="276"/>
        <v/>
      </c>
      <c r="BS452" s="36" t="str">
        <f>IFERROR(INDEX('Level Multipliers'!$D:$D,MATCH(BR452,'Level Multipliers'!$A:$A,0)),"")</f>
        <v/>
      </c>
      <c r="BT452" s="37" t="str">
        <f t="shared" si="277"/>
        <v/>
      </c>
      <c r="BU452" s="37" t="str">
        <f t="shared" si="278"/>
        <v/>
      </c>
      <c r="BV452" s="38" t="str">
        <f t="shared" si="279"/>
        <v/>
      </c>
      <c r="BW452" s="38" t="str">
        <f t="shared" si="280"/>
        <v/>
      </c>
      <c r="BX452" s="38" t="b">
        <f t="shared" si="281"/>
        <v>1</v>
      </c>
      <c r="BY452" s="37" t="str">
        <f t="array" ref="BY452:CI452">IF(BX452,"",IVSolution($M452,$N452,$O452,BT452,BU452,BV452,BW452,$E452,$F452,$G452,$H452,$I452))</f>
        <v/>
      </c>
      <c r="BZ452" s="37" t="str">
        <v/>
      </c>
      <c r="CA452" s="37" t="str">
        <v/>
      </c>
      <c r="CB452" s="39" t="str">
        <v/>
      </c>
      <c r="CC452" s="39" t="str">
        <v/>
      </c>
      <c r="CD452" s="37" t="str">
        <v/>
      </c>
      <c r="CE452" s="37" t="str">
        <v/>
      </c>
      <c r="CF452" s="37" t="str">
        <v/>
      </c>
      <c r="CG452" s="37" t="str">
        <v/>
      </c>
      <c r="CH452" s="37" t="str">
        <v/>
      </c>
      <c r="CI452" s="37" t="str">
        <v/>
      </c>
      <c r="CJ452" s="41" t="str">
        <f t="shared" si="282"/>
        <v/>
      </c>
      <c r="CK452" s="41" t="str">
        <f t="shared" si="283"/>
        <v/>
      </c>
      <c r="CL452" s="66" t="str">
        <f t="shared" si="284"/>
        <v/>
      </c>
      <c r="CM452" s="39" t="str">
        <f t="shared" si="285"/>
        <v/>
      </c>
      <c r="CN452" s="39" t="str">
        <f t="shared" si="286"/>
        <v/>
      </c>
      <c r="CO452" s="42" t="str">
        <f t="shared" si="287"/>
        <v/>
      </c>
      <c r="CP452" s="42" t="str">
        <f t="shared" si="288"/>
        <v/>
      </c>
      <c r="CQ452" s="42" t="str">
        <f t="shared" si="289"/>
        <v/>
      </c>
      <c r="CR452" s="42" t="str">
        <f t="shared" si="290"/>
        <v/>
      </c>
      <c r="CS452" s="42" t="str">
        <f t="shared" si="291"/>
        <v/>
      </c>
      <c r="CT452" s="42" t="str">
        <f t="shared" si="292"/>
        <v/>
      </c>
      <c r="CU452" s="43" t="str">
        <f t="shared" si="293"/>
        <v/>
      </c>
      <c r="CV452" s="43" t="str">
        <f t="shared" si="294"/>
        <v/>
      </c>
      <c r="CW452" s="43" t="str">
        <f t="shared" si="295"/>
        <v/>
      </c>
      <c r="CX452" s="13"/>
    </row>
    <row r="453" spans="1:102" x14ac:dyDescent="0.25">
      <c r="A453" s="31"/>
      <c r="B453" s="13"/>
      <c r="C453" s="13"/>
      <c r="D453" s="13"/>
      <c r="E453" s="32"/>
      <c r="F453" s="32"/>
      <c r="G453" s="32"/>
      <c r="H453" s="32"/>
      <c r="I453" s="32"/>
      <c r="J453" s="13"/>
      <c r="K453" s="33"/>
      <c r="L453" s="34" t="str">
        <f>IFERROR(INDEX('Pokemon Data'!A:A,MATCH($A453,'Pokemon Data'!$B:$B,0)),"")</f>
        <v/>
      </c>
      <c r="M453" s="34" t="str">
        <f>IFERROR(INDEX('Pokemon Data'!I:I,MATCH($A453,'Pokemon Data'!$B:$B,0)),"")</f>
        <v/>
      </c>
      <c r="N453" s="34" t="str">
        <f>IFERROR(INDEX('Pokemon Data'!J:J,MATCH($A453,'Pokemon Data'!$B:$B,0)),"")</f>
        <v/>
      </c>
      <c r="O453" s="34" t="str">
        <f>IFERROR(INDEX('Pokemon Data'!K:K,MATCH($A453,'Pokemon Data'!$B:$B,0)),"")</f>
        <v/>
      </c>
      <c r="P453" s="35" t="str">
        <f>IFERROR(INDEX('Level Multipliers'!$A:$A,MATCH($D453,'Level Multipliers'!$B:$B,0)),"")</f>
        <v/>
      </c>
      <c r="Q453" s="36" t="str">
        <f>IFERROR(INDEX('Level Multipliers'!$D:$D,MATCH(P453,'Level Multipliers'!$A:$A,0)),"")</f>
        <v/>
      </c>
      <c r="R453" s="37" t="str">
        <f t="shared" si="259"/>
        <v/>
      </c>
      <c r="S453" s="37" t="str">
        <f t="shared" si="260"/>
        <v/>
      </c>
      <c r="T453" s="38" t="str">
        <f t="shared" si="261"/>
        <v/>
      </c>
      <c r="U453" s="38" t="str">
        <f t="shared" si="262"/>
        <v/>
      </c>
      <c r="V453" s="38" t="b">
        <f t="shared" si="263"/>
        <v>1</v>
      </c>
      <c r="W453" s="37" t="str">
        <f t="array" ref="W453:AG453">IF(V453,"",IVSolution($M453,$N453,$O453,R453,S453,T453,U453,$E453,$F453,$G453,$H453,$I453))</f>
        <v/>
      </c>
      <c r="X453" s="37" t="str">
        <v/>
      </c>
      <c r="Y453" s="37" t="str">
        <v/>
      </c>
      <c r="Z453" s="39" t="str">
        <v/>
      </c>
      <c r="AA453" s="39" t="str">
        <v/>
      </c>
      <c r="AB453" s="37" t="str">
        <v/>
      </c>
      <c r="AC453" s="37" t="str">
        <v/>
      </c>
      <c r="AD453" s="37" t="str">
        <v/>
      </c>
      <c r="AE453" s="37" t="str">
        <v/>
      </c>
      <c r="AF453" s="37" t="str">
        <v/>
      </c>
      <c r="AG453" s="37" t="str">
        <v/>
      </c>
      <c r="AH453" s="40" t="str">
        <f t="shared" si="264"/>
        <v/>
      </c>
      <c r="AI453" s="36" t="str">
        <f>IFERROR(INDEX('Level Multipliers'!$D:$D,MATCH(AH453,'Level Multipliers'!$A:$A,0)),"")</f>
        <v/>
      </c>
      <c r="AJ453" s="37" t="str">
        <f t="shared" si="265"/>
        <v/>
      </c>
      <c r="AK453" s="37" t="str">
        <f t="shared" si="266"/>
        <v/>
      </c>
      <c r="AL453" s="38" t="str">
        <f t="shared" si="267"/>
        <v/>
      </c>
      <c r="AM453" s="38" t="str">
        <f t="shared" si="268"/>
        <v/>
      </c>
      <c r="AN453" s="38" t="b">
        <f t="shared" si="269"/>
        <v>1</v>
      </c>
      <c r="AO453" s="37" t="str">
        <f t="array" ref="AO453:AY453">IF(AN453,"",IVSolution($M453,$N453,$O453,AJ453,AK453,AL453,AM453,$E453,$F453,$G453,$H453,$I453))</f>
        <v/>
      </c>
      <c r="AP453" s="37" t="str">
        <v/>
      </c>
      <c r="AQ453" s="37" t="str">
        <v/>
      </c>
      <c r="AR453" s="39" t="str">
        <v/>
      </c>
      <c r="AS453" s="39" t="str">
        <v/>
      </c>
      <c r="AT453" s="37" t="str">
        <v/>
      </c>
      <c r="AU453" s="37" t="str">
        <v/>
      </c>
      <c r="AV453" s="37" t="str">
        <v/>
      </c>
      <c r="AW453" s="37" t="str">
        <v/>
      </c>
      <c r="AX453" s="37" t="str">
        <v/>
      </c>
      <c r="AY453" s="37" t="str">
        <v/>
      </c>
      <c r="AZ453" s="40" t="str">
        <f t="shared" si="270"/>
        <v/>
      </c>
      <c r="BA453" s="36" t="str">
        <f>IFERROR(INDEX('Level Multipliers'!$D:$D,MATCH(AZ453,'Level Multipliers'!$A:$A,0)),"")</f>
        <v/>
      </c>
      <c r="BB453" s="37" t="str">
        <f t="shared" si="271"/>
        <v/>
      </c>
      <c r="BC453" s="37" t="str">
        <f t="shared" si="272"/>
        <v/>
      </c>
      <c r="BD453" s="38" t="str">
        <f t="shared" si="273"/>
        <v/>
      </c>
      <c r="BE453" s="38" t="str">
        <f t="shared" si="274"/>
        <v/>
      </c>
      <c r="BF453" s="38" t="b">
        <f t="shared" si="275"/>
        <v>1</v>
      </c>
      <c r="BG453" s="37" t="str">
        <f t="array" ref="BG453:BQ453">IF(BF453,"",IVSolution($M453,$N453,$O453,BB453,BC453,BD453,BE453,$E453,$F453,$G453,$H453,$I453))</f>
        <v/>
      </c>
      <c r="BH453" s="37" t="str">
        <v/>
      </c>
      <c r="BI453" s="37" t="str">
        <v/>
      </c>
      <c r="BJ453" s="39" t="str">
        <v/>
      </c>
      <c r="BK453" s="39" t="str">
        <v/>
      </c>
      <c r="BL453" s="37" t="str">
        <v/>
      </c>
      <c r="BM453" s="37" t="str">
        <v/>
      </c>
      <c r="BN453" s="37" t="str">
        <v/>
      </c>
      <c r="BO453" s="37" t="str">
        <v/>
      </c>
      <c r="BP453" s="37" t="str">
        <v/>
      </c>
      <c r="BQ453" s="37" t="str">
        <v/>
      </c>
      <c r="BR453" s="40" t="str">
        <f t="shared" si="276"/>
        <v/>
      </c>
      <c r="BS453" s="36" t="str">
        <f>IFERROR(INDEX('Level Multipliers'!$D:$D,MATCH(BR453,'Level Multipliers'!$A:$A,0)),"")</f>
        <v/>
      </c>
      <c r="BT453" s="37" t="str">
        <f t="shared" si="277"/>
        <v/>
      </c>
      <c r="BU453" s="37" t="str">
        <f t="shared" si="278"/>
        <v/>
      </c>
      <c r="BV453" s="38" t="str">
        <f t="shared" si="279"/>
        <v/>
      </c>
      <c r="BW453" s="38" t="str">
        <f t="shared" si="280"/>
        <v/>
      </c>
      <c r="BX453" s="38" t="b">
        <f t="shared" si="281"/>
        <v>1</v>
      </c>
      <c r="BY453" s="37" t="str">
        <f t="array" ref="BY453:CI453">IF(BX453,"",IVSolution($M453,$N453,$O453,BT453,BU453,BV453,BW453,$E453,$F453,$G453,$H453,$I453))</f>
        <v/>
      </c>
      <c r="BZ453" s="37" t="str">
        <v/>
      </c>
      <c r="CA453" s="37" t="str">
        <v/>
      </c>
      <c r="CB453" s="39" t="str">
        <v/>
      </c>
      <c r="CC453" s="39" t="str">
        <v/>
      </c>
      <c r="CD453" s="37" t="str">
        <v/>
      </c>
      <c r="CE453" s="37" t="str">
        <v/>
      </c>
      <c r="CF453" s="37" t="str">
        <v/>
      </c>
      <c r="CG453" s="37" t="str">
        <v/>
      </c>
      <c r="CH453" s="37" t="str">
        <v/>
      </c>
      <c r="CI453" s="37" t="str">
        <v/>
      </c>
      <c r="CJ453" s="41" t="str">
        <f t="shared" si="282"/>
        <v/>
      </c>
      <c r="CK453" s="41" t="str">
        <f t="shared" si="283"/>
        <v/>
      </c>
      <c r="CL453" s="66" t="str">
        <f t="shared" si="284"/>
        <v/>
      </c>
      <c r="CM453" s="39" t="str">
        <f t="shared" si="285"/>
        <v/>
      </c>
      <c r="CN453" s="39" t="str">
        <f t="shared" si="286"/>
        <v/>
      </c>
      <c r="CO453" s="42" t="str">
        <f t="shared" si="287"/>
        <v/>
      </c>
      <c r="CP453" s="42" t="str">
        <f t="shared" si="288"/>
        <v/>
      </c>
      <c r="CQ453" s="42" t="str">
        <f t="shared" si="289"/>
        <v/>
      </c>
      <c r="CR453" s="42" t="str">
        <f t="shared" si="290"/>
        <v/>
      </c>
      <c r="CS453" s="42" t="str">
        <f t="shared" si="291"/>
        <v/>
      </c>
      <c r="CT453" s="42" t="str">
        <f t="shared" si="292"/>
        <v/>
      </c>
      <c r="CU453" s="43" t="str">
        <f t="shared" si="293"/>
        <v/>
      </c>
      <c r="CV453" s="43" t="str">
        <f t="shared" si="294"/>
        <v/>
      </c>
      <c r="CW453" s="43" t="str">
        <f t="shared" si="295"/>
        <v/>
      </c>
      <c r="CX453" s="13"/>
    </row>
    <row r="454" spans="1:102" x14ac:dyDescent="0.25">
      <c r="A454" s="31"/>
      <c r="B454" s="13"/>
      <c r="C454" s="13"/>
      <c r="D454" s="13"/>
      <c r="E454" s="32"/>
      <c r="F454" s="32"/>
      <c r="G454" s="32"/>
      <c r="H454" s="32"/>
      <c r="I454" s="32"/>
      <c r="J454" s="13"/>
      <c r="K454" s="33"/>
      <c r="L454" s="34" t="str">
        <f>IFERROR(INDEX('Pokemon Data'!A:A,MATCH($A454,'Pokemon Data'!$B:$B,0)),"")</f>
        <v/>
      </c>
      <c r="M454" s="34" t="str">
        <f>IFERROR(INDEX('Pokemon Data'!I:I,MATCH($A454,'Pokemon Data'!$B:$B,0)),"")</f>
        <v/>
      </c>
      <c r="N454" s="34" t="str">
        <f>IFERROR(INDEX('Pokemon Data'!J:J,MATCH($A454,'Pokemon Data'!$B:$B,0)),"")</f>
        <v/>
      </c>
      <c r="O454" s="34" t="str">
        <f>IFERROR(INDEX('Pokemon Data'!K:K,MATCH($A454,'Pokemon Data'!$B:$B,0)),"")</f>
        <v/>
      </c>
      <c r="P454" s="35" t="str">
        <f>IFERROR(INDEX('Level Multipliers'!$A:$A,MATCH($D454,'Level Multipliers'!$B:$B,0)),"")</f>
        <v/>
      </c>
      <c r="Q454" s="36" t="str">
        <f>IFERROR(INDEX('Level Multipliers'!$D:$D,MATCH(P454,'Level Multipliers'!$A:$A,0)),"")</f>
        <v/>
      </c>
      <c r="R454" s="37" t="str">
        <f t="shared" si="259"/>
        <v/>
      </c>
      <c r="S454" s="37" t="str">
        <f t="shared" si="260"/>
        <v/>
      </c>
      <c r="T454" s="38" t="str">
        <f t="shared" si="261"/>
        <v/>
      </c>
      <c r="U454" s="38" t="str">
        <f t="shared" si="262"/>
        <v/>
      </c>
      <c r="V454" s="38" t="b">
        <f t="shared" si="263"/>
        <v>1</v>
      </c>
      <c r="W454" s="37" t="str">
        <f t="array" ref="W454:AG454">IF(V454,"",IVSolution($M454,$N454,$O454,R454,S454,T454,U454,$E454,$F454,$G454,$H454,$I454))</f>
        <v/>
      </c>
      <c r="X454" s="37" t="str">
        <v/>
      </c>
      <c r="Y454" s="37" t="str">
        <v/>
      </c>
      <c r="Z454" s="39" t="str">
        <v/>
      </c>
      <c r="AA454" s="39" t="str">
        <v/>
      </c>
      <c r="AB454" s="37" t="str">
        <v/>
      </c>
      <c r="AC454" s="37" t="str">
        <v/>
      </c>
      <c r="AD454" s="37" t="str">
        <v/>
      </c>
      <c r="AE454" s="37" t="str">
        <v/>
      </c>
      <c r="AF454" s="37" t="str">
        <v/>
      </c>
      <c r="AG454" s="37" t="str">
        <v/>
      </c>
      <c r="AH454" s="40" t="str">
        <f t="shared" si="264"/>
        <v/>
      </c>
      <c r="AI454" s="36" t="str">
        <f>IFERROR(INDEX('Level Multipliers'!$D:$D,MATCH(AH454,'Level Multipliers'!$A:$A,0)),"")</f>
        <v/>
      </c>
      <c r="AJ454" s="37" t="str">
        <f t="shared" si="265"/>
        <v/>
      </c>
      <c r="AK454" s="37" t="str">
        <f t="shared" si="266"/>
        <v/>
      </c>
      <c r="AL454" s="38" t="str">
        <f t="shared" si="267"/>
        <v/>
      </c>
      <c r="AM454" s="38" t="str">
        <f t="shared" si="268"/>
        <v/>
      </c>
      <c r="AN454" s="38" t="b">
        <f t="shared" si="269"/>
        <v>1</v>
      </c>
      <c r="AO454" s="37" t="str">
        <f t="array" ref="AO454:AY454">IF(AN454,"",IVSolution($M454,$N454,$O454,AJ454,AK454,AL454,AM454,$E454,$F454,$G454,$H454,$I454))</f>
        <v/>
      </c>
      <c r="AP454" s="37" t="str">
        <v/>
      </c>
      <c r="AQ454" s="37" t="str">
        <v/>
      </c>
      <c r="AR454" s="39" t="str">
        <v/>
      </c>
      <c r="AS454" s="39" t="str">
        <v/>
      </c>
      <c r="AT454" s="37" t="str">
        <v/>
      </c>
      <c r="AU454" s="37" t="str">
        <v/>
      </c>
      <c r="AV454" s="37" t="str">
        <v/>
      </c>
      <c r="AW454" s="37" t="str">
        <v/>
      </c>
      <c r="AX454" s="37" t="str">
        <v/>
      </c>
      <c r="AY454" s="37" t="str">
        <v/>
      </c>
      <c r="AZ454" s="40" t="str">
        <f t="shared" si="270"/>
        <v/>
      </c>
      <c r="BA454" s="36" t="str">
        <f>IFERROR(INDEX('Level Multipliers'!$D:$D,MATCH(AZ454,'Level Multipliers'!$A:$A,0)),"")</f>
        <v/>
      </c>
      <c r="BB454" s="37" t="str">
        <f t="shared" si="271"/>
        <v/>
      </c>
      <c r="BC454" s="37" t="str">
        <f t="shared" si="272"/>
        <v/>
      </c>
      <c r="BD454" s="38" t="str">
        <f t="shared" si="273"/>
        <v/>
      </c>
      <c r="BE454" s="38" t="str">
        <f t="shared" si="274"/>
        <v/>
      </c>
      <c r="BF454" s="38" t="b">
        <f t="shared" si="275"/>
        <v>1</v>
      </c>
      <c r="BG454" s="37" t="str">
        <f t="array" ref="BG454:BQ454">IF(BF454,"",IVSolution($M454,$N454,$O454,BB454,BC454,BD454,BE454,$E454,$F454,$G454,$H454,$I454))</f>
        <v/>
      </c>
      <c r="BH454" s="37" t="str">
        <v/>
      </c>
      <c r="BI454" s="37" t="str">
        <v/>
      </c>
      <c r="BJ454" s="39" t="str">
        <v/>
      </c>
      <c r="BK454" s="39" t="str">
        <v/>
      </c>
      <c r="BL454" s="37" t="str">
        <v/>
      </c>
      <c r="BM454" s="37" t="str">
        <v/>
      </c>
      <c r="BN454" s="37" t="str">
        <v/>
      </c>
      <c r="BO454" s="37" t="str">
        <v/>
      </c>
      <c r="BP454" s="37" t="str">
        <v/>
      </c>
      <c r="BQ454" s="37" t="str">
        <v/>
      </c>
      <c r="BR454" s="40" t="str">
        <f t="shared" si="276"/>
        <v/>
      </c>
      <c r="BS454" s="36" t="str">
        <f>IFERROR(INDEX('Level Multipliers'!$D:$D,MATCH(BR454,'Level Multipliers'!$A:$A,0)),"")</f>
        <v/>
      </c>
      <c r="BT454" s="37" t="str">
        <f t="shared" si="277"/>
        <v/>
      </c>
      <c r="BU454" s="37" t="str">
        <f t="shared" si="278"/>
        <v/>
      </c>
      <c r="BV454" s="38" t="str">
        <f t="shared" si="279"/>
        <v/>
      </c>
      <c r="BW454" s="38" t="str">
        <f t="shared" si="280"/>
        <v/>
      </c>
      <c r="BX454" s="38" t="b">
        <f t="shared" si="281"/>
        <v>1</v>
      </c>
      <c r="BY454" s="37" t="str">
        <f t="array" ref="BY454:CI454">IF(BX454,"",IVSolution($M454,$N454,$O454,BT454,BU454,BV454,BW454,$E454,$F454,$G454,$H454,$I454))</f>
        <v/>
      </c>
      <c r="BZ454" s="37" t="str">
        <v/>
      </c>
      <c r="CA454" s="37" t="str">
        <v/>
      </c>
      <c r="CB454" s="39" t="str">
        <v/>
      </c>
      <c r="CC454" s="39" t="str">
        <v/>
      </c>
      <c r="CD454" s="37" t="str">
        <v/>
      </c>
      <c r="CE454" s="37" t="str">
        <v/>
      </c>
      <c r="CF454" s="37" t="str">
        <v/>
      </c>
      <c r="CG454" s="37" t="str">
        <v/>
      </c>
      <c r="CH454" s="37" t="str">
        <v/>
      </c>
      <c r="CI454" s="37" t="str">
        <v/>
      </c>
      <c r="CJ454" s="41" t="str">
        <f t="shared" si="282"/>
        <v/>
      </c>
      <c r="CK454" s="41" t="str">
        <f t="shared" si="283"/>
        <v/>
      </c>
      <c r="CL454" s="66" t="str">
        <f t="shared" si="284"/>
        <v/>
      </c>
      <c r="CM454" s="39" t="str">
        <f t="shared" si="285"/>
        <v/>
      </c>
      <c r="CN454" s="39" t="str">
        <f t="shared" si="286"/>
        <v/>
      </c>
      <c r="CO454" s="42" t="str">
        <f t="shared" si="287"/>
        <v/>
      </c>
      <c r="CP454" s="42" t="str">
        <f t="shared" si="288"/>
        <v/>
      </c>
      <c r="CQ454" s="42" t="str">
        <f t="shared" si="289"/>
        <v/>
      </c>
      <c r="CR454" s="42" t="str">
        <f t="shared" si="290"/>
        <v/>
      </c>
      <c r="CS454" s="42" t="str">
        <f t="shared" si="291"/>
        <v/>
      </c>
      <c r="CT454" s="42" t="str">
        <f t="shared" si="292"/>
        <v/>
      </c>
      <c r="CU454" s="43" t="str">
        <f t="shared" si="293"/>
        <v/>
      </c>
      <c r="CV454" s="43" t="str">
        <f t="shared" si="294"/>
        <v/>
      </c>
      <c r="CW454" s="43" t="str">
        <f t="shared" si="295"/>
        <v/>
      </c>
      <c r="CX454" s="13"/>
    </row>
    <row r="455" spans="1:102" x14ac:dyDescent="0.25">
      <c r="A455" s="31"/>
      <c r="B455" s="13"/>
      <c r="C455" s="13"/>
      <c r="D455" s="13"/>
      <c r="E455" s="32"/>
      <c r="F455" s="32"/>
      <c r="G455" s="32"/>
      <c r="H455" s="32"/>
      <c r="I455" s="32"/>
      <c r="J455" s="13"/>
      <c r="K455" s="33"/>
      <c r="L455" s="34" t="str">
        <f>IFERROR(INDEX('Pokemon Data'!A:A,MATCH($A455,'Pokemon Data'!$B:$B,0)),"")</f>
        <v/>
      </c>
      <c r="M455" s="34" t="str">
        <f>IFERROR(INDEX('Pokemon Data'!I:I,MATCH($A455,'Pokemon Data'!$B:$B,0)),"")</f>
        <v/>
      </c>
      <c r="N455" s="34" t="str">
        <f>IFERROR(INDEX('Pokemon Data'!J:J,MATCH($A455,'Pokemon Data'!$B:$B,0)),"")</f>
        <v/>
      </c>
      <c r="O455" s="34" t="str">
        <f>IFERROR(INDEX('Pokemon Data'!K:K,MATCH($A455,'Pokemon Data'!$B:$B,0)),"")</f>
        <v/>
      </c>
      <c r="P455" s="35" t="str">
        <f>IFERROR(INDEX('Level Multipliers'!$A:$A,MATCH($D455,'Level Multipliers'!$B:$B,0)),"")</f>
        <v/>
      </c>
      <c r="Q455" s="36" t="str">
        <f>IFERROR(INDEX('Level Multipliers'!$D:$D,MATCH(P455,'Level Multipliers'!$A:$A,0)),"")</f>
        <v/>
      </c>
      <c r="R455" s="37" t="str">
        <f t="shared" si="259"/>
        <v/>
      </c>
      <c r="S455" s="37" t="str">
        <f t="shared" si="260"/>
        <v/>
      </c>
      <c r="T455" s="38" t="str">
        <f t="shared" si="261"/>
        <v/>
      </c>
      <c r="U455" s="38" t="str">
        <f t="shared" si="262"/>
        <v/>
      </c>
      <c r="V455" s="38" t="b">
        <f t="shared" si="263"/>
        <v>1</v>
      </c>
      <c r="W455" s="37" t="str">
        <f t="array" ref="W455:AG455">IF(V455,"",IVSolution($M455,$N455,$O455,R455,S455,T455,U455,$E455,$F455,$G455,$H455,$I455))</f>
        <v/>
      </c>
      <c r="X455" s="37" t="str">
        <v/>
      </c>
      <c r="Y455" s="37" t="str">
        <v/>
      </c>
      <c r="Z455" s="39" t="str">
        <v/>
      </c>
      <c r="AA455" s="39" t="str">
        <v/>
      </c>
      <c r="AB455" s="37" t="str">
        <v/>
      </c>
      <c r="AC455" s="37" t="str">
        <v/>
      </c>
      <c r="AD455" s="37" t="str">
        <v/>
      </c>
      <c r="AE455" s="37" t="str">
        <v/>
      </c>
      <c r="AF455" s="37" t="str">
        <v/>
      </c>
      <c r="AG455" s="37" t="str">
        <v/>
      </c>
      <c r="AH455" s="40" t="str">
        <f t="shared" si="264"/>
        <v/>
      </c>
      <c r="AI455" s="36" t="str">
        <f>IFERROR(INDEX('Level Multipliers'!$D:$D,MATCH(AH455,'Level Multipliers'!$A:$A,0)),"")</f>
        <v/>
      </c>
      <c r="AJ455" s="37" t="str">
        <f t="shared" si="265"/>
        <v/>
      </c>
      <c r="AK455" s="37" t="str">
        <f t="shared" si="266"/>
        <v/>
      </c>
      <c r="AL455" s="38" t="str">
        <f t="shared" si="267"/>
        <v/>
      </c>
      <c r="AM455" s="38" t="str">
        <f t="shared" si="268"/>
        <v/>
      </c>
      <c r="AN455" s="38" t="b">
        <f t="shared" si="269"/>
        <v>1</v>
      </c>
      <c r="AO455" s="37" t="str">
        <f t="array" ref="AO455:AY455">IF(AN455,"",IVSolution($M455,$N455,$O455,AJ455,AK455,AL455,AM455,$E455,$F455,$G455,$H455,$I455))</f>
        <v/>
      </c>
      <c r="AP455" s="37" t="str">
        <v/>
      </c>
      <c r="AQ455" s="37" t="str">
        <v/>
      </c>
      <c r="AR455" s="39" t="str">
        <v/>
      </c>
      <c r="AS455" s="39" t="str">
        <v/>
      </c>
      <c r="AT455" s="37" t="str">
        <v/>
      </c>
      <c r="AU455" s="37" t="str">
        <v/>
      </c>
      <c r="AV455" s="37" t="str">
        <v/>
      </c>
      <c r="AW455" s="37" t="str">
        <v/>
      </c>
      <c r="AX455" s="37" t="str">
        <v/>
      </c>
      <c r="AY455" s="37" t="str">
        <v/>
      </c>
      <c r="AZ455" s="40" t="str">
        <f t="shared" si="270"/>
        <v/>
      </c>
      <c r="BA455" s="36" t="str">
        <f>IFERROR(INDEX('Level Multipliers'!$D:$D,MATCH(AZ455,'Level Multipliers'!$A:$A,0)),"")</f>
        <v/>
      </c>
      <c r="BB455" s="37" t="str">
        <f t="shared" si="271"/>
        <v/>
      </c>
      <c r="BC455" s="37" t="str">
        <f t="shared" si="272"/>
        <v/>
      </c>
      <c r="BD455" s="38" t="str">
        <f t="shared" si="273"/>
        <v/>
      </c>
      <c r="BE455" s="38" t="str">
        <f t="shared" si="274"/>
        <v/>
      </c>
      <c r="BF455" s="38" t="b">
        <f t="shared" si="275"/>
        <v>1</v>
      </c>
      <c r="BG455" s="37" t="str">
        <f t="array" ref="BG455:BQ455">IF(BF455,"",IVSolution($M455,$N455,$O455,BB455,BC455,BD455,BE455,$E455,$F455,$G455,$H455,$I455))</f>
        <v/>
      </c>
      <c r="BH455" s="37" t="str">
        <v/>
      </c>
      <c r="BI455" s="37" t="str">
        <v/>
      </c>
      <c r="BJ455" s="39" t="str">
        <v/>
      </c>
      <c r="BK455" s="39" t="str">
        <v/>
      </c>
      <c r="BL455" s="37" t="str">
        <v/>
      </c>
      <c r="BM455" s="37" t="str">
        <v/>
      </c>
      <c r="BN455" s="37" t="str">
        <v/>
      </c>
      <c r="BO455" s="37" t="str">
        <v/>
      </c>
      <c r="BP455" s="37" t="str">
        <v/>
      </c>
      <c r="BQ455" s="37" t="str">
        <v/>
      </c>
      <c r="BR455" s="40" t="str">
        <f t="shared" si="276"/>
        <v/>
      </c>
      <c r="BS455" s="36" t="str">
        <f>IFERROR(INDEX('Level Multipliers'!$D:$D,MATCH(BR455,'Level Multipliers'!$A:$A,0)),"")</f>
        <v/>
      </c>
      <c r="BT455" s="37" t="str">
        <f t="shared" si="277"/>
        <v/>
      </c>
      <c r="BU455" s="37" t="str">
        <f t="shared" si="278"/>
        <v/>
      </c>
      <c r="BV455" s="38" t="str">
        <f t="shared" si="279"/>
        <v/>
      </c>
      <c r="BW455" s="38" t="str">
        <f t="shared" si="280"/>
        <v/>
      </c>
      <c r="BX455" s="38" t="b">
        <f t="shared" si="281"/>
        <v>1</v>
      </c>
      <c r="BY455" s="37" t="str">
        <f t="array" ref="BY455:CI455">IF(BX455,"",IVSolution($M455,$N455,$O455,BT455,BU455,BV455,BW455,$E455,$F455,$G455,$H455,$I455))</f>
        <v/>
      </c>
      <c r="BZ455" s="37" t="str">
        <v/>
      </c>
      <c r="CA455" s="37" t="str">
        <v/>
      </c>
      <c r="CB455" s="39" t="str">
        <v/>
      </c>
      <c r="CC455" s="39" t="str">
        <v/>
      </c>
      <c r="CD455" s="37" t="str">
        <v/>
      </c>
      <c r="CE455" s="37" t="str">
        <v/>
      </c>
      <c r="CF455" s="37" t="str">
        <v/>
      </c>
      <c r="CG455" s="37" t="str">
        <v/>
      </c>
      <c r="CH455" s="37" t="str">
        <v/>
      </c>
      <c r="CI455" s="37" t="str">
        <v/>
      </c>
      <c r="CJ455" s="41" t="str">
        <f t="shared" si="282"/>
        <v/>
      </c>
      <c r="CK455" s="41" t="str">
        <f t="shared" si="283"/>
        <v/>
      </c>
      <c r="CL455" s="66" t="str">
        <f t="shared" si="284"/>
        <v/>
      </c>
      <c r="CM455" s="39" t="str">
        <f t="shared" si="285"/>
        <v/>
      </c>
      <c r="CN455" s="39" t="str">
        <f t="shared" si="286"/>
        <v/>
      </c>
      <c r="CO455" s="42" t="str">
        <f t="shared" si="287"/>
        <v/>
      </c>
      <c r="CP455" s="42" t="str">
        <f t="shared" si="288"/>
        <v/>
      </c>
      <c r="CQ455" s="42" t="str">
        <f t="shared" si="289"/>
        <v/>
      </c>
      <c r="CR455" s="42" t="str">
        <f t="shared" si="290"/>
        <v/>
      </c>
      <c r="CS455" s="42" t="str">
        <f t="shared" si="291"/>
        <v/>
      </c>
      <c r="CT455" s="42" t="str">
        <f t="shared" si="292"/>
        <v/>
      </c>
      <c r="CU455" s="43" t="str">
        <f t="shared" si="293"/>
        <v/>
      </c>
      <c r="CV455" s="43" t="str">
        <f t="shared" si="294"/>
        <v/>
      </c>
      <c r="CW455" s="43" t="str">
        <f t="shared" si="295"/>
        <v/>
      </c>
      <c r="CX455" s="13"/>
    </row>
    <row r="456" spans="1:102" x14ac:dyDescent="0.25">
      <c r="A456" s="31"/>
      <c r="B456" s="13"/>
      <c r="C456" s="13"/>
      <c r="D456" s="13"/>
      <c r="E456" s="32"/>
      <c r="F456" s="32"/>
      <c r="G456" s="32"/>
      <c r="H456" s="32"/>
      <c r="I456" s="32"/>
      <c r="J456" s="13"/>
      <c r="K456" s="33"/>
      <c r="L456" s="34" t="str">
        <f>IFERROR(INDEX('Pokemon Data'!A:A,MATCH($A456,'Pokemon Data'!$B:$B,0)),"")</f>
        <v/>
      </c>
      <c r="M456" s="34" t="str">
        <f>IFERROR(INDEX('Pokemon Data'!I:I,MATCH($A456,'Pokemon Data'!$B:$B,0)),"")</f>
        <v/>
      </c>
      <c r="N456" s="34" t="str">
        <f>IFERROR(INDEX('Pokemon Data'!J:J,MATCH($A456,'Pokemon Data'!$B:$B,0)),"")</f>
        <v/>
      </c>
      <c r="O456" s="34" t="str">
        <f>IFERROR(INDEX('Pokemon Data'!K:K,MATCH($A456,'Pokemon Data'!$B:$B,0)),"")</f>
        <v/>
      </c>
      <c r="P456" s="35" t="str">
        <f>IFERROR(INDEX('Level Multipliers'!$A:$A,MATCH($D456,'Level Multipliers'!$B:$B,0)),"")</f>
        <v/>
      </c>
      <c r="Q456" s="36" t="str">
        <f>IFERROR(INDEX('Level Multipliers'!$D:$D,MATCH(P456,'Level Multipliers'!$A:$A,0)),"")</f>
        <v/>
      </c>
      <c r="R456" s="37" t="str">
        <f t="shared" si="259"/>
        <v/>
      </c>
      <c r="S456" s="37" t="str">
        <f t="shared" si="260"/>
        <v/>
      </c>
      <c r="T456" s="38" t="str">
        <f t="shared" si="261"/>
        <v/>
      </c>
      <c r="U456" s="38" t="str">
        <f t="shared" si="262"/>
        <v/>
      </c>
      <c r="V456" s="38" t="b">
        <f t="shared" si="263"/>
        <v>1</v>
      </c>
      <c r="W456" s="37" t="str">
        <f t="array" ref="W456:AG456">IF(V456,"",IVSolution($M456,$N456,$O456,R456,S456,T456,U456,$E456,$F456,$G456,$H456,$I456))</f>
        <v/>
      </c>
      <c r="X456" s="37" t="str">
        <v/>
      </c>
      <c r="Y456" s="37" t="str">
        <v/>
      </c>
      <c r="Z456" s="39" t="str">
        <v/>
      </c>
      <c r="AA456" s="39" t="str">
        <v/>
      </c>
      <c r="AB456" s="37" t="str">
        <v/>
      </c>
      <c r="AC456" s="37" t="str">
        <v/>
      </c>
      <c r="AD456" s="37" t="str">
        <v/>
      </c>
      <c r="AE456" s="37" t="str">
        <v/>
      </c>
      <c r="AF456" s="37" t="str">
        <v/>
      </c>
      <c r="AG456" s="37" t="str">
        <v/>
      </c>
      <c r="AH456" s="40" t="str">
        <f t="shared" si="264"/>
        <v/>
      </c>
      <c r="AI456" s="36" t="str">
        <f>IFERROR(INDEX('Level Multipliers'!$D:$D,MATCH(AH456,'Level Multipliers'!$A:$A,0)),"")</f>
        <v/>
      </c>
      <c r="AJ456" s="37" t="str">
        <f t="shared" si="265"/>
        <v/>
      </c>
      <c r="AK456" s="37" t="str">
        <f t="shared" si="266"/>
        <v/>
      </c>
      <c r="AL456" s="38" t="str">
        <f t="shared" si="267"/>
        <v/>
      </c>
      <c r="AM456" s="38" t="str">
        <f t="shared" si="268"/>
        <v/>
      </c>
      <c r="AN456" s="38" t="b">
        <f t="shared" si="269"/>
        <v>1</v>
      </c>
      <c r="AO456" s="37" t="str">
        <f t="array" ref="AO456:AY456">IF(AN456,"",IVSolution($M456,$N456,$O456,AJ456,AK456,AL456,AM456,$E456,$F456,$G456,$H456,$I456))</f>
        <v/>
      </c>
      <c r="AP456" s="37" t="str">
        <v/>
      </c>
      <c r="AQ456" s="37" t="str">
        <v/>
      </c>
      <c r="AR456" s="39" t="str">
        <v/>
      </c>
      <c r="AS456" s="39" t="str">
        <v/>
      </c>
      <c r="AT456" s="37" t="str">
        <v/>
      </c>
      <c r="AU456" s="37" t="str">
        <v/>
      </c>
      <c r="AV456" s="37" t="str">
        <v/>
      </c>
      <c r="AW456" s="37" t="str">
        <v/>
      </c>
      <c r="AX456" s="37" t="str">
        <v/>
      </c>
      <c r="AY456" s="37" t="str">
        <v/>
      </c>
      <c r="AZ456" s="40" t="str">
        <f t="shared" si="270"/>
        <v/>
      </c>
      <c r="BA456" s="36" t="str">
        <f>IFERROR(INDEX('Level Multipliers'!$D:$D,MATCH(AZ456,'Level Multipliers'!$A:$A,0)),"")</f>
        <v/>
      </c>
      <c r="BB456" s="37" t="str">
        <f t="shared" si="271"/>
        <v/>
      </c>
      <c r="BC456" s="37" t="str">
        <f t="shared" si="272"/>
        <v/>
      </c>
      <c r="BD456" s="38" t="str">
        <f t="shared" si="273"/>
        <v/>
      </c>
      <c r="BE456" s="38" t="str">
        <f t="shared" si="274"/>
        <v/>
      </c>
      <c r="BF456" s="38" t="b">
        <f t="shared" si="275"/>
        <v>1</v>
      </c>
      <c r="BG456" s="37" t="str">
        <f t="array" ref="BG456:BQ456">IF(BF456,"",IVSolution($M456,$N456,$O456,BB456,BC456,BD456,BE456,$E456,$F456,$G456,$H456,$I456))</f>
        <v/>
      </c>
      <c r="BH456" s="37" t="str">
        <v/>
      </c>
      <c r="BI456" s="37" t="str">
        <v/>
      </c>
      <c r="BJ456" s="39" t="str">
        <v/>
      </c>
      <c r="BK456" s="39" t="str">
        <v/>
      </c>
      <c r="BL456" s="37" t="str">
        <v/>
      </c>
      <c r="BM456" s="37" t="str">
        <v/>
      </c>
      <c r="BN456" s="37" t="str">
        <v/>
      </c>
      <c r="BO456" s="37" t="str">
        <v/>
      </c>
      <c r="BP456" s="37" t="str">
        <v/>
      </c>
      <c r="BQ456" s="37" t="str">
        <v/>
      </c>
      <c r="BR456" s="40" t="str">
        <f t="shared" si="276"/>
        <v/>
      </c>
      <c r="BS456" s="36" t="str">
        <f>IFERROR(INDEX('Level Multipliers'!$D:$D,MATCH(BR456,'Level Multipliers'!$A:$A,0)),"")</f>
        <v/>
      </c>
      <c r="BT456" s="37" t="str">
        <f t="shared" si="277"/>
        <v/>
      </c>
      <c r="BU456" s="37" t="str">
        <f t="shared" si="278"/>
        <v/>
      </c>
      <c r="BV456" s="38" t="str">
        <f t="shared" si="279"/>
        <v/>
      </c>
      <c r="BW456" s="38" t="str">
        <f t="shared" si="280"/>
        <v/>
      </c>
      <c r="BX456" s="38" t="b">
        <f t="shared" si="281"/>
        <v>1</v>
      </c>
      <c r="BY456" s="37" t="str">
        <f t="array" ref="BY456:CI456">IF(BX456,"",IVSolution($M456,$N456,$O456,BT456,BU456,BV456,BW456,$E456,$F456,$G456,$H456,$I456))</f>
        <v/>
      </c>
      <c r="BZ456" s="37" t="str">
        <v/>
      </c>
      <c r="CA456" s="37" t="str">
        <v/>
      </c>
      <c r="CB456" s="39" t="str">
        <v/>
      </c>
      <c r="CC456" s="39" t="str">
        <v/>
      </c>
      <c r="CD456" s="37" t="str">
        <v/>
      </c>
      <c r="CE456" s="37" t="str">
        <v/>
      </c>
      <c r="CF456" s="37" t="str">
        <v/>
      </c>
      <c r="CG456" s="37" t="str">
        <v/>
      </c>
      <c r="CH456" s="37" t="str">
        <v/>
      </c>
      <c r="CI456" s="37" t="str">
        <v/>
      </c>
      <c r="CJ456" s="41" t="str">
        <f t="shared" si="282"/>
        <v/>
      </c>
      <c r="CK456" s="41" t="str">
        <f t="shared" si="283"/>
        <v/>
      </c>
      <c r="CL456" s="66" t="str">
        <f t="shared" si="284"/>
        <v/>
      </c>
      <c r="CM456" s="39" t="str">
        <f t="shared" si="285"/>
        <v/>
      </c>
      <c r="CN456" s="39" t="str">
        <f t="shared" si="286"/>
        <v/>
      </c>
      <c r="CO456" s="42" t="str">
        <f t="shared" si="287"/>
        <v/>
      </c>
      <c r="CP456" s="42" t="str">
        <f t="shared" si="288"/>
        <v/>
      </c>
      <c r="CQ456" s="42" t="str">
        <f t="shared" si="289"/>
        <v/>
      </c>
      <c r="CR456" s="42" t="str">
        <f t="shared" si="290"/>
        <v/>
      </c>
      <c r="CS456" s="42" t="str">
        <f t="shared" si="291"/>
        <v/>
      </c>
      <c r="CT456" s="42" t="str">
        <f t="shared" si="292"/>
        <v/>
      </c>
      <c r="CU456" s="43" t="str">
        <f t="shared" si="293"/>
        <v/>
      </c>
      <c r="CV456" s="43" t="str">
        <f t="shared" si="294"/>
        <v/>
      </c>
      <c r="CW456" s="43" t="str">
        <f t="shared" si="295"/>
        <v/>
      </c>
      <c r="CX456" s="13"/>
    </row>
    <row r="457" spans="1:102" x14ac:dyDescent="0.25">
      <c r="A457" s="31"/>
      <c r="B457" s="13"/>
      <c r="C457" s="13"/>
      <c r="D457" s="13"/>
      <c r="E457" s="32"/>
      <c r="F457" s="32"/>
      <c r="G457" s="32"/>
      <c r="H457" s="32"/>
      <c r="I457" s="32"/>
      <c r="J457" s="13"/>
      <c r="K457" s="33"/>
      <c r="L457" s="34" t="str">
        <f>IFERROR(INDEX('Pokemon Data'!A:A,MATCH($A457,'Pokemon Data'!$B:$B,0)),"")</f>
        <v/>
      </c>
      <c r="M457" s="34" t="str">
        <f>IFERROR(INDEX('Pokemon Data'!I:I,MATCH($A457,'Pokemon Data'!$B:$B,0)),"")</f>
        <v/>
      </c>
      <c r="N457" s="34" t="str">
        <f>IFERROR(INDEX('Pokemon Data'!J:J,MATCH($A457,'Pokemon Data'!$B:$B,0)),"")</f>
        <v/>
      </c>
      <c r="O457" s="34" t="str">
        <f>IFERROR(INDEX('Pokemon Data'!K:K,MATCH($A457,'Pokemon Data'!$B:$B,0)),"")</f>
        <v/>
      </c>
      <c r="P457" s="35" t="str">
        <f>IFERROR(INDEX('Level Multipliers'!$A:$A,MATCH($D457,'Level Multipliers'!$B:$B,0)),"")</f>
        <v/>
      </c>
      <c r="Q457" s="36" t="str">
        <f>IFERROR(INDEX('Level Multipliers'!$D:$D,MATCH(P457,'Level Multipliers'!$A:$A,0)),"")</f>
        <v/>
      </c>
      <c r="R457" s="37" t="str">
        <f t="shared" si="259"/>
        <v/>
      </c>
      <c r="S457" s="37" t="str">
        <f t="shared" si="260"/>
        <v/>
      </c>
      <c r="T457" s="38" t="str">
        <f t="shared" si="261"/>
        <v/>
      </c>
      <c r="U457" s="38" t="str">
        <f t="shared" si="262"/>
        <v/>
      </c>
      <c r="V457" s="38" t="b">
        <f t="shared" si="263"/>
        <v>1</v>
      </c>
      <c r="W457" s="37" t="str">
        <f t="array" ref="W457:AG457">IF(V457,"",IVSolution($M457,$N457,$O457,R457,S457,T457,U457,$E457,$F457,$G457,$H457,$I457))</f>
        <v/>
      </c>
      <c r="X457" s="37" t="str">
        <v/>
      </c>
      <c r="Y457" s="37" t="str">
        <v/>
      </c>
      <c r="Z457" s="39" t="str">
        <v/>
      </c>
      <c r="AA457" s="39" t="str">
        <v/>
      </c>
      <c r="AB457" s="37" t="str">
        <v/>
      </c>
      <c r="AC457" s="37" t="str">
        <v/>
      </c>
      <c r="AD457" s="37" t="str">
        <v/>
      </c>
      <c r="AE457" s="37" t="str">
        <v/>
      </c>
      <c r="AF457" s="37" t="str">
        <v/>
      </c>
      <c r="AG457" s="37" t="str">
        <v/>
      </c>
      <c r="AH457" s="40" t="str">
        <f t="shared" si="264"/>
        <v/>
      </c>
      <c r="AI457" s="36" t="str">
        <f>IFERROR(INDEX('Level Multipliers'!$D:$D,MATCH(AH457,'Level Multipliers'!$A:$A,0)),"")</f>
        <v/>
      </c>
      <c r="AJ457" s="37" t="str">
        <f t="shared" si="265"/>
        <v/>
      </c>
      <c r="AK457" s="37" t="str">
        <f t="shared" si="266"/>
        <v/>
      </c>
      <c r="AL457" s="38" t="str">
        <f t="shared" si="267"/>
        <v/>
      </c>
      <c r="AM457" s="38" t="str">
        <f t="shared" si="268"/>
        <v/>
      </c>
      <c r="AN457" s="38" t="b">
        <f t="shared" si="269"/>
        <v>1</v>
      </c>
      <c r="AO457" s="37" t="str">
        <f t="array" ref="AO457:AY457">IF(AN457,"",IVSolution($M457,$N457,$O457,AJ457,AK457,AL457,AM457,$E457,$F457,$G457,$H457,$I457))</f>
        <v/>
      </c>
      <c r="AP457" s="37" t="str">
        <v/>
      </c>
      <c r="AQ457" s="37" t="str">
        <v/>
      </c>
      <c r="AR457" s="39" t="str">
        <v/>
      </c>
      <c r="AS457" s="39" t="str">
        <v/>
      </c>
      <c r="AT457" s="37" t="str">
        <v/>
      </c>
      <c r="AU457" s="37" t="str">
        <v/>
      </c>
      <c r="AV457" s="37" t="str">
        <v/>
      </c>
      <c r="AW457" s="37" t="str">
        <v/>
      </c>
      <c r="AX457" s="37" t="str">
        <v/>
      </c>
      <c r="AY457" s="37" t="str">
        <v/>
      </c>
      <c r="AZ457" s="40" t="str">
        <f t="shared" si="270"/>
        <v/>
      </c>
      <c r="BA457" s="36" t="str">
        <f>IFERROR(INDEX('Level Multipliers'!$D:$D,MATCH(AZ457,'Level Multipliers'!$A:$A,0)),"")</f>
        <v/>
      </c>
      <c r="BB457" s="37" t="str">
        <f t="shared" si="271"/>
        <v/>
      </c>
      <c r="BC457" s="37" t="str">
        <f t="shared" si="272"/>
        <v/>
      </c>
      <c r="BD457" s="38" t="str">
        <f t="shared" si="273"/>
        <v/>
      </c>
      <c r="BE457" s="38" t="str">
        <f t="shared" si="274"/>
        <v/>
      </c>
      <c r="BF457" s="38" t="b">
        <f t="shared" si="275"/>
        <v>1</v>
      </c>
      <c r="BG457" s="37" t="str">
        <f t="array" ref="BG457:BQ457">IF(BF457,"",IVSolution($M457,$N457,$O457,BB457,BC457,BD457,BE457,$E457,$F457,$G457,$H457,$I457))</f>
        <v/>
      </c>
      <c r="BH457" s="37" t="str">
        <v/>
      </c>
      <c r="BI457" s="37" t="str">
        <v/>
      </c>
      <c r="BJ457" s="39" t="str">
        <v/>
      </c>
      <c r="BK457" s="39" t="str">
        <v/>
      </c>
      <c r="BL457" s="37" t="str">
        <v/>
      </c>
      <c r="BM457" s="37" t="str">
        <v/>
      </c>
      <c r="BN457" s="37" t="str">
        <v/>
      </c>
      <c r="BO457" s="37" t="str">
        <v/>
      </c>
      <c r="BP457" s="37" t="str">
        <v/>
      </c>
      <c r="BQ457" s="37" t="str">
        <v/>
      </c>
      <c r="BR457" s="40" t="str">
        <f t="shared" si="276"/>
        <v/>
      </c>
      <c r="BS457" s="36" t="str">
        <f>IFERROR(INDEX('Level Multipliers'!$D:$D,MATCH(BR457,'Level Multipliers'!$A:$A,0)),"")</f>
        <v/>
      </c>
      <c r="BT457" s="37" t="str">
        <f t="shared" si="277"/>
        <v/>
      </c>
      <c r="BU457" s="37" t="str">
        <f t="shared" si="278"/>
        <v/>
      </c>
      <c r="BV457" s="38" t="str">
        <f t="shared" si="279"/>
        <v/>
      </c>
      <c r="BW457" s="38" t="str">
        <f t="shared" si="280"/>
        <v/>
      </c>
      <c r="BX457" s="38" t="b">
        <f t="shared" si="281"/>
        <v>1</v>
      </c>
      <c r="BY457" s="37" t="str">
        <f t="array" ref="BY457:CI457">IF(BX457,"",IVSolution($M457,$N457,$O457,BT457,BU457,BV457,BW457,$E457,$F457,$G457,$H457,$I457))</f>
        <v/>
      </c>
      <c r="BZ457" s="37" t="str">
        <v/>
      </c>
      <c r="CA457" s="37" t="str">
        <v/>
      </c>
      <c r="CB457" s="39" t="str">
        <v/>
      </c>
      <c r="CC457" s="39" t="str">
        <v/>
      </c>
      <c r="CD457" s="37" t="str">
        <v/>
      </c>
      <c r="CE457" s="37" t="str">
        <v/>
      </c>
      <c r="CF457" s="37" t="str">
        <v/>
      </c>
      <c r="CG457" s="37" t="str">
        <v/>
      </c>
      <c r="CH457" s="37" t="str">
        <v/>
      </c>
      <c r="CI457" s="37" t="str">
        <v/>
      </c>
      <c r="CJ457" s="41" t="str">
        <f t="shared" si="282"/>
        <v/>
      </c>
      <c r="CK457" s="41" t="str">
        <f t="shared" si="283"/>
        <v/>
      </c>
      <c r="CL457" s="66" t="str">
        <f t="shared" si="284"/>
        <v/>
      </c>
      <c r="CM457" s="39" t="str">
        <f t="shared" si="285"/>
        <v/>
      </c>
      <c r="CN457" s="39" t="str">
        <f t="shared" si="286"/>
        <v/>
      </c>
      <c r="CO457" s="42" t="str">
        <f t="shared" si="287"/>
        <v/>
      </c>
      <c r="CP457" s="42" t="str">
        <f t="shared" si="288"/>
        <v/>
      </c>
      <c r="CQ457" s="42" t="str">
        <f t="shared" si="289"/>
        <v/>
      </c>
      <c r="CR457" s="42" t="str">
        <f t="shared" si="290"/>
        <v/>
      </c>
      <c r="CS457" s="42" t="str">
        <f t="shared" si="291"/>
        <v/>
      </c>
      <c r="CT457" s="42" t="str">
        <f t="shared" si="292"/>
        <v/>
      </c>
      <c r="CU457" s="43" t="str">
        <f t="shared" si="293"/>
        <v/>
      </c>
      <c r="CV457" s="43" t="str">
        <f t="shared" si="294"/>
        <v/>
      </c>
      <c r="CW457" s="43" t="str">
        <f t="shared" si="295"/>
        <v/>
      </c>
      <c r="CX457" s="13"/>
    </row>
    <row r="458" spans="1:102" x14ac:dyDescent="0.25">
      <c r="A458" s="31"/>
      <c r="B458" s="13"/>
      <c r="C458" s="13"/>
      <c r="D458" s="13"/>
      <c r="E458" s="32"/>
      <c r="F458" s="32"/>
      <c r="G458" s="32"/>
      <c r="H458" s="32"/>
      <c r="I458" s="32"/>
      <c r="J458" s="13"/>
      <c r="K458" s="33"/>
      <c r="L458" s="34" t="str">
        <f>IFERROR(INDEX('Pokemon Data'!A:A,MATCH($A458,'Pokemon Data'!$B:$B,0)),"")</f>
        <v/>
      </c>
      <c r="M458" s="34" t="str">
        <f>IFERROR(INDEX('Pokemon Data'!I:I,MATCH($A458,'Pokemon Data'!$B:$B,0)),"")</f>
        <v/>
      </c>
      <c r="N458" s="34" t="str">
        <f>IFERROR(INDEX('Pokemon Data'!J:J,MATCH($A458,'Pokemon Data'!$B:$B,0)),"")</f>
        <v/>
      </c>
      <c r="O458" s="34" t="str">
        <f>IFERROR(INDEX('Pokemon Data'!K:K,MATCH($A458,'Pokemon Data'!$B:$B,0)),"")</f>
        <v/>
      </c>
      <c r="P458" s="35" t="str">
        <f>IFERROR(INDEX('Level Multipliers'!$A:$A,MATCH($D458,'Level Multipliers'!$B:$B,0)),"")</f>
        <v/>
      </c>
      <c r="Q458" s="36" t="str">
        <f>IFERROR(INDEX('Level Multipliers'!$D:$D,MATCH(P458,'Level Multipliers'!$A:$A,0)),"")</f>
        <v/>
      </c>
      <c r="R458" s="37" t="str">
        <f t="shared" si="259"/>
        <v/>
      </c>
      <c r="S458" s="37" t="str">
        <f t="shared" si="260"/>
        <v/>
      </c>
      <c r="T458" s="38" t="str">
        <f t="shared" si="261"/>
        <v/>
      </c>
      <c r="U458" s="38" t="str">
        <f t="shared" si="262"/>
        <v/>
      </c>
      <c r="V458" s="38" t="b">
        <f t="shared" si="263"/>
        <v>1</v>
      </c>
      <c r="W458" s="37" t="str">
        <f t="array" ref="W458:AG458">IF(V458,"",IVSolution($M458,$N458,$O458,R458,S458,T458,U458,$E458,$F458,$G458,$H458,$I458))</f>
        <v/>
      </c>
      <c r="X458" s="37" t="str">
        <v/>
      </c>
      <c r="Y458" s="37" t="str">
        <v/>
      </c>
      <c r="Z458" s="39" t="str">
        <v/>
      </c>
      <c r="AA458" s="39" t="str">
        <v/>
      </c>
      <c r="AB458" s="37" t="str">
        <v/>
      </c>
      <c r="AC458" s="37" t="str">
        <v/>
      </c>
      <c r="AD458" s="37" t="str">
        <v/>
      </c>
      <c r="AE458" s="37" t="str">
        <v/>
      </c>
      <c r="AF458" s="37" t="str">
        <v/>
      </c>
      <c r="AG458" s="37" t="str">
        <v/>
      </c>
      <c r="AH458" s="40" t="str">
        <f t="shared" si="264"/>
        <v/>
      </c>
      <c r="AI458" s="36" t="str">
        <f>IFERROR(INDEX('Level Multipliers'!$D:$D,MATCH(AH458,'Level Multipliers'!$A:$A,0)),"")</f>
        <v/>
      </c>
      <c r="AJ458" s="37" t="str">
        <f t="shared" si="265"/>
        <v/>
      </c>
      <c r="AK458" s="37" t="str">
        <f t="shared" si="266"/>
        <v/>
      </c>
      <c r="AL458" s="38" t="str">
        <f t="shared" si="267"/>
        <v/>
      </c>
      <c r="AM458" s="38" t="str">
        <f t="shared" si="268"/>
        <v/>
      </c>
      <c r="AN458" s="38" t="b">
        <f t="shared" si="269"/>
        <v>1</v>
      </c>
      <c r="AO458" s="37" t="str">
        <f t="array" ref="AO458:AY458">IF(AN458,"",IVSolution($M458,$N458,$O458,AJ458,AK458,AL458,AM458,$E458,$F458,$G458,$H458,$I458))</f>
        <v/>
      </c>
      <c r="AP458" s="37" t="str">
        <v/>
      </c>
      <c r="AQ458" s="37" t="str">
        <v/>
      </c>
      <c r="AR458" s="39" t="str">
        <v/>
      </c>
      <c r="AS458" s="39" t="str">
        <v/>
      </c>
      <c r="AT458" s="37" t="str">
        <v/>
      </c>
      <c r="AU458" s="37" t="str">
        <v/>
      </c>
      <c r="AV458" s="37" t="str">
        <v/>
      </c>
      <c r="AW458" s="37" t="str">
        <v/>
      </c>
      <c r="AX458" s="37" t="str">
        <v/>
      </c>
      <c r="AY458" s="37" t="str">
        <v/>
      </c>
      <c r="AZ458" s="40" t="str">
        <f t="shared" si="270"/>
        <v/>
      </c>
      <c r="BA458" s="36" t="str">
        <f>IFERROR(INDEX('Level Multipliers'!$D:$D,MATCH(AZ458,'Level Multipliers'!$A:$A,0)),"")</f>
        <v/>
      </c>
      <c r="BB458" s="37" t="str">
        <f t="shared" si="271"/>
        <v/>
      </c>
      <c r="BC458" s="37" t="str">
        <f t="shared" si="272"/>
        <v/>
      </c>
      <c r="BD458" s="38" t="str">
        <f t="shared" si="273"/>
        <v/>
      </c>
      <c r="BE458" s="38" t="str">
        <f t="shared" si="274"/>
        <v/>
      </c>
      <c r="BF458" s="38" t="b">
        <f t="shared" si="275"/>
        <v>1</v>
      </c>
      <c r="BG458" s="37" t="str">
        <f t="array" ref="BG458:BQ458">IF(BF458,"",IVSolution($M458,$N458,$O458,BB458,BC458,BD458,BE458,$E458,$F458,$G458,$H458,$I458))</f>
        <v/>
      </c>
      <c r="BH458" s="37" t="str">
        <v/>
      </c>
      <c r="BI458" s="37" t="str">
        <v/>
      </c>
      <c r="BJ458" s="39" t="str">
        <v/>
      </c>
      <c r="BK458" s="39" t="str">
        <v/>
      </c>
      <c r="BL458" s="37" t="str">
        <v/>
      </c>
      <c r="BM458" s="37" t="str">
        <v/>
      </c>
      <c r="BN458" s="37" t="str">
        <v/>
      </c>
      <c r="BO458" s="37" t="str">
        <v/>
      </c>
      <c r="BP458" s="37" t="str">
        <v/>
      </c>
      <c r="BQ458" s="37" t="str">
        <v/>
      </c>
      <c r="BR458" s="40" t="str">
        <f t="shared" si="276"/>
        <v/>
      </c>
      <c r="BS458" s="36" t="str">
        <f>IFERROR(INDEX('Level Multipliers'!$D:$D,MATCH(BR458,'Level Multipliers'!$A:$A,0)),"")</f>
        <v/>
      </c>
      <c r="BT458" s="37" t="str">
        <f t="shared" si="277"/>
        <v/>
      </c>
      <c r="BU458" s="37" t="str">
        <f t="shared" si="278"/>
        <v/>
      </c>
      <c r="BV458" s="38" t="str">
        <f t="shared" si="279"/>
        <v/>
      </c>
      <c r="BW458" s="38" t="str">
        <f t="shared" si="280"/>
        <v/>
      </c>
      <c r="BX458" s="38" t="b">
        <f t="shared" si="281"/>
        <v>1</v>
      </c>
      <c r="BY458" s="37" t="str">
        <f t="array" ref="BY458:CI458">IF(BX458,"",IVSolution($M458,$N458,$O458,BT458,BU458,BV458,BW458,$E458,$F458,$G458,$H458,$I458))</f>
        <v/>
      </c>
      <c r="BZ458" s="37" t="str">
        <v/>
      </c>
      <c r="CA458" s="37" t="str">
        <v/>
      </c>
      <c r="CB458" s="39" t="str">
        <v/>
      </c>
      <c r="CC458" s="39" t="str">
        <v/>
      </c>
      <c r="CD458" s="37" t="str">
        <v/>
      </c>
      <c r="CE458" s="37" t="str">
        <v/>
      </c>
      <c r="CF458" s="37" t="str">
        <v/>
      </c>
      <c r="CG458" s="37" t="str">
        <v/>
      </c>
      <c r="CH458" s="37" t="str">
        <v/>
      </c>
      <c r="CI458" s="37" t="str">
        <v/>
      </c>
      <c r="CJ458" s="41" t="str">
        <f t="shared" si="282"/>
        <v/>
      </c>
      <c r="CK458" s="41" t="str">
        <f t="shared" si="283"/>
        <v/>
      </c>
      <c r="CL458" s="66" t="str">
        <f t="shared" si="284"/>
        <v/>
      </c>
      <c r="CM458" s="39" t="str">
        <f t="shared" si="285"/>
        <v/>
      </c>
      <c r="CN458" s="39" t="str">
        <f t="shared" si="286"/>
        <v/>
      </c>
      <c r="CO458" s="42" t="str">
        <f t="shared" si="287"/>
        <v/>
      </c>
      <c r="CP458" s="42" t="str">
        <f t="shared" si="288"/>
        <v/>
      </c>
      <c r="CQ458" s="42" t="str">
        <f t="shared" si="289"/>
        <v/>
      </c>
      <c r="CR458" s="42" t="str">
        <f t="shared" si="290"/>
        <v/>
      </c>
      <c r="CS458" s="42" t="str">
        <f t="shared" si="291"/>
        <v/>
      </c>
      <c r="CT458" s="42" t="str">
        <f t="shared" si="292"/>
        <v/>
      </c>
      <c r="CU458" s="43" t="str">
        <f t="shared" si="293"/>
        <v/>
      </c>
      <c r="CV458" s="43" t="str">
        <f t="shared" si="294"/>
        <v/>
      </c>
      <c r="CW458" s="43" t="str">
        <f t="shared" si="295"/>
        <v/>
      </c>
      <c r="CX458" s="13"/>
    </row>
    <row r="459" spans="1:102" x14ac:dyDescent="0.25">
      <c r="A459" s="31"/>
      <c r="B459" s="13"/>
      <c r="C459" s="13"/>
      <c r="D459" s="13"/>
      <c r="E459" s="32"/>
      <c r="F459" s="32"/>
      <c r="G459" s="32"/>
      <c r="H459" s="32"/>
      <c r="I459" s="32"/>
      <c r="J459" s="13"/>
      <c r="K459" s="33"/>
      <c r="L459" s="34" t="str">
        <f>IFERROR(INDEX('Pokemon Data'!A:A,MATCH($A459,'Pokemon Data'!$B:$B,0)),"")</f>
        <v/>
      </c>
      <c r="M459" s="34" t="str">
        <f>IFERROR(INDEX('Pokemon Data'!I:I,MATCH($A459,'Pokemon Data'!$B:$B,0)),"")</f>
        <v/>
      </c>
      <c r="N459" s="34" t="str">
        <f>IFERROR(INDEX('Pokemon Data'!J:J,MATCH($A459,'Pokemon Data'!$B:$B,0)),"")</f>
        <v/>
      </c>
      <c r="O459" s="34" t="str">
        <f>IFERROR(INDEX('Pokemon Data'!K:K,MATCH($A459,'Pokemon Data'!$B:$B,0)),"")</f>
        <v/>
      </c>
      <c r="P459" s="35" t="str">
        <f>IFERROR(INDEX('Level Multipliers'!$A:$A,MATCH($D459,'Level Multipliers'!$B:$B,0)),"")</f>
        <v/>
      </c>
      <c r="Q459" s="36" t="str">
        <f>IFERROR(INDEX('Level Multipliers'!$D:$D,MATCH(P459,'Level Multipliers'!$A:$A,0)),"")</f>
        <v/>
      </c>
      <c r="R459" s="37" t="str">
        <f t="shared" si="259"/>
        <v/>
      </c>
      <c r="S459" s="37" t="str">
        <f t="shared" si="260"/>
        <v/>
      </c>
      <c r="T459" s="38" t="str">
        <f t="shared" si="261"/>
        <v/>
      </c>
      <c r="U459" s="38" t="str">
        <f t="shared" si="262"/>
        <v/>
      </c>
      <c r="V459" s="38" t="b">
        <f t="shared" si="263"/>
        <v>1</v>
      </c>
      <c r="W459" s="37" t="str">
        <f t="array" ref="W459:AG459">IF(V459,"",IVSolution($M459,$N459,$O459,R459,S459,T459,U459,$E459,$F459,$G459,$H459,$I459))</f>
        <v/>
      </c>
      <c r="X459" s="37" t="str">
        <v/>
      </c>
      <c r="Y459" s="37" t="str">
        <v/>
      </c>
      <c r="Z459" s="39" t="str">
        <v/>
      </c>
      <c r="AA459" s="39" t="str">
        <v/>
      </c>
      <c r="AB459" s="37" t="str">
        <v/>
      </c>
      <c r="AC459" s="37" t="str">
        <v/>
      </c>
      <c r="AD459" s="37" t="str">
        <v/>
      </c>
      <c r="AE459" s="37" t="str">
        <v/>
      </c>
      <c r="AF459" s="37" t="str">
        <v/>
      </c>
      <c r="AG459" s="37" t="str">
        <v/>
      </c>
      <c r="AH459" s="40" t="str">
        <f t="shared" si="264"/>
        <v/>
      </c>
      <c r="AI459" s="36" t="str">
        <f>IFERROR(INDEX('Level Multipliers'!$D:$D,MATCH(AH459,'Level Multipliers'!$A:$A,0)),"")</f>
        <v/>
      </c>
      <c r="AJ459" s="37" t="str">
        <f t="shared" si="265"/>
        <v/>
      </c>
      <c r="AK459" s="37" t="str">
        <f t="shared" si="266"/>
        <v/>
      </c>
      <c r="AL459" s="38" t="str">
        <f t="shared" si="267"/>
        <v/>
      </c>
      <c r="AM459" s="38" t="str">
        <f t="shared" si="268"/>
        <v/>
      </c>
      <c r="AN459" s="38" t="b">
        <f t="shared" si="269"/>
        <v>1</v>
      </c>
      <c r="AO459" s="37" t="str">
        <f t="array" ref="AO459:AY459">IF(AN459,"",IVSolution($M459,$N459,$O459,AJ459,AK459,AL459,AM459,$E459,$F459,$G459,$H459,$I459))</f>
        <v/>
      </c>
      <c r="AP459" s="37" t="str">
        <v/>
      </c>
      <c r="AQ459" s="37" t="str">
        <v/>
      </c>
      <c r="AR459" s="39" t="str">
        <v/>
      </c>
      <c r="AS459" s="39" t="str">
        <v/>
      </c>
      <c r="AT459" s="37" t="str">
        <v/>
      </c>
      <c r="AU459" s="37" t="str">
        <v/>
      </c>
      <c r="AV459" s="37" t="str">
        <v/>
      </c>
      <c r="AW459" s="37" t="str">
        <v/>
      </c>
      <c r="AX459" s="37" t="str">
        <v/>
      </c>
      <c r="AY459" s="37" t="str">
        <v/>
      </c>
      <c r="AZ459" s="40" t="str">
        <f t="shared" si="270"/>
        <v/>
      </c>
      <c r="BA459" s="36" t="str">
        <f>IFERROR(INDEX('Level Multipliers'!$D:$D,MATCH(AZ459,'Level Multipliers'!$A:$A,0)),"")</f>
        <v/>
      </c>
      <c r="BB459" s="37" t="str">
        <f t="shared" si="271"/>
        <v/>
      </c>
      <c r="BC459" s="37" t="str">
        <f t="shared" si="272"/>
        <v/>
      </c>
      <c r="BD459" s="38" t="str">
        <f t="shared" si="273"/>
        <v/>
      </c>
      <c r="BE459" s="38" t="str">
        <f t="shared" si="274"/>
        <v/>
      </c>
      <c r="BF459" s="38" t="b">
        <f t="shared" si="275"/>
        <v>1</v>
      </c>
      <c r="BG459" s="37" t="str">
        <f t="array" ref="BG459:BQ459">IF(BF459,"",IVSolution($M459,$N459,$O459,BB459,BC459,BD459,BE459,$E459,$F459,$G459,$H459,$I459))</f>
        <v/>
      </c>
      <c r="BH459" s="37" t="str">
        <v/>
      </c>
      <c r="BI459" s="37" t="str">
        <v/>
      </c>
      <c r="BJ459" s="39" t="str">
        <v/>
      </c>
      <c r="BK459" s="39" t="str">
        <v/>
      </c>
      <c r="BL459" s="37" t="str">
        <v/>
      </c>
      <c r="BM459" s="37" t="str">
        <v/>
      </c>
      <c r="BN459" s="37" t="str">
        <v/>
      </c>
      <c r="BO459" s="37" t="str">
        <v/>
      </c>
      <c r="BP459" s="37" t="str">
        <v/>
      </c>
      <c r="BQ459" s="37" t="str">
        <v/>
      </c>
      <c r="BR459" s="40" t="str">
        <f t="shared" si="276"/>
        <v/>
      </c>
      <c r="BS459" s="36" t="str">
        <f>IFERROR(INDEX('Level Multipliers'!$D:$D,MATCH(BR459,'Level Multipliers'!$A:$A,0)),"")</f>
        <v/>
      </c>
      <c r="BT459" s="37" t="str">
        <f t="shared" si="277"/>
        <v/>
      </c>
      <c r="BU459" s="37" t="str">
        <f t="shared" si="278"/>
        <v/>
      </c>
      <c r="BV459" s="38" t="str">
        <f t="shared" si="279"/>
        <v/>
      </c>
      <c r="BW459" s="38" t="str">
        <f t="shared" si="280"/>
        <v/>
      </c>
      <c r="BX459" s="38" t="b">
        <f t="shared" si="281"/>
        <v>1</v>
      </c>
      <c r="BY459" s="37" t="str">
        <f t="array" ref="BY459:CI459">IF(BX459,"",IVSolution($M459,$N459,$O459,BT459,BU459,BV459,BW459,$E459,$F459,$G459,$H459,$I459))</f>
        <v/>
      </c>
      <c r="BZ459" s="37" t="str">
        <v/>
      </c>
      <c r="CA459" s="37" t="str">
        <v/>
      </c>
      <c r="CB459" s="39" t="str">
        <v/>
      </c>
      <c r="CC459" s="39" t="str">
        <v/>
      </c>
      <c r="CD459" s="37" t="str">
        <v/>
      </c>
      <c r="CE459" s="37" t="str">
        <v/>
      </c>
      <c r="CF459" s="37" t="str">
        <v/>
      </c>
      <c r="CG459" s="37" t="str">
        <v/>
      </c>
      <c r="CH459" s="37" t="str">
        <v/>
      </c>
      <c r="CI459" s="37" t="str">
        <v/>
      </c>
      <c r="CJ459" s="41" t="str">
        <f t="shared" si="282"/>
        <v/>
      </c>
      <c r="CK459" s="41" t="str">
        <f t="shared" si="283"/>
        <v/>
      </c>
      <c r="CL459" s="66" t="str">
        <f t="shared" si="284"/>
        <v/>
      </c>
      <c r="CM459" s="39" t="str">
        <f t="shared" si="285"/>
        <v/>
      </c>
      <c r="CN459" s="39" t="str">
        <f t="shared" si="286"/>
        <v/>
      </c>
      <c r="CO459" s="42" t="str">
        <f t="shared" si="287"/>
        <v/>
      </c>
      <c r="CP459" s="42" t="str">
        <f t="shared" si="288"/>
        <v/>
      </c>
      <c r="CQ459" s="42" t="str">
        <f t="shared" si="289"/>
        <v/>
      </c>
      <c r="CR459" s="42" t="str">
        <f t="shared" si="290"/>
        <v/>
      </c>
      <c r="CS459" s="42" t="str">
        <f t="shared" si="291"/>
        <v/>
      </c>
      <c r="CT459" s="42" t="str">
        <f t="shared" si="292"/>
        <v/>
      </c>
      <c r="CU459" s="43" t="str">
        <f t="shared" si="293"/>
        <v/>
      </c>
      <c r="CV459" s="43" t="str">
        <f t="shared" si="294"/>
        <v/>
      </c>
      <c r="CW459" s="43" t="str">
        <f t="shared" si="295"/>
        <v/>
      </c>
      <c r="CX459" s="13"/>
    </row>
    <row r="460" spans="1:102" x14ac:dyDescent="0.25">
      <c r="A460" s="31"/>
      <c r="B460" s="13"/>
      <c r="C460" s="13"/>
      <c r="D460" s="13"/>
      <c r="E460" s="32"/>
      <c r="F460" s="32"/>
      <c r="G460" s="32"/>
      <c r="H460" s="32"/>
      <c r="I460" s="32"/>
      <c r="J460" s="13"/>
      <c r="K460" s="33"/>
      <c r="L460" s="34" t="str">
        <f>IFERROR(INDEX('Pokemon Data'!A:A,MATCH($A460,'Pokemon Data'!$B:$B,0)),"")</f>
        <v/>
      </c>
      <c r="M460" s="34" t="str">
        <f>IFERROR(INDEX('Pokemon Data'!I:I,MATCH($A460,'Pokemon Data'!$B:$B,0)),"")</f>
        <v/>
      </c>
      <c r="N460" s="34" t="str">
        <f>IFERROR(INDEX('Pokemon Data'!J:J,MATCH($A460,'Pokemon Data'!$B:$B,0)),"")</f>
        <v/>
      </c>
      <c r="O460" s="34" t="str">
        <f>IFERROR(INDEX('Pokemon Data'!K:K,MATCH($A460,'Pokemon Data'!$B:$B,0)),"")</f>
        <v/>
      </c>
      <c r="P460" s="35" t="str">
        <f>IFERROR(INDEX('Level Multipliers'!$A:$A,MATCH($D460,'Level Multipliers'!$B:$B,0)),"")</f>
        <v/>
      </c>
      <c r="Q460" s="36" t="str">
        <f>IFERROR(INDEX('Level Multipliers'!$D:$D,MATCH(P460,'Level Multipliers'!$A:$A,0)),"")</f>
        <v/>
      </c>
      <c r="R460" s="37" t="str">
        <f t="shared" si="259"/>
        <v/>
      </c>
      <c r="S460" s="37" t="str">
        <f t="shared" si="260"/>
        <v/>
      </c>
      <c r="T460" s="38" t="str">
        <f t="shared" si="261"/>
        <v/>
      </c>
      <c r="U460" s="38" t="str">
        <f t="shared" si="262"/>
        <v/>
      </c>
      <c r="V460" s="38" t="b">
        <f t="shared" si="263"/>
        <v>1</v>
      </c>
      <c r="W460" s="37" t="str">
        <f t="array" ref="W460:AG460">IF(V460,"",IVSolution($M460,$N460,$O460,R460,S460,T460,U460,$E460,$F460,$G460,$H460,$I460))</f>
        <v/>
      </c>
      <c r="X460" s="37" t="str">
        <v/>
      </c>
      <c r="Y460" s="37" t="str">
        <v/>
      </c>
      <c r="Z460" s="39" t="str">
        <v/>
      </c>
      <c r="AA460" s="39" t="str">
        <v/>
      </c>
      <c r="AB460" s="37" t="str">
        <v/>
      </c>
      <c r="AC460" s="37" t="str">
        <v/>
      </c>
      <c r="AD460" s="37" t="str">
        <v/>
      </c>
      <c r="AE460" s="37" t="str">
        <v/>
      </c>
      <c r="AF460" s="37" t="str">
        <v/>
      </c>
      <c r="AG460" s="37" t="str">
        <v/>
      </c>
      <c r="AH460" s="40" t="str">
        <f t="shared" si="264"/>
        <v/>
      </c>
      <c r="AI460" s="36" t="str">
        <f>IFERROR(INDEX('Level Multipliers'!$D:$D,MATCH(AH460,'Level Multipliers'!$A:$A,0)),"")</f>
        <v/>
      </c>
      <c r="AJ460" s="37" t="str">
        <f t="shared" si="265"/>
        <v/>
      </c>
      <c r="AK460" s="37" t="str">
        <f t="shared" si="266"/>
        <v/>
      </c>
      <c r="AL460" s="38" t="str">
        <f t="shared" si="267"/>
        <v/>
      </c>
      <c r="AM460" s="38" t="str">
        <f t="shared" si="268"/>
        <v/>
      </c>
      <c r="AN460" s="38" t="b">
        <f t="shared" si="269"/>
        <v>1</v>
      </c>
      <c r="AO460" s="37" t="str">
        <f t="array" ref="AO460:AY460">IF(AN460,"",IVSolution($M460,$N460,$O460,AJ460,AK460,AL460,AM460,$E460,$F460,$G460,$H460,$I460))</f>
        <v/>
      </c>
      <c r="AP460" s="37" t="str">
        <v/>
      </c>
      <c r="AQ460" s="37" t="str">
        <v/>
      </c>
      <c r="AR460" s="39" t="str">
        <v/>
      </c>
      <c r="AS460" s="39" t="str">
        <v/>
      </c>
      <c r="AT460" s="37" t="str">
        <v/>
      </c>
      <c r="AU460" s="37" t="str">
        <v/>
      </c>
      <c r="AV460" s="37" t="str">
        <v/>
      </c>
      <c r="AW460" s="37" t="str">
        <v/>
      </c>
      <c r="AX460" s="37" t="str">
        <v/>
      </c>
      <c r="AY460" s="37" t="str">
        <v/>
      </c>
      <c r="AZ460" s="40" t="str">
        <f t="shared" si="270"/>
        <v/>
      </c>
      <c r="BA460" s="36" t="str">
        <f>IFERROR(INDEX('Level Multipliers'!$D:$D,MATCH(AZ460,'Level Multipliers'!$A:$A,0)),"")</f>
        <v/>
      </c>
      <c r="BB460" s="37" t="str">
        <f t="shared" si="271"/>
        <v/>
      </c>
      <c r="BC460" s="37" t="str">
        <f t="shared" si="272"/>
        <v/>
      </c>
      <c r="BD460" s="38" t="str">
        <f t="shared" si="273"/>
        <v/>
      </c>
      <c r="BE460" s="38" t="str">
        <f t="shared" si="274"/>
        <v/>
      </c>
      <c r="BF460" s="38" t="b">
        <f t="shared" si="275"/>
        <v>1</v>
      </c>
      <c r="BG460" s="37" t="str">
        <f t="array" ref="BG460:BQ460">IF(BF460,"",IVSolution($M460,$N460,$O460,BB460,BC460,BD460,BE460,$E460,$F460,$G460,$H460,$I460))</f>
        <v/>
      </c>
      <c r="BH460" s="37" t="str">
        <v/>
      </c>
      <c r="BI460" s="37" t="str">
        <v/>
      </c>
      <c r="BJ460" s="39" t="str">
        <v/>
      </c>
      <c r="BK460" s="39" t="str">
        <v/>
      </c>
      <c r="BL460" s="37" t="str">
        <v/>
      </c>
      <c r="BM460" s="37" t="str">
        <v/>
      </c>
      <c r="BN460" s="37" t="str">
        <v/>
      </c>
      <c r="BO460" s="37" t="str">
        <v/>
      </c>
      <c r="BP460" s="37" t="str">
        <v/>
      </c>
      <c r="BQ460" s="37" t="str">
        <v/>
      </c>
      <c r="BR460" s="40" t="str">
        <f t="shared" si="276"/>
        <v/>
      </c>
      <c r="BS460" s="36" t="str">
        <f>IFERROR(INDEX('Level Multipliers'!$D:$D,MATCH(BR460,'Level Multipliers'!$A:$A,0)),"")</f>
        <v/>
      </c>
      <c r="BT460" s="37" t="str">
        <f t="shared" si="277"/>
        <v/>
      </c>
      <c r="BU460" s="37" t="str">
        <f t="shared" si="278"/>
        <v/>
      </c>
      <c r="BV460" s="38" t="str">
        <f t="shared" si="279"/>
        <v/>
      </c>
      <c r="BW460" s="38" t="str">
        <f t="shared" si="280"/>
        <v/>
      </c>
      <c r="BX460" s="38" t="b">
        <f t="shared" si="281"/>
        <v>1</v>
      </c>
      <c r="BY460" s="37" t="str">
        <f t="array" ref="BY460:CI460">IF(BX460,"",IVSolution($M460,$N460,$O460,BT460,BU460,BV460,BW460,$E460,$F460,$G460,$H460,$I460))</f>
        <v/>
      </c>
      <c r="BZ460" s="37" t="str">
        <v/>
      </c>
      <c r="CA460" s="37" t="str">
        <v/>
      </c>
      <c r="CB460" s="39" t="str">
        <v/>
      </c>
      <c r="CC460" s="39" t="str">
        <v/>
      </c>
      <c r="CD460" s="37" t="str">
        <v/>
      </c>
      <c r="CE460" s="37" t="str">
        <v/>
      </c>
      <c r="CF460" s="37" t="str">
        <v/>
      </c>
      <c r="CG460" s="37" t="str">
        <v/>
      </c>
      <c r="CH460" s="37" t="str">
        <v/>
      </c>
      <c r="CI460" s="37" t="str">
        <v/>
      </c>
      <c r="CJ460" s="41" t="str">
        <f t="shared" si="282"/>
        <v/>
      </c>
      <c r="CK460" s="41" t="str">
        <f t="shared" si="283"/>
        <v/>
      </c>
      <c r="CL460" s="66" t="str">
        <f t="shared" si="284"/>
        <v/>
      </c>
      <c r="CM460" s="39" t="str">
        <f t="shared" si="285"/>
        <v/>
      </c>
      <c r="CN460" s="39" t="str">
        <f t="shared" si="286"/>
        <v/>
      </c>
      <c r="CO460" s="42" t="str">
        <f t="shared" si="287"/>
        <v/>
      </c>
      <c r="CP460" s="42" t="str">
        <f t="shared" si="288"/>
        <v/>
      </c>
      <c r="CQ460" s="42" t="str">
        <f t="shared" si="289"/>
        <v/>
      </c>
      <c r="CR460" s="42" t="str">
        <f t="shared" si="290"/>
        <v/>
      </c>
      <c r="CS460" s="42" t="str">
        <f t="shared" si="291"/>
        <v/>
      </c>
      <c r="CT460" s="42" t="str">
        <f t="shared" si="292"/>
        <v/>
      </c>
      <c r="CU460" s="43" t="str">
        <f t="shared" si="293"/>
        <v/>
      </c>
      <c r="CV460" s="43" t="str">
        <f t="shared" si="294"/>
        <v/>
      </c>
      <c r="CW460" s="43" t="str">
        <f t="shared" si="295"/>
        <v/>
      </c>
      <c r="CX460" s="13"/>
    </row>
    <row r="461" spans="1:102" x14ac:dyDescent="0.25">
      <c r="A461" s="31"/>
      <c r="B461" s="13"/>
      <c r="C461" s="13"/>
      <c r="D461" s="13"/>
      <c r="E461" s="32"/>
      <c r="F461" s="32"/>
      <c r="G461" s="32"/>
      <c r="H461" s="32"/>
      <c r="I461" s="32"/>
      <c r="J461" s="13"/>
      <c r="K461" s="33"/>
      <c r="L461" s="34" t="str">
        <f>IFERROR(INDEX('Pokemon Data'!A:A,MATCH($A461,'Pokemon Data'!$B:$B,0)),"")</f>
        <v/>
      </c>
      <c r="M461" s="34" t="str">
        <f>IFERROR(INDEX('Pokemon Data'!I:I,MATCH($A461,'Pokemon Data'!$B:$B,0)),"")</f>
        <v/>
      </c>
      <c r="N461" s="34" t="str">
        <f>IFERROR(INDEX('Pokemon Data'!J:J,MATCH($A461,'Pokemon Data'!$B:$B,0)),"")</f>
        <v/>
      </c>
      <c r="O461" s="34" t="str">
        <f>IFERROR(INDEX('Pokemon Data'!K:K,MATCH($A461,'Pokemon Data'!$B:$B,0)),"")</f>
        <v/>
      </c>
      <c r="P461" s="35" t="str">
        <f>IFERROR(INDEX('Level Multipliers'!$A:$A,MATCH($D461,'Level Multipliers'!$B:$B,0)),"")</f>
        <v/>
      </c>
      <c r="Q461" s="36" t="str">
        <f>IFERROR(INDEX('Level Multipliers'!$D:$D,MATCH(P461,'Level Multipliers'!$A:$A,0)),"")</f>
        <v/>
      </c>
      <c r="R461" s="37" t="str">
        <f t="shared" si="259"/>
        <v/>
      </c>
      <c r="S461" s="37" t="str">
        <f t="shared" si="260"/>
        <v/>
      </c>
      <c r="T461" s="38" t="str">
        <f t="shared" si="261"/>
        <v/>
      </c>
      <c r="U461" s="38" t="str">
        <f t="shared" si="262"/>
        <v/>
      </c>
      <c r="V461" s="38" t="b">
        <f t="shared" si="263"/>
        <v>1</v>
      </c>
      <c r="W461" s="37" t="str">
        <f t="array" ref="W461:AG461">IF(V461,"",IVSolution($M461,$N461,$O461,R461,S461,T461,U461,$E461,$F461,$G461,$H461,$I461))</f>
        <v/>
      </c>
      <c r="X461" s="37" t="str">
        <v/>
      </c>
      <c r="Y461" s="37" t="str">
        <v/>
      </c>
      <c r="Z461" s="39" t="str">
        <v/>
      </c>
      <c r="AA461" s="39" t="str">
        <v/>
      </c>
      <c r="AB461" s="37" t="str">
        <v/>
      </c>
      <c r="AC461" s="37" t="str">
        <v/>
      </c>
      <c r="AD461" s="37" t="str">
        <v/>
      </c>
      <c r="AE461" s="37" t="str">
        <v/>
      </c>
      <c r="AF461" s="37" t="str">
        <v/>
      </c>
      <c r="AG461" s="37" t="str">
        <v/>
      </c>
      <c r="AH461" s="40" t="str">
        <f t="shared" si="264"/>
        <v/>
      </c>
      <c r="AI461" s="36" t="str">
        <f>IFERROR(INDEX('Level Multipliers'!$D:$D,MATCH(AH461,'Level Multipliers'!$A:$A,0)),"")</f>
        <v/>
      </c>
      <c r="AJ461" s="37" t="str">
        <f t="shared" si="265"/>
        <v/>
      </c>
      <c r="AK461" s="37" t="str">
        <f t="shared" si="266"/>
        <v/>
      </c>
      <c r="AL461" s="38" t="str">
        <f t="shared" si="267"/>
        <v/>
      </c>
      <c r="AM461" s="38" t="str">
        <f t="shared" si="268"/>
        <v/>
      </c>
      <c r="AN461" s="38" t="b">
        <f t="shared" si="269"/>
        <v>1</v>
      </c>
      <c r="AO461" s="37" t="str">
        <f t="array" ref="AO461:AY461">IF(AN461,"",IVSolution($M461,$N461,$O461,AJ461,AK461,AL461,AM461,$E461,$F461,$G461,$H461,$I461))</f>
        <v/>
      </c>
      <c r="AP461" s="37" t="str">
        <v/>
      </c>
      <c r="AQ461" s="37" t="str">
        <v/>
      </c>
      <c r="AR461" s="39" t="str">
        <v/>
      </c>
      <c r="AS461" s="39" t="str">
        <v/>
      </c>
      <c r="AT461" s="37" t="str">
        <v/>
      </c>
      <c r="AU461" s="37" t="str">
        <v/>
      </c>
      <c r="AV461" s="37" t="str">
        <v/>
      </c>
      <c r="AW461" s="37" t="str">
        <v/>
      </c>
      <c r="AX461" s="37" t="str">
        <v/>
      </c>
      <c r="AY461" s="37" t="str">
        <v/>
      </c>
      <c r="AZ461" s="40" t="str">
        <f t="shared" si="270"/>
        <v/>
      </c>
      <c r="BA461" s="36" t="str">
        <f>IFERROR(INDEX('Level Multipliers'!$D:$D,MATCH(AZ461,'Level Multipliers'!$A:$A,0)),"")</f>
        <v/>
      </c>
      <c r="BB461" s="37" t="str">
        <f t="shared" si="271"/>
        <v/>
      </c>
      <c r="BC461" s="37" t="str">
        <f t="shared" si="272"/>
        <v/>
      </c>
      <c r="BD461" s="38" t="str">
        <f t="shared" si="273"/>
        <v/>
      </c>
      <c r="BE461" s="38" t="str">
        <f t="shared" si="274"/>
        <v/>
      </c>
      <c r="BF461" s="38" t="b">
        <f t="shared" si="275"/>
        <v>1</v>
      </c>
      <c r="BG461" s="37" t="str">
        <f t="array" ref="BG461:BQ461">IF(BF461,"",IVSolution($M461,$N461,$O461,BB461,BC461,BD461,BE461,$E461,$F461,$G461,$H461,$I461))</f>
        <v/>
      </c>
      <c r="BH461" s="37" t="str">
        <v/>
      </c>
      <c r="BI461" s="37" t="str">
        <v/>
      </c>
      <c r="BJ461" s="39" t="str">
        <v/>
      </c>
      <c r="BK461" s="39" t="str">
        <v/>
      </c>
      <c r="BL461" s="37" t="str">
        <v/>
      </c>
      <c r="BM461" s="37" t="str">
        <v/>
      </c>
      <c r="BN461" s="37" t="str">
        <v/>
      </c>
      <c r="BO461" s="37" t="str">
        <v/>
      </c>
      <c r="BP461" s="37" t="str">
        <v/>
      </c>
      <c r="BQ461" s="37" t="str">
        <v/>
      </c>
      <c r="BR461" s="40" t="str">
        <f t="shared" si="276"/>
        <v/>
      </c>
      <c r="BS461" s="36" t="str">
        <f>IFERROR(INDEX('Level Multipliers'!$D:$D,MATCH(BR461,'Level Multipliers'!$A:$A,0)),"")</f>
        <v/>
      </c>
      <c r="BT461" s="37" t="str">
        <f t="shared" si="277"/>
        <v/>
      </c>
      <c r="BU461" s="37" t="str">
        <f t="shared" si="278"/>
        <v/>
      </c>
      <c r="BV461" s="38" t="str">
        <f t="shared" si="279"/>
        <v/>
      </c>
      <c r="BW461" s="38" t="str">
        <f t="shared" si="280"/>
        <v/>
      </c>
      <c r="BX461" s="38" t="b">
        <f t="shared" si="281"/>
        <v>1</v>
      </c>
      <c r="BY461" s="37" t="str">
        <f t="array" ref="BY461:CI461">IF(BX461,"",IVSolution($M461,$N461,$O461,BT461,BU461,BV461,BW461,$E461,$F461,$G461,$H461,$I461))</f>
        <v/>
      </c>
      <c r="BZ461" s="37" t="str">
        <v/>
      </c>
      <c r="CA461" s="37" t="str">
        <v/>
      </c>
      <c r="CB461" s="39" t="str">
        <v/>
      </c>
      <c r="CC461" s="39" t="str">
        <v/>
      </c>
      <c r="CD461" s="37" t="str">
        <v/>
      </c>
      <c r="CE461" s="37" t="str">
        <v/>
      </c>
      <c r="CF461" s="37" t="str">
        <v/>
      </c>
      <c r="CG461" s="37" t="str">
        <v/>
      </c>
      <c r="CH461" s="37" t="str">
        <v/>
      </c>
      <c r="CI461" s="37" t="str">
        <v/>
      </c>
      <c r="CJ461" s="41" t="str">
        <f t="shared" si="282"/>
        <v/>
      </c>
      <c r="CK461" s="41" t="str">
        <f t="shared" si="283"/>
        <v/>
      </c>
      <c r="CL461" s="66" t="str">
        <f t="shared" si="284"/>
        <v/>
      </c>
      <c r="CM461" s="39" t="str">
        <f t="shared" si="285"/>
        <v/>
      </c>
      <c r="CN461" s="39" t="str">
        <f t="shared" si="286"/>
        <v/>
      </c>
      <c r="CO461" s="42" t="str">
        <f t="shared" si="287"/>
        <v/>
      </c>
      <c r="CP461" s="42" t="str">
        <f t="shared" si="288"/>
        <v/>
      </c>
      <c r="CQ461" s="42" t="str">
        <f t="shared" si="289"/>
        <v/>
      </c>
      <c r="CR461" s="42" t="str">
        <f t="shared" si="290"/>
        <v/>
      </c>
      <c r="CS461" s="42" t="str">
        <f t="shared" si="291"/>
        <v/>
      </c>
      <c r="CT461" s="42" t="str">
        <f t="shared" si="292"/>
        <v/>
      </c>
      <c r="CU461" s="43" t="str">
        <f t="shared" si="293"/>
        <v/>
      </c>
      <c r="CV461" s="43" t="str">
        <f t="shared" si="294"/>
        <v/>
      </c>
      <c r="CW461" s="43" t="str">
        <f t="shared" si="295"/>
        <v/>
      </c>
      <c r="CX461" s="13"/>
    </row>
    <row r="462" spans="1:102" x14ac:dyDescent="0.25">
      <c r="A462" s="31"/>
      <c r="B462" s="13"/>
      <c r="C462" s="13"/>
      <c r="D462" s="13"/>
      <c r="E462" s="32"/>
      <c r="F462" s="32"/>
      <c r="G462" s="32"/>
      <c r="H462" s="32"/>
      <c r="I462" s="32"/>
      <c r="J462" s="13"/>
      <c r="K462" s="33"/>
      <c r="L462" s="34" t="str">
        <f>IFERROR(INDEX('Pokemon Data'!A:A,MATCH($A462,'Pokemon Data'!$B:$B,0)),"")</f>
        <v/>
      </c>
      <c r="M462" s="34" t="str">
        <f>IFERROR(INDEX('Pokemon Data'!I:I,MATCH($A462,'Pokemon Data'!$B:$B,0)),"")</f>
        <v/>
      </c>
      <c r="N462" s="34" t="str">
        <f>IFERROR(INDEX('Pokemon Data'!J:J,MATCH($A462,'Pokemon Data'!$B:$B,0)),"")</f>
        <v/>
      </c>
      <c r="O462" s="34" t="str">
        <f>IFERROR(INDEX('Pokemon Data'!K:K,MATCH($A462,'Pokemon Data'!$B:$B,0)),"")</f>
        <v/>
      </c>
      <c r="P462" s="35" t="str">
        <f>IFERROR(INDEX('Level Multipliers'!$A:$A,MATCH($D462,'Level Multipliers'!$B:$B,0)),"")</f>
        <v/>
      </c>
      <c r="Q462" s="36" t="str">
        <f>IFERROR(INDEX('Level Multipliers'!$D:$D,MATCH(P462,'Level Multipliers'!$A:$A,0)),"")</f>
        <v/>
      </c>
      <c r="R462" s="37" t="str">
        <f t="shared" si="259"/>
        <v/>
      </c>
      <c r="S462" s="37" t="str">
        <f t="shared" si="260"/>
        <v/>
      </c>
      <c r="T462" s="38" t="str">
        <f t="shared" si="261"/>
        <v/>
      </c>
      <c r="U462" s="38" t="str">
        <f t="shared" si="262"/>
        <v/>
      </c>
      <c r="V462" s="38" t="b">
        <f t="shared" si="263"/>
        <v>1</v>
      </c>
      <c r="W462" s="37" t="str">
        <f t="array" ref="W462:AG462">IF(V462,"",IVSolution($M462,$N462,$O462,R462,S462,T462,U462,$E462,$F462,$G462,$H462,$I462))</f>
        <v/>
      </c>
      <c r="X462" s="37" t="str">
        <v/>
      </c>
      <c r="Y462" s="37" t="str">
        <v/>
      </c>
      <c r="Z462" s="39" t="str">
        <v/>
      </c>
      <c r="AA462" s="39" t="str">
        <v/>
      </c>
      <c r="AB462" s="37" t="str">
        <v/>
      </c>
      <c r="AC462" s="37" t="str">
        <v/>
      </c>
      <c r="AD462" s="37" t="str">
        <v/>
      </c>
      <c r="AE462" s="37" t="str">
        <v/>
      </c>
      <c r="AF462" s="37" t="str">
        <v/>
      </c>
      <c r="AG462" s="37" t="str">
        <v/>
      </c>
      <c r="AH462" s="40" t="str">
        <f t="shared" si="264"/>
        <v/>
      </c>
      <c r="AI462" s="36" t="str">
        <f>IFERROR(INDEX('Level Multipliers'!$D:$D,MATCH(AH462,'Level Multipliers'!$A:$A,0)),"")</f>
        <v/>
      </c>
      <c r="AJ462" s="37" t="str">
        <f t="shared" si="265"/>
        <v/>
      </c>
      <c r="AK462" s="37" t="str">
        <f t="shared" si="266"/>
        <v/>
      </c>
      <c r="AL462" s="38" t="str">
        <f t="shared" si="267"/>
        <v/>
      </c>
      <c r="AM462" s="38" t="str">
        <f t="shared" si="268"/>
        <v/>
      </c>
      <c r="AN462" s="38" t="b">
        <f t="shared" si="269"/>
        <v>1</v>
      </c>
      <c r="AO462" s="37" t="str">
        <f t="array" ref="AO462:AY462">IF(AN462,"",IVSolution($M462,$N462,$O462,AJ462,AK462,AL462,AM462,$E462,$F462,$G462,$H462,$I462))</f>
        <v/>
      </c>
      <c r="AP462" s="37" t="str">
        <v/>
      </c>
      <c r="AQ462" s="37" t="str">
        <v/>
      </c>
      <c r="AR462" s="39" t="str">
        <v/>
      </c>
      <c r="AS462" s="39" t="str">
        <v/>
      </c>
      <c r="AT462" s="37" t="str">
        <v/>
      </c>
      <c r="AU462" s="37" t="str">
        <v/>
      </c>
      <c r="AV462" s="37" t="str">
        <v/>
      </c>
      <c r="AW462" s="37" t="str">
        <v/>
      </c>
      <c r="AX462" s="37" t="str">
        <v/>
      </c>
      <c r="AY462" s="37" t="str">
        <v/>
      </c>
      <c r="AZ462" s="40" t="str">
        <f t="shared" si="270"/>
        <v/>
      </c>
      <c r="BA462" s="36" t="str">
        <f>IFERROR(INDEX('Level Multipliers'!$D:$D,MATCH(AZ462,'Level Multipliers'!$A:$A,0)),"")</f>
        <v/>
      </c>
      <c r="BB462" s="37" t="str">
        <f t="shared" si="271"/>
        <v/>
      </c>
      <c r="BC462" s="37" t="str">
        <f t="shared" si="272"/>
        <v/>
      </c>
      <c r="BD462" s="38" t="str">
        <f t="shared" si="273"/>
        <v/>
      </c>
      <c r="BE462" s="38" t="str">
        <f t="shared" si="274"/>
        <v/>
      </c>
      <c r="BF462" s="38" t="b">
        <f t="shared" si="275"/>
        <v>1</v>
      </c>
      <c r="BG462" s="37" t="str">
        <f t="array" ref="BG462:BQ462">IF(BF462,"",IVSolution($M462,$N462,$O462,BB462,BC462,BD462,BE462,$E462,$F462,$G462,$H462,$I462))</f>
        <v/>
      </c>
      <c r="BH462" s="37" t="str">
        <v/>
      </c>
      <c r="BI462" s="37" t="str">
        <v/>
      </c>
      <c r="BJ462" s="39" t="str">
        <v/>
      </c>
      <c r="BK462" s="39" t="str">
        <v/>
      </c>
      <c r="BL462" s="37" t="str">
        <v/>
      </c>
      <c r="BM462" s="37" t="str">
        <v/>
      </c>
      <c r="BN462" s="37" t="str">
        <v/>
      </c>
      <c r="BO462" s="37" t="str">
        <v/>
      </c>
      <c r="BP462" s="37" t="str">
        <v/>
      </c>
      <c r="BQ462" s="37" t="str">
        <v/>
      </c>
      <c r="BR462" s="40" t="str">
        <f t="shared" si="276"/>
        <v/>
      </c>
      <c r="BS462" s="36" t="str">
        <f>IFERROR(INDEX('Level Multipliers'!$D:$D,MATCH(BR462,'Level Multipliers'!$A:$A,0)),"")</f>
        <v/>
      </c>
      <c r="BT462" s="37" t="str">
        <f t="shared" si="277"/>
        <v/>
      </c>
      <c r="BU462" s="37" t="str">
        <f t="shared" si="278"/>
        <v/>
      </c>
      <c r="BV462" s="38" t="str">
        <f t="shared" si="279"/>
        <v/>
      </c>
      <c r="BW462" s="38" t="str">
        <f t="shared" si="280"/>
        <v/>
      </c>
      <c r="BX462" s="38" t="b">
        <f t="shared" si="281"/>
        <v>1</v>
      </c>
      <c r="BY462" s="37" t="str">
        <f t="array" ref="BY462:CI462">IF(BX462,"",IVSolution($M462,$N462,$O462,BT462,BU462,BV462,BW462,$E462,$F462,$G462,$H462,$I462))</f>
        <v/>
      </c>
      <c r="BZ462" s="37" t="str">
        <v/>
      </c>
      <c r="CA462" s="37" t="str">
        <v/>
      </c>
      <c r="CB462" s="39" t="str">
        <v/>
      </c>
      <c r="CC462" s="39" t="str">
        <v/>
      </c>
      <c r="CD462" s="37" t="str">
        <v/>
      </c>
      <c r="CE462" s="37" t="str">
        <v/>
      </c>
      <c r="CF462" s="37" t="str">
        <v/>
      </c>
      <c r="CG462" s="37" t="str">
        <v/>
      </c>
      <c r="CH462" s="37" t="str">
        <v/>
      </c>
      <c r="CI462" s="37" t="str">
        <v/>
      </c>
      <c r="CJ462" s="41" t="str">
        <f t="shared" si="282"/>
        <v/>
      </c>
      <c r="CK462" s="41" t="str">
        <f t="shared" si="283"/>
        <v/>
      </c>
      <c r="CL462" s="66" t="str">
        <f t="shared" si="284"/>
        <v/>
      </c>
      <c r="CM462" s="39" t="str">
        <f t="shared" si="285"/>
        <v/>
      </c>
      <c r="CN462" s="39" t="str">
        <f t="shared" si="286"/>
        <v/>
      </c>
      <c r="CO462" s="42" t="str">
        <f t="shared" si="287"/>
        <v/>
      </c>
      <c r="CP462" s="42" t="str">
        <f t="shared" si="288"/>
        <v/>
      </c>
      <c r="CQ462" s="42" t="str">
        <f t="shared" si="289"/>
        <v/>
      </c>
      <c r="CR462" s="42" t="str">
        <f t="shared" si="290"/>
        <v/>
      </c>
      <c r="CS462" s="42" t="str">
        <f t="shared" si="291"/>
        <v/>
      </c>
      <c r="CT462" s="42" t="str">
        <f t="shared" si="292"/>
        <v/>
      </c>
      <c r="CU462" s="43" t="str">
        <f t="shared" si="293"/>
        <v/>
      </c>
      <c r="CV462" s="43" t="str">
        <f t="shared" si="294"/>
        <v/>
      </c>
      <c r="CW462" s="43" t="str">
        <f t="shared" si="295"/>
        <v/>
      </c>
      <c r="CX462" s="13"/>
    </row>
    <row r="463" spans="1:102" x14ac:dyDescent="0.25">
      <c r="A463" s="31"/>
      <c r="B463" s="13"/>
      <c r="C463" s="13"/>
      <c r="D463" s="13"/>
      <c r="E463" s="32"/>
      <c r="F463" s="32"/>
      <c r="G463" s="32"/>
      <c r="H463" s="32"/>
      <c r="I463" s="32"/>
      <c r="J463" s="13"/>
      <c r="K463" s="33"/>
      <c r="L463" s="34" t="str">
        <f>IFERROR(INDEX('Pokemon Data'!A:A,MATCH($A463,'Pokemon Data'!$B:$B,0)),"")</f>
        <v/>
      </c>
      <c r="M463" s="34" t="str">
        <f>IFERROR(INDEX('Pokemon Data'!I:I,MATCH($A463,'Pokemon Data'!$B:$B,0)),"")</f>
        <v/>
      </c>
      <c r="N463" s="34" t="str">
        <f>IFERROR(INDEX('Pokemon Data'!J:J,MATCH($A463,'Pokemon Data'!$B:$B,0)),"")</f>
        <v/>
      </c>
      <c r="O463" s="34" t="str">
        <f>IFERROR(INDEX('Pokemon Data'!K:K,MATCH($A463,'Pokemon Data'!$B:$B,0)),"")</f>
        <v/>
      </c>
      <c r="P463" s="35" t="str">
        <f>IFERROR(INDEX('Level Multipliers'!$A:$A,MATCH($D463,'Level Multipliers'!$B:$B,0)),"")</f>
        <v/>
      </c>
      <c r="Q463" s="36" t="str">
        <f>IFERROR(INDEX('Level Multipliers'!$D:$D,MATCH(P463,'Level Multipliers'!$A:$A,0)),"")</f>
        <v/>
      </c>
      <c r="R463" s="37" t="str">
        <f t="shared" si="259"/>
        <v/>
      </c>
      <c r="S463" s="37" t="str">
        <f t="shared" si="260"/>
        <v/>
      </c>
      <c r="T463" s="38" t="str">
        <f t="shared" si="261"/>
        <v/>
      </c>
      <c r="U463" s="38" t="str">
        <f t="shared" si="262"/>
        <v/>
      </c>
      <c r="V463" s="38" t="b">
        <f t="shared" si="263"/>
        <v>1</v>
      </c>
      <c r="W463" s="37" t="str">
        <f t="array" ref="W463:AG463">IF(V463,"",IVSolution($M463,$N463,$O463,R463,S463,T463,U463,$E463,$F463,$G463,$H463,$I463))</f>
        <v/>
      </c>
      <c r="X463" s="37" t="str">
        <v/>
      </c>
      <c r="Y463" s="37" t="str">
        <v/>
      </c>
      <c r="Z463" s="39" t="str">
        <v/>
      </c>
      <c r="AA463" s="39" t="str">
        <v/>
      </c>
      <c r="AB463" s="37" t="str">
        <v/>
      </c>
      <c r="AC463" s="37" t="str">
        <v/>
      </c>
      <c r="AD463" s="37" t="str">
        <v/>
      </c>
      <c r="AE463" s="37" t="str">
        <v/>
      </c>
      <c r="AF463" s="37" t="str">
        <v/>
      </c>
      <c r="AG463" s="37" t="str">
        <v/>
      </c>
      <c r="AH463" s="40" t="str">
        <f t="shared" si="264"/>
        <v/>
      </c>
      <c r="AI463" s="36" t="str">
        <f>IFERROR(INDEX('Level Multipliers'!$D:$D,MATCH(AH463,'Level Multipliers'!$A:$A,0)),"")</f>
        <v/>
      </c>
      <c r="AJ463" s="37" t="str">
        <f t="shared" si="265"/>
        <v/>
      </c>
      <c r="AK463" s="37" t="str">
        <f t="shared" si="266"/>
        <v/>
      </c>
      <c r="AL463" s="38" t="str">
        <f t="shared" si="267"/>
        <v/>
      </c>
      <c r="AM463" s="38" t="str">
        <f t="shared" si="268"/>
        <v/>
      </c>
      <c r="AN463" s="38" t="b">
        <f t="shared" si="269"/>
        <v>1</v>
      </c>
      <c r="AO463" s="37" t="str">
        <f t="array" ref="AO463:AY463">IF(AN463,"",IVSolution($M463,$N463,$O463,AJ463,AK463,AL463,AM463,$E463,$F463,$G463,$H463,$I463))</f>
        <v/>
      </c>
      <c r="AP463" s="37" t="str">
        <v/>
      </c>
      <c r="AQ463" s="37" t="str">
        <v/>
      </c>
      <c r="AR463" s="39" t="str">
        <v/>
      </c>
      <c r="AS463" s="39" t="str">
        <v/>
      </c>
      <c r="AT463" s="37" t="str">
        <v/>
      </c>
      <c r="AU463" s="37" t="str">
        <v/>
      </c>
      <c r="AV463" s="37" t="str">
        <v/>
      </c>
      <c r="AW463" s="37" t="str">
        <v/>
      </c>
      <c r="AX463" s="37" t="str">
        <v/>
      </c>
      <c r="AY463" s="37" t="str">
        <v/>
      </c>
      <c r="AZ463" s="40" t="str">
        <f t="shared" si="270"/>
        <v/>
      </c>
      <c r="BA463" s="36" t="str">
        <f>IFERROR(INDEX('Level Multipliers'!$D:$D,MATCH(AZ463,'Level Multipliers'!$A:$A,0)),"")</f>
        <v/>
      </c>
      <c r="BB463" s="37" t="str">
        <f t="shared" si="271"/>
        <v/>
      </c>
      <c r="BC463" s="37" t="str">
        <f t="shared" si="272"/>
        <v/>
      </c>
      <c r="BD463" s="38" t="str">
        <f t="shared" si="273"/>
        <v/>
      </c>
      <c r="BE463" s="38" t="str">
        <f t="shared" si="274"/>
        <v/>
      </c>
      <c r="BF463" s="38" t="b">
        <f t="shared" si="275"/>
        <v>1</v>
      </c>
      <c r="BG463" s="37" t="str">
        <f t="array" ref="BG463:BQ463">IF(BF463,"",IVSolution($M463,$N463,$O463,BB463,BC463,BD463,BE463,$E463,$F463,$G463,$H463,$I463))</f>
        <v/>
      </c>
      <c r="BH463" s="37" t="str">
        <v/>
      </c>
      <c r="BI463" s="37" t="str">
        <v/>
      </c>
      <c r="BJ463" s="39" t="str">
        <v/>
      </c>
      <c r="BK463" s="39" t="str">
        <v/>
      </c>
      <c r="BL463" s="37" t="str">
        <v/>
      </c>
      <c r="BM463" s="37" t="str">
        <v/>
      </c>
      <c r="BN463" s="37" t="str">
        <v/>
      </c>
      <c r="BO463" s="37" t="str">
        <v/>
      </c>
      <c r="BP463" s="37" t="str">
        <v/>
      </c>
      <c r="BQ463" s="37" t="str">
        <v/>
      </c>
      <c r="BR463" s="40" t="str">
        <f t="shared" si="276"/>
        <v/>
      </c>
      <c r="BS463" s="36" t="str">
        <f>IFERROR(INDEX('Level Multipliers'!$D:$D,MATCH(BR463,'Level Multipliers'!$A:$A,0)),"")</f>
        <v/>
      </c>
      <c r="BT463" s="37" t="str">
        <f t="shared" si="277"/>
        <v/>
      </c>
      <c r="BU463" s="37" t="str">
        <f t="shared" si="278"/>
        <v/>
      </c>
      <c r="BV463" s="38" t="str">
        <f t="shared" si="279"/>
        <v/>
      </c>
      <c r="BW463" s="38" t="str">
        <f t="shared" si="280"/>
        <v/>
      </c>
      <c r="BX463" s="38" t="b">
        <f t="shared" si="281"/>
        <v>1</v>
      </c>
      <c r="BY463" s="37" t="str">
        <f t="array" ref="BY463:CI463">IF(BX463,"",IVSolution($M463,$N463,$O463,BT463,BU463,BV463,BW463,$E463,$F463,$G463,$H463,$I463))</f>
        <v/>
      </c>
      <c r="BZ463" s="37" t="str">
        <v/>
      </c>
      <c r="CA463" s="37" t="str">
        <v/>
      </c>
      <c r="CB463" s="39" t="str">
        <v/>
      </c>
      <c r="CC463" s="39" t="str">
        <v/>
      </c>
      <c r="CD463" s="37" t="str">
        <v/>
      </c>
      <c r="CE463" s="37" t="str">
        <v/>
      </c>
      <c r="CF463" s="37" t="str">
        <v/>
      </c>
      <c r="CG463" s="37" t="str">
        <v/>
      </c>
      <c r="CH463" s="37" t="str">
        <v/>
      </c>
      <c r="CI463" s="37" t="str">
        <v/>
      </c>
      <c r="CJ463" s="41" t="str">
        <f t="shared" si="282"/>
        <v/>
      </c>
      <c r="CK463" s="41" t="str">
        <f t="shared" si="283"/>
        <v/>
      </c>
      <c r="CL463" s="66" t="str">
        <f t="shared" si="284"/>
        <v/>
      </c>
      <c r="CM463" s="39" t="str">
        <f t="shared" si="285"/>
        <v/>
      </c>
      <c r="CN463" s="39" t="str">
        <f t="shared" si="286"/>
        <v/>
      </c>
      <c r="CO463" s="42" t="str">
        <f t="shared" si="287"/>
        <v/>
      </c>
      <c r="CP463" s="42" t="str">
        <f t="shared" si="288"/>
        <v/>
      </c>
      <c r="CQ463" s="42" t="str">
        <f t="shared" si="289"/>
        <v/>
      </c>
      <c r="CR463" s="42" t="str">
        <f t="shared" si="290"/>
        <v/>
      </c>
      <c r="CS463" s="42" t="str">
        <f t="shared" si="291"/>
        <v/>
      </c>
      <c r="CT463" s="42" t="str">
        <f t="shared" si="292"/>
        <v/>
      </c>
      <c r="CU463" s="43" t="str">
        <f t="shared" si="293"/>
        <v/>
      </c>
      <c r="CV463" s="43" t="str">
        <f t="shared" si="294"/>
        <v/>
      </c>
      <c r="CW463" s="43" t="str">
        <f t="shared" si="295"/>
        <v/>
      </c>
      <c r="CX463" s="13"/>
    </row>
    <row r="464" spans="1:102" x14ac:dyDescent="0.25">
      <c r="A464" s="31"/>
      <c r="B464" s="13"/>
      <c r="C464" s="13"/>
      <c r="D464" s="13"/>
      <c r="E464" s="32"/>
      <c r="F464" s="32"/>
      <c r="G464" s="32"/>
      <c r="H464" s="32"/>
      <c r="I464" s="32"/>
      <c r="J464" s="13"/>
      <c r="K464" s="33"/>
      <c r="L464" s="34" t="str">
        <f>IFERROR(INDEX('Pokemon Data'!A:A,MATCH($A464,'Pokemon Data'!$B:$B,0)),"")</f>
        <v/>
      </c>
      <c r="M464" s="34" t="str">
        <f>IFERROR(INDEX('Pokemon Data'!I:I,MATCH($A464,'Pokemon Data'!$B:$B,0)),"")</f>
        <v/>
      </c>
      <c r="N464" s="34" t="str">
        <f>IFERROR(INDEX('Pokemon Data'!J:J,MATCH($A464,'Pokemon Data'!$B:$B,0)),"")</f>
        <v/>
      </c>
      <c r="O464" s="34" t="str">
        <f>IFERROR(INDEX('Pokemon Data'!K:K,MATCH($A464,'Pokemon Data'!$B:$B,0)),"")</f>
        <v/>
      </c>
      <c r="P464" s="35" t="str">
        <f>IFERROR(INDEX('Level Multipliers'!$A:$A,MATCH($D464,'Level Multipliers'!$B:$B,0)),"")</f>
        <v/>
      </c>
      <c r="Q464" s="36" t="str">
        <f>IFERROR(INDEX('Level Multipliers'!$D:$D,MATCH(P464,'Level Multipliers'!$A:$A,0)),"")</f>
        <v/>
      </c>
      <c r="R464" s="37" t="str">
        <f t="shared" si="259"/>
        <v/>
      </c>
      <c r="S464" s="37" t="str">
        <f t="shared" si="260"/>
        <v/>
      </c>
      <c r="T464" s="38" t="str">
        <f t="shared" si="261"/>
        <v/>
      </c>
      <c r="U464" s="38" t="str">
        <f t="shared" si="262"/>
        <v/>
      </c>
      <c r="V464" s="38" t="b">
        <f t="shared" si="263"/>
        <v>1</v>
      </c>
      <c r="W464" s="37" t="str">
        <f t="array" ref="W464:AG464">IF(V464,"",IVSolution($M464,$N464,$O464,R464,S464,T464,U464,$E464,$F464,$G464,$H464,$I464))</f>
        <v/>
      </c>
      <c r="X464" s="37" t="str">
        <v/>
      </c>
      <c r="Y464" s="37" t="str">
        <v/>
      </c>
      <c r="Z464" s="39" t="str">
        <v/>
      </c>
      <c r="AA464" s="39" t="str">
        <v/>
      </c>
      <c r="AB464" s="37" t="str">
        <v/>
      </c>
      <c r="AC464" s="37" t="str">
        <v/>
      </c>
      <c r="AD464" s="37" t="str">
        <v/>
      </c>
      <c r="AE464" s="37" t="str">
        <v/>
      </c>
      <c r="AF464" s="37" t="str">
        <v/>
      </c>
      <c r="AG464" s="37" t="str">
        <v/>
      </c>
      <c r="AH464" s="40" t="str">
        <f t="shared" si="264"/>
        <v/>
      </c>
      <c r="AI464" s="36" t="str">
        <f>IFERROR(INDEX('Level Multipliers'!$D:$D,MATCH(AH464,'Level Multipliers'!$A:$A,0)),"")</f>
        <v/>
      </c>
      <c r="AJ464" s="37" t="str">
        <f t="shared" si="265"/>
        <v/>
      </c>
      <c r="AK464" s="37" t="str">
        <f t="shared" si="266"/>
        <v/>
      </c>
      <c r="AL464" s="38" t="str">
        <f t="shared" si="267"/>
        <v/>
      </c>
      <c r="AM464" s="38" t="str">
        <f t="shared" si="268"/>
        <v/>
      </c>
      <c r="AN464" s="38" t="b">
        <f t="shared" si="269"/>
        <v>1</v>
      </c>
      <c r="AO464" s="37" t="str">
        <f t="array" ref="AO464:AY464">IF(AN464,"",IVSolution($M464,$N464,$O464,AJ464,AK464,AL464,AM464,$E464,$F464,$G464,$H464,$I464))</f>
        <v/>
      </c>
      <c r="AP464" s="37" t="str">
        <v/>
      </c>
      <c r="AQ464" s="37" t="str">
        <v/>
      </c>
      <c r="AR464" s="39" t="str">
        <v/>
      </c>
      <c r="AS464" s="39" t="str">
        <v/>
      </c>
      <c r="AT464" s="37" t="str">
        <v/>
      </c>
      <c r="AU464" s="37" t="str">
        <v/>
      </c>
      <c r="AV464" s="37" t="str">
        <v/>
      </c>
      <c r="AW464" s="37" t="str">
        <v/>
      </c>
      <c r="AX464" s="37" t="str">
        <v/>
      </c>
      <c r="AY464" s="37" t="str">
        <v/>
      </c>
      <c r="AZ464" s="40" t="str">
        <f t="shared" si="270"/>
        <v/>
      </c>
      <c r="BA464" s="36" t="str">
        <f>IFERROR(INDEX('Level Multipliers'!$D:$D,MATCH(AZ464,'Level Multipliers'!$A:$A,0)),"")</f>
        <v/>
      </c>
      <c r="BB464" s="37" t="str">
        <f t="shared" si="271"/>
        <v/>
      </c>
      <c r="BC464" s="37" t="str">
        <f t="shared" si="272"/>
        <v/>
      </c>
      <c r="BD464" s="38" t="str">
        <f t="shared" si="273"/>
        <v/>
      </c>
      <c r="BE464" s="38" t="str">
        <f t="shared" si="274"/>
        <v/>
      </c>
      <c r="BF464" s="38" t="b">
        <f t="shared" si="275"/>
        <v>1</v>
      </c>
      <c r="BG464" s="37" t="str">
        <f t="array" ref="BG464:BQ464">IF(BF464,"",IVSolution($M464,$N464,$O464,BB464,BC464,BD464,BE464,$E464,$F464,$G464,$H464,$I464))</f>
        <v/>
      </c>
      <c r="BH464" s="37" t="str">
        <v/>
      </c>
      <c r="BI464" s="37" t="str">
        <v/>
      </c>
      <c r="BJ464" s="39" t="str">
        <v/>
      </c>
      <c r="BK464" s="39" t="str">
        <v/>
      </c>
      <c r="BL464" s="37" t="str">
        <v/>
      </c>
      <c r="BM464" s="37" t="str">
        <v/>
      </c>
      <c r="BN464" s="37" t="str">
        <v/>
      </c>
      <c r="BO464" s="37" t="str">
        <v/>
      </c>
      <c r="BP464" s="37" t="str">
        <v/>
      </c>
      <c r="BQ464" s="37" t="str">
        <v/>
      </c>
      <c r="BR464" s="40" t="str">
        <f t="shared" si="276"/>
        <v/>
      </c>
      <c r="BS464" s="36" t="str">
        <f>IFERROR(INDEX('Level Multipliers'!$D:$D,MATCH(BR464,'Level Multipliers'!$A:$A,0)),"")</f>
        <v/>
      </c>
      <c r="BT464" s="37" t="str">
        <f t="shared" si="277"/>
        <v/>
      </c>
      <c r="BU464" s="37" t="str">
        <f t="shared" si="278"/>
        <v/>
      </c>
      <c r="BV464" s="38" t="str">
        <f t="shared" si="279"/>
        <v/>
      </c>
      <c r="BW464" s="38" t="str">
        <f t="shared" si="280"/>
        <v/>
      </c>
      <c r="BX464" s="38" t="b">
        <f t="shared" si="281"/>
        <v>1</v>
      </c>
      <c r="BY464" s="37" t="str">
        <f t="array" ref="BY464:CI464">IF(BX464,"",IVSolution($M464,$N464,$O464,BT464,BU464,BV464,BW464,$E464,$F464,$G464,$H464,$I464))</f>
        <v/>
      </c>
      <c r="BZ464" s="37" t="str">
        <v/>
      </c>
      <c r="CA464" s="37" t="str">
        <v/>
      </c>
      <c r="CB464" s="39" t="str">
        <v/>
      </c>
      <c r="CC464" s="39" t="str">
        <v/>
      </c>
      <c r="CD464" s="37" t="str">
        <v/>
      </c>
      <c r="CE464" s="37" t="str">
        <v/>
      </c>
      <c r="CF464" s="37" t="str">
        <v/>
      </c>
      <c r="CG464" s="37" t="str">
        <v/>
      </c>
      <c r="CH464" s="37" t="str">
        <v/>
      </c>
      <c r="CI464" s="37" t="str">
        <v/>
      </c>
      <c r="CJ464" s="41" t="str">
        <f t="shared" si="282"/>
        <v/>
      </c>
      <c r="CK464" s="41" t="str">
        <f t="shared" si="283"/>
        <v/>
      </c>
      <c r="CL464" s="66" t="str">
        <f t="shared" si="284"/>
        <v/>
      </c>
      <c r="CM464" s="39" t="str">
        <f t="shared" si="285"/>
        <v/>
      </c>
      <c r="CN464" s="39" t="str">
        <f t="shared" si="286"/>
        <v/>
      </c>
      <c r="CO464" s="42" t="str">
        <f t="shared" si="287"/>
        <v/>
      </c>
      <c r="CP464" s="42" t="str">
        <f t="shared" si="288"/>
        <v/>
      </c>
      <c r="CQ464" s="42" t="str">
        <f t="shared" si="289"/>
        <v/>
      </c>
      <c r="CR464" s="42" t="str">
        <f t="shared" si="290"/>
        <v/>
      </c>
      <c r="CS464" s="42" t="str">
        <f t="shared" si="291"/>
        <v/>
      </c>
      <c r="CT464" s="42" t="str">
        <f t="shared" si="292"/>
        <v/>
      </c>
      <c r="CU464" s="43" t="str">
        <f t="shared" si="293"/>
        <v/>
      </c>
      <c r="CV464" s="43" t="str">
        <f t="shared" si="294"/>
        <v/>
      </c>
      <c r="CW464" s="43" t="str">
        <f t="shared" si="295"/>
        <v/>
      </c>
      <c r="CX464" s="13"/>
    </row>
    <row r="465" spans="1:102" x14ac:dyDescent="0.25">
      <c r="A465" s="31"/>
      <c r="B465" s="13"/>
      <c r="C465" s="13"/>
      <c r="D465" s="13"/>
      <c r="E465" s="32"/>
      <c r="F465" s="32"/>
      <c r="G465" s="32"/>
      <c r="H465" s="32"/>
      <c r="I465" s="32"/>
      <c r="J465" s="13"/>
      <c r="K465" s="33"/>
      <c r="L465" s="34" t="str">
        <f>IFERROR(INDEX('Pokemon Data'!A:A,MATCH($A465,'Pokemon Data'!$B:$B,0)),"")</f>
        <v/>
      </c>
      <c r="M465" s="34" t="str">
        <f>IFERROR(INDEX('Pokemon Data'!I:I,MATCH($A465,'Pokemon Data'!$B:$B,0)),"")</f>
        <v/>
      </c>
      <c r="N465" s="34" t="str">
        <f>IFERROR(INDEX('Pokemon Data'!J:J,MATCH($A465,'Pokemon Data'!$B:$B,0)),"")</f>
        <v/>
      </c>
      <c r="O465" s="34" t="str">
        <f>IFERROR(INDEX('Pokemon Data'!K:K,MATCH($A465,'Pokemon Data'!$B:$B,0)),"")</f>
        <v/>
      </c>
      <c r="P465" s="35" t="str">
        <f>IFERROR(INDEX('Level Multipliers'!$A:$A,MATCH($D465,'Level Multipliers'!$B:$B,0)),"")</f>
        <v/>
      </c>
      <c r="Q465" s="36" t="str">
        <f>IFERROR(INDEX('Level Multipliers'!$D:$D,MATCH(P465,'Level Multipliers'!$A:$A,0)),"")</f>
        <v/>
      </c>
      <c r="R465" s="37" t="str">
        <f t="shared" si="259"/>
        <v/>
      </c>
      <c r="S465" s="37" t="str">
        <f t="shared" si="260"/>
        <v/>
      </c>
      <c r="T465" s="38" t="str">
        <f t="shared" si="261"/>
        <v/>
      </c>
      <c r="U465" s="38" t="str">
        <f t="shared" si="262"/>
        <v/>
      </c>
      <c r="V465" s="38" t="b">
        <f t="shared" si="263"/>
        <v>1</v>
      </c>
      <c r="W465" s="37" t="str">
        <f t="array" ref="W465:AG465">IF(V465,"",IVSolution($M465,$N465,$O465,R465,S465,T465,U465,$E465,$F465,$G465,$H465,$I465))</f>
        <v/>
      </c>
      <c r="X465" s="37" t="str">
        <v/>
      </c>
      <c r="Y465" s="37" t="str">
        <v/>
      </c>
      <c r="Z465" s="39" t="str">
        <v/>
      </c>
      <c r="AA465" s="39" t="str">
        <v/>
      </c>
      <c r="AB465" s="37" t="str">
        <v/>
      </c>
      <c r="AC465" s="37" t="str">
        <v/>
      </c>
      <c r="AD465" s="37" t="str">
        <v/>
      </c>
      <c r="AE465" s="37" t="str">
        <v/>
      </c>
      <c r="AF465" s="37" t="str">
        <v/>
      </c>
      <c r="AG465" s="37" t="str">
        <v/>
      </c>
      <c r="AH465" s="40" t="str">
        <f t="shared" si="264"/>
        <v/>
      </c>
      <c r="AI465" s="36" t="str">
        <f>IFERROR(INDEX('Level Multipliers'!$D:$D,MATCH(AH465,'Level Multipliers'!$A:$A,0)),"")</f>
        <v/>
      </c>
      <c r="AJ465" s="37" t="str">
        <f t="shared" si="265"/>
        <v/>
      </c>
      <c r="AK465" s="37" t="str">
        <f t="shared" si="266"/>
        <v/>
      </c>
      <c r="AL465" s="38" t="str">
        <f t="shared" si="267"/>
        <v/>
      </c>
      <c r="AM465" s="38" t="str">
        <f t="shared" si="268"/>
        <v/>
      </c>
      <c r="AN465" s="38" t="b">
        <f t="shared" si="269"/>
        <v>1</v>
      </c>
      <c r="AO465" s="37" t="str">
        <f t="array" ref="AO465:AY465">IF(AN465,"",IVSolution($M465,$N465,$O465,AJ465,AK465,AL465,AM465,$E465,$F465,$G465,$H465,$I465))</f>
        <v/>
      </c>
      <c r="AP465" s="37" t="str">
        <v/>
      </c>
      <c r="AQ465" s="37" t="str">
        <v/>
      </c>
      <c r="AR465" s="39" t="str">
        <v/>
      </c>
      <c r="AS465" s="39" t="str">
        <v/>
      </c>
      <c r="AT465" s="37" t="str">
        <v/>
      </c>
      <c r="AU465" s="37" t="str">
        <v/>
      </c>
      <c r="AV465" s="37" t="str">
        <v/>
      </c>
      <c r="AW465" s="37" t="str">
        <v/>
      </c>
      <c r="AX465" s="37" t="str">
        <v/>
      </c>
      <c r="AY465" s="37" t="str">
        <v/>
      </c>
      <c r="AZ465" s="40" t="str">
        <f t="shared" si="270"/>
        <v/>
      </c>
      <c r="BA465" s="36" t="str">
        <f>IFERROR(INDEX('Level Multipliers'!$D:$D,MATCH(AZ465,'Level Multipliers'!$A:$A,0)),"")</f>
        <v/>
      </c>
      <c r="BB465" s="37" t="str">
        <f t="shared" si="271"/>
        <v/>
      </c>
      <c r="BC465" s="37" t="str">
        <f t="shared" si="272"/>
        <v/>
      </c>
      <c r="BD465" s="38" t="str">
        <f t="shared" si="273"/>
        <v/>
      </c>
      <c r="BE465" s="38" t="str">
        <f t="shared" si="274"/>
        <v/>
      </c>
      <c r="BF465" s="38" t="b">
        <f t="shared" si="275"/>
        <v>1</v>
      </c>
      <c r="BG465" s="37" t="str">
        <f t="array" ref="BG465:BQ465">IF(BF465,"",IVSolution($M465,$N465,$O465,BB465,BC465,BD465,BE465,$E465,$F465,$G465,$H465,$I465))</f>
        <v/>
      </c>
      <c r="BH465" s="37" t="str">
        <v/>
      </c>
      <c r="BI465" s="37" t="str">
        <v/>
      </c>
      <c r="BJ465" s="39" t="str">
        <v/>
      </c>
      <c r="BK465" s="39" t="str">
        <v/>
      </c>
      <c r="BL465" s="37" t="str">
        <v/>
      </c>
      <c r="BM465" s="37" t="str">
        <v/>
      </c>
      <c r="BN465" s="37" t="str">
        <v/>
      </c>
      <c r="BO465" s="37" t="str">
        <v/>
      </c>
      <c r="BP465" s="37" t="str">
        <v/>
      </c>
      <c r="BQ465" s="37" t="str">
        <v/>
      </c>
      <c r="BR465" s="40" t="str">
        <f t="shared" si="276"/>
        <v/>
      </c>
      <c r="BS465" s="36" t="str">
        <f>IFERROR(INDEX('Level Multipliers'!$D:$D,MATCH(BR465,'Level Multipliers'!$A:$A,0)),"")</f>
        <v/>
      </c>
      <c r="BT465" s="37" t="str">
        <f t="shared" si="277"/>
        <v/>
      </c>
      <c r="BU465" s="37" t="str">
        <f t="shared" si="278"/>
        <v/>
      </c>
      <c r="BV465" s="38" t="str">
        <f t="shared" si="279"/>
        <v/>
      </c>
      <c r="BW465" s="38" t="str">
        <f t="shared" si="280"/>
        <v/>
      </c>
      <c r="BX465" s="38" t="b">
        <f t="shared" si="281"/>
        <v>1</v>
      </c>
      <c r="BY465" s="37" t="str">
        <f t="array" ref="BY465:CI465">IF(BX465,"",IVSolution($M465,$N465,$O465,BT465,BU465,BV465,BW465,$E465,$F465,$G465,$H465,$I465))</f>
        <v/>
      </c>
      <c r="BZ465" s="37" t="str">
        <v/>
      </c>
      <c r="CA465" s="37" t="str">
        <v/>
      </c>
      <c r="CB465" s="39" t="str">
        <v/>
      </c>
      <c r="CC465" s="39" t="str">
        <v/>
      </c>
      <c r="CD465" s="37" t="str">
        <v/>
      </c>
      <c r="CE465" s="37" t="str">
        <v/>
      </c>
      <c r="CF465" s="37" t="str">
        <v/>
      </c>
      <c r="CG465" s="37" t="str">
        <v/>
      </c>
      <c r="CH465" s="37" t="str">
        <v/>
      </c>
      <c r="CI465" s="37" t="str">
        <v/>
      </c>
      <c r="CJ465" s="41" t="str">
        <f t="shared" si="282"/>
        <v/>
      </c>
      <c r="CK465" s="41" t="str">
        <f t="shared" si="283"/>
        <v/>
      </c>
      <c r="CL465" s="66" t="str">
        <f t="shared" si="284"/>
        <v/>
      </c>
      <c r="CM465" s="39" t="str">
        <f t="shared" si="285"/>
        <v/>
      </c>
      <c r="CN465" s="39" t="str">
        <f t="shared" si="286"/>
        <v/>
      </c>
      <c r="CO465" s="42" t="str">
        <f t="shared" si="287"/>
        <v/>
      </c>
      <c r="CP465" s="42" t="str">
        <f t="shared" si="288"/>
        <v/>
      </c>
      <c r="CQ465" s="42" t="str">
        <f t="shared" si="289"/>
        <v/>
      </c>
      <c r="CR465" s="42" t="str">
        <f t="shared" si="290"/>
        <v/>
      </c>
      <c r="CS465" s="42" t="str">
        <f t="shared" si="291"/>
        <v/>
      </c>
      <c r="CT465" s="42" t="str">
        <f t="shared" si="292"/>
        <v/>
      </c>
      <c r="CU465" s="43" t="str">
        <f t="shared" si="293"/>
        <v/>
      </c>
      <c r="CV465" s="43" t="str">
        <f t="shared" si="294"/>
        <v/>
      </c>
      <c r="CW465" s="43" t="str">
        <f t="shared" si="295"/>
        <v/>
      </c>
      <c r="CX465" s="13"/>
    </row>
    <row r="466" spans="1:102" x14ac:dyDescent="0.25">
      <c r="A466" s="31"/>
      <c r="B466" s="13"/>
      <c r="C466" s="13"/>
      <c r="D466" s="13"/>
      <c r="E466" s="32"/>
      <c r="F466" s="32"/>
      <c r="G466" s="32"/>
      <c r="H466" s="32"/>
      <c r="I466" s="32"/>
      <c r="J466" s="13"/>
      <c r="K466" s="33"/>
      <c r="L466" s="34" t="str">
        <f>IFERROR(INDEX('Pokemon Data'!A:A,MATCH($A466,'Pokemon Data'!$B:$B,0)),"")</f>
        <v/>
      </c>
      <c r="M466" s="34" t="str">
        <f>IFERROR(INDEX('Pokemon Data'!I:I,MATCH($A466,'Pokemon Data'!$B:$B,0)),"")</f>
        <v/>
      </c>
      <c r="N466" s="34" t="str">
        <f>IFERROR(INDEX('Pokemon Data'!J:J,MATCH($A466,'Pokemon Data'!$B:$B,0)),"")</f>
        <v/>
      </c>
      <c r="O466" s="34" t="str">
        <f>IFERROR(INDEX('Pokemon Data'!K:K,MATCH($A466,'Pokemon Data'!$B:$B,0)),"")</f>
        <v/>
      </c>
      <c r="P466" s="35" t="str">
        <f>IFERROR(INDEX('Level Multipliers'!$A:$A,MATCH($D466,'Level Multipliers'!$B:$B,0)),"")</f>
        <v/>
      </c>
      <c r="Q466" s="36" t="str">
        <f>IFERROR(INDEX('Level Multipliers'!$D:$D,MATCH(P466,'Level Multipliers'!$A:$A,0)),"")</f>
        <v/>
      </c>
      <c r="R466" s="37" t="str">
        <f t="shared" si="259"/>
        <v/>
      </c>
      <c r="S466" s="37" t="str">
        <f t="shared" si="260"/>
        <v/>
      </c>
      <c r="T466" s="38" t="str">
        <f t="shared" si="261"/>
        <v/>
      </c>
      <c r="U466" s="38" t="str">
        <f t="shared" si="262"/>
        <v/>
      </c>
      <c r="V466" s="38" t="b">
        <f t="shared" si="263"/>
        <v>1</v>
      </c>
      <c r="W466" s="37" t="str">
        <f t="array" ref="W466:AG466">IF(V466,"",IVSolution($M466,$N466,$O466,R466,S466,T466,U466,$E466,$F466,$G466,$H466,$I466))</f>
        <v/>
      </c>
      <c r="X466" s="37" t="str">
        <v/>
      </c>
      <c r="Y466" s="37" t="str">
        <v/>
      </c>
      <c r="Z466" s="39" t="str">
        <v/>
      </c>
      <c r="AA466" s="39" t="str">
        <v/>
      </c>
      <c r="AB466" s="37" t="str">
        <v/>
      </c>
      <c r="AC466" s="37" t="str">
        <v/>
      </c>
      <c r="AD466" s="37" t="str">
        <v/>
      </c>
      <c r="AE466" s="37" t="str">
        <v/>
      </c>
      <c r="AF466" s="37" t="str">
        <v/>
      </c>
      <c r="AG466" s="37" t="str">
        <v/>
      </c>
      <c r="AH466" s="40" t="str">
        <f t="shared" si="264"/>
        <v/>
      </c>
      <c r="AI466" s="36" t="str">
        <f>IFERROR(INDEX('Level Multipliers'!$D:$D,MATCH(AH466,'Level Multipliers'!$A:$A,0)),"")</f>
        <v/>
      </c>
      <c r="AJ466" s="37" t="str">
        <f t="shared" si="265"/>
        <v/>
      </c>
      <c r="AK466" s="37" t="str">
        <f t="shared" si="266"/>
        <v/>
      </c>
      <c r="AL466" s="38" t="str">
        <f t="shared" si="267"/>
        <v/>
      </c>
      <c r="AM466" s="38" t="str">
        <f t="shared" si="268"/>
        <v/>
      </c>
      <c r="AN466" s="38" t="b">
        <f t="shared" si="269"/>
        <v>1</v>
      </c>
      <c r="AO466" s="37" t="str">
        <f t="array" ref="AO466:AY466">IF(AN466,"",IVSolution($M466,$N466,$O466,AJ466,AK466,AL466,AM466,$E466,$F466,$G466,$H466,$I466))</f>
        <v/>
      </c>
      <c r="AP466" s="37" t="str">
        <v/>
      </c>
      <c r="AQ466" s="37" t="str">
        <v/>
      </c>
      <c r="AR466" s="39" t="str">
        <v/>
      </c>
      <c r="AS466" s="39" t="str">
        <v/>
      </c>
      <c r="AT466" s="37" t="str">
        <v/>
      </c>
      <c r="AU466" s="37" t="str">
        <v/>
      </c>
      <c r="AV466" s="37" t="str">
        <v/>
      </c>
      <c r="AW466" s="37" t="str">
        <v/>
      </c>
      <c r="AX466" s="37" t="str">
        <v/>
      </c>
      <c r="AY466" s="37" t="str">
        <v/>
      </c>
      <c r="AZ466" s="40" t="str">
        <f t="shared" si="270"/>
        <v/>
      </c>
      <c r="BA466" s="36" t="str">
        <f>IFERROR(INDEX('Level Multipliers'!$D:$D,MATCH(AZ466,'Level Multipliers'!$A:$A,0)),"")</f>
        <v/>
      </c>
      <c r="BB466" s="37" t="str">
        <f t="shared" si="271"/>
        <v/>
      </c>
      <c r="BC466" s="37" t="str">
        <f t="shared" si="272"/>
        <v/>
      </c>
      <c r="BD466" s="38" t="str">
        <f t="shared" si="273"/>
        <v/>
      </c>
      <c r="BE466" s="38" t="str">
        <f t="shared" si="274"/>
        <v/>
      </c>
      <c r="BF466" s="38" t="b">
        <f t="shared" si="275"/>
        <v>1</v>
      </c>
      <c r="BG466" s="37" t="str">
        <f t="array" ref="BG466:BQ466">IF(BF466,"",IVSolution($M466,$N466,$O466,BB466,BC466,BD466,BE466,$E466,$F466,$G466,$H466,$I466))</f>
        <v/>
      </c>
      <c r="BH466" s="37" t="str">
        <v/>
      </c>
      <c r="BI466" s="37" t="str">
        <v/>
      </c>
      <c r="BJ466" s="39" t="str">
        <v/>
      </c>
      <c r="BK466" s="39" t="str">
        <v/>
      </c>
      <c r="BL466" s="37" t="str">
        <v/>
      </c>
      <c r="BM466" s="37" t="str">
        <v/>
      </c>
      <c r="BN466" s="37" t="str">
        <v/>
      </c>
      <c r="BO466" s="37" t="str">
        <v/>
      </c>
      <c r="BP466" s="37" t="str">
        <v/>
      </c>
      <c r="BQ466" s="37" t="str">
        <v/>
      </c>
      <c r="BR466" s="40" t="str">
        <f t="shared" si="276"/>
        <v/>
      </c>
      <c r="BS466" s="36" t="str">
        <f>IFERROR(INDEX('Level Multipliers'!$D:$D,MATCH(BR466,'Level Multipliers'!$A:$A,0)),"")</f>
        <v/>
      </c>
      <c r="BT466" s="37" t="str">
        <f t="shared" si="277"/>
        <v/>
      </c>
      <c r="BU466" s="37" t="str">
        <f t="shared" si="278"/>
        <v/>
      </c>
      <c r="BV466" s="38" t="str">
        <f t="shared" si="279"/>
        <v/>
      </c>
      <c r="BW466" s="38" t="str">
        <f t="shared" si="280"/>
        <v/>
      </c>
      <c r="BX466" s="38" t="b">
        <f t="shared" si="281"/>
        <v>1</v>
      </c>
      <c r="BY466" s="37" t="str">
        <f t="array" ref="BY466:CI466">IF(BX466,"",IVSolution($M466,$N466,$O466,BT466,BU466,BV466,BW466,$E466,$F466,$G466,$H466,$I466))</f>
        <v/>
      </c>
      <c r="BZ466" s="37" t="str">
        <v/>
      </c>
      <c r="CA466" s="37" t="str">
        <v/>
      </c>
      <c r="CB466" s="39" t="str">
        <v/>
      </c>
      <c r="CC466" s="39" t="str">
        <v/>
      </c>
      <c r="CD466" s="37" t="str">
        <v/>
      </c>
      <c r="CE466" s="37" t="str">
        <v/>
      </c>
      <c r="CF466" s="37" t="str">
        <v/>
      </c>
      <c r="CG466" s="37" t="str">
        <v/>
      </c>
      <c r="CH466" s="37" t="str">
        <v/>
      </c>
      <c r="CI466" s="37" t="str">
        <v/>
      </c>
      <c r="CJ466" s="41" t="str">
        <f t="shared" si="282"/>
        <v/>
      </c>
      <c r="CK466" s="41" t="str">
        <f t="shared" si="283"/>
        <v/>
      </c>
      <c r="CL466" s="66" t="str">
        <f t="shared" si="284"/>
        <v/>
      </c>
      <c r="CM466" s="39" t="str">
        <f t="shared" si="285"/>
        <v/>
      </c>
      <c r="CN466" s="39" t="str">
        <f t="shared" si="286"/>
        <v/>
      </c>
      <c r="CO466" s="42" t="str">
        <f t="shared" si="287"/>
        <v/>
      </c>
      <c r="CP466" s="42" t="str">
        <f t="shared" si="288"/>
        <v/>
      </c>
      <c r="CQ466" s="42" t="str">
        <f t="shared" si="289"/>
        <v/>
      </c>
      <c r="CR466" s="42" t="str">
        <f t="shared" si="290"/>
        <v/>
      </c>
      <c r="CS466" s="42" t="str">
        <f t="shared" si="291"/>
        <v/>
      </c>
      <c r="CT466" s="42" t="str">
        <f t="shared" si="292"/>
        <v/>
      </c>
      <c r="CU466" s="43" t="str">
        <f t="shared" si="293"/>
        <v/>
      </c>
      <c r="CV466" s="43" t="str">
        <f t="shared" si="294"/>
        <v/>
      </c>
      <c r="CW466" s="43" t="str">
        <f t="shared" si="295"/>
        <v/>
      </c>
      <c r="CX466" s="13"/>
    </row>
    <row r="467" spans="1:102" x14ac:dyDescent="0.25">
      <c r="A467" s="31"/>
      <c r="B467" s="13"/>
      <c r="C467" s="13"/>
      <c r="D467" s="13"/>
      <c r="E467" s="32"/>
      <c r="F467" s="32"/>
      <c r="G467" s="32"/>
      <c r="H467" s="32"/>
      <c r="I467" s="32"/>
      <c r="J467" s="13"/>
      <c r="K467" s="33"/>
      <c r="L467" s="34" t="str">
        <f>IFERROR(INDEX('Pokemon Data'!A:A,MATCH($A467,'Pokemon Data'!$B:$B,0)),"")</f>
        <v/>
      </c>
      <c r="M467" s="34" t="str">
        <f>IFERROR(INDEX('Pokemon Data'!I:I,MATCH($A467,'Pokemon Data'!$B:$B,0)),"")</f>
        <v/>
      </c>
      <c r="N467" s="34" t="str">
        <f>IFERROR(INDEX('Pokemon Data'!J:J,MATCH($A467,'Pokemon Data'!$B:$B,0)),"")</f>
        <v/>
      </c>
      <c r="O467" s="34" t="str">
        <f>IFERROR(INDEX('Pokemon Data'!K:K,MATCH($A467,'Pokemon Data'!$B:$B,0)),"")</f>
        <v/>
      </c>
      <c r="P467" s="35" t="str">
        <f>IFERROR(INDEX('Level Multipliers'!$A:$A,MATCH($D467,'Level Multipliers'!$B:$B,0)),"")</f>
        <v/>
      </c>
      <c r="Q467" s="36" t="str">
        <f>IFERROR(INDEX('Level Multipliers'!$D:$D,MATCH(P467,'Level Multipliers'!$A:$A,0)),"")</f>
        <v/>
      </c>
      <c r="R467" s="37" t="str">
        <f t="shared" si="259"/>
        <v/>
      </c>
      <c r="S467" s="37" t="str">
        <f t="shared" si="260"/>
        <v/>
      </c>
      <c r="T467" s="38" t="str">
        <f t="shared" si="261"/>
        <v/>
      </c>
      <c r="U467" s="38" t="str">
        <f t="shared" si="262"/>
        <v/>
      </c>
      <c r="V467" s="38" t="b">
        <f t="shared" si="263"/>
        <v>1</v>
      </c>
      <c r="W467" s="37" t="str">
        <f t="array" ref="W467:AG467">IF(V467,"",IVSolution($M467,$N467,$O467,R467,S467,T467,U467,$E467,$F467,$G467,$H467,$I467))</f>
        <v/>
      </c>
      <c r="X467" s="37" t="str">
        <v/>
      </c>
      <c r="Y467" s="37" t="str">
        <v/>
      </c>
      <c r="Z467" s="39" t="str">
        <v/>
      </c>
      <c r="AA467" s="39" t="str">
        <v/>
      </c>
      <c r="AB467" s="37" t="str">
        <v/>
      </c>
      <c r="AC467" s="37" t="str">
        <v/>
      </c>
      <c r="AD467" s="37" t="str">
        <v/>
      </c>
      <c r="AE467" s="37" t="str">
        <v/>
      </c>
      <c r="AF467" s="37" t="str">
        <v/>
      </c>
      <c r="AG467" s="37" t="str">
        <v/>
      </c>
      <c r="AH467" s="40" t="str">
        <f t="shared" si="264"/>
        <v/>
      </c>
      <c r="AI467" s="36" t="str">
        <f>IFERROR(INDEX('Level Multipliers'!$D:$D,MATCH(AH467,'Level Multipliers'!$A:$A,0)),"")</f>
        <v/>
      </c>
      <c r="AJ467" s="37" t="str">
        <f t="shared" si="265"/>
        <v/>
      </c>
      <c r="AK467" s="37" t="str">
        <f t="shared" si="266"/>
        <v/>
      </c>
      <c r="AL467" s="38" t="str">
        <f t="shared" si="267"/>
        <v/>
      </c>
      <c r="AM467" s="38" t="str">
        <f t="shared" si="268"/>
        <v/>
      </c>
      <c r="AN467" s="38" t="b">
        <f t="shared" si="269"/>
        <v>1</v>
      </c>
      <c r="AO467" s="37" t="str">
        <f t="array" ref="AO467:AY467">IF(AN467,"",IVSolution($M467,$N467,$O467,AJ467,AK467,AL467,AM467,$E467,$F467,$G467,$H467,$I467))</f>
        <v/>
      </c>
      <c r="AP467" s="37" t="str">
        <v/>
      </c>
      <c r="AQ467" s="37" t="str">
        <v/>
      </c>
      <c r="AR467" s="39" t="str">
        <v/>
      </c>
      <c r="AS467" s="39" t="str">
        <v/>
      </c>
      <c r="AT467" s="37" t="str">
        <v/>
      </c>
      <c r="AU467" s="37" t="str">
        <v/>
      </c>
      <c r="AV467" s="37" t="str">
        <v/>
      </c>
      <c r="AW467" s="37" t="str">
        <v/>
      </c>
      <c r="AX467" s="37" t="str">
        <v/>
      </c>
      <c r="AY467" s="37" t="str">
        <v/>
      </c>
      <c r="AZ467" s="40" t="str">
        <f t="shared" si="270"/>
        <v/>
      </c>
      <c r="BA467" s="36" t="str">
        <f>IFERROR(INDEX('Level Multipliers'!$D:$D,MATCH(AZ467,'Level Multipliers'!$A:$A,0)),"")</f>
        <v/>
      </c>
      <c r="BB467" s="37" t="str">
        <f t="shared" si="271"/>
        <v/>
      </c>
      <c r="BC467" s="37" t="str">
        <f t="shared" si="272"/>
        <v/>
      </c>
      <c r="BD467" s="38" t="str">
        <f t="shared" si="273"/>
        <v/>
      </c>
      <c r="BE467" s="38" t="str">
        <f t="shared" si="274"/>
        <v/>
      </c>
      <c r="BF467" s="38" t="b">
        <f t="shared" si="275"/>
        <v>1</v>
      </c>
      <c r="BG467" s="37" t="str">
        <f t="array" ref="BG467:BQ467">IF(BF467,"",IVSolution($M467,$N467,$O467,BB467,BC467,BD467,BE467,$E467,$F467,$G467,$H467,$I467))</f>
        <v/>
      </c>
      <c r="BH467" s="37" t="str">
        <v/>
      </c>
      <c r="BI467" s="37" t="str">
        <v/>
      </c>
      <c r="BJ467" s="39" t="str">
        <v/>
      </c>
      <c r="BK467" s="39" t="str">
        <v/>
      </c>
      <c r="BL467" s="37" t="str">
        <v/>
      </c>
      <c r="BM467" s="37" t="str">
        <v/>
      </c>
      <c r="BN467" s="37" t="str">
        <v/>
      </c>
      <c r="BO467" s="37" t="str">
        <v/>
      </c>
      <c r="BP467" s="37" t="str">
        <v/>
      </c>
      <c r="BQ467" s="37" t="str">
        <v/>
      </c>
      <c r="BR467" s="40" t="str">
        <f t="shared" si="276"/>
        <v/>
      </c>
      <c r="BS467" s="36" t="str">
        <f>IFERROR(INDEX('Level Multipliers'!$D:$D,MATCH(BR467,'Level Multipliers'!$A:$A,0)),"")</f>
        <v/>
      </c>
      <c r="BT467" s="37" t="str">
        <f t="shared" si="277"/>
        <v/>
      </c>
      <c r="BU467" s="37" t="str">
        <f t="shared" si="278"/>
        <v/>
      </c>
      <c r="BV467" s="38" t="str">
        <f t="shared" si="279"/>
        <v/>
      </c>
      <c r="BW467" s="38" t="str">
        <f t="shared" si="280"/>
        <v/>
      </c>
      <c r="BX467" s="38" t="b">
        <f t="shared" si="281"/>
        <v>1</v>
      </c>
      <c r="BY467" s="37" t="str">
        <f t="array" ref="BY467:CI467">IF(BX467,"",IVSolution($M467,$N467,$O467,BT467,BU467,BV467,BW467,$E467,$F467,$G467,$H467,$I467))</f>
        <v/>
      </c>
      <c r="BZ467" s="37" t="str">
        <v/>
      </c>
      <c r="CA467" s="37" t="str">
        <v/>
      </c>
      <c r="CB467" s="39" t="str">
        <v/>
      </c>
      <c r="CC467" s="39" t="str">
        <v/>
      </c>
      <c r="CD467" s="37" t="str">
        <v/>
      </c>
      <c r="CE467" s="37" t="str">
        <v/>
      </c>
      <c r="CF467" s="37" t="str">
        <v/>
      </c>
      <c r="CG467" s="37" t="str">
        <v/>
      </c>
      <c r="CH467" s="37" t="str">
        <v/>
      </c>
      <c r="CI467" s="37" t="str">
        <v/>
      </c>
      <c r="CJ467" s="41" t="str">
        <f t="shared" si="282"/>
        <v/>
      </c>
      <c r="CK467" s="41" t="str">
        <f t="shared" si="283"/>
        <v/>
      </c>
      <c r="CL467" s="66" t="str">
        <f t="shared" si="284"/>
        <v/>
      </c>
      <c r="CM467" s="39" t="str">
        <f t="shared" si="285"/>
        <v/>
      </c>
      <c r="CN467" s="39" t="str">
        <f t="shared" si="286"/>
        <v/>
      </c>
      <c r="CO467" s="42" t="str">
        <f t="shared" si="287"/>
        <v/>
      </c>
      <c r="CP467" s="42" t="str">
        <f t="shared" si="288"/>
        <v/>
      </c>
      <c r="CQ467" s="42" t="str">
        <f t="shared" si="289"/>
        <v/>
      </c>
      <c r="CR467" s="42" t="str">
        <f t="shared" si="290"/>
        <v/>
      </c>
      <c r="CS467" s="42" t="str">
        <f t="shared" si="291"/>
        <v/>
      </c>
      <c r="CT467" s="42" t="str">
        <f t="shared" si="292"/>
        <v/>
      </c>
      <c r="CU467" s="43" t="str">
        <f t="shared" si="293"/>
        <v/>
      </c>
      <c r="CV467" s="43" t="str">
        <f t="shared" si="294"/>
        <v/>
      </c>
      <c r="CW467" s="43" t="str">
        <f t="shared" si="295"/>
        <v/>
      </c>
      <c r="CX467" s="13"/>
    </row>
    <row r="468" spans="1:102" x14ac:dyDescent="0.25">
      <c r="A468" s="31"/>
      <c r="B468" s="13"/>
      <c r="C468" s="13"/>
      <c r="D468" s="13"/>
      <c r="E468" s="32"/>
      <c r="F468" s="32"/>
      <c r="G468" s="32"/>
      <c r="H468" s="32"/>
      <c r="I468" s="32"/>
      <c r="J468" s="13"/>
      <c r="K468" s="33"/>
      <c r="L468" s="34" t="str">
        <f>IFERROR(INDEX('Pokemon Data'!A:A,MATCH($A468,'Pokemon Data'!$B:$B,0)),"")</f>
        <v/>
      </c>
      <c r="M468" s="34" t="str">
        <f>IFERROR(INDEX('Pokemon Data'!I:I,MATCH($A468,'Pokemon Data'!$B:$B,0)),"")</f>
        <v/>
      </c>
      <c r="N468" s="34" t="str">
        <f>IFERROR(INDEX('Pokemon Data'!J:J,MATCH($A468,'Pokemon Data'!$B:$B,0)),"")</f>
        <v/>
      </c>
      <c r="O468" s="34" t="str">
        <f>IFERROR(INDEX('Pokemon Data'!K:K,MATCH($A468,'Pokemon Data'!$B:$B,0)),"")</f>
        <v/>
      </c>
      <c r="P468" s="35" t="str">
        <f>IFERROR(INDEX('Level Multipliers'!$A:$A,MATCH($D468,'Level Multipliers'!$B:$B,0)),"")</f>
        <v/>
      </c>
      <c r="Q468" s="36" t="str">
        <f>IFERROR(INDEX('Level Multipliers'!$D:$D,MATCH(P468,'Level Multipliers'!$A:$A,0)),"")</f>
        <v/>
      </c>
      <c r="R468" s="37" t="str">
        <f t="shared" si="259"/>
        <v/>
      </c>
      <c r="S468" s="37" t="str">
        <f t="shared" si="260"/>
        <v/>
      </c>
      <c r="T468" s="38" t="str">
        <f t="shared" si="261"/>
        <v/>
      </c>
      <c r="U468" s="38" t="str">
        <f t="shared" si="262"/>
        <v/>
      </c>
      <c r="V468" s="38" t="b">
        <f t="shared" si="263"/>
        <v>1</v>
      </c>
      <c r="W468" s="37" t="str">
        <f t="array" ref="W468:AG468">IF(V468,"",IVSolution($M468,$N468,$O468,R468,S468,T468,U468,$E468,$F468,$G468,$H468,$I468))</f>
        <v/>
      </c>
      <c r="X468" s="37" t="str">
        <v/>
      </c>
      <c r="Y468" s="37" t="str">
        <v/>
      </c>
      <c r="Z468" s="39" t="str">
        <v/>
      </c>
      <c r="AA468" s="39" t="str">
        <v/>
      </c>
      <c r="AB468" s="37" t="str">
        <v/>
      </c>
      <c r="AC468" s="37" t="str">
        <v/>
      </c>
      <c r="AD468" s="37" t="str">
        <v/>
      </c>
      <c r="AE468" s="37" t="str">
        <v/>
      </c>
      <c r="AF468" s="37" t="str">
        <v/>
      </c>
      <c r="AG468" s="37" t="str">
        <v/>
      </c>
      <c r="AH468" s="40" t="str">
        <f t="shared" si="264"/>
        <v/>
      </c>
      <c r="AI468" s="36" t="str">
        <f>IFERROR(INDEX('Level Multipliers'!$D:$D,MATCH(AH468,'Level Multipliers'!$A:$A,0)),"")</f>
        <v/>
      </c>
      <c r="AJ468" s="37" t="str">
        <f t="shared" si="265"/>
        <v/>
      </c>
      <c r="AK468" s="37" t="str">
        <f t="shared" si="266"/>
        <v/>
      </c>
      <c r="AL468" s="38" t="str">
        <f t="shared" si="267"/>
        <v/>
      </c>
      <c r="AM468" s="38" t="str">
        <f t="shared" si="268"/>
        <v/>
      </c>
      <c r="AN468" s="38" t="b">
        <f t="shared" si="269"/>
        <v>1</v>
      </c>
      <c r="AO468" s="37" t="str">
        <f t="array" ref="AO468:AY468">IF(AN468,"",IVSolution($M468,$N468,$O468,AJ468,AK468,AL468,AM468,$E468,$F468,$G468,$H468,$I468))</f>
        <v/>
      </c>
      <c r="AP468" s="37" t="str">
        <v/>
      </c>
      <c r="AQ468" s="37" t="str">
        <v/>
      </c>
      <c r="AR468" s="39" t="str">
        <v/>
      </c>
      <c r="AS468" s="39" t="str">
        <v/>
      </c>
      <c r="AT468" s="37" t="str">
        <v/>
      </c>
      <c r="AU468" s="37" t="str">
        <v/>
      </c>
      <c r="AV468" s="37" t="str">
        <v/>
      </c>
      <c r="AW468" s="37" t="str">
        <v/>
      </c>
      <c r="AX468" s="37" t="str">
        <v/>
      </c>
      <c r="AY468" s="37" t="str">
        <v/>
      </c>
      <c r="AZ468" s="40" t="str">
        <f t="shared" si="270"/>
        <v/>
      </c>
      <c r="BA468" s="36" t="str">
        <f>IFERROR(INDEX('Level Multipliers'!$D:$D,MATCH(AZ468,'Level Multipliers'!$A:$A,0)),"")</f>
        <v/>
      </c>
      <c r="BB468" s="37" t="str">
        <f t="shared" si="271"/>
        <v/>
      </c>
      <c r="BC468" s="37" t="str">
        <f t="shared" si="272"/>
        <v/>
      </c>
      <c r="BD468" s="38" t="str">
        <f t="shared" si="273"/>
        <v/>
      </c>
      <c r="BE468" s="38" t="str">
        <f t="shared" si="274"/>
        <v/>
      </c>
      <c r="BF468" s="38" t="b">
        <f t="shared" si="275"/>
        <v>1</v>
      </c>
      <c r="BG468" s="37" t="str">
        <f t="array" ref="BG468:BQ468">IF(BF468,"",IVSolution($M468,$N468,$O468,BB468,BC468,BD468,BE468,$E468,$F468,$G468,$H468,$I468))</f>
        <v/>
      </c>
      <c r="BH468" s="37" t="str">
        <v/>
      </c>
      <c r="BI468" s="37" t="str">
        <v/>
      </c>
      <c r="BJ468" s="39" t="str">
        <v/>
      </c>
      <c r="BK468" s="39" t="str">
        <v/>
      </c>
      <c r="BL468" s="37" t="str">
        <v/>
      </c>
      <c r="BM468" s="37" t="str">
        <v/>
      </c>
      <c r="BN468" s="37" t="str">
        <v/>
      </c>
      <c r="BO468" s="37" t="str">
        <v/>
      </c>
      <c r="BP468" s="37" t="str">
        <v/>
      </c>
      <c r="BQ468" s="37" t="str">
        <v/>
      </c>
      <c r="BR468" s="40" t="str">
        <f t="shared" si="276"/>
        <v/>
      </c>
      <c r="BS468" s="36" t="str">
        <f>IFERROR(INDEX('Level Multipliers'!$D:$D,MATCH(BR468,'Level Multipliers'!$A:$A,0)),"")</f>
        <v/>
      </c>
      <c r="BT468" s="37" t="str">
        <f t="shared" si="277"/>
        <v/>
      </c>
      <c r="BU468" s="37" t="str">
        <f t="shared" si="278"/>
        <v/>
      </c>
      <c r="BV468" s="38" t="str">
        <f t="shared" si="279"/>
        <v/>
      </c>
      <c r="BW468" s="38" t="str">
        <f t="shared" si="280"/>
        <v/>
      </c>
      <c r="BX468" s="38" t="b">
        <f t="shared" si="281"/>
        <v>1</v>
      </c>
      <c r="BY468" s="37" t="str">
        <f t="array" ref="BY468:CI468">IF(BX468,"",IVSolution($M468,$N468,$O468,BT468,BU468,BV468,BW468,$E468,$F468,$G468,$H468,$I468))</f>
        <v/>
      </c>
      <c r="BZ468" s="37" t="str">
        <v/>
      </c>
      <c r="CA468" s="37" t="str">
        <v/>
      </c>
      <c r="CB468" s="39" t="str">
        <v/>
      </c>
      <c r="CC468" s="39" t="str">
        <v/>
      </c>
      <c r="CD468" s="37" t="str">
        <v/>
      </c>
      <c r="CE468" s="37" t="str">
        <v/>
      </c>
      <c r="CF468" s="37" t="str">
        <v/>
      </c>
      <c r="CG468" s="37" t="str">
        <v/>
      </c>
      <c r="CH468" s="37" t="str">
        <v/>
      </c>
      <c r="CI468" s="37" t="str">
        <v/>
      </c>
      <c r="CJ468" s="41" t="str">
        <f t="shared" si="282"/>
        <v/>
      </c>
      <c r="CK468" s="41" t="str">
        <f t="shared" si="283"/>
        <v/>
      </c>
      <c r="CL468" s="66" t="str">
        <f t="shared" si="284"/>
        <v/>
      </c>
      <c r="CM468" s="39" t="str">
        <f t="shared" si="285"/>
        <v/>
      </c>
      <c r="CN468" s="39" t="str">
        <f t="shared" si="286"/>
        <v/>
      </c>
      <c r="CO468" s="42" t="str">
        <f t="shared" si="287"/>
        <v/>
      </c>
      <c r="CP468" s="42" t="str">
        <f t="shared" si="288"/>
        <v/>
      </c>
      <c r="CQ468" s="42" t="str">
        <f t="shared" si="289"/>
        <v/>
      </c>
      <c r="CR468" s="42" t="str">
        <f t="shared" si="290"/>
        <v/>
      </c>
      <c r="CS468" s="42" t="str">
        <f t="shared" si="291"/>
        <v/>
      </c>
      <c r="CT468" s="42" t="str">
        <f t="shared" si="292"/>
        <v/>
      </c>
      <c r="CU468" s="43" t="str">
        <f t="shared" si="293"/>
        <v/>
      </c>
      <c r="CV468" s="43" t="str">
        <f t="shared" si="294"/>
        <v/>
      </c>
      <c r="CW468" s="43" t="str">
        <f t="shared" si="295"/>
        <v/>
      </c>
      <c r="CX468" s="13"/>
    </row>
    <row r="469" spans="1:102" x14ac:dyDescent="0.25">
      <c r="A469" s="31"/>
      <c r="B469" s="13"/>
      <c r="C469" s="13"/>
      <c r="D469" s="13"/>
      <c r="E469" s="32"/>
      <c r="F469" s="32"/>
      <c r="G469" s="32"/>
      <c r="H469" s="32"/>
      <c r="I469" s="32"/>
      <c r="J469" s="13"/>
      <c r="K469" s="33"/>
      <c r="L469" s="34" t="str">
        <f>IFERROR(INDEX('Pokemon Data'!A:A,MATCH($A469,'Pokemon Data'!$B:$B,0)),"")</f>
        <v/>
      </c>
      <c r="M469" s="34" t="str">
        <f>IFERROR(INDEX('Pokemon Data'!I:I,MATCH($A469,'Pokemon Data'!$B:$B,0)),"")</f>
        <v/>
      </c>
      <c r="N469" s="34" t="str">
        <f>IFERROR(INDEX('Pokemon Data'!J:J,MATCH($A469,'Pokemon Data'!$B:$B,0)),"")</f>
        <v/>
      </c>
      <c r="O469" s="34" t="str">
        <f>IFERROR(INDEX('Pokemon Data'!K:K,MATCH($A469,'Pokemon Data'!$B:$B,0)),"")</f>
        <v/>
      </c>
      <c r="P469" s="35" t="str">
        <f>IFERROR(INDEX('Level Multipliers'!$A:$A,MATCH($D469,'Level Multipliers'!$B:$B,0)),"")</f>
        <v/>
      </c>
      <c r="Q469" s="36" t="str">
        <f>IFERROR(INDEX('Level Multipliers'!$D:$D,MATCH(P469,'Level Multipliers'!$A:$A,0)),"")</f>
        <v/>
      </c>
      <c r="R469" s="37" t="str">
        <f t="shared" si="259"/>
        <v/>
      </c>
      <c r="S469" s="37" t="str">
        <f t="shared" si="260"/>
        <v/>
      </c>
      <c r="T469" s="38" t="str">
        <f t="shared" si="261"/>
        <v/>
      </c>
      <c r="U469" s="38" t="str">
        <f t="shared" si="262"/>
        <v/>
      </c>
      <c r="V469" s="38" t="b">
        <f t="shared" si="263"/>
        <v>1</v>
      </c>
      <c r="W469" s="37" t="str">
        <f t="array" ref="W469:AG469">IF(V469,"",IVSolution($M469,$N469,$O469,R469,S469,T469,U469,$E469,$F469,$G469,$H469,$I469))</f>
        <v/>
      </c>
      <c r="X469" s="37" t="str">
        <v/>
      </c>
      <c r="Y469" s="37" t="str">
        <v/>
      </c>
      <c r="Z469" s="39" t="str">
        <v/>
      </c>
      <c r="AA469" s="39" t="str">
        <v/>
      </c>
      <c r="AB469" s="37" t="str">
        <v/>
      </c>
      <c r="AC469" s="37" t="str">
        <v/>
      </c>
      <c r="AD469" s="37" t="str">
        <v/>
      </c>
      <c r="AE469" s="37" t="str">
        <v/>
      </c>
      <c r="AF469" s="37" t="str">
        <v/>
      </c>
      <c r="AG469" s="37" t="str">
        <v/>
      </c>
      <c r="AH469" s="40" t="str">
        <f t="shared" si="264"/>
        <v/>
      </c>
      <c r="AI469" s="36" t="str">
        <f>IFERROR(INDEX('Level Multipliers'!$D:$D,MATCH(AH469,'Level Multipliers'!$A:$A,0)),"")</f>
        <v/>
      </c>
      <c r="AJ469" s="37" t="str">
        <f t="shared" si="265"/>
        <v/>
      </c>
      <c r="AK469" s="37" t="str">
        <f t="shared" si="266"/>
        <v/>
      </c>
      <c r="AL469" s="38" t="str">
        <f t="shared" si="267"/>
        <v/>
      </c>
      <c r="AM469" s="38" t="str">
        <f t="shared" si="268"/>
        <v/>
      </c>
      <c r="AN469" s="38" t="b">
        <f t="shared" si="269"/>
        <v>1</v>
      </c>
      <c r="AO469" s="37" t="str">
        <f t="array" ref="AO469:AY469">IF(AN469,"",IVSolution($M469,$N469,$O469,AJ469,AK469,AL469,AM469,$E469,$F469,$G469,$H469,$I469))</f>
        <v/>
      </c>
      <c r="AP469" s="37" t="str">
        <v/>
      </c>
      <c r="AQ469" s="37" t="str">
        <v/>
      </c>
      <c r="AR469" s="39" t="str">
        <v/>
      </c>
      <c r="AS469" s="39" t="str">
        <v/>
      </c>
      <c r="AT469" s="37" t="str">
        <v/>
      </c>
      <c r="AU469" s="37" t="str">
        <v/>
      </c>
      <c r="AV469" s="37" t="str">
        <v/>
      </c>
      <c r="AW469" s="37" t="str">
        <v/>
      </c>
      <c r="AX469" s="37" t="str">
        <v/>
      </c>
      <c r="AY469" s="37" t="str">
        <v/>
      </c>
      <c r="AZ469" s="40" t="str">
        <f t="shared" si="270"/>
        <v/>
      </c>
      <c r="BA469" s="36" t="str">
        <f>IFERROR(INDEX('Level Multipliers'!$D:$D,MATCH(AZ469,'Level Multipliers'!$A:$A,0)),"")</f>
        <v/>
      </c>
      <c r="BB469" s="37" t="str">
        <f t="shared" si="271"/>
        <v/>
      </c>
      <c r="BC469" s="37" t="str">
        <f t="shared" si="272"/>
        <v/>
      </c>
      <c r="BD469" s="38" t="str">
        <f t="shared" si="273"/>
        <v/>
      </c>
      <c r="BE469" s="38" t="str">
        <f t="shared" si="274"/>
        <v/>
      </c>
      <c r="BF469" s="38" t="b">
        <f t="shared" si="275"/>
        <v>1</v>
      </c>
      <c r="BG469" s="37" t="str">
        <f t="array" ref="BG469:BQ469">IF(BF469,"",IVSolution($M469,$N469,$O469,BB469,BC469,BD469,BE469,$E469,$F469,$G469,$H469,$I469))</f>
        <v/>
      </c>
      <c r="BH469" s="37" t="str">
        <v/>
      </c>
      <c r="BI469" s="37" t="str">
        <v/>
      </c>
      <c r="BJ469" s="39" t="str">
        <v/>
      </c>
      <c r="BK469" s="39" t="str">
        <v/>
      </c>
      <c r="BL469" s="37" t="str">
        <v/>
      </c>
      <c r="BM469" s="37" t="str">
        <v/>
      </c>
      <c r="BN469" s="37" t="str">
        <v/>
      </c>
      <c r="BO469" s="37" t="str">
        <v/>
      </c>
      <c r="BP469" s="37" t="str">
        <v/>
      </c>
      <c r="BQ469" s="37" t="str">
        <v/>
      </c>
      <c r="BR469" s="40" t="str">
        <f t="shared" si="276"/>
        <v/>
      </c>
      <c r="BS469" s="36" t="str">
        <f>IFERROR(INDEX('Level Multipliers'!$D:$D,MATCH(BR469,'Level Multipliers'!$A:$A,0)),"")</f>
        <v/>
      </c>
      <c r="BT469" s="37" t="str">
        <f t="shared" si="277"/>
        <v/>
      </c>
      <c r="BU469" s="37" t="str">
        <f t="shared" si="278"/>
        <v/>
      </c>
      <c r="BV469" s="38" t="str">
        <f t="shared" si="279"/>
        <v/>
      </c>
      <c r="BW469" s="38" t="str">
        <f t="shared" si="280"/>
        <v/>
      </c>
      <c r="BX469" s="38" t="b">
        <f t="shared" si="281"/>
        <v>1</v>
      </c>
      <c r="BY469" s="37" t="str">
        <f t="array" ref="BY469:CI469">IF(BX469,"",IVSolution($M469,$N469,$O469,BT469,BU469,BV469,BW469,$E469,$F469,$G469,$H469,$I469))</f>
        <v/>
      </c>
      <c r="BZ469" s="37" t="str">
        <v/>
      </c>
      <c r="CA469" s="37" t="str">
        <v/>
      </c>
      <c r="CB469" s="39" t="str">
        <v/>
      </c>
      <c r="CC469" s="39" t="str">
        <v/>
      </c>
      <c r="CD469" s="37" t="str">
        <v/>
      </c>
      <c r="CE469" s="37" t="str">
        <v/>
      </c>
      <c r="CF469" s="37" t="str">
        <v/>
      </c>
      <c r="CG469" s="37" t="str">
        <v/>
      </c>
      <c r="CH469" s="37" t="str">
        <v/>
      </c>
      <c r="CI469" s="37" t="str">
        <v/>
      </c>
      <c r="CJ469" s="41" t="str">
        <f t="shared" si="282"/>
        <v/>
      </c>
      <c r="CK469" s="41" t="str">
        <f t="shared" si="283"/>
        <v/>
      </c>
      <c r="CL469" s="66" t="str">
        <f t="shared" si="284"/>
        <v/>
      </c>
      <c r="CM469" s="39" t="str">
        <f t="shared" si="285"/>
        <v/>
      </c>
      <c r="CN469" s="39" t="str">
        <f t="shared" si="286"/>
        <v/>
      </c>
      <c r="CO469" s="42" t="str">
        <f t="shared" si="287"/>
        <v/>
      </c>
      <c r="CP469" s="42" t="str">
        <f t="shared" si="288"/>
        <v/>
      </c>
      <c r="CQ469" s="42" t="str">
        <f t="shared" si="289"/>
        <v/>
      </c>
      <c r="CR469" s="42" t="str">
        <f t="shared" si="290"/>
        <v/>
      </c>
      <c r="CS469" s="42" t="str">
        <f t="shared" si="291"/>
        <v/>
      </c>
      <c r="CT469" s="42" t="str">
        <f t="shared" si="292"/>
        <v/>
      </c>
      <c r="CU469" s="43" t="str">
        <f t="shared" si="293"/>
        <v/>
      </c>
      <c r="CV469" s="43" t="str">
        <f t="shared" si="294"/>
        <v/>
      </c>
      <c r="CW469" s="43" t="str">
        <f t="shared" si="295"/>
        <v/>
      </c>
      <c r="CX469" s="13"/>
    </row>
    <row r="470" spans="1:102" x14ac:dyDescent="0.25">
      <c r="A470" s="31"/>
      <c r="B470" s="13"/>
      <c r="C470" s="13"/>
      <c r="D470" s="13"/>
      <c r="E470" s="32"/>
      <c r="F470" s="32"/>
      <c r="G470" s="32"/>
      <c r="H470" s="32"/>
      <c r="I470" s="32"/>
      <c r="J470" s="13"/>
      <c r="K470" s="33"/>
      <c r="L470" s="34" t="str">
        <f>IFERROR(INDEX('Pokemon Data'!A:A,MATCH($A470,'Pokemon Data'!$B:$B,0)),"")</f>
        <v/>
      </c>
      <c r="M470" s="34" t="str">
        <f>IFERROR(INDEX('Pokemon Data'!I:I,MATCH($A470,'Pokemon Data'!$B:$B,0)),"")</f>
        <v/>
      </c>
      <c r="N470" s="34" t="str">
        <f>IFERROR(INDEX('Pokemon Data'!J:J,MATCH($A470,'Pokemon Data'!$B:$B,0)),"")</f>
        <v/>
      </c>
      <c r="O470" s="34" t="str">
        <f>IFERROR(INDEX('Pokemon Data'!K:K,MATCH($A470,'Pokemon Data'!$B:$B,0)),"")</f>
        <v/>
      </c>
      <c r="P470" s="35" t="str">
        <f>IFERROR(INDEX('Level Multipliers'!$A:$A,MATCH($D470,'Level Multipliers'!$B:$B,0)),"")</f>
        <v/>
      </c>
      <c r="Q470" s="36" t="str">
        <f>IFERROR(INDEX('Level Multipliers'!$D:$D,MATCH(P470,'Level Multipliers'!$A:$A,0)),"")</f>
        <v/>
      </c>
      <c r="R470" s="37" t="str">
        <f t="shared" si="259"/>
        <v/>
      </c>
      <c r="S470" s="37" t="str">
        <f t="shared" si="260"/>
        <v/>
      </c>
      <c r="T470" s="38" t="str">
        <f t="shared" si="261"/>
        <v/>
      </c>
      <c r="U470" s="38" t="str">
        <f t="shared" si="262"/>
        <v/>
      </c>
      <c r="V470" s="38" t="b">
        <f t="shared" si="263"/>
        <v>1</v>
      </c>
      <c r="W470" s="37" t="str">
        <f t="array" ref="W470:AG470">IF(V470,"",IVSolution($M470,$N470,$O470,R470,S470,T470,U470,$E470,$F470,$G470,$H470,$I470))</f>
        <v/>
      </c>
      <c r="X470" s="37" t="str">
        <v/>
      </c>
      <c r="Y470" s="37" t="str">
        <v/>
      </c>
      <c r="Z470" s="39" t="str">
        <v/>
      </c>
      <c r="AA470" s="39" t="str">
        <v/>
      </c>
      <c r="AB470" s="37" t="str">
        <v/>
      </c>
      <c r="AC470" s="37" t="str">
        <v/>
      </c>
      <c r="AD470" s="37" t="str">
        <v/>
      </c>
      <c r="AE470" s="37" t="str">
        <v/>
      </c>
      <c r="AF470" s="37" t="str">
        <v/>
      </c>
      <c r="AG470" s="37" t="str">
        <v/>
      </c>
      <c r="AH470" s="40" t="str">
        <f t="shared" si="264"/>
        <v/>
      </c>
      <c r="AI470" s="36" t="str">
        <f>IFERROR(INDEX('Level Multipliers'!$D:$D,MATCH(AH470,'Level Multipliers'!$A:$A,0)),"")</f>
        <v/>
      </c>
      <c r="AJ470" s="37" t="str">
        <f t="shared" si="265"/>
        <v/>
      </c>
      <c r="AK470" s="37" t="str">
        <f t="shared" si="266"/>
        <v/>
      </c>
      <c r="AL470" s="38" t="str">
        <f t="shared" si="267"/>
        <v/>
      </c>
      <c r="AM470" s="38" t="str">
        <f t="shared" si="268"/>
        <v/>
      </c>
      <c r="AN470" s="38" t="b">
        <f t="shared" si="269"/>
        <v>1</v>
      </c>
      <c r="AO470" s="37" t="str">
        <f t="array" ref="AO470:AY470">IF(AN470,"",IVSolution($M470,$N470,$O470,AJ470,AK470,AL470,AM470,$E470,$F470,$G470,$H470,$I470))</f>
        <v/>
      </c>
      <c r="AP470" s="37" t="str">
        <v/>
      </c>
      <c r="AQ470" s="37" t="str">
        <v/>
      </c>
      <c r="AR470" s="39" t="str">
        <v/>
      </c>
      <c r="AS470" s="39" t="str">
        <v/>
      </c>
      <c r="AT470" s="37" t="str">
        <v/>
      </c>
      <c r="AU470" s="37" t="str">
        <v/>
      </c>
      <c r="AV470" s="37" t="str">
        <v/>
      </c>
      <c r="AW470" s="37" t="str">
        <v/>
      </c>
      <c r="AX470" s="37" t="str">
        <v/>
      </c>
      <c r="AY470" s="37" t="str">
        <v/>
      </c>
      <c r="AZ470" s="40" t="str">
        <f t="shared" si="270"/>
        <v/>
      </c>
      <c r="BA470" s="36" t="str">
        <f>IFERROR(INDEX('Level Multipliers'!$D:$D,MATCH(AZ470,'Level Multipliers'!$A:$A,0)),"")</f>
        <v/>
      </c>
      <c r="BB470" s="37" t="str">
        <f t="shared" si="271"/>
        <v/>
      </c>
      <c r="BC470" s="37" t="str">
        <f t="shared" si="272"/>
        <v/>
      </c>
      <c r="BD470" s="38" t="str">
        <f t="shared" si="273"/>
        <v/>
      </c>
      <c r="BE470" s="38" t="str">
        <f t="shared" si="274"/>
        <v/>
      </c>
      <c r="BF470" s="38" t="b">
        <f t="shared" si="275"/>
        <v>1</v>
      </c>
      <c r="BG470" s="37" t="str">
        <f t="array" ref="BG470:BQ470">IF(BF470,"",IVSolution($M470,$N470,$O470,BB470,BC470,BD470,BE470,$E470,$F470,$G470,$H470,$I470))</f>
        <v/>
      </c>
      <c r="BH470" s="37" t="str">
        <v/>
      </c>
      <c r="BI470" s="37" t="str">
        <v/>
      </c>
      <c r="BJ470" s="39" t="str">
        <v/>
      </c>
      <c r="BK470" s="39" t="str">
        <v/>
      </c>
      <c r="BL470" s="37" t="str">
        <v/>
      </c>
      <c r="BM470" s="37" t="str">
        <v/>
      </c>
      <c r="BN470" s="37" t="str">
        <v/>
      </c>
      <c r="BO470" s="37" t="str">
        <v/>
      </c>
      <c r="BP470" s="37" t="str">
        <v/>
      </c>
      <c r="BQ470" s="37" t="str">
        <v/>
      </c>
      <c r="BR470" s="40" t="str">
        <f t="shared" si="276"/>
        <v/>
      </c>
      <c r="BS470" s="36" t="str">
        <f>IFERROR(INDEX('Level Multipliers'!$D:$D,MATCH(BR470,'Level Multipliers'!$A:$A,0)),"")</f>
        <v/>
      </c>
      <c r="BT470" s="37" t="str">
        <f t="shared" si="277"/>
        <v/>
      </c>
      <c r="BU470" s="37" t="str">
        <f t="shared" si="278"/>
        <v/>
      </c>
      <c r="BV470" s="38" t="str">
        <f t="shared" si="279"/>
        <v/>
      </c>
      <c r="BW470" s="38" t="str">
        <f t="shared" si="280"/>
        <v/>
      </c>
      <c r="BX470" s="38" t="b">
        <f t="shared" si="281"/>
        <v>1</v>
      </c>
      <c r="BY470" s="37" t="str">
        <f t="array" ref="BY470:CI470">IF(BX470,"",IVSolution($M470,$N470,$O470,BT470,BU470,BV470,BW470,$E470,$F470,$G470,$H470,$I470))</f>
        <v/>
      </c>
      <c r="BZ470" s="37" t="str">
        <v/>
      </c>
      <c r="CA470" s="37" t="str">
        <v/>
      </c>
      <c r="CB470" s="39" t="str">
        <v/>
      </c>
      <c r="CC470" s="39" t="str">
        <v/>
      </c>
      <c r="CD470" s="37" t="str">
        <v/>
      </c>
      <c r="CE470" s="37" t="str">
        <v/>
      </c>
      <c r="CF470" s="37" t="str">
        <v/>
      </c>
      <c r="CG470" s="37" t="str">
        <v/>
      </c>
      <c r="CH470" s="37" t="str">
        <v/>
      </c>
      <c r="CI470" s="37" t="str">
        <v/>
      </c>
      <c r="CJ470" s="41" t="str">
        <f t="shared" si="282"/>
        <v/>
      </c>
      <c r="CK470" s="41" t="str">
        <f t="shared" si="283"/>
        <v/>
      </c>
      <c r="CL470" s="66" t="str">
        <f t="shared" si="284"/>
        <v/>
      </c>
      <c r="CM470" s="39" t="str">
        <f t="shared" si="285"/>
        <v/>
      </c>
      <c r="CN470" s="39" t="str">
        <f t="shared" si="286"/>
        <v/>
      </c>
      <c r="CO470" s="42" t="str">
        <f t="shared" si="287"/>
        <v/>
      </c>
      <c r="CP470" s="42" t="str">
        <f t="shared" si="288"/>
        <v/>
      </c>
      <c r="CQ470" s="42" t="str">
        <f t="shared" si="289"/>
        <v/>
      </c>
      <c r="CR470" s="42" t="str">
        <f t="shared" si="290"/>
        <v/>
      </c>
      <c r="CS470" s="42" t="str">
        <f t="shared" si="291"/>
        <v/>
      </c>
      <c r="CT470" s="42" t="str">
        <f t="shared" si="292"/>
        <v/>
      </c>
      <c r="CU470" s="43" t="str">
        <f t="shared" si="293"/>
        <v/>
      </c>
      <c r="CV470" s="43" t="str">
        <f t="shared" si="294"/>
        <v/>
      </c>
      <c r="CW470" s="43" t="str">
        <f t="shared" si="295"/>
        <v/>
      </c>
      <c r="CX470" s="13"/>
    </row>
    <row r="471" spans="1:102" x14ac:dyDescent="0.25">
      <c r="A471" s="31"/>
      <c r="B471" s="13"/>
      <c r="C471" s="13"/>
      <c r="D471" s="13"/>
      <c r="E471" s="32"/>
      <c r="F471" s="32"/>
      <c r="G471" s="32"/>
      <c r="H471" s="32"/>
      <c r="I471" s="32"/>
      <c r="J471" s="13"/>
      <c r="K471" s="33"/>
      <c r="L471" s="34" t="str">
        <f>IFERROR(INDEX('Pokemon Data'!A:A,MATCH($A471,'Pokemon Data'!$B:$B,0)),"")</f>
        <v/>
      </c>
      <c r="M471" s="34" t="str">
        <f>IFERROR(INDEX('Pokemon Data'!I:I,MATCH($A471,'Pokemon Data'!$B:$B,0)),"")</f>
        <v/>
      </c>
      <c r="N471" s="34" t="str">
        <f>IFERROR(INDEX('Pokemon Data'!J:J,MATCH($A471,'Pokemon Data'!$B:$B,0)),"")</f>
        <v/>
      </c>
      <c r="O471" s="34" t="str">
        <f>IFERROR(INDEX('Pokemon Data'!K:K,MATCH($A471,'Pokemon Data'!$B:$B,0)),"")</f>
        <v/>
      </c>
      <c r="P471" s="35" t="str">
        <f>IFERROR(INDEX('Level Multipliers'!$A:$A,MATCH($D471,'Level Multipliers'!$B:$B,0)),"")</f>
        <v/>
      </c>
      <c r="Q471" s="36" t="str">
        <f>IFERROR(INDEX('Level Multipliers'!$D:$D,MATCH(P471,'Level Multipliers'!$A:$A,0)),"")</f>
        <v/>
      </c>
      <c r="R471" s="37" t="str">
        <f t="shared" si="259"/>
        <v/>
      </c>
      <c r="S471" s="37" t="str">
        <f t="shared" si="260"/>
        <v/>
      </c>
      <c r="T471" s="38" t="str">
        <f t="shared" si="261"/>
        <v/>
      </c>
      <c r="U471" s="38" t="str">
        <f t="shared" si="262"/>
        <v/>
      </c>
      <c r="V471" s="38" t="b">
        <f t="shared" si="263"/>
        <v>1</v>
      </c>
      <c r="W471" s="37" t="str">
        <f t="array" ref="W471:AG471">IF(V471,"",IVSolution($M471,$N471,$O471,R471,S471,T471,U471,$E471,$F471,$G471,$H471,$I471))</f>
        <v/>
      </c>
      <c r="X471" s="37" t="str">
        <v/>
      </c>
      <c r="Y471" s="37" t="str">
        <v/>
      </c>
      <c r="Z471" s="39" t="str">
        <v/>
      </c>
      <c r="AA471" s="39" t="str">
        <v/>
      </c>
      <c r="AB471" s="37" t="str">
        <v/>
      </c>
      <c r="AC471" s="37" t="str">
        <v/>
      </c>
      <c r="AD471" s="37" t="str">
        <v/>
      </c>
      <c r="AE471" s="37" t="str">
        <v/>
      </c>
      <c r="AF471" s="37" t="str">
        <v/>
      </c>
      <c r="AG471" s="37" t="str">
        <v/>
      </c>
      <c r="AH471" s="40" t="str">
        <f t="shared" si="264"/>
        <v/>
      </c>
      <c r="AI471" s="36" t="str">
        <f>IFERROR(INDEX('Level Multipliers'!$D:$D,MATCH(AH471,'Level Multipliers'!$A:$A,0)),"")</f>
        <v/>
      </c>
      <c r="AJ471" s="37" t="str">
        <f t="shared" si="265"/>
        <v/>
      </c>
      <c r="AK471" s="37" t="str">
        <f t="shared" si="266"/>
        <v/>
      </c>
      <c r="AL471" s="38" t="str">
        <f t="shared" si="267"/>
        <v/>
      </c>
      <c r="AM471" s="38" t="str">
        <f t="shared" si="268"/>
        <v/>
      </c>
      <c r="AN471" s="38" t="b">
        <f t="shared" si="269"/>
        <v>1</v>
      </c>
      <c r="AO471" s="37" t="str">
        <f t="array" ref="AO471:AY471">IF(AN471,"",IVSolution($M471,$N471,$O471,AJ471,AK471,AL471,AM471,$E471,$F471,$G471,$H471,$I471))</f>
        <v/>
      </c>
      <c r="AP471" s="37" t="str">
        <v/>
      </c>
      <c r="AQ471" s="37" t="str">
        <v/>
      </c>
      <c r="AR471" s="39" t="str">
        <v/>
      </c>
      <c r="AS471" s="39" t="str">
        <v/>
      </c>
      <c r="AT471" s="37" t="str">
        <v/>
      </c>
      <c r="AU471" s="37" t="str">
        <v/>
      </c>
      <c r="AV471" s="37" t="str">
        <v/>
      </c>
      <c r="AW471" s="37" t="str">
        <v/>
      </c>
      <c r="AX471" s="37" t="str">
        <v/>
      </c>
      <c r="AY471" s="37" t="str">
        <v/>
      </c>
      <c r="AZ471" s="40" t="str">
        <f t="shared" si="270"/>
        <v/>
      </c>
      <c r="BA471" s="36" t="str">
        <f>IFERROR(INDEX('Level Multipliers'!$D:$D,MATCH(AZ471,'Level Multipliers'!$A:$A,0)),"")</f>
        <v/>
      </c>
      <c r="BB471" s="37" t="str">
        <f t="shared" si="271"/>
        <v/>
      </c>
      <c r="BC471" s="37" t="str">
        <f t="shared" si="272"/>
        <v/>
      </c>
      <c r="BD471" s="38" t="str">
        <f t="shared" si="273"/>
        <v/>
      </c>
      <c r="BE471" s="38" t="str">
        <f t="shared" si="274"/>
        <v/>
      </c>
      <c r="BF471" s="38" t="b">
        <f t="shared" si="275"/>
        <v>1</v>
      </c>
      <c r="BG471" s="37" t="str">
        <f t="array" ref="BG471:BQ471">IF(BF471,"",IVSolution($M471,$N471,$O471,BB471,BC471,BD471,BE471,$E471,$F471,$G471,$H471,$I471))</f>
        <v/>
      </c>
      <c r="BH471" s="37" t="str">
        <v/>
      </c>
      <c r="BI471" s="37" t="str">
        <v/>
      </c>
      <c r="BJ471" s="39" t="str">
        <v/>
      </c>
      <c r="BK471" s="39" t="str">
        <v/>
      </c>
      <c r="BL471" s="37" t="str">
        <v/>
      </c>
      <c r="BM471" s="37" t="str">
        <v/>
      </c>
      <c r="BN471" s="37" t="str">
        <v/>
      </c>
      <c r="BO471" s="37" t="str">
        <v/>
      </c>
      <c r="BP471" s="37" t="str">
        <v/>
      </c>
      <c r="BQ471" s="37" t="str">
        <v/>
      </c>
      <c r="BR471" s="40" t="str">
        <f t="shared" si="276"/>
        <v/>
      </c>
      <c r="BS471" s="36" t="str">
        <f>IFERROR(INDEX('Level Multipliers'!$D:$D,MATCH(BR471,'Level Multipliers'!$A:$A,0)),"")</f>
        <v/>
      </c>
      <c r="BT471" s="37" t="str">
        <f t="shared" si="277"/>
        <v/>
      </c>
      <c r="BU471" s="37" t="str">
        <f t="shared" si="278"/>
        <v/>
      </c>
      <c r="BV471" s="38" t="str">
        <f t="shared" si="279"/>
        <v/>
      </c>
      <c r="BW471" s="38" t="str">
        <f t="shared" si="280"/>
        <v/>
      </c>
      <c r="BX471" s="38" t="b">
        <f t="shared" si="281"/>
        <v>1</v>
      </c>
      <c r="BY471" s="37" t="str">
        <f t="array" ref="BY471:CI471">IF(BX471,"",IVSolution($M471,$N471,$O471,BT471,BU471,BV471,BW471,$E471,$F471,$G471,$H471,$I471))</f>
        <v/>
      </c>
      <c r="BZ471" s="37" t="str">
        <v/>
      </c>
      <c r="CA471" s="37" t="str">
        <v/>
      </c>
      <c r="CB471" s="39" t="str">
        <v/>
      </c>
      <c r="CC471" s="39" t="str">
        <v/>
      </c>
      <c r="CD471" s="37" t="str">
        <v/>
      </c>
      <c r="CE471" s="37" t="str">
        <v/>
      </c>
      <c r="CF471" s="37" t="str">
        <v/>
      </c>
      <c r="CG471" s="37" t="str">
        <v/>
      </c>
      <c r="CH471" s="37" t="str">
        <v/>
      </c>
      <c r="CI471" s="37" t="str">
        <v/>
      </c>
      <c r="CJ471" s="41" t="str">
        <f t="shared" si="282"/>
        <v/>
      </c>
      <c r="CK471" s="41" t="str">
        <f t="shared" si="283"/>
        <v/>
      </c>
      <c r="CL471" s="66" t="str">
        <f t="shared" si="284"/>
        <v/>
      </c>
      <c r="CM471" s="39" t="str">
        <f t="shared" si="285"/>
        <v/>
      </c>
      <c r="CN471" s="39" t="str">
        <f t="shared" si="286"/>
        <v/>
      </c>
      <c r="CO471" s="42" t="str">
        <f t="shared" si="287"/>
        <v/>
      </c>
      <c r="CP471" s="42" t="str">
        <f t="shared" si="288"/>
        <v/>
      </c>
      <c r="CQ471" s="42" t="str">
        <f t="shared" si="289"/>
        <v/>
      </c>
      <c r="CR471" s="42" t="str">
        <f t="shared" si="290"/>
        <v/>
      </c>
      <c r="CS471" s="42" t="str">
        <f t="shared" si="291"/>
        <v/>
      </c>
      <c r="CT471" s="42" t="str">
        <f t="shared" si="292"/>
        <v/>
      </c>
      <c r="CU471" s="43" t="str">
        <f t="shared" si="293"/>
        <v/>
      </c>
      <c r="CV471" s="43" t="str">
        <f t="shared" si="294"/>
        <v/>
      </c>
      <c r="CW471" s="43" t="str">
        <f t="shared" si="295"/>
        <v/>
      </c>
      <c r="CX471" s="13"/>
    </row>
    <row r="472" spans="1:102" x14ac:dyDescent="0.25">
      <c r="A472" s="31"/>
      <c r="B472" s="13"/>
      <c r="C472" s="13"/>
      <c r="D472" s="13"/>
      <c r="E472" s="32"/>
      <c r="F472" s="32"/>
      <c r="G472" s="32"/>
      <c r="H472" s="32"/>
      <c r="I472" s="32"/>
      <c r="J472" s="13"/>
      <c r="K472" s="33"/>
      <c r="L472" s="34" t="str">
        <f>IFERROR(INDEX('Pokemon Data'!A:A,MATCH($A472,'Pokemon Data'!$B:$B,0)),"")</f>
        <v/>
      </c>
      <c r="M472" s="34" t="str">
        <f>IFERROR(INDEX('Pokemon Data'!I:I,MATCH($A472,'Pokemon Data'!$B:$B,0)),"")</f>
        <v/>
      </c>
      <c r="N472" s="34" t="str">
        <f>IFERROR(INDEX('Pokemon Data'!J:J,MATCH($A472,'Pokemon Data'!$B:$B,0)),"")</f>
        <v/>
      </c>
      <c r="O472" s="34" t="str">
        <f>IFERROR(INDEX('Pokemon Data'!K:K,MATCH($A472,'Pokemon Data'!$B:$B,0)),"")</f>
        <v/>
      </c>
      <c r="P472" s="35" t="str">
        <f>IFERROR(INDEX('Level Multipliers'!$A:$A,MATCH($D472,'Level Multipliers'!$B:$B,0)),"")</f>
        <v/>
      </c>
      <c r="Q472" s="36" t="str">
        <f>IFERROR(INDEX('Level Multipliers'!$D:$D,MATCH(P472,'Level Multipliers'!$A:$A,0)),"")</f>
        <v/>
      </c>
      <c r="R472" s="37" t="str">
        <f t="shared" si="259"/>
        <v/>
      </c>
      <c r="S472" s="37" t="str">
        <f t="shared" si="260"/>
        <v/>
      </c>
      <c r="T472" s="38" t="str">
        <f t="shared" si="261"/>
        <v/>
      </c>
      <c r="U472" s="38" t="str">
        <f t="shared" si="262"/>
        <v/>
      </c>
      <c r="V472" s="38" t="b">
        <f t="shared" si="263"/>
        <v>1</v>
      </c>
      <c r="W472" s="37" t="str">
        <f t="array" ref="W472:AG472">IF(V472,"",IVSolution($M472,$N472,$O472,R472,S472,T472,U472,$E472,$F472,$G472,$H472,$I472))</f>
        <v/>
      </c>
      <c r="X472" s="37" t="str">
        <v/>
      </c>
      <c r="Y472" s="37" t="str">
        <v/>
      </c>
      <c r="Z472" s="39" t="str">
        <v/>
      </c>
      <c r="AA472" s="39" t="str">
        <v/>
      </c>
      <c r="AB472" s="37" t="str">
        <v/>
      </c>
      <c r="AC472" s="37" t="str">
        <v/>
      </c>
      <c r="AD472" s="37" t="str">
        <v/>
      </c>
      <c r="AE472" s="37" t="str">
        <v/>
      </c>
      <c r="AF472" s="37" t="str">
        <v/>
      </c>
      <c r="AG472" s="37" t="str">
        <v/>
      </c>
      <c r="AH472" s="40" t="str">
        <f t="shared" si="264"/>
        <v/>
      </c>
      <c r="AI472" s="36" t="str">
        <f>IFERROR(INDEX('Level Multipliers'!$D:$D,MATCH(AH472,'Level Multipliers'!$A:$A,0)),"")</f>
        <v/>
      </c>
      <c r="AJ472" s="37" t="str">
        <f t="shared" si="265"/>
        <v/>
      </c>
      <c r="AK472" s="37" t="str">
        <f t="shared" si="266"/>
        <v/>
      </c>
      <c r="AL472" s="38" t="str">
        <f t="shared" si="267"/>
        <v/>
      </c>
      <c r="AM472" s="38" t="str">
        <f t="shared" si="268"/>
        <v/>
      </c>
      <c r="AN472" s="38" t="b">
        <f t="shared" si="269"/>
        <v>1</v>
      </c>
      <c r="AO472" s="37" t="str">
        <f t="array" ref="AO472:AY472">IF(AN472,"",IVSolution($M472,$N472,$O472,AJ472,AK472,AL472,AM472,$E472,$F472,$G472,$H472,$I472))</f>
        <v/>
      </c>
      <c r="AP472" s="37" t="str">
        <v/>
      </c>
      <c r="AQ472" s="37" t="str">
        <v/>
      </c>
      <c r="AR472" s="39" t="str">
        <v/>
      </c>
      <c r="AS472" s="39" t="str">
        <v/>
      </c>
      <c r="AT472" s="37" t="str">
        <v/>
      </c>
      <c r="AU472" s="37" t="str">
        <v/>
      </c>
      <c r="AV472" s="37" t="str">
        <v/>
      </c>
      <c r="AW472" s="37" t="str">
        <v/>
      </c>
      <c r="AX472" s="37" t="str">
        <v/>
      </c>
      <c r="AY472" s="37" t="str">
        <v/>
      </c>
      <c r="AZ472" s="40" t="str">
        <f t="shared" si="270"/>
        <v/>
      </c>
      <c r="BA472" s="36" t="str">
        <f>IFERROR(INDEX('Level Multipliers'!$D:$D,MATCH(AZ472,'Level Multipliers'!$A:$A,0)),"")</f>
        <v/>
      </c>
      <c r="BB472" s="37" t="str">
        <f t="shared" si="271"/>
        <v/>
      </c>
      <c r="BC472" s="37" t="str">
        <f t="shared" si="272"/>
        <v/>
      </c>
      <c r="BD472" s="38" t="str">
        <f t="shared" si="273"/>
        <v/>
      </c>
      <c r="BE472" s="38" t="str">
        <f t="shared" si="274"/>
        <v/>
      </c>
      <c r="BF472" s="38" t="b">
        <f t="shared" si="275"/>
        <v>1</v>
      </c>
      <c r="BG472" s="37" t="str">
        <f t="array" ref="BG472:BQ472">IF(BF472,"",IVSolution($M472,$N472,$O472,BB472,BC472,BD472,BE472,$E472,$F472,$G472,$H472,$I472))</f>
        <v/>
      </c>
      <c r="BH472" s="37" t="str">
        <v/>
      </c>
      <c r="BI472" s="37" t="str">
        <v/>
      </c>
      <c r="BJ472" s="39" t="str">
        <v/>
      </c>
      <c r="BK472" s="39" t="str">
        <v/>
      </c>
      <c r="BL472" s="37" t="str">
        <v/>
      </c>
      <c r="BM472" s="37" t="str">
        <v/>
      </c>
      <c r="BN472" s="37" t="str">
        <v/>
      </c>
      <c r="BO472" s="37" t="str">
        <v/>
      </c>
      <c r="BP472" s="37" t="str">
        <v/>
      </c>
      <c r="BQ472" s="37" t="str">
        <v/>
      </c>
      <c r="BR472" s="40" t="str">
        <f t="shared" si="276"/>
        <v/>
      </c>
      <c r="BS472" s="36" t="str">
        <f>IFERROR(INDEX('Level Multipliers'!$D:$D,MATCH(BR472,'Level Multipliers'!$A:$A,0)),"")</f>
        <v/>
      </c>
      <c r="BT472" s="37" t="str">
        <f t="shared" si="277"/>
        <v/>
      </c>
      <c r="BU472" s="37" t="str">
        <f t="shared" si="278"/>
        <v/>
      </c>
      <c r="BV472" s="38" t="str">
        <f t="shared" si="279"/>
        <v/>
      </c>
      <c r="BW472" s="38" t="str">
        <f t="shared" si="280"/>
        <v/>
      </c>
      <c r="BX472" s="38" t="b">
        <f t="shared" si="281"/>
        <v>1</v>
      </c>
      <c r="BY472" s="37" t="str">
        <f t="array" ref="BY472:CI472">IF(BX472,"",IVSolution($M472,$N472,$O472,BT472,BU472,BV472,BW472,$E472,$F472,$G472,$H472,$I472))</f>
        <v/>
      </c>
      <c r="BZ472" s="37" t="str">
        <v/>
      </c>
      <c r="CA472" s="37" t="str">
        <v/>
      </c>
      <c r="CB472" s="39" t="str">
        <v/>
      </c>
      <c r="CC472" s="39" t="str">
        <v/>
      </c>
      <c r="CD472" s="37" t="str">
        <v/>
      </c>
      <c r="CE472" s="37" t="str">
        <v/>
      </c>
      <c r="CF472" s="37" t="str">
        <v/>
      </c>
      <c r="CG472" s="37" t="str">
        <v/>
      </c>
      <c r="CH472" s="37" t="str">
        <v/>
      </c>
      <c r="CI472" s="37" t="str">
        <v/>
      </c>
      <c r="CJ472" s="41" t="str">
        <f t="shared" si="282"/>
        <v/>
      </c>
      <c r="CK472" s="41" t="str">
        <f t="shared" si="283"/>
        <v/>
      </c>
      <c r="CL472" s="66" t="str">
        <f t="shared" si="284"/>
        <v/>
      </c>
      <c r="CM472" s="39" t="str">
        <f t="shared" si="285"/>
        <v/>
      </c>
      <c r="CN472" s="39" t="str">
        <f t="shared" si="286"/>
        <v/>
      </c>
      <c r="CO472" s="42" t="str">
        <f t="shared" si="287"/>
        <v/>
      </c>
      <c r="CP472" s="42" t="str">
        <f t="shared" si="288"/>
        <v/>
      </c>
      <c r="CQ472" s="42" t="str">
        <f t="shared" si="289"/>
        <v/>
      </c>
      <c r="CR472" s="42" t="str">
        <f t="shared" si="290"/>
        <v/>
      </c>
      <c r="CS472" s="42" t="str">
        <f t="shared" si="291"/>
        <v/>
      </c>
      <c r="CT472" s="42" t="str">
        <f t="shared" si="292"/>
        <v/>
      </c>
      <c r="CU472" s="43" t="str">
        <f t="shared" si="293"/>
        <v/>
      </c>
      <c r="CV472" s="43" t="str">
        <f t="shared" si="294"/>
        <v/>
      </c>
      <c r="CW472" s="43" t="str">
        <f t="shared" si="295"/>
        <v/>
      </c>
      <c r="CX472" s="13"/>
    </row>
    <row r="473" spans="1:102" x14ac:dyDescent="0.25">
      <c r="A473" s="31"/>
      <c r="B473" s="13"/>
      <c r="C473" s="13"/>
      <c r="D473" s="13"/>
      <c r="E473" s="32"/>
      <c r="F473" s="32"/>
      <c r="G473" s="32"/>
      <c r="H473" s="32"/>
      <c r="I473" s="32"/>
      <c r="J473" s="13"/>
      <c r="K473" s="33"/>
      <c r="L473" s="34" t="str">
        <f>IFERROR(INDEX('Pokemon Data'!A:A,MATCH($A473,'Pokemon Data'!$B:$B,0)),"")</f>
        <v/>
      </c>
      <c r="M473" s="34" t="str">
        <f>IFERROR(INDEX('Pokemon Data'!I:I,MATCH($A473,'Pokemon Data'!$B:$B,0)),"")</f>
        <v/>
      </c>
      <c r="N473" s="34" t="str">
        <f>IFERROR(INDEX('Pokemon Data'!J:J,MATCH($A473,'Pokemon Data'!$B:$B,0)),"")</f>
        <v/>
      </c>
      <c r="O473" s="34" t="str">
        <f>IFERROR(INDEX('Pokemon Data'!K:K,MATCH($A473,'Pokemon Data'!$B:$B,0)),"")</f>
        <v/>
      </c>
      <c r="P473" s="35" t="str">
        <f>IFERROR(INDEX('Level Multipliers'!$A:$A,MATCH($D473,'Level Multipliers'!$B:$B,0)),"")</f>
        <v/>
      </c>
      <c r="Q473" s="36" t="str">
        <f>IFERROR(INDEX('Level Multipliers'!$D:$D,MATCH(P473,'Level Multipliers'!$A:$A,0)),"")</f>
        <v/>
      </c>
      <c r="R473" s="37" t="str">
        <f t="shared" si="259"/>
        <v/>
      </c>
      <c r="S473" s="37" t="str">
        <f t="shared" si="260"/>
        <v/>
      </c>
      <c r="T473" s="38" t="str">
        <f t="shared" si="261"/>
        <v/>
      </c>
      <c r="U473" s="38" t="str">
        <f t="shared" si="262"/>
        <v/>
      </c>
      <c r="V473" s="38" t="b">
        <f t="shared" si="263"/>
        <v>1</v>
      </c>
      <c r="W473" s="37" t="str">
        <f t="array" ref="W473:AG473">IF(V473,"",IVSolution($M473,$N473,$O473,R473,S473,T473,U473,$E473,$F473,$G473,$H473,$I473))</f>
        <v/>
      </c>
      <c r="X473" s="37" t="str">
        <v/>
      </c>
      <c r="Y473" s="37" t="str">
        <v/>
      </c>
      <c r="Z473" s="39" t="str">
        <v/>
      </c>
      <c r="AA473" s="39" t="str">
        <v/>
      </c>
      <c r="AB473" s="37" t="str">
        <v/>
      </c>
      <c r="AC473" s="37" t="str">
        <v/>
      </c>
      <c r="AD473" s="37" t="str">
        <v/>
      </c>
      <c r="AE473" s="37" t="str">
        <v/>
      </c>
      <c r="AF473" s="37" t="str">
        <v/>
      </c>
      <c r="AG473" s="37" t="str">
        <v/>
      </c>
      <c r="AH473" s="40" t="str">
        <f t="shared" si="264"/>
        <v/>
      </c>
      <c r="AI473" s="36" t="str">
        <f>IFERROR(INDEX('Level Multipliers'!$D:$D,MATCH(AH473,'Level Multipliers'!$A:$A,0)),"")</f>
        <v/>
      </c>
      <c r="AJ473" s="37" t="str">
        <f t="shared" si="265"/>
        <v/>
      </c>
      <c r="AK473" s="37" t="str">
        <f t="shared" si="266"/>
        <v/>
      </c>
      <c r="AL473" s="38" t="str">
        <f t="shared" si="267"/>
        <v/>
      </c>
      <c r="AM473" s="38" t="str">
        <f t="shared" si="268"/>
        <v/>
      </c>
      <c r="AN473" s="38" t="b">
        <f t="shared" si="269"/>
        <v>1</v>
      </c>
      <c r="AO473" s="37" t="str">
        <f t="array" ref="AO473:AY473">IF(AN473,"",IVSolution($M473,$N473,$O473,AJ473,AK473,AL473,AM473,$E473,$F473,$G473,$H473,$I473))</f>
        <v/>
      </c>
      <c r="AP473" s="37" t="str">
        <v/>
      </c>
      <c r="AQ473" s="37" t="str">
        <v/>
      </c>
      <c r="AR473" s="39" t="str">
        <v/>
      </c>
      <c r="AS473" s="39" t="str">
        <v/>
      </c>
      <c r="AT473" s="37" t="str">
        <v/>
      </c>
      <c r="AU473" s="37" t="str">
        <v/>
      </c>
      <c r="AV473" s="37" t="str">
        <v/>
      </c>
      <c r="AW473" s="37" t="str">
        <v/>
      </c>
      <c r="AX473" s="37" t="str">
        <v/>
      </c>
      <c r="AY473" s="37" t="str">
        <v/>
      </c>
      <c r="AZ473" s="40" t="str">
        <f t="shared" si="270"/>
        <v/>
      </c>
      <c r="BA473" s="36" t="str">
        <f>IFERROR(INDEX('Level Multipliers'!$D:$D,MATCH(AZ473,'Level Multipliers'!$A:$A,0)),"")</f>
        <v/>
      </c>
      <c r="BB473" s="37" t="str">
        <f t="shared" si="271"/>
        <v/>
      </c>
      <c r="BC473" s="37" t="str">
        <f t="shared" si="272"/>
        <v/>
      </c>
      <c r="BD473" s="38" t="str">
        <f t="shared" si="273"/>
        <v/>
      </c>
      <c r="BE473" s="38" t="str">
        <f t="shared" si="274"/>
        <v/>
      </c>
      <c r="BF473" s="38" t="b">
        <f t="shared" si="275"/>
        <v>1</v>
      </c>
      <c r="BG473" s="37" t="str">
        <f t="array" ref="BG473:BQ473">IF(BF473,"",IVSolution($M473,$N473,$O473,BB473,BC473,BD473,BE473,$E473,$F473,$G473,$H473,$I473))</f>
        <v/>
      </c>
      <c r="BH473" s="37" t="str">
        <v/>
      </c>
      <c r="BI473" s="37" t="str">
        <v/>
      </c>
      <c r="BJ473" s="39" t="str">
        <v/>
      </c>
      <c r="BK473" s="39" t="str">
        <v/>
      </c>
      <c r="BL473" s="37" t="str">
        <v/>
      </c>
      <c r="BM473" s="37" t="str">
        <v/>
      </c>
      <c r="BN473" s="37" t="str">
        <v/>
      </c>
      <c r="BO473" s="37" t="str">
        <v/>
      </c>
      <c r="BP473" s="37" t="str">
        <v/>
      </c>
      <c r="BQ473" s="37" t="str">
        <v/>
      </c>
      <c r="BR473" s="40" t="str">
        <f t="shared" si="276"/>
        <v/>
      </c>
      <c r="BS473" s="36" t="str">
        <f>IFERROR(INDEX('Level Multipliers'!$D:$D,MATCH(BR473,'Level Multipliers'!$A:$A,0)),"")</f>
        <v/>
      </c>
      <c r="BT473" s="37" t="str">
        <f t="shared" si="277"/>
        <v/>
      </c>
      <c r="BU473" s="37" t="str">
        <f t="shared" si="278"/>
        <v/>
      </c>
      <c r="BV473" s="38" t="str">
        <f t="shared" si="279"/>
        <v/>
      </c>
      <c r="BW473" s="38" t="str">
        <f t="shared" si="280"/>
        <v/>
      </c>
      <c r="BX473" s="38" t="b">
        <f t="shared" si="281"/>
        <v>1</v>
      </c>
      <c r="BY473" s="37" t="str">
        <f t="array" ref="BY473:CI473">IF(BX473,"",IVSolution($M473,$N473,$O473,BT473,BU473,BV473,BW473,$E473,$F473,$G473,$H473,$I473))</f>
        <v/>
      </c>
      <c r="BZ473" s="37" t="str">
        <v/>
      </c>
      <c r="CA473" s="37" t="str">
        <v/>
      </c>
      <c r="CB473" s="39" t="str">
        <v/>
      </c>
      <c r="CC473" s="39" t="str">
        <v/>
      </c>
      <c r="CD473" s="37" t="str">
        <v/>
      </c>
      <c r="CE473" s="37" t="str">
        <v/>
      </c>
      <c r="CF473" s="37" t="str">
        <v/>
      </c>
      <c r="CG473" s="37" t="str">
        <v/>
      </c>
      <c r="CH473" s="37" t="str">
        <v/>
      </c>
      <c r="CI473" s="37" t="str">
        <v/>
      </c>
      <c r="CJ473" s="41" t="str">
        <f t="shared" si="282"/>
        <v/>
      </c>
      <c r="CK473" s="41" t="str">
        <f t="shared" si="283"/>
        <v/>
      </c>
      <c r="CL473" s="66" t="str">
        <f t="shared" si="284"/>
        <v/>
      </c>
      <c r="CM473" s="39" t="str">
        <f t="shared" si="285"/>
        <v/>
      </c>
      <c r="CN473" s="39" t="str">
        <f t="shared" si="286"/>
        <v/>
      </c>
      <c r="CO473" s="42" t="str">
        <f t="shared" si="287"/>
        <v/>
      </c>
      <c r="CP473" s="42" t="str">
        <f t="shared" si="288"/>
        <v/>
      </c>
      <c r="CQ473" s="42" t="str">
        <f t="shared" si="289"/>
        <v/>
      </c>
      <c r="CR473" s="42" t="str">
        <f t="shared" si="290"/>
        <v/>
      </c>
      <c r="CS473" s="42" t="str">
        <f t="shared" si="291"/>
        <v/>
      </c>
      <c r="CT473" s="42" t="str">
        <f t="shared" si="292"/>
        <v/>
      </c>
      <c r="CU473" s="43" t="str">
        <f t="shared" si="293"/>
        <v/>
      </c>
      <c r="CV473" s="43" t="str">
        <f t="shared" si="294"/>
        <v/>
      </c>
      <c r="CW473" s="43" t="str">
        <f t="shared" si="295"/>
        <v/>
      </c>
      <c r="CX473" s="13"/>
    </row>
    <row r="474" spans="1:102" x14ac:dyDescent="0.25">
      <c r="A474" s="31"/>
      <c r="B474" s="13"/>
      <c r="C474" s="13"/>
      <c r="D474" s="13"/>
      <c r="E474" s="32"/>
      <c r="F474" s="32"/>
      <c r="G474" s="32"/>
      <c r="H474" s="32"/>
      <c r="I474" s="32"/>
      <c r="J474" s="13"/>
      <c r="K474" s="33"/>
      <c r="L474" s="34" t="str">
        <f>IFERROR(INDEX('Pokemon Data'!A:A,MATCH($A474,'Pokemon Data'!$B:$B,0)),"")</f>
        <v/>
      </c>
      <c r="M474" s="34" t="str">
        <f>IFERROR(INDEX('Pokemon Data'!I:I,MATCH($A474,'Pokemon Data'!$B:$B,0)),"")</f>
        <v/>
      </c>
      <c r="N474" s="34" t="str">
        <f>IFERROR(INDEX('Pokemon Data'!J:J,MATCH($A474,'Pokemon Data'!$B:$B,0)),"")</f>
        <v/>
      </c>
      <c r="O474" s="34" t="str">
        <f>IFERROR(INDEX('Pokemon Data'!K:K,MATCH($A474,'Pokemon Data'!$B:$B,0)),"")</f>
        <v/>
      </c>
      <c r="P474" s="35" t="str">
        <f>IFERROR(INDEX('Level Multipliers'!$A:$A,MATCH($D474,'Level Multipliers'!$B:$B,0)),"")</f>
        <v/>
      </c>
      <c r="Q474" s="36" t="str">
        <f>IFERROR(INDEX('Level Multipliers'!$D:$D,MATCH(P474,'Level Multipliers'!$A:$A,0)),"")</f>
        <v/>
      </c>
      <c r="R474" s="37" t="str">
        <f t="shared" si="259"/>
        <v/>
      </c>
      <c r="S474" s="37" t="str">
        <f t="shared" si="260"/>
        <v/>
      </c>
      <c r="T474" s="38" t="str">
        <f t="shared" si="261"/>
        <v/>
      </c>
      <c r="U474" s="38" t="str">
        <f t="shared" si="262"/>
        <v/>
      </c>
      <c r="V474" s="38" t="b">
        <f t="shared" si="263"/>
        <v>1</v>
      </c>
      <c r="W474" s="37" t="str">
        <f t="array" ref="W474:AG474">IF(V474,"",IVSolution($M474,$N474,$O474,R474,S474,T474,U474,$E474,$F474,$G474,$H474,$I474))</f>
        <v/>
      </c>
      <c r="X474" s="37" t="str">
        <v/>
      </c>
      <c r="Y474" s="37" t="str">
        <v/>
      </c>
      <c r="Z474" s="39" t="str">
        <v/>
      </c>
      <c r="AA474" s="39" t="str">
        <v/>
      </c>
      <c r="AB474" s="37" t="str">
        <v/>
      </c>
      <c r="AC474" s="37" t="str">
        <v/>
      </c>
      <c r="AD474" s="37" t="str">
        <v/>
      </c>
      <c r="AE474" s="37" t="str">
        <v/>
      </c>
      <c r="AF474" s="37" t="str">
        <v/>
      </c>
      <c r="AG474" s="37" t="str">
        <v/>
      </c>
      <c r="AH474" s="40" t="str">
        <f t="shared" si="264"/>
        <v/>
      </c>
      <c r="AI474" s="36" t="str">
        <f>IFERROR(INDEX('Level Multipliers'!$D:$D,MATCH(AH474,'Level Multipliers'!$A:$A,0)),"")</f>
        <v/>
      </c>
      <c r="AJ474" s="37" t="str">
        <f t="shared" si="265"/>
        <v/>
      </c>
      <c r="AK474" s="37" t="str">
        <f t="shared" si="266"/>
        <v/>
      </c>
      <c r="AL474" s="38" t="str">
        <f t="shared" si="267"/>
        <v/>
      </c>
      <c r="AM474" s="38" t="str">
        <f t="shared" si="268"/>
        <v/>
      </c>
      <c r="AN474" s="38" t="b">
        <f t="shared" si="269"/>
        <v>1</v>
      </c>
      <c r="AO474" s="37" t="str">
        <f t="array" ref="AO474:AY474">IF(AN474,"",IVSolution($M474,$N474,$O474,AJ474,AK474,AL474,AM474,$E474,$F474,$G474,$H474,$I474))</f>
        <v/>
      </c>
      <c r="AP474" s="37" t="str">
        <v/>
      </c>
      <c r="AQ474" s="37" t="str">
        <v/>
      </c>
      <c r="AR474" s="39" t="str">
        <v/>
      </c>
      <c r="AS474" s="39" t="str">
        <v/>
      </c>
      <c r="AT474" s="37" t="str">
        <v/>
      </c>
      <c r="AU474" s="37" t="str">
        <v/>
      </c>
      <c r="AV474" s="37" t="str">
        <v/>
      </c>
      <c r="AW474" s="37" t="str">
        <v/>
      </c>
      <c r="AX474" s="37" t="str">
        <v/>
      </c>
      <c r="AY474" s="37" t="str">
        <v/>
      </c>
      <c r="AZ474" s="40" t="str">
        <f t="shared" si="270"/>
        <v/>
      </c>
      <c r="BA474" s="36" t="str">
        <f>IFERROR(INDEX('Level Multipliers'!$D:$D,MATCH(AZ474,'Level Multipliers'!$A:$A,0)),"")</f>
        <v/>
      </c>
      <c r="BB474" s="37" t="str">
        <f t="shared" si="271"/>
        <v/>
      </c>
      <c r="BC474" s="37" t="str">
        <f t="shared" si="272"/>
        <v/>
      </c>
      <c r="BD474" s="38" t="str">
        <f t="shared" si="273"/>
        <v/>
      </c>
      <c r="BE474" s="38" t="str">
        <f t="shared" si="274"/>
        <v/>
      </c>
      <c r="BF474" s="38" t="b">
        <f t="shared" si="275"/>
        <v>1</v>
      </c>
      <c r="BG474" s="37" t="str">
        <f t="array" ref="BG474:BQ474">IF(BF474,"",IVSolution($M474,$N474,$O474,BB474,BC474,BD474,BE474,$E474,$F474,$G474,$H474,$I474))</f>
        <v/>
      </c>
      <c r="BH474" s="37" t="str">
        <v/>
      </c>
      <c r="BI474" s="37" t="str">
        <v/>
      </c>
      <c r="BJ474" s="39" t="str">
        <v/>
      </c>
      <c r="BK474" s="39" t="str">
        <v/>
      </c>
      <c r="BL474" s="37" t="str">
        <v/>
      </c>
      <c r="BM474" s="37" t="str">
        <v/>
      </c>
      <c r="BN474" s="37" t="str">
        <v/>
      </c>
      <c r="BO474" s="37" t="str">
        <v/>
      </c>
      <c r="BP474" s="37" t="str">
        <v/>
      </c>
      <c r="BQ474" s="37" t="str">
        <v/>
      </c>
      <c r="BR474" s="40" t="str">
        <f t="shared" si="276"/>
        <v/>
      </c>
      <c r="BS474" s="36" t="str">
        <f>IFERROR(INDEX('Level Multipliers'!$D:$D,MATCH(BR474,'Level Multipliers'!$A:$A,0)),"")</f>
        <v/>
      </c>
      <c r="BT474" s="37" t="str">
        <f t="shared" si="277"/>
        <v/>
      </c>
      <c r="BU474" s="37" t="str">
        <f t="shared" si="278"/>
        <v/>
      </c>
      <c r="BV474" s="38" t="str">
        <f t="shared" si="279"/>
        <v/>
      </c>
      <c r="BW474" s="38" t="str">
        <f t="shared" si="280"/>
        <v/>
      </c>
      <c r="BX474" s="38" t="b">
        <f t="shared" si="281"/>
        <v>1</v>
      </c>
      <c r="BY474" s="37" t="str">
        <f t="array" ref="BY474:CI474">IF(BX474,"",IVSolution($M474,$N474,$O474,BT474,BU474,BV474,BW474,$E474,$F474,$G474,$H474,$I474))</f>
        <v/>
      </c>
      <c r="BZ474" s="37" t="str">
        <v/>
      </c>
      <c r="CA474" s="37" t="str">
        <v/>
      </c>
      <c r="CB474" s="39" t="str">
        <v/>
      </c>
      <c r="CC474" s="39" t="str">
        <v/>
      </c>
      <c r="CD474" s="37" t="str">
        <v/>
      </c>
      <c r="CE474" s="37" t="str">
        <v/>
      </c>
      <c r="CF474" s="37" t="str">
        <v/>
      </c>
      <c r="CG474" s="37" t="str">
        <v/>
      </c>
      <c r="CH474" s="37" t="str">
        <v/>
      </c>
      <c r="CI474" s="37" t="str">
        <v/>
      </c>
      <c r="CJ474" s="41" t="str">
        <f t="shared" si="282"/>
        <v/>
      </c>
      <c r="CK474" s="41" t="str">
        <f t="shared" si="283"/>
        <v/>
      </c>
      <c r="CL474" s="66" t="str">
        <f t="shared" si="284"/>
        <v/>
      </c>
      <c r="CM474" s="39" t="str">
        <f t="shared" si="285"/>
        <v/>
      </c>
      <c r="CN474" s="39" t="str">
        <f t="shared" si="286"/>
        <v/>
      </c>
      <c r="CO474" s="42" t="str">
        <f t="shared" si="287"/>
        <v/>
      </c>
      <c r="CP474" s="42" t="str">
        <f t="shared" si="288"/>
        <v/>
      </c>
      <c r="CQ474" s="42" t="str">
        <f t="shared" si="289"/>
        <v/>
      </c>
      <c r="CR474" s="42" t="str">
        <f t="shared" si="290"/>
        <v/>
      </c>
      <c r="CS474" s="42" t="str">
        <f t="shared" si="291"/>
        <v/>
      </c>
      <c r="CT474" s="42" t="str">
        <f t="shared" si="292"/>
        <v/>
      </c>
      <c r="CU474" s="43" t="str">
        <f t="shared" si="293"/>
        <v/>
      </c>
      <c r="CV474" s="43" t="str">
        <f t="shared" si="294"/>
        <v/>
      </c>
      <c r="CW474" s="43" t="str">
        <f t="shared" si="295"/>
        <v/>
      </c>
      <c r="CX474" s="13"/>
    </row>
    <row r="475" spans="1:102" x14ac:dyDescent="0.25">
      <c r="A475" s="31"/>
      <c r="B475" s="13"/>
      <c r="C475" s="13"/>
      <c r="D475" s="13"/>
      <c r="E475" s="32"/>
      <c r="F475" s="32"/>
      <c r="G475" s="32"/>
      <c r="H475" s="32"/>
      <c r="I475" s="32"/>
      <c r="J475" s="13"/>
      <c r="K475" s="33"/>
      <c r="L475" s="34" t="str">
        <f>IFERROR(INDEX('Pokemon Data'!A:A,MATCH($A475,'Pokemon Data'!$B:$B,0)),"")</f>
        <v/>
      </c>
      <c r="M475" s="34" t="str">
        <f>IFERROR(INDEX('Pokemon Data'!I:I,MATCH($A475,'Pokemon Data'!$B:$B,0)),"")</f>
        <v/>
      </c>
      <c r="N475" s="34" t="str">
        <f>IFERROR(INDEX('Pokemon Data'!J:J,MATCH($A475,'Pokemon Data'!$B:$B,0)),"")</f>
        <v/>
      </c>
      <c r="O475" s="34" t="str">
        <f>IFERROR(INDEX('Pokemon Data'!K:K,MATCH($A475,'Pokemon Data'!$B:$B,0)),"")</f>
        <v/>
      </c>
      <c r="P475" s="35" t="str">
        <f>IFERROR(INDEX('Level Multipliers'!$A:$A,MATCH($D475,'Level Multipliers'!$B:$B,0)),"")</f>
        <v/>
      </c>
      <c r="Q475" s="36" t="str">
        <f>IFERROR(INDEX('Level Multipliers'!$D:$D,MATCH(P475,'Level Multipliers'!$A:$A,0)),"")</f>
        <v/>
      </c>
      <c r="R475" s="37" t="str">
        <f t="shared" si="259"/>
        <v/>
      </c>
      <c r="S475" s="37" t="str">
        <f t="shared" si="260"/>
        <v/>
      </c>
      <c r="T475" s="38" t="str">
        <f t="shared" si="261"/>
        <v/>
      </c>
      <c r="U475" s="38" t="str">
        <f t="shared" si="262"/>
        <v/>
      </c>
      <c r="V475" s="38" t="b">
        <f t="shared" si="263"/>
        <v>1</v>
      </c>
      <c r="W475" s="37" t="str">
        <f t="array" ref="W475:AG475">IF(V475,"",IVSolution($M475,$N475,$O475,R475,S475,T475,U475,$E475,$F475,$G475,$H475,$I475))</f>
        <v/>
      </c>
      <c r="X475" s="37" t="str">
        <v/>
      </c>
      <c r="Y475" s="37" t="str">
        <v/>
      </c>
      <c r="Z475" s="39" t="str">
        <v/>
      </c>
      <c r="AA475" s="39" t="str">
        <v/>
      </c>
      <c r="AB475" s="37" t="str">
        <v/>
      </c>
      <c r="AC475" s="37" t="str">
        <v/>
      </c>
      <c r="AD475" s="37" t="str">
        <v/>
      </c>
      <c r="AE475" s="37" t="str">
        <v/>
      </c>
      <c r="AF475" s="37" t="str">
        <v/>
      </c>
      <c r="AG475" s="37" t="str">
        <v/>
      </c>
      <c r="AH475" s="40" t="str">
        <f t="shared" si="264"/>
        <v/>
      </c>
      <c r="AI475" s="36" t="str">
        <f>IFERROR(INDEX('Level Multipliers'!$D:$D,MATCH(AH475,'Level Multipliers'!$A:$A,0)),"")</f>
        <v/>
      </c>
      <c r="AJ475" s="37" t="str">
        <f t="shared" si="265"/>
        <v/>
      </c>
      <c r="AK475" s="37" t="str">
        <f t="shared" si="266"/>
        <v/>
      </c>
      <c r="AL475" s="38" t="str">
        <f t="shared" si="267"/>
        <v/>
      </c>
      <c r="AM475" s="38" t="str">
        <f t="shared" si="268"/>
        <v/>
      </c>
      <c r="AN475" s="38" t="b">
        <f t="shared" si="269"/>
        <v>1</v>
      </c>
      <c r="AO475" s="37" t="str">
        <f t="array" ref="AO475:AY475">IF(AN475,"",IVSolution($M475,$N475,$O475,AJ475,AK475,AL475,AM475,$E475,$F475,$G475,$H475,$I475))</f>
        <v/>
      </c>
      <c r="AP475" s="37" t="str">
        <v/>
      </c>
      <c r="AQ475" s="37" t="str">
        <v/>
      </c>
      <c r="AR475" s="39" t="str">
        <v/>
      </c>
      <c r="AS475" s="39" t="str">
        <v/>
      </c>
      <c r="AT475" s="37" t="str">
        <v/>
      </c>
      <c r="AU475" s="37" t="str">
        <v/>
      </c>
      <c r="AV475" s="37" t="str">
        <v/>
      </c>
      <c r="AW475" s="37" t="str">
        <v/>
      </c>
      <c r="AX475" s="37" t="str">
        <v/>
      </c>
      <c r="AY475" s="37" t="str">
        <v/>
      </c>
      <c r="AZ475" s="40" t="str">
        <f t="shared" si="270"/>
        <v/>
      </c>
      <c r="BA475" s="36" t="str">
        <f>IFERROR(INDEX('Level Multipliers'!$D:$D,MATCH(AZ475,'Level Multipliers'!$A:$A,0)),"")</f>
        <v/>
      </c>
      <c r="BB475" s="37" t="str">
        <f t="shared" si="271"/>
        <v/>
      </c>
      <c r="BC475" s="37" t="str">
        <f t="shared" si="272"/>
        <v/>
      </c>
      <c r="BD475" s="38" t="str">
        <f t="shared" si="273"/>
        <v/>
      </c>
      <c r="BE475" s="38" t="str">
        <f t="shared" si="274"/>
        <v/>
      </c>
      <c r="BF475" s="38" t="b">
        <f t="shared" si="275"/>
        <v>1</v>
      </c>
      <c r="BG475" s="37" t="str">
        <f t="array" ref="BG475:BQ475">IF(BF475,"",IVSolution($M475,$N475,$O475,BB475,BC475,BD475,BE475,$E475,$F475,$G475,$H475,$I475))</f>
        <v/>
      </c>
      <c r="BH475" s="37" t="str">
        <v/>
      </c>
      <c r="BI475" s="37" t="str">
        <v/>
      </c>
      <c r="BJ475" s="39" t="str">
        <v/>
      </c>
      <c r="BK475" s="39" t="str">
        <v/>
      </c>
      <c r="BL475" s="37" t="str">
        <v/>
      </c>
      <c r="BM475" s="37" t="str">
        <v/>
      </c>
      <c r="BN475" s="37" t="str">
        <v/>
      </c>
      <c r="BO475" s="37" t="str">
        <v/>
      </c>
      <c r="BP475" s="37" t="str">
        <v/>
      </c>
      <c r="BQ475" s="37" t="str">
        <v/>
      </c>
      <c r="BR475" s="40" t="str">
        <f t="shared" si="276"/>
        <v/>
      </c>
      <c r="BS475" s="36" t="str">
        <f>IFERROR(INDEX('Level Multipliers'!$D:$D,MATCH(BR475,'Level Multipliers'!$A:$A,0)),"")</f>
        <v/>
      </c>
      <c r="BT475" s="37" t="str">
        <f t="shared" si="277"/>
        <v/>
      </c>
      <c r="BU475" s="37" t="str">
        <f t="shared" si="278"/>
        <v/>
      </c>
      <c r="BV475" s="38" t="str">
        <f t="shared" si="279"/>
        <v/>
      </c>
      <c r="BW475" s="38" t="str">
        <f t="shared" si="280"/>
        <v/>
      </c>
      <c r="BX475" s="38" t="b">
        <f t="shared" si="281"/>
        <v>1</v>
      </c>
      <c r="BY475" s="37" t="str">
        <f t="array" ref="BY475:CI475">IF(BX475,"",IVSolution($M475,$N475,$O475,BT475,BU475,BV475,BW475,$E475,$F475,$G475,$H475,$I475))</f>
        <v/>
      </c>
      <c r="BZ475" s="37" t="str">
        <v/>
      </c>
      <c r="CA475" s="37" t="str">
        <v/>
      </c>
      <c r="CB475" s="39" t="str">
        <v/>
      </c>
      <c r="CC475" s="39" t="str">
        <v/>
      </c>
      <c r="CD475" s="37" t="str">
        <v/>
      </c>
      <c r="CE475" s="37" t="str">
        <v/>
      </c>
      <c r="CF475" s="37" t="str">
        <v/>
      </c>
      <c r="CG475" s="37" t="str">
        <v/>
      </c>
      <c r="CH475" s="37" t="str">
        <v/>
      </c>
      <c r="CI475" s="37" t="str">
        <v/>
      </c>
      <c r="CJ475" s="41" t="str">
        <f t="shared" si="282"/>
        <v/>
      </c>
      <c r="CK475" s="41" t="str">
        <f t="shared" si="283"/>
        <v/>
      </c>
      <c r="CL475" s="66" t="str">
        <f t="shared" si="284"/>
        <v/>
      </c>
      <c r="CM475" s="39" t="str">
        <f t="shared" si="285"/>
        <v/>
      </c>
      <c r="CN475" s="39" t="str">
        <f t="shared" si="286"/>
        <v/>
      </c>
      <c r="CO475" s="42" t="str">
        <f t="shared" si="287"/>
        <v/>
      </c>
      <c r="CP475" s="42" t="str">
        <f t="shared" si="288"/>
        <v/>
      </c>
      <c r="CQ475" s="42" t="str">
        <f t="shared" si="289"/>
        <v/>
      </c>
      <c r="CR475" s="42" t="str">
        <f t="shared" si="290"/>
        <v/>
      </c>
      <c r="CS475" s="42" t="str">
        <f t="shared" si="291"/>
        <v/>
      </c>
      <c r="CT475" s="42" t="str">
        <f t="shared" si="292"/>
        <v/>
      </c>
      <c r="CU475" s="43" t="str">
        <f t="shared" si="293"/>
        <v/>
      </c>
      <c r="CV475" s="43" t="str">
        <f t="shared" si="294"/>
        <v/>
      </c>
      <c r="CW475" s="43" t="str">
        <f t="shared" si="295"/>
        <v/>
      </c>
      <c r="CX475" s="13"/>
    </row>
    <row r="476" spans="1:102" x14ac:dyDescent="0.25">
      <c r="A476" s="31"/>
      <c r="B476" s="13"/>
      <c r="C476" s="13"/>
      <c r="D476" s="13"/>
      <c r="E476" s="32"/>
      <c r="F476" s="32"/>
      <c r="G476" s="32"/>
      <c r="H476" s="32"/>
      <c r="I476" s="32"/>
      <c r="J476" s="13"/>
      <c r="K476" s="33"/>
      <c r="L476" s="34" t="str">
        <f>IFERROR(INDEX('Pokemon Data'!A:A,MATCH($A476,'Pokemon Data'!$B:$B,0)),"")</f>
        <v/>
      </c>
      <c r="M476" s="34" t="str">
        <f>IFERROR(INDEX('Pokemon Data'!I:I,MATCH($A476,'Pokemon Data'!$B:$B,0)),"")</f>
        <v/>
      </c>
      <c r="N476" s="34" t="str">
        <f>IFERROR(INDEX('Pokemon Data'!J:J,MATCH($A476,'Pokemon Data'!$B:$B,0)),"")</f>
        <v/>
      </c>
      <c r="O476" s="34" t="str">
        <f>IFERROR(INDEX('Pokemon Data'!K:K,MATCH($A476,'Pokemon Data'!$B:$B,0)),"")</f>
        <v/>
      </c>
      <c r="P476" s="35" t="str">
        <f>IFERROR(INDEX('Level Multipliers'!$A:$A,MATCH($D476,'Level Multipliers'!$B:$B,0)),"")</f>
        <v/>
      </c>
      <c r="Q476" s="36" t="str">
        <f>IFERROR(INDEX('Level Multipliers'!$D:$D,MATCH(P476,'Level Multipliers'!$A:$A,0)),"")</f>
        <v/>
      </c>
      <c r="R476" s="37" t="str">
        <f t="shared" si="259"/>
        <v/>
      </c>
      <c r="S476" s="37" t="str">
        <f t="shared" si="260"/>
        <v/>
      </c>
      <c r="T476" s="38" t="str">
        <f t="shared" si="261"/>
        <v/>
      </c>
      <c r="U476" s="38" t="str">
        <f t="shared" si="262"/>
        <v/>
      </c>
      <c r="V476" s="38" t="b">
        <f t="shared" si="263"/>
        <v>1</v>
      </c>
      <c r="W476" s="37" t="str">
        <f t="array" ref="W476:AG476">IF(V476,"",IVSolution($M476,$N476,$O476,R476,S476,T476,U476,$E476,$F476,$G476,$H476,$I476))</f>
        <v/>
      </c>
      <c r="X476" s="37" t="str">
        <v/>
      </c>
      <c r="Y476" s="37" t="str">
        <v/>
      </c>
      <c r="Z476" s="39" t="str">
        <v/>
      </c>
      <c r="AA476" s="39" t="str">
        <v/>
      </c>
      <c r="AB476" s="37" t="str">
        <v/>
      </c>
      <c r="AC476" s="37" t="str">
        <v/>
      </c>
      <c r="AD476" s="37" t="str">
        <v/>
      </c>
      <c r="AE476" s="37" t="str">
        <v/>
      </c>
      <c r="AF476" s="37" t="str">
        <v/>
      </c>
      <c r="AG476" s="37" t="str">
        <v/>
      </c>
      <c r="AH476" s="40" t="str">
        <f t="shared" si="264"/>
        <v/>
      </c>
      <c r="AI476" s="36" t="str">
        <f>IFERROR(INDEX('Level Multipliers'!$D:$D,MATCH(AH476,'Level Multipliers'!$A:$A,0)),"")</f>
        <v/>
      </c>
      <c r="AJ476" s="37" t="str">
        <f t="shared" si="265"/>
        <v/>
      </c>
      <c r="AK476" s="37" t="str">
        <f t="shared" si="266"/>
        <v/>
      </c>
      <c r="AL476" s="38" t="str">
        <f t="shared" si="267"/>
        <v/>
      </c>
      <c r="AM476" s="38" t="str">
        <f t="shared" si="268"/>
        <v/>
      </c>
      <c r="AN476" s="38" t="b">
        <f t="shared" si="269"/>
        <v>1</v>
      </c>
      <c r="AO476" s="37" t="str">
        <f t="array" ref="AO476:AY476">IF(AN476,"",IVSolution($M476,$N476,$O476,AJ476,AK476,AL476,AM476,$E476,$F476,$G476,$H476,$I476))</f>
        <v/>
      </c>
      <c r="AP476" s="37" t="str">
        <v/>
      </c>
      <c r="AQ476" s="37" t="str">
        <v/>
      </c>
      <c r="AR476" s="39" t="str">
        <v/>
      </c>
      <c r="AS476" s="39" t="str">
        <v/>
      </c>
      <c r="AT476" s="37" t="str">
        <v/>
      </c>
      <c r="AU476" s="37" t="str">
        <v/>
      </c>
      <c r="AV476" s="37" t="str">
        <v/>
      </c>
      <c r="AW476" s="37" t="str">
        <v/>
      </c>
      <c r="AX476" s="37" t="str">
        <v/>
      </c>
      <c r="AY476" s="37" t="str">
        <v/>
      </c>
      <c r="AZ476" s="40" t="str">
        <f t="shared" si="270"/>
        <v/>
      </c>
      <c r="BA476" s="36" t="str">
        <f>IFERROR(INDEX('Level Multipliers'!$D:$D,MATCH(AZ476,'Level Multipliers'!$A:$A,0)),"")</f>
        <v/>
      </c>
      <c r="BB476" s="37" t="str">
        <f t="shared" si="271"/>
        <v/>
      </c>
      <c r="BC476" s="37" t="str">
        <f t="shared" si="272"/>
        <v/>
      </c>
      <c r="BD476" s="38" t="str">
        <f t="shared" si="273"/>
        <v/>
      </c>
      <c r="BE476" s="38" t="str">
        <f t="shared" si="274"/>
        <v/>
      </c>
      <c r="BF476" s="38" t="b">
        <f t="shared" si="275"/>
        <v>1</v>
      </c>
      <c r="BG476" s="37" t="str">
        <f t="array" ref="BG476:BQ476">IF(BF476,"",IVSolution($M476,$N476,$O476,BB476,BC476,BD476,BE476,$E476,$F476,$G476,$H476,$I476))</f>
        <v/>
      </c>
      <c r="BH476" s="37" t="str">
        <v/>
      </c>
      <c r="BI476" s="37" t="str">
        <v/>
      </c>
      <c r="BJ476" s="39" t="str">
        <v/>
      </c>
      <c r="BK476" s="39" t="str">
        <v/>
      </c>
      <c r="BL476" s="37" t="str">
        <v/>
      </c>
      <c r="BM476" s="37" t="str">
        <v/>
      </c>
      <c r="BN476" s="37" t="str">
        <v/>
      </c>
      <c r="BO476" s="37" t="str">
        <v/>
      </c>
      <c r="BP476" s="37" t="str">
        <v/>
      </c>
      <c r="BQ476" s="37" t="str">
        <v/>
      </c>
      <c r="BR476" s="40" t="str">
        <f t="shared" si="276"/>
        <v/>
      </c>
      <c r="BS476" s="36" t="str">
        <f>IFERROR(INDEX('Level Multipliers'!$D:$D,MATCH(BR476,'Level Multipliers'!$A:$A,0)),"")</f>
        <v/>
      </c>
      <c r="BT476" s="37" t="str">
        <f t="shared" si="277"/>
        <v/>
      </c>
      <c r="BU476" s="37" t="str">
        <f t="shared" si="278"/>
        <v/>
      </c>
      <c r="BV476" s="38" t="str">
        <f t="shared" si="279"/>
        <v/>
      </c>
      <c r="BW476" s="38" t="str">
        <f t="shared" si="280"/>
        <v/>
      </c>
      <c r="BX476" s="38" t="b">
        <f t="shared" si="281"/>
        <v>1</v>
      </c>
      <c r="BY476" s="37" t="str">
        <f t="array" ref="BY476:CI476">IF(BX476,"",IVSolution($M476,$N476,$O476,BT476,BU476,BV476,BW476,$E476,$F476,$G476,$H476,$I476))</f>
        <v/>
      </c>
      <c r="BZ476" s="37" t="str">
        <v/>
      </c>
      <c r="CA476" s="37" t="str">
        <v/>
      </c>
      <c r="CB476" s="39" t="str">
        <v/>
      </c>
      <c r="CC476" s="39" t="str">
        <v/>
      </c>
      <c r="CD476" s="37" t="str">
        <v/>
      </c>
      <c r="CE476" s="37" t="str">
        <v/>
      </c>
      <c r="CF476" s="37" t="str">
        <v/>
      </c>
      <c r="CG476" s="37" t="str">
        <v/>
      </c>
      <c r="CH476" s="37" t="str">
        <v/>
      </c>
      <c r="CI476" s="37" t="str">
        <v/>
      </c>
      <c r="CJ476" s="41" t="str">
        <f t="shared" si="282"/>
        <v/>
      </c>
      <c r="CK476" s="41" t="str">
        <f t="shared" si="283"/>
        <v/>
      </c>
      <c r="CL476" s="66" t="str">
        <f t="shared" si="284"/>
        <v/>
      </c>
      <c r="CM476" s="39" t="str">
        <f t="shared" si="285"/>
        <v/>
      </c>
      <c r="CN476" s="39" t="str">
        <f t="shared" si="286"/>
        <v/>
      </c>
      <c r="CO476" s="42" t="str">
        <f t="shared" si="287"/>
        <v/>
      </c>
      <c r="CP476" s="42" t="str">
        <f t="shared" si="288"/>
        <v/>
      </c>
      <c r="CQ476" s="42" t="str">
        <f t="shared" si="289"/>
        <v/>
      </c>
      <c r="CR476" s="42" t="str">
        <f t="shared" si="290"/>
        <v/>
      </c>
      <c r="CS476" s="42" t="str">
        <f t="shared" si="291"/>
        <v/>
      </c>
      <c r="CT476" s="42" t="str">
        <f t="shared" si="292"/>
        <v/>
      </c>
      <c r="CU476" s="43" t="str">
        <f t="shared" si="293"/>
        <v/>
      </c>
      <c r="CV476" s="43" t="str">
        <f t="shared" si="294"/>
        <v/>
      </c>
      <c r="CW476" s="43" t="str">
        <f t="shared" si="295"/>
        <v/>
      </c>
      <c r="CX476" s="13"/>
    </row>
    <row r="477" spans="1:102" x14ac:dyDescent="0.25">
      <c r="A477" s="31"/>
      <c r="B477" s="13"/>
      <c r="C477" s="13"/>
      <c r="D477" s="13"/>
      <c r="E477" s="32"/>
      <c r="F477" s="32"/>
      <c r="G477" s="32"/>
      <c r="H477" s="32"/>
      <c r="I477" s="32"/>
      <c r="J477" s="13"/>
      <c r="K477" s="33"/>
      <c r="L477" s="34" t="str">
        <f>IFERROR(INDEX('Pokemon Data'!A:A,MATCH($A477,'Pokemon Data'!$B:$B,0)),"")</f>
        <v/>
      </c>
      <c r="M477" s="34" t="str">
        <f>IFERROR(INDEX('Pokemon Data'!I:I,MATCH($A477,'Pokemon Data'!$B:$B,0)),"")</f>
        <v/>
      </c>
      <c r="N477" s="34" t="str">
        <f>IFERROR(INDEX('Pokemon Data'!J:J,MATCH($A477,'Pokemon Data'!$B:$B,0)),"")</f>
        <v/>
      </c>
      <c r="O477" s="34" t="str">
        <f>IFERROR(INDEX('Pokemon Data'!K:K,MATCH($A477,'Pokemon Data'!$B:$B,0)),"")</f>
        <v/>
      </c>
      <c r="P477" s="35" t="str">
        <f>IFERROR(INDEX('Level Multipliers'!$A:$A,MATCH($D477,'Level Multipliers'!$B:$B,0)),"")</f>
        <v/>
      </c>
      <c r="Q477" s="36" t="str">
        <f>IFERROR(INDEX('Level Multipliers'!$D:$D,MATCH(P477,'Level Multipliers'!$A:$A,0)),"")</f>
        <v/>
      </c>
      <c r="R477" s="37" t="str">
        <f t="shared" si="259"/>
        <v/>
      </c>
      <c r="S477" s="37" t="str">
        <f t="shared" si="260"/>
        <v/>
      </c>
      <c r="T477" s="38" t="str">
        <f t="shared" si="261"/>
        <v/>
      </c>
      <c r="U477" s="38" t="str">
        <f t="shared" si="262"/>
        <v/>
      </c>
      <c r="V477" s="38" t="b">
        <f t="shared" si="263"/>
        <v>1</v>
      </c>
      <c r="W477" s="37" t="str">
        <f t="array" ref="W477:AG477">IF(V477,"",IVSolution($M477,$N477,$O477,R477,S477,T477,U477,$E477,$F477,$G477,$H477,$I477))</f>
        <v/>
      </c>
      <c r="X477" s="37" t="str">
        <v/>
      </c>
      <c r="Y477" s="37" t="str">
        <v/>
      </c>
      <c r="Z477" s="39" t="str">
        <v/>
      </c>
      <c r="AA477" s="39" t="str">
        <v/>
      </c>
      <c r="AB477" s="37" t="str">
        <v/>
      </c>
      <c r="AC477" s="37" t="str">
        <v/>
      </c>
      <c r="AD477" s="37" t="str">
        <v/>
      </c>
      <c r="AE477" s="37" t="str">
        <v/>
      </c>
      <c r="AF477" s="37" t="str">
        <v/>
      </c>
      <c r="AG477" s="37" t="str">
        <v/>
      </c>
      <c r="AH477" s="40" t="str">
        <f t="shared" si="264"/>
        <v/>
      </c>
      <c r="AI477" s="36" t="str">
        <f>IFERROR(INDEX('Level Multipliers'!$D:$D,MATCH(AH477,'Level Multipliers'!$A:$A,0)),"")</f>
        <v/>
      </c>
      <c r="AJ477" s="37" t="str">
        <f t="shared" si="265"/>
        <v/>
      </c>
      <c r="AK477" s="37" t="str">
        <f t="shared" si="266"/>
        <v/>
      </c>
      <c r="AL477" s="38" t="str">
        <f t="shared" si="267"/>
        <v/>
      </c>
      <c r="AM477" s="38" t="str">
        <f t="shared" si="268"/>
        <v/>
      </c>
      <c r="AN477" s="38" t="b">
        <f t="shared" si="269"/>
        <v>1</v>
      </c>
      <c r="AO477" s="37" t="str">
        <f t="array" ref="AO477:AY477">IF(AN477,"",IVSolution($M477,$N477,$O477,AJ477,AK477,AL477,AM477,$E477,$F477,$G477,$H477,$I477))</f>
        <v/>
      </c>
      <c r="AP477" s="37" t="str">
        <v/>
      </c>
      <c r="AQ477" s="37" t="str">
        <v/>
      </c>
      <c r="AR477" s="39" t="str">
        <v/>
      </c>
      <c r="AS477" s="39" t="str">
        <v/>
      </c>
      <c r="AT477" s="37" t="str">
        <v/>
      </c>
      <c r="AU477" s="37" t="str">
        <v/>
      </c>
      <c r="AV477" s="37" t="str">
        <v/>
      </c>
      <c r="AW477" s="37" t="str">
        <v/>
      </c>
      <c r="AX477" s="37" t="str">
        <v/>
      </c>
      <c r="AY477" s="37" t="str">
        <v/>
      </c>
      <c r="AZ477" s="40" t="str">
        <f t="shared" si="270"/>
        <v/>
      </c>
      <c r="BA477" s="36" t="str">
        <f>IFERROR(INDEX('Level Multipliers'!$D:$D,MATCH(AZ477,'Level Multipliers'!$A:$A,0)),"")</f>
        <v/>
      </c>
      <c r="BB477" s="37" t="str">
        <f t="shared" si="271"/>
        <v/>
      </c>
      <c r="BC477" s="37" t="str">
        <f t="shared" si="272"/>
        <v/>
      </c>
      <c r="BD477" s="38" t="str">
        <f t="shared" si="273"/>
        <v/>
      </c>
      <c r="BE477" s="38" t="str">
        <f t="shared" si="274"/>
        <v/>
      </c>
      <c r="BF477" s="38" t="b">
        <f t="shared" si="275"/>
        <v>1</v>
      </c>
      <c r="BG477" s="37" t="str">
        <f t="array" ref="BG477:BQ477">IF(BF477,"",IVSolution($M477,$N477,$O477,BB477,BC477,BD477,BE477,$E477,$F477,$G477,$H477,$I477))</f>
        <v/>
      </c>
      <c r="BH477" s="37" t="str">
        <v/>
      </c>
      <c r="BI477" s="37" t="str">
        <v/>
      </c>
      <c r="BJ477" s="39" t="str">
        <v/>
      </c>
      <c r="BK477" s="39" t="str">
        <v/>
      </c>
      <c r="BL477" s="37" t="str">
        <v/>
      </c>
      <c r="BM477" s="37" t="str">
        <v/>
      </c>
      <c r="BN477" s="37" t="str">
        <v/>
      </c>
      <c r="BO477" s="37" t="str">
        <v/>
      </c>
      <c r="BP477" s="37" t="str">
        <v/>
      </c>
      <c r="BQ477" s="37" t="str">
        <v/>
      </c>
      <c r="BR477" s="40" t="str">
        <f t="shared" si="276"/>
        <v/>
      </c>
      <c r="BS477" s="36" t="str">
        <f>IFERROR(INDEX('Level Multipliers'!$D:$D,MATCH(BR477,'Level Multipliers'!$A:$A,0)),"")</f>
        <v/>
      </c>
      <c r="BT477" s="37" t="str">
        <f t="shared" si="277"/>
        <v/>
      </c>
      <c r="BU477" s="37" t="str">
        <f t="shared" si="278"/>
        <v/>
      </c>
      <c r="BV477" s="38" t="str">
        <f t="shared" si="279"/>
        <v/>
      </c>
      <c r="BW477" s="38" t="str">
        <f t="shared" si="280"/>
        <v/>
      </c>
      <c r="BX477" s="38" t="b">
        <f t="shared" si="281"/>
        <v>1</v>
      </c>
      <c r="BY477" s="37" t="str">
        <f t="array" ref="BY477:CI477">IF(BX477,"",IVSolution($M477,$N477,$O477,BT477,BU477,BV477,BW477,$E477,$F477,$G477,$H477,$I477))</f>
        <v/>
      </c>
      <c r="BZ477" s="37" t="str">
        <v/>
      </c>
      <c r="CA477" s="37" t="str">
        <v/>
      </c>
      <c r="CB477" s="39" t="str">
        <v/>
      </c>
      <c r="CC477" s="39" t="str">
        <v/>
      </c>
      <c r="CD477" s="37" t="str">
        <v/>
      </c>
      <c r="CE477" s="37" t="str">
        <v/>
      </c>
      <c r="CF477" s="37" t="str">
        <v/>
      </c>
      <c r="CG477" s="37" t="str">
        <v/>
      </c>
      <c r="CH477" s="37" t="str">
        <v/>
      </c>
      <c r="CI477" s="37" t="str">
        <v/>
      </c>
      <c r="CJ477" s="41" t="str">
        <f t="shared" si="282"/>
        <v/>
      </c>
      <c r="CK477" s="41" t="str">
        <f t="shared" si="283"/>
        <v/>
      </c>
      <c r="CL477" s="66" t="str">
        <f t="shared" si="284"/>
        <v/>
      </c>
      <c r="CM477" s="39" t="str">
        <f t="shared" si="285"/>
        <v/>
      </c>
      <c r="CN477" s="39" t="str">
        <f t="shared" si="286"/>
        <v/>
      </c>
      <c r="CO477" s="42" t="str">
        <f t="shared" si="287"/>
        <v/>
      </c>
      <c r="CP477" s="42" t="str">
        <f t="shared" si="288"/>
        <v/>
      </c>
      <c r="CQ477" s="42" t="str">
        <f t="shared" si="289"/>
        <v/>
      </c>
      <c r="CR477" s="42" t="str">
        <f t="shared" si="290"/>
        <v/>
      </c>
      <c r="CS477" s="42" t="str">
        <f t="shared" si="291"/>
        <v/>
      </c>
      <c r="CT477" s="42" t="str">
        <f t="shared" si="292"/>
        <v/>
      </c>
      <c r="CU477" s="43" t="str">
        <f t="shared" si="293"/>
        <v/>
      </c>
      <c r="CV477" s="43" t="str">
        <f t="shared" si="294"/>
        <v/>
      </c>
      <c r="CW477" s="43" t="str">
        <f t="shared" si="295"/>
        <v/>
      </c>
      <c r="CX477" s="13"/>
    </row>
    <row r="478" spans="1:102" x14ac:dyDescent="0.25">
      <c r="A478" s="31"/>
      <c r="B478" s="13"/>
      <c r="C478" s="13"/>
      <c r="D478" s="13"/>
      <c r="E478" s="32"/>
      <c r="F478" s="32"/>
      <c r="G478" s="32"/>
      <c r="H478" s="32"/>
      <c r="I478" s="32"/>
      <c r="J478" s="13"/>
      <c r="K478" s="33"/>
      <c r="L478" s="34" t="str">
        <f>IFERROR(INDEX('Pokemon Data'!A:A,MATCH($A478,'Pokemon Data'!$B:$B,0)),"")</f>
        <v/>
      </c>
      <c r="M478" s="34" t="str">
        <f>IFERROR(INDEX('Pokemon Data'!I:I,MATCH($A478,'Pokemon Data'!$B:$B,0)),"")</f>
        <v/>
      </c>
      <c r="N478" s="34" t="str">
        <f>IFERROR(INDEX('Pokemon Data'!J:J,MATCH($A478,'Pokemon Data'!$B:$B,0)),"")</f>
        <v/>
      </c>
      <c r="O478" s="34" t="str">
        <f>IFERROR(INDEX('Pokemon Data'!K:K,MATCH($A478,'Pokemon Data'!$B:$B,0)),"")</f>
        <v/>
      </c>
      <c r="P478" s="35" t="str">
        <f>IFERROR(INDEX('Level Multipliers'!$A:$A,MATCH($D478,'Level Multipliers'!$B:$B,0)),"")</f>
        <v/>
      </c>
      <c r="Q478" s="36" t="str">
        <f>IFERROR(INDEX('Level Multipliers'!$D:$D,MATCH(P478,'Level Multipliers'!$A:$A,0)),"")</f>
        <v/>
      </c>
      <c r="R478" s="37" t="str">
        <f t="shared" si="259"/>
        <v/>
      </c>
      <c r="S478" s="37" t="str">
        <f t="shared" si="260"/>
        <v/>
      </c>
      <c r="T478" s="38" t="str">
        <f t="shared" si="261"/>
        <v/>
      </c>
      <c r="U478" s="38" t="str">
        <f t="shared" si="262"/>
        <v/>
      </c>
      <c r="V478" s="38" t="b">
        <f t="shared" si="263"/>
        <v>1</v>
      </c>
      <c r="W478" s="37" t="str">
        <f t="array" ref="W478:AG478">IF(V478,"",IVSolution($M478,$N478,$O478,R478,S478,T478,U478,$E478,$F478,$G478,$H478,$I478))</f>
        <v/>
      </c>
      <c r="X478" s="37" t="str">
        <v/>
      </c>
      <c r="Y478" s="37" t="str">
        <v/>
      </c>
      <c r="Z478" s="39" t="str">
        <v/>
      </c>
      <c r="AA478" s="39" t="str">
        <v/>
      </c>
      <c r="AB478" s="37" t="str">
        <v/>
      </c>
      <c r="AC478" s="37" t="str">
        <v/>
      </c>
      <c r="AD478" s="37" t="str">
        <v/>
      </c>
      <c r="AE478" s="37" t="str">
        <v/>
      </c>
      <c r="AF478" s="37" t="str">
        <v/>
      </c>
      <c r="AG478" s="37" t="str">
        <v/>
      </c>
      <c r="AH478" s="40" t="str">
        <f t="shared" si="264"/>
        <v/>
      </c>
      <c r="AI478" s="36" t="str">
        <f>IFERROR(INDEX('Level Multipliers'!$D:$D,MATCH(AH478,'Level Multipliers'!$A:$A,0)),"")</f>
        <v/>
      </c>
      <c r="AJ478" s="37" t="str">
        <f t="shared" si="265"/>
        <v/>
      </c>
      <c r="AK478" s="37" t="str">
        <f t="shared" si="266"/>
        <v/>
      </c>
      <c r="AL478" s="38" t="str">
        <f t="shared" si="267"/>
        <v/>
      </c>
      <c r="AM478" s="38" t="str">
        <f t="shared" si="268"/>
        <v/>
      </c>
      <c r="AN478" s="38" t="b">
        <f t="shared" si="269"/>
        <v>1</v>
      </c>
      <c r="AO478" s="37" t="str">
        <f t="array" ref="AO478:AY478">IF(AN478,"",IVSolution($M478,$N478,$O478,AJ478,AK478,AL478,AM478,$E478,$F478,$G478,$H478,$I478))</f>
        <v/>
      </c>
      <c r="AP478" s="37" t="str">
        <v/>
      </c>
      <c r="AQ478" s="37" t="str">
        <v/>
      </c>
      <c r="AR478" s="39" t="str">
        <v/>
      </c>
      <c r="AS478" s="39" t="str">
        <v/>
      </c>
      <c r="AT478" s="37" t="str">
        <v/>
      </c>
      <c r="AU478" s="37" t="str">
        <v/>
      </c>
      <c r="AV478" s="37" t="str">
        <v/>
      </c>
      <c r="AW478" s="37" t="str">
        <v/>
      </c>
      <c r="AX478" s="37" t="str">
        <v/>
      </c>
      <c r="AY478" s="37" t="str">
        <v/>
      </c>
      <c r="AZ478" s="40" t="str">
        <f t="shared" si="270"/>
        <v/>
      </c>
      <c r="BA478" s="36" t="str">
        <f>IFERROR(INDEX('Level Multipliers'!$D:$D,MATCH(AZ478,'Level Multipliers'!$A:$A,0)),"")</f>
        <v/>
      </c>
      <c r="BB478" s="37" t="str">
        <f t="shared" si="271"/>
        <v/>
      </c>
      <c r="BC478" s="37" t="str">
        <f t="shared" si="272"/>
        <v/>
      </c>
      <c r="BD478" s="38" t="str">
        <f t="shared" si="273"/>
        <v/>
      </c>
      <c r="BE478" s="38" t="str">
        <f t="shared" si="274"/>
        <v/>
      </c>
      <c r="BF478" s="38" t="b">
        <f t="shared" si="275"/>
        <v>1</v>
      </c>
      <c r="BG478" s="37" t="str">
        <f t="array" ref="BG478:BQ478">IF(BF478,"",IVSolution($M478,$N478,$O478,BB478,BC478,BD478,BE478,$E478,$F478,$G478,$H478,$I478))</f>
        <v/>
      </c>
      <c r="BH478" s="37" t="str">
        <v/>
      </c>
      <c r="BI478" s="37" t="str">
        <v/>
      </c>
      <c r="BJ478" s="39" t="str">
        <v/>
      </c>
      <c r="BK478" s="39" t="str">
        <v/>
      </c>
      <c r="BL478" s="37" t="str">
        <v/>
      </c>
      <c r="BM478" s="37" t="str">
        <v/>
      </c>
      <c r="BN478" s="37" t="str">
        <v/>
      </c>
      <c r="BO478" s="37" t="str">
        <v/>
      </c>
      <c r="BP478" s="37" t="str">
        <v/>
      </c>
      <c r="BQ478" s="37" t="str">
        <v/>
      </c>
      <c r="BR478" s="40" t="str">
        <f t="shared" si="276"/>
        <v/>
      </c>
      <c r="BS478" s="36" t="str">
        <f>IFERROR(INDEX('Level Multipliers'!$D:$D,MATCH(BR478,'Level Multipliers'!$A:$A,0)),"")</f>
        <v/>
      </c>
      <c r="BT478" s="37" t="str">
        <f t="shared" si="277"/>
        <v/>
      </c>
      <c r="BU478" s="37" t="str">
        <f t="shared" si="278"/>
        <v/>
      </c>
      <c r="BV478" s="38" t="str">
        <f t="shared" si="279"/>
        <v/>
      </c>
      <c r="BW478" s="38" t="str">
        <f t="shared" si="280"/>
        <v/>
      </c>
      <c r="BX478" s="38" t="b">
        <f t="shared" si="281"/>
        <v>1</v>
      </c>
      <c r="BY478" s="37" t="str">
        <f t="array" ref="BY478:CI478">IF(BX478,"",IVSolution($M478,$N478,$O478,BT478,BU478,BV478,BW478,$E478,$F478,$G478,$H478,$I478))</f>
        <v/>
      </c>
      <c r="BZ478" s="37" t="str">
        <v/>
      </c>
      <c r="CA478" s="37" t="str">
        <v/>
      </c>
      <c r="CB478" s="39" t="str">
        <v/>
      </c>
      <c r="CC478" s="39" t="str">
        <v/>
      </c>
      <c r="CD478" s="37" t="str">
        <v/>
      </c>
      <c r="CE478" s="37" t="str">
        <v/>
      </c>
      <c r="CF478" s="37" t="str">
        <v/>
      </c>
      <c r="CG478" s="37" t="str">
        <v/>
      </c>
      <c r="CH478" s="37" t="str">
        <v/>
      </c>
      <c r="CI478" s="37" t="str">
        <v/>
      </c>
      <c r="CJ478" s="41" t="str">
        <f t="shared" si="282"/>
        <v/>
      </c>
      <c r="CK478" s="41" t="str">
        <f t="shared" si="283"/>
        <v/>
      </c>
      <c r="CL478" s="66" t="str">
        <f t="shared" si="284"/>
        <v/>
      </c>
      <c r="CM478" s="39" t="str">
        <f t="shared" si="285"/>
        <v/>
      </c>
      <c r="CN478" s="39" t="str">
        <f t="shared" si="286"/>
        <v/>
      </c>
      <c r="CO478" s="42" t="str">
        <f t="shared" si="287"/>
        <v/>
      </c>
      <c r="CP478" s="42" t="str">
        <f t="shared" si="288"/>
        <v/>
      </c>
      <c r="CQ478" s="42" t="str">
        <f t="shared" si="289"/>
        <v/>
      </c>
      <c r="CR478" s="42" t="str">
        <f t="shared" si="290"/>
        <v/>
      </c>
      <c r="CS478" s="42" t="str">
        <f t="shared" si="291"/>
        <v/>
      </c>
      <c r="CT478" s="42" t="str">
        <f t="shared" si="292"/>
        <v/>
      </c>
      <c r="CU478" s="43" t="str">
        <f t="shared" si="293"/>
        <v/>
      </c>
      <c r="CV478" s="43" t="str">
        <f t="shared" si="294"/>
        <v/>
      </c>
      <c r="CW478" s="43" t="str">
        <f t="shared" si="295"/>
        <v/>
      </c>
      <c r="CX478" s="13"/>
    </row>
    <row r="479" spans="1:102" x14ac:dyDescent="0.25">
      <c r="A479" s="31"/>
      <c r="B479" s="13"/>
      <c r="C479" s="13"/>
      <c r="D479" s="13"/>
      <c r="E479" s="32"/>
      <c r="F479" s="32"/>
      <c r="G479" s="32"/>
      <c r="H479" s="32"/>
      <c r="I479" s="32"/>
      <c r="J479" s="13"/>
      <c r="K479" s="33"/>
      <c r="L479" s="34" t="str">
        <f>IFERROR(INDEX('Pokemon Data'!A:A,MATCH($A479,'Pokemon Data'!$B:$B,0)),"")</f>
        <v/>
      </c>
      <c r="M479" s="34" t="str">
        <f>IFERROR(INDEX('Pokemon Data'!I:I,MATCH($A479,'Pokemon Data'!$B:$B,0)),"")</f>
        <v/>
      </c>
      <c r="N479" s="34" t="str">
        <f>IFERROR(INDEX('Pokemon Data'!J:J,MATCH($A479,'Pokemon Data'!$B:$B,0)),"")</f>
        <v/>
      </c>
      <c r="O479" s="34" t="str">
        <f>IFERROR(INDEX('Pokemon Data'!K:K,MATCH($A479,'Pokemon Data'!$B:$B,0)),"")</f>
        <v/>
      </c>
      <c r="P479" s="35" t="str">
        <f>IFERROR(INDEX('Level Multipliers'!$A:$A,MATCH($D479,'Level Multipliers'!$B:$B,0)),"")</f>
        <v/>
      </c>
      <c r="Q479" s="36" t="str">
        <f>IFERROR(INDEX('Level Multipliers'!$D:$D,MATCH(P479,'Level Multipliers'!$A:$A,0)),"")</f>
        <v/>
      </c>
      <c r="R479" s="37" t="str">
        <f t="shared" si="259"/>
        <v/>
      </c>
      <c r="S479" s="37" t="str">
        <f t="shared" si="260"/>
        <v/>
      </c>
      <c r="T479" s="38" t="str">
        <f t="shared" si="261"/>
        <v/>
      </c>
      <c r="U479" s="38" t="str">
        <f t="shared" si="262"/>
        <v/>
      </c>
      <c r="V479" s="38" t="b">
        <f t="shared" si="263"/>
        <v>1</v>
      </c>
      <c r="W479" s="37" t="str">
        <f t="array" ref="W479:AG479">IF(V479,"",IVSolution($M479,$N479,$O479,R479,S479,T479,U479,$E479,$F479,$G479,$H479,$I479))</f>
        <v/>
      </c>
      <c r="X479" s="37" t="str">
        <v/>
      </c>
      <c r="Y479" s="37" t="str">
        <v/>
      </c>
      <c r="Z479" s="39" t="str">
        <v/>
      </c>
      <c r="AA479" s="39" t="str">
        <v/>
      </c>
      <c r="AB479" s="37" t="str">
        <v/>
      </c>
      <c r="AC479" s="37" t="str">
        <v/>
      </c>
      <c r="AD479" s="37" t="str">
        <v/>
      </c>
      <c r="AE479" s="37" t="str">
        <v/>
      </c>
      <c r="AF479" s="37" t="str">
        <v/>
      </c>
      <c r="AG479" s="37" t="str">
        <v/>
      </c>
      <c r="AH479" s="40" t="str">
        <f t="shared" si="264"/>
        <v/>
      </c>
      <c r="AI479" s="36" t="str">
        <f>IFERROR(INDEX('Level Multipliers'!$D:$D,MATCH(AH479,'Level Multipliers'!$A:$A,0)),"")</f>
        <v/>
      </c>
      <c r="AJ479" s="37" t="str">
        <f t="shared" si="265"/>
        <v/>
      </c>
      <c r="AK479" s="37" t="str">
        <f t="shared" si="266"/>
        <v/>
      </c>
      <c r="AL479" s="38" t="str">
        <f t="shared" si="267"/>
        <v/>
      </c>
      <c r="AM479" s="38" t="str">
        <f t="shared" si="268"/>
        <v/>
      </c>
      <c r="AN479" s="38" t="b">
        <f t="shared" si="269"/>
        <v>1</v>
      </c>
      <c r="AO479" s="37" t="str">
        <f t="array" ref="AO479:AY479">IF(AN479,"",IVSolution($M479,$N479,$O479,AJ479,AK479,AL479,AM479,$E479,$F479,$G479,$H479,$I479))</f>
        <v/>
      </c>
      <c r="AP479" s="37" t="str">
        <v/>
      </c>
      <c r="AQ479" s="37" t="str">
        <v/>
      </c>
      <c r="AR479" s="39" t="str">
        <v/>
      </c>
      <c r="AS479" s="39" t="str">
        <v/>
      </c>
      <c r="AT479" s="37" t="str">
        <v/>
      </c>
      <c r="AU479" s="37" t="str">
        <v/>
      </c>
      <c r="AV479" s="37" t="str">
        <v/>
      </c>
      <c r="AW479" s="37" t="str">
        <v/>
      </c>
      <c r="AX479" s="37" t="str">
        <v/>
      </c>
      <c r="AY479" s="37" t="str">
        <v/>
      </c>
      <c r="AZ479" s="40" t="str">
        <f t="shared" si="270"/>
        <v/>
      </c>
      <c r="BA479" s="36" t="str">
        <f>IFERROR(INDEX('Level Multipliers'!$D:$D,MATCH(AZ479,'Level Multipliers'!$A:$A,0)),"")</f>
        <v/>
      </c>
      <c r="BB479" s="37" t="str">
        <f t="shared" si="271"/>
        <v/>
      </c>
      <c r="BC479" s="37" t="str">
        <f t="shared" si="272"/>
        <v/>
      </c>
      <c r="BD479" s="38" t="str">
        <f t="shared" si="273"/>
        <v/>
      </c>
      <c r="BE479" s="38" t="str">
        <f t="shared" si="274"/>
        <v/>
      </c>
      <c r="BF479" s="38" t="b">
        <f t="shared" si="275"/>
        <v>1</v>
      </c>
      <c r="BG479" s="37" t="str">
        <f t="array" ref="BG479:BQ479">IF(BF479,"",IVSolution($M479,$N479,$O479,BB479,BC479,BD479,BE479,$E479,$F479,$G479,$H479,$I479))</f>
        <v/>
      </c>
      <c r="BH479" s="37" t="str">
        <v/>
      </c>
      <c r="BI479" s="37" t="str">
        <v/>
      </c>
      <c r="BJ479" s="39" t="str">
        <v/>
      </c>
      <c r="BK479" s="39" t="str">
        <v/>
      </c>
      <c r="BL479" s="37" t="str">
        <v/>
      </c>
      <c r="BM479" s="37" t="str">
        <v/>
      </c>
      <c r="BN479" s="37" t="str">
        <v/>
      </c>
      <c r="BO479" s="37" t="str">
        <v/>
      </c>
      <c r="BP479" s="37" t="str">
        <v/>
      </c>
      <c r="BQ479" s="37" t="str">
        <v/>
      </c>
      <c r="BR479" s="40" t="str">
        <f t="shared" si="276"/>
        <v/>
      </c>
      <c r="BS479" s="36" t="str">
        <f>IFERROR(INDEX('Level Multipliers'!$D:$D,MATCH(BR479,'Level Multipliers'!$A:$A,0)),"")</f>
        <v/>
      </c>
      <c r="BT479" s="37" t="str">
        <f t="shared" si="277"/>
        <v/>
      </c>
      <c r="BU479" s="37" t="str">
        <f t="shared" si="278"/>
        <v/>
      </c>
      <c r="BV479" s="38" t="str">
        <f t="shared" si="279"/>
        <v/>
      </c>
      <c r="BW479" s="38" t="str">
        <f t="shared" si="280"/>
        <v/>
      </c>
      <c r="BX479" s="38" t="b">
        <f t="shared" si="281"/>
        <v>1</v>
      </c>
      <c r="BY479" s="37" t="str">
        <f t="array" ref="BY479:CI479">IF(BX479,"",IVSolution($M479,$N479,$O479,BT479,BU479,BV479,BW479,$E479,$F479,$G479,$H479,$I479))</f>
        <v/>
      </c>
      <c r="BZ479" s="37" t="str">
        <v/>
      </c>
      <c r="CA479" s="37" t="str">
        <v/>
      </c>
      <c r="CB479" s="39" t="str">
        <v/>
      </c>
      <c r="CC479" s="39" t="str">
        <v/>
      </c>
      <c r="CD479" s="37" t="str">
        <v/>
      </c>
      <c r="CE479" s="37" t="str">
        <v/>
      </c>
      <c r="CF479" s="37" t="str">
        <v/>
      </c>
      <c r="CG479" s="37" t="str">
        <v/>
      </c>
      <c r="CH479" s="37" t="str">
        <v/>
      </c>
      <c r="CI479" s="37" t="str">
        <v/>
      </c>
      <c r="CJ479" s="41" t="str">
        <f t="shared" si="282"/>
        <v/>
      </c>
      <c r="CK479" s="41" t="str">
        <f t="shared" si="283"/>
        <v/>
      </c>
      <c r="CL479" s="66" t="str">
        <f t="shared" si="284"/>
        <v/>
      </c>
      <c r="CM479" s="39" t="str">
        <f t="shared" si="285"/>
        <v/>
      </c>
      <c r="CN479" s="39" t="str">
        <f t="shared" si="286"/>
        <v/>
      </c>
      <c r="CO479" s="42" t="str">
        <f t="shared" si="287"/>
        <v/>
      </c>
      <c r="CP479" s="42" t="str">
        <f t="shared" si="288"/>
        <v/>
      </c>
      <c r="CQ479" s="42" t="str">
        <f t="shared" si="289"/>
        <v/>
      </c>
      <c r="CR479" s="42" t="str">
        <f t="shared" si="290"/>
        <v/>
      </c>
      <c r="CS479" s="42" t="str">
        <f t="shared" si="291"/>
        <v/>
      </c>
      <c r="CT479" s="42" t="str">
        <f t="shared" si="292"/>
        <v/>
      </c>
      <c r="CU479" s="43" t="str">
        <f t="shared" si="293"/>
        <v/>
      </c>
      <c r="CV479" s="43" t="str">
        <f t="shared" si="294"/>
        <v/>
      </c>
      <c r="CW479" s="43" t="str">
        <f t="shared" si="295"/>
        <v/>
      </c>
      <c r="CX479" s="13"/>
    </row>
    <row r="480" spans="1:102" x14ac:dyDescent="0.25">
      <c r="A480" s="31"/>
      <c r="B480" s="13"/>
      <c r="C480" s="13"/>
      <c r="D480" s="13"/>
      <c r="E480" s="32"/>
      <c r="F480" s="32"/>
      <c r="G480" s="32"/>
      <c r="H480" s="32"/>
      <c r="I480" s="32"/>
      <c r="J480" s="13"/>
      <c r="K480" s="33"/>
      <c r="L480" s="34" t="str">
        <f>IFERROR(INDEX('Pokemon Data'!A:A,MATCH($A480,'Pokemon Data'!$B:$B,0)),"")</f>
        <v/>
      </c>
      <c r="M480" s="34" t="str">
        <f>IFERROR(INDEX('Pokemon Data'!I:I,MATCH($A480,'Pokemon Data'!$B:$B,0)),"")</f>
        <v/>
      </c>
      <c r="N480" s="34" t="str">
        <f>IFERROR(INDEX('Pokemon Data'!J:J,MATCH($A480,'Pokemon Data'!$B:$B,0)),"")</f>
        <v/>
      </c>
      <c r="O480" s="34" t="str">
        <f>IFERROR(INDEX('Pokemon Data'!K:K,MATCH($A480,'Pokemon Data'!$B:$B,0)),"")</f>
        <v/>
      </c>
      <c r="P480" s="35" t="str">
        <f>IFERROR(INDEX('Level Multipliers'!$A:$A,MATCH($D480,'Level Multipliers'!$B:$B,0)),"")</f>
        <v/>
      </c>
      <c r="Q480" s="36" t="str">
        <f>IFERROR(INDEX('Level Multipliers'!$D:$D,MATCH(P480,'Level Multipliers'!$A:$A,0)),"")</f>
        <v/>
      </c>
      <c r="R480" s="37" t="str">
        <f t="shared" si="259"/>
        <v/>
      </c>
      <c r="S480" s="37" t="str">
        <f t="shared" si="260"/>
        <v/>
      </c>
      <c r="T480" s="38" t="str">
        <f t="shared" si="261"/>
        <v/>
      </c>
      <c r="U480" s="38" t="str">
        <f t="shared" si="262"/>
        <v/>
      </c>
      <c r="V480" s="38" t="b">
        <f t="shared" si="263"/>
        <v>1</v>
      </c>
      <c r="W480" s="37" t="str">
        <f t="array" ref="W480:AG480">IF(V480,"",IVSolution($M480,$N480,$O480,R480,S480,T480,U480,$E480,$F480,$G480,$H480,$I480))</f>
        <v/>
      </c>
      <c r="X480" s="37" t="str">
        <v/>
      </c>
      <c r="Y480" s="37" t="str">
        <v/>
      </c>
      <c r="Z480" s="39" t="str">
        <v/>
      </c>
      <c r="AA480" s="39" t="str">
        <v/>
      </c>
      <c r="AB480" s="37" t="str">
        <v/>
      </c>
      <c r="AC480" s="37" t="str">
        <v/>
      </c>
      <c r="AD480" s="37" t="str">
        <v/>
      </c>
      <c r="AE480" s="37" t="str">
        <v/>
      </c>
      <c r="AF480" s="37" t="str">
        <v/>
      </c>
      <c r="AG480" s="37" t="str">
        <v/>
      </c>
      <c r="AH480" s="40" t="str">
        <f t="shared" si="264"/>
        <v/>
      </c>
      <c r="AI480" s="36" t="str">
        <f>IFERROR(INDEX('Level Multipliers'!$D:$D,MATCH(AH480,'Level Multipliers'!$A:$A,0)),"")</f>
        <v/>
      </c>
      <c r="AJ480" s="37" t="str">
        <f t="shared" si="265"/>
        <v/>
      </c>
      <c r="AK480" s="37" t="str">
        <f t="shared" si="266"/>
        <v/>
      </c>
      <c r="AL480" s="38" t="str">
        <f t="shared" si="267"/>
        <v/>
      </c>
      <c r="AM480" s="38" t="str">
        <f t="shared" si="268"/>
        <v/>
      </c>
      <c r="AN480" s="38" t="b">
        <f t="shared" si="269"/>
        <v>1</v>
      </c>
      <c r="AO480" s="37" t="str">
        <f t="array" ref="AO480:AY480">IF(AN480,"",IVSolution($M480,$N480,$O480,AJ480,AK480,AL480,AM480,$E480,$F480,$G480,$H480,$I480))</f>
        <v/>
      </c>
      <c r="AP480" s="37" t="str">
        <v/>
      </c>
      <c r="AQ480" s="37" t="str">
        <v/>
      </c>
      <c r="AR480" s="39" t="str">
        <v/>
      </c>
      <c r="AS480" s="39" t="str">
        <v/>
      </c>
      <c r="AT480" s="37" t="str">
        <v/>
      </c>
      <c r="AU480" s="37" t="str">
        <v/>
      </c>
      <c r="AV480" s="37" t="str">
        <v/>
      </c>
      <c r="AW480" s="37" t="str">
        <v/>
      </c>
      <c r="AX480" s="37" t="str">
        <v/>
      </c>
      <c r="AY480" s="37" t="str">
        <v/>
      </c>
      <c r="AZ480" s="40" t="str">
        <f t="shared" si="270"/>
        <v/>
      </c>
      <c r="BA480" s="36" t="str">
        <f>IFERROR(INDEX('Level Multipliers'!$D:$D,MATCH(AZ480,'Level Multipliers'!$A:$A,0)),"")</f>
        <v/>
      </c>
      <c r="BB480" s="37" t="str">
        <f t="shared" si="271"/>
        <v/>
      </c>
      <c r="BC480" s="37" t="str">
        <f t="shared" si="272"/>
        <v/>
      </c>
      <c r="BD480" s="38" t="str">
        <f t="shared" si="273"/>
        <v/>
      </c>
      <c r="BE480" s="38" t="str">
        <f t="shared" si="274"/>
        <v/>
      </c>
      <c r="BF480" s="38" t="b">
        <f t="shared" si="275"/>
        <v>1</v>
      </c>
      <c r="BG480" s="37" t="str">
        <f t="array" ref="BG480:BQ480">IF(BF480,"",IVSolution($M480,$N480,$O480,BB480,BC480,BD480,BE480,$E480,$F480,$G480,$H480,$I480))</f>
        <v/>
      </c>
      <c r="BH480" s="37" t="str">
        <v/>
      </c>
      <c r="BI480" s="37" t="str">
        <v/>
      </c>
      <c r="BJ480" s="39" t="str">
        <v/>
      </c>
      <c r="BK480" s="39" t="str">
        <v/>
      </c>
      <c r="BL480" s="37" t="str">
        <v/>
      </c>
      <c r="BM480" s="37" t="str">
        <v/>
      </c>
      <c r="BN480" s="37" t="str">
        <v/>
      </c>
      <c r="BO480" s="37" t="str">
        <v/>
      </c>
      <c r="BP480" s="37" t="str">
        <v/>
      </c>
      <c r="BQ480" s="37" t="str">
        <v/>
      </c>
      <c r="BR480" s="40" t="str">
        <f t="shared" si="276"/>
        <v/>
      </c>
      <c r="BS480" s="36" t="str">
        <f>IFERROR(INDEX('Level Multipliers'!$D:$D,MATCH(BR480,'Level Multipliers'!$A:$A,0)),"")</f>
        <v/>
      </c>
      <c r="BT480" s="37" t="str">
        <f t="shared" si="277"/>
        <v/>
      </c>
      <c r="BU480" s="37" t="str">
        <f t="shared" si="278"/>
        <v/>
      </c>
      <c r="BV480" s="38" t="str">
        <f t="shared" si="279"/>
        <v/>
      </c>
      <c r="BW480" s="38" t="str">
        <f t="shared" si="280"/>
        <v/>
      </c>
      <c r="BX480" s="38" t="b">
        <f t="shared" si="281"/>
        <v>1</v>
      </c>
      <c r="BY480" s="37" t="str">
        <f t="array" ref="BY480:CI480">IF(BX480,"",IVSolution($M480,$N480,$O480,BT480,BU480,BV480,BW480,$E480,$F480,$G480,$H480,$I480))</f>
        <v/>
      </c>
      <c r="BZ480" s="37" t="str">
        <v/>
      </c>
      <c r="CA480" s="37" t="str">
        <v/>
      </c>
      <c r="CB480" s="39" t="str">
        <v/>
      </c>
      <c r="CC480" s="39" t="str">
        <v/>
      </c>
      <c r="CD480" s="37" t="str">
        <v/>
      </c>
      <c r="CE480" s="37" t="str">
        <v/>
      </c>
      <c r="CF480" s="37" t="str">
        <v/>
      </c>
      <c r="CG480" s="37" t="str">
        <v/>
      </c>
      <c r="CH480" s="37" t="str">
        <v/>
      </c>
      <c r="CI480" s="37" t="str">
        <v/>
      </c>
      <c r="CJ480" s="41" t="str">
        <f t="shared" si="282"/>
        <v/>
      </c>
      <c r="CK480" s="41" t="str">
        <f t="shared" si="283"/>
        <v/>
      </c>
      <c r="CL480" s="66" t="str">
        <f t="shared" si="284"/>
        <v/>
      </c>
      <c r="CM480" s="39" t="str">
        <f t="shared" si="285"/>
        <v/>
      </c>
      <c r="CN480" s="39" t="str">
        <f t="shared" si="286"/>
        <v/>
      </c>
      <c r="CO480" s="42" t="str">
        <f t="shared" si="287"/>
        <v/>
      </c>
      <c r="CP480" s="42" t="str">
        <f t="shared" si="288"/>
        <v/>
      </c>
      <c r="CQ480" s="42" t="str">
        <f t="shared" si="289"/>
        <v/>
      </c>
      <c r="CR480" s="42" t="str">
        <f t="shared" si="290"/>
        <v/>
      </c>
      <c r="CS480" s="42" t="str">
        <f t="shared" si="291"/>
        <v/>
      </c>
      <c r="CT480" s="42" t="str">
        <f t="shared" si="292"/>
        <v/>
      </c>
      <c r="CU480" s="43" t="str">
        <f t="shared" si="293"/>
        <v/>
      </c>
      <c r="CV480" s="43" t="str">
        <f t="shared" si="294"/>
        <v/>
      </c>
      <c r="CW480" s="43" t="str">
        <f t="shared" si="295"/>
        <v/>
      </c>
      <c r="CX480" s="13"/>
    </row>
    <row r="481" spans="1:102" x14ac:dyDescent="0.25">
      <c r="A481" s="31"/>
      <c r="B481" s="13"/>
      <c r="C481" s="13"/>
      <c r="D481" s="13"/>
      <c r="E481" s="32"/>
      <c r="F481" s="32"/>
      <c r="G481" s="32"/>
      <c r="H481" s="32"/>
      <c r="I481" s="32"/>
      <c r="J481" s="13"/>
      <c r="K481" s="33"/>
      <c r="L481" s="34" t="str">
        <f>IFERROR(INDEX('Pokemon Data'!A:A,MATCH($A481,'Pokemon Data'!$B:$B,0)),"")</f>
        <v/>
      </c>
      <c r="M481" s="34" t="str">
        <f>IFERROR(INDEX('Pokemon Data'!I:I,MATCH($A481,'Pokemon Data'!$B:$B,0)),"")</f>
        <v/>
      </c>
      <c r="N481" s="34" t="str">
        <f>IFERROR(INDEX('Pokemon Data'!J:J,MATCH($A481,'Pokemon Data'!$B:$B,0)),"")</f>
        <v/>
      </c>
      <c r="O481" s="34" t="str">
        <f>IFERROR(INDEX('Pokemon Data'!K:K,MATCH($A481,'Pokemon Data'!$B:$B,0)),"")</f>
        <v/>
      </c>
      <c r="P481" s="35" t="str">
        <f>IFERROR(INDEX('Level Multipliers'!$A:$A,MATCH($D481,'Level Multipliers'!$B:$B,0)),"")</f>
        <v/>
      </c>
      <c r="Q481" s="36" t="str">
        <f>IFERROR(INDEX('Level Multipliers'!$D:$D,MATCH(P481,'Level Multipliers'!$A:$A,0)),"")</f>
        <v/>
      </c>
      <c r="R481" s="37" t="str">
        <f t="shared" si="259"/>
        <v/>
      </c>
      <c r="S481" s="37" t="str">
        <f t="shared" si="260"/>
        <v/>
      </c>
      <c r="T481" s="38" t="str">
        <f t="shared" si="261"/>
        <v/>
      </c>
      <c r="U481" s="38" t="str">
        <f t="shared" si="262"/>
        <v/>
      </c>
      <c r="V481" s="38" t="b">
        <f t="shared" si="263"/>
        <v>1</v>
      </c>
      <c r="W481" s="37" t="str">
        <f t="array" ref="W481:AG481">IF(V481,"",IVSolution($M481,$N481,$O481,R481,S481,T481,U481,$E481,$F481,$G481,$H481,$I481))</f>
        <v/>
      </c>
      <c r="X481" s="37" t="str">
        <v/>
      </c>
      <c r="Y481" s="37" t="str">
        <v/>
      </c>
      <c r="Z481" s="39" t="str">
        <v/>
      </c>
      <c r="AA481" s="39" t="str">
        <v/>
      </c>
      <c r="AB481" s="37" t="str">
        <v/>
      </c>
      <c r="AC481" s="37" t="str">
        <v/>
      </c>
      <c r="AD481" s="37" t="str">
        <v/>
      </c>
      <c r="AE481" s="37" t="str">
        <v/>
      </c>
      <c r="AF481" s="37" t="str">
        <v/>
      </c>
      <c r="AG481" s="37" t="str">
        <v/>
      </c>
      <c r="AH481" s="40" t="str">
        <f t="shared" si="264"/>
        <v/>
      </c>
      <c r="AI481" s="36" t="str">
        <f>IFERROR(INDEX('Level Multipliers'!$D:$D,MATCH(AH481,'Level Multipliers'!$A:$A,0)),"")</f>
        <v/>
      </c>
      <c r="AJ481" s="37" t="str">
        <f t="shared" si="265"/>
        <v/>
      </c>
      <c r="AK481" s="37" t="str">
        <f t="shared" si="266"/>
        <v/>
      </c>
      <c r="AL481" s="38" t="str">
        <f t="shared" si="267"/>
        <v/>
      </c>
      <c r="AM481" s="38" t="str">
        <f t="shared" si="268"/>
        <v/>
      </c>
      <c r="AN481" s="38" t="b">
        <f t="shared" si="269"/>
        <v>1</v>
      </c>
      <c r="AO481" s="37" t="str">
        <f t="array" ref="AO481:AY481">IF(AN481,"",IVSolution($M481,$N481,$O481,AJ481,AK481,AL481,AM481,$E481,$F481,$G481,$H481,$I481))</f>
        <v/>
      </c>
      <c r="AP481" s="37" t="str">
        <v/>
      </c>
      <c r="AQ481" s="37" t="str">
        <v/>
      </c>
      <c r="AR481" s="39" t="str">
        <v/>
      </c>
      <c r="AS481" s="39" t="str">
        <v/>
      </c>
      <c r="AT481" s="37" t="str">
        <v/>
      </c>
      <c r="AU481" s="37" t="str">
        <v/>
      </c>
      <c r="AV481" s="37" t="str">
        <v/>
      </c>
      <c r="AW481" s="37" t="str">
        <v/>
      </c>
      <c r="AX481" s="37" t="str">
        <v/>
      </c>
      <c r="AY481" s="37" t="str">
        <v/>
      </c>
      <c r="AZ481" s="40" t="str">
        <f t="shared" si="270"/>
        <v/>
      </c>
      <c r="BA481" s="36" t="str">
        <f>IFERROR(INDEX('Level Multipliers'!$D:$D,MATCH(AZ481,'Level Multipliers'!$A:$A,0)),"")</f>
        <v/>
      </c>
      <c r="BB481" s="37" t="str">
        <f t="shared" si="271"/>
        <v/>
      </c>
      <c r="BC481" s="37" t="str">
        <f t="shared" si="272"/>
        <v/>
      </c>
      <c r="BD481" s="38" t="str">
        <f t="shared" si="273"/>
        <v/>
      </c>
      <c r="BE481" s="38" t="str">
        <f t="shared" si="274"/>
        <v/>
      </c>
      <c r="BF481" s="38" t="b">
        <f t="shared" si="275"/>
        <v>1</v>
      </c>
      <c r="BG481" s="37" t="str">
        <f t="array" ref="BG481:BQ481">IF(BF481,"",IVSolution($M481,$N481,$O481,BB481,BC481,BD481,BE481,$E481,$F481,$G481,$H481,$I481))</f>
        <v/>
      </c>
      <c r="BH481" s="37" t="str">
        <v/>
      </c>
      <c r="BI481" s="37" t="str">
        <v/>
      </c>
      <c r="BJ481" s="39" t="str">
        <v/>
      </c>
      <c r="BK481" s="39" t="str">
        <v/>
      </c>
      <c r="BL481" s="37" t="str">
        <v/>
      </c>
      <c r="BM481" s="37" t="str">
        <v/>
      </c>
      <c r="BN481" s="37" t="str">
        <v/>
      </c>
      <c r="BO481" s="37" t="str">
        <v/>
      </c>
      <c r="BP481" s="37" t="str">
        <v/>
      </c>
      <c r="BQ481" s="37" t="str">
        <v/>
      </c>
      <c r="BR481" s="40" t="str">
        <f t="shared" si="276"/>
        <v/>
      </c>
      <c r="BS481" s="36" t="str">
        <f>IFERROR(INDEX('Level Multipliers'!$D:$D,MATCH(BR481,'Level Multipliers'!$A:$A,0)),"")</f>
        <v/>
      </c>
      <c r="BT481" s="37" t="str">
        <f t="shared" si="277"/>
        <v/>
      </c>
      <c r="BU481" s="37" t="str">
        <f t="shared" si="278"/>
        <v/>
      </c>
      <c r="BV481" s="38" t="str">
        <f t="shared" si="279"/>
        <v/>
      </c>
      <c r="BW481" s="38" t="str">
        <f t="shared" si="280"/>
        <v/>
      </c>
      <c r="BX481" s="38" t="b">
        <f t="shared" si="281"/>
        <v>1</v>
      </c>
      <c r="BY481" s="37" t="str">
        <f t="array" ref="BY481:CI481">IF(BX481,"",IVSolution($M481,$N481,$O481,BT481,BU481,BV481,BW481,$E481,$F481,$G481,$H481,$I481))</f>
        <v/>
      </c>
      <c r="BZ481" s="37" t="str">
        <v/>
      </c>
      <c r="CA481" s="37" t="str">
        <v/>
      </c>
      <c r="CB481" s="39" t="str">
        <v/>
      </c>
      <c r="CC481" s="39" t="str">
        <v/>
      </c>
      <c r="CD481" s="37" t="str">
        <v/>
      </c>
      <c r="CE481" s="37" t="str">
        <v/>
      </c>
      <c r="CF481" s="37" t="str">
        <v/>
      </c>
      <c r="CG481" s="37" t="str">
        <v/>
      </c>
      <c r="CH481" s="37" t="str">
        <v/>
      </c>
      <c r="CI481" s="37" t="str">
        <v/>
      </c>
      <c r="CJ481" s="41" t="str">
        <f t="shared" si="282"/>
        <v/>
      </c>
      <c r="CK481" s="41" t="str">
        <f t="shared" si="283"/>
        <v/>
      </c>
      <c r="CL481" s="66" t="str">
        <f t="shared" si="284"/>
        <v/>
      </c>
      <c r="CM481" s="39" t="str">
        <f t="shared" si="285"/>
        <v/>
      </c>
      <c r="CN481" s="39" t="str">
        <f t="shared" si="286"/>
        <v/>
      </c>
      <c r="CO481" s="42" t="str">
        <f t="shared" si="287"/>
        <v/>
      </c>
      <c r="CP481" s="42" t="str">
        <f t="shared" si="288"/>
        <v/>
      </c>
      <c r="CQ481" s="42" t="str">
        <f t="shared" si="289"/>
        <v/>
      </c>
      <c r="CR481" s="42" t="str">
        <f t="shared" si="290"/>
        <v/>
      </c>
      <c r="CS481" s="42" t="str">
        <f t="shared" si="291"/>
        <v/>
      </c>
      <c r="CT481" s="42" t="str">
        <f t="shared" si="292"/>
        <v/>
      </c>
      <c r="CU481" s="43" t="str">
        <f t="shared" si="293"/>
        <v/>
      </c>
      <c r="CV481" s="43" t="str">
        <f t="shared" si="294"/>
        <v/>
      </c>
      <c r="CW481" s="43" t="str">
        <f t="shared" si="295"/>
        <v/>
      </c>
      <c r="CX481" s="13"/>
    </row>
    <row r="482" spans="1:102" x14ac:dyDescent="0.25">
      <c r="A482" s="31"/>
      <c r="B482" s="13"/>
      <c r="C482" s="13"/>
      <c r="D482" s="13"/>
      <c r="E482" s="32"/>
      <c r="F482" s="32"/>
      <c r="G482" s="32"/>
      <c r="H482" s="32"/>
      <c r="I482" s="32"/>
      <c r="J482" s="13"/>
      <c r="K482" s="33"/>
      <c r="L482" s="34" t="str">
        <f>IFERROR(INDEX('Pokemon Data'!A:A,MATCH($A482,'Pokemon Data'!$B:$B,0)),"")</f>
        <v/>
      </c>
      <c r="M482" s="34" t="str">
        <f>IFERROR(INDEX('Pokemon Data'!I:I,MATCH($A482,'Pokemon Data'!$B:$B,0)),"")</f>
        <v/>
      </c>
      <c r="N482" s="34" t="str">
        <f>IFERROR(INDEX('Pokemon Data'!J:J,MATCH($A482,'Pokemon Data'!$B:$B,0)),"")</f>
        <v/>
      </c>
      <c r="O482" s="34" t="str">
        <f>IFERROR(INDEX('Pokemon Data'!K:K,MATCH($A482,'Pokemon Data'!$B:$B,0)),"")</f>
        <v/>
      </c>
      <c r="P482" s="35" t="str">
        <f>IFERROR(INDEX('Level Multipliers'!$A:$A,MATCH($D482,'Level Multipliers'!$B:$B,0)),"")</f>
        <v/>
      </c>
      <c r="Q482" s="36" t="str">
        <f>IFERROR(INDEX('Level Multipliers'!$D:$D,MATCH(P482,'Level Multipliers'!$A:$A,0)),"")</f>
        <v/>
      </c>
      <c r="R482" s="37" t="str">
        <f t="shared" si="259"/>
        <v/>
      </c>
      <c r="S482" s="37" t="str">
        <f t="shared" si="260"/>
        <v/>
      </c>
      <c r="T482" s="38" t="str">
        <f t="shared" si="261"/>
        <v/>
      </c>
      <c r="U482" s="38" t="str">
        <f t="shared" si="262"/>
        <v/>
      </c>
      <c r="V482" s="38" t="b">
        <f t="shared" si="263"/>
        <v>1</v>
      </c>
      <c r="W482" s="37" t="str">
        <f t="array" ref="W482:AG482">IF(V482,"",IVSolution($M482,$N482,$O482,R482,S482,T482,U482,$E482,$F482,$G482,$H482,$I482))</f>
        <v/>
      </c>
      <c r="X482" s="37" t="str">
        <v/>
      </c>
      <c r="Y482" s="37" t="str">
        <v/>
      </c>
      <c r="Z482" s="39" t="str">
        <v/>
      </c>
      <c r="AA482" s="39" t="str">
        <v/>
      </c>
      <c r="AB482" s="37" t="str">
        <v/>
      </c>
      <c r="AC482" s="37" t="str">
        <v/>
      </c>
      <c r="AD482" s="37" t="str">
        <v/>
      </c>
      <c r="AE482" s="37" t="str">
        <v/>
      </c>
      <c r="AF482" s="37" t="str">
        <v/>
      </c>
      <c r="AG482" s="37" t="str">
        <v/>
      </c>
      <c r="AH482" s="40" t="str">
        <f t="shared" si="264"/>
        <v/>
      </c>
      <c r="AI482" s="36" t="str">
        <f>IFERROR(INDEX('Level Multipliers'!$D:$D,MATCH(AH482,'Level Multipliers'!$A:$A,0)),"")</f>
        <v/>
      </c>
      <c r="AJ482" s="37" t="str">
        <f t="shared" si="265"/>
        <v/>
      </c>
      <c r="AK482" s="37" t="str">
        <f t="shared" si="266"/>
        <v/>
      </c>
      <c r="AL482" s="38" t="str">
        <f t="shared" si="267"/>
        <v/>
      </c>
      <c r="AM482" s="38" t="str">
        <f t="shared" si="268"/>
        <v/>
      </c>
      <c r="AN482" s="38" t="b">
        <f t="shared" si="269"/>
        <v>1</v>
      </c>
      <c r="AO482" s="37" t="str">
        <f t="array" ref="AO482:AY482">IF(AN482,"",IVSolution($M482,$N482,$O482,AJ482,AK482,AL482,AM482,$E482,$F482,$G482,$H482,$I482))</f>
        <v/>
      </c>
      <c r="AP482" s="37" t="str">
        <v/>
      </c>
      <c r="AQ482" s="37" t="str">
        <v/>
      </c>
      <c r="AR482" s="39" t="str">
        <v/>
      </c>
      <c r="AS482" s="39" t="str">
        <v/>
      </c>
      <c r="AT482" s="37" t="str">
        <v/>
      </c>
      <c r="AU482" s="37" t="str">
        <v/>
      </c>
      <c r="AV482" s="37" t="str">
        <v/>
      </c>
      <c r="AW482" s="37" t="str">
        <v/>
      </c>
      <c r="AX482" s="37" t="str">
        <v/>
      </c>
      <c r="AY482" s="37" t="str">
        <v/>
      </c>
      <c r="AZ482" s="40" t="str">
        <f t="shared" si="270"/>
        <v/>
      </c>
      <c r="BA482" s="36" t="str">
        <f>IFERROR(INDEX('Level Multipliers'!$D:$D,MATCH(AZ482,'Level Multipliers'!$A:$A,0)),"")</f>
        <v/>
      </c>
      <c r="BB482" s="37" t="str">
        <f t="shared" si="271"/>
        <v/>
      </c>
      <c r="BC482" s="37" t="str">
        <f t="shared" si="272"/>
        <v/>
      </c>
      <c r="BD482" s="38" t="str">
        <f t="shared" si="273"/>
        <v/>
      </c>
      <c r="BE482" s="38" t="str">
        <f t="shared" si="274"/>
        <v/>
      </c>
      <c r="BF482" s="38" t="b">
        <f t="shared" si="275"/>
        <v>1</v>
      </c>
      <c r="BG482" s="37" t="str">
        <f t="array" ref="BG482:BQ482">IF(BF482,"",IVSolution($M482,$N482,$O482,BB482,BC482,BD482,BE482,$E482,$F482,$G482,$H482,$I482))</f>
        <v/>
      </c>
      <c r="BH482" s="37" t="str">
        <v/>
      </c>
      <c r="BI482" s="37" t="str">
        <v/>
      </c>
      <c r="BJ482" s="39" t="str">
        <v/>
      </c>
      <c r="BK482" s="39" t="str">
        <v/>
      </c>
      <c r="BL482" s="37" t="str">
        <v/>
      </c>
      <c r="BM482" s="37" t="str">
        <v/>
      </c>
      <c r="BN482" s="37" t="str">
        <v/>
      </c>
      <c r="BO482" s="37" t="str">
        <v/>
      </c>
      <c r="BP482" s="37" t="str">
        <v/>
      </c>
      <c r="BQ482" s="37" t="str">
        <v/>
      </c>
      <c r="BR482" s="40" t="str">
        <f t="shared" si="276"/>
        <v/>
      </c>
      <c r="BS482" s="36" t="str">
        <f>IFERROR(INDEX('Level Multipliers'!$D:$D,MATCH(BR482,'Level Multipliers'!$A:$A,0)),"")</f>
        <v/>
      </c>
      <c r="BT482" s="37" t="str">
        <f t="shared" si="277"/>
        <v/>
      </c>
      <c r="BU482" s="37" t="str">
        <f t="shared" si="278"/>
        <v/>
      </c>
      <c r="BV482" s="38" t="str">
        <f t="shared" si="279"/>
        <v/>
      </c>
      <c r="BW482" s="38" t="str">
        <f t="shared" si="280"/>
        <v/>
      </c>
      <c r="BX482" s="38" t="b">
        <f t="shared" si="281"/>
        <v>1</v>
      </c>
      <c r="BY482" s="37" t="str">
        <f t="array" ref="BY482:CI482">IF(BX482,"",IVSolution($M482,$N482,$O482,BT482,BU482,BV482,BW482,$E482,$F482,$G482,$H482,$I482))</f>
        <v/>
      </c>
      <c r="BZ482" s="37" t="str">
        <v/>
      </c>
      <c r="CA482" s="37" t="str">
        <v/>
      </c>
      <c r="CB482" s="39" t="str">
        <v/>
      </c>
      <c r="CC482" s="39" t="str">
        <v/>
      </c>
      <c r="CD482" s="37" t="str">
        <v/>
      </c>
      <c r="CE482" s="37" t="str">
        <v/>
      </c>
      <c r="CF482" s="37" t="str">
        <v/>
      </c>
      <c r="CG482" s="37" t="str">
        <v/>
      </c>
      <c r="CH482" s="37" t="str">
        <v/>
      </c>
      <c r="CI482" s="37" t="str">
        <v/>
      </c>
      <c r="CJ482" s="41" t="str">
        <f t="shared" si="282"/>
        <v/>
      </c>
      <c r="CK482" s="41" t="str">
        <f t="shared" si="283"/>
        <v/>
      </c>
      <c r="CL482" s="66" t="str">
        <f t="shared" si="284"/>
        <v/>
      </c>
      <c r="CM482" s="39" t="str">
        <f t="shared" si="285"/>
        <v/>
      </c>
      <c r="CN482" s="39" t="str">
        <f t="shared" si="286"/>
        <v/>
      </c>
      <c r="CO482" s="42" t="str">
        <f t="shared" si="287"/>
        <v/>
      </c>
      <c r="CP482" s="42" t="str">
        <f t="shared" si="288"/>
        <v/>
      </c>
      <c r="CQ482" s="42" t="str">
        <f t="shared" si="289"/>
        <v/>
      </c>
      <c r="CR482" s="42" t="str">
        <f t="shared" si="290"/>
        <v/>
      </c>
      <c r="CS482" s="42" t="str">
        <f t="shared" si="291"/>
        <v/>
      </c>
      <c r="CT482" s="42" t="str">
        <f t="shared" si="292"/>
        <v/>
      </c>
      <c r="CU482" s="43" t="str">
        <f t="shared" si="293"/>
        <v/>
      </c>
      <c r="CV482" s="43" t="str">
        <f t="shared" si="294"/>
        <v/>
      </c>
      <c r="CW482" s="43" t="str">
        <f t="shared" si="295"/>
        <v/>
      </c>
      <c r="CX482" s="13"/>
    </row>
    <row r="483" spans="1:102" x14ac:dyDescent="0.25">
      <c r="A483" s="31"/>
      <c r="B483" s="13"/>
      <c r="C483" s="13"/>
      <c r="D483" s="13"/>
      <c r="E483" s="32"/>
      <c r="F483" s="32"/>
      <c r="G483" s="32"/>
      <c r="H483" s="32"/>
      <c r="I483" s="32"/>
      <c r="J483" s="13"/>
      <c r="K483" s="33"/>
      <c r="L483" s="34" t="str">
        <f>IFERROR(INDEX('Pokemon Data'!A:A,MATCH($A483,'Pokemon Data'!$B:$B,0)),"")</f>
        <v/>
      </c>
      <c r="M483" s="34" t="str">
        <f>IFERROR(INDEX('Pokemon Data'!I:I,MATCH($A483,'Pokemon Data'!$B:$B,0)),"")</f>
        <v/>
      </c>
      <c r="N483" s="34" t="str">
        <f>IFERROR(INDEX('Pokemon Data'!J:J,MATCH($A483,'Pokemon Data'!$B:$B,0)),"")</f>
        <v/>
      </c>
      <c r="O483" s="34" t="str">
        <f>IFERROR(INDEX('Pokemon Data'!K:K,MATCH($A483,'Pokemon Data'!$B:$B,0)),"")</f>
        <v/>
      </c>
      <c r="P483" s="35" t="str">
        <f>IFERROR(INDEX('Level Multipliers'!$A:$A,MATCH($D483,'Level Multipliers'!$B:$B,0)),"")</f>
        <v/>
      </c>
      <c r="Q483" s="36" t="str">
        <f>IFERROR(INDEX('Level Multipliers'!$D:$D,MATCH(P483,'Level Multipliers'!$A:$A,0)),"")</f>
        <v/>
      </c>
      <c r="R483" s="37" t="str">
        <f t="shared" si="259"/>
        <v/>
      </c>
      <c r="S483" s="37" t="str">
        <f t="shared" si="260"/>
        <v/>
      </c>
      <c r="T483" s="38" t="str">
        <f t="shared" si="261"/>
        <v/>
      </c>
      <c r="U483" s="38" t="str">
        <f t="shared" si="262"/>
        <v/>
      </c>
      <c r="V483" s="38" t="b">
        <f t="shared" si="263"/>
        <v>1</v>
      </c>
      <c r="W483" s="37" t="str">
        <f t="array" ref="W483:AG483">IF(V483,"",IVSolution($M483,$N483,$O483,R483,S483,T483,U483,$E483,$F483,$G483,$H483,$I483))</f>
        <v/>
      </c>
      <c r="X483" s="37" t="str">
        <v/>
      </c>
      <c r="Y483" s="37" t="str">
        <v/>
      </c>
      <c r="Z483" s="39" t="str">
        <v/>
      </c>
      <c r="AA483" s="39" t="str">
        <v/>
      </c>
      <c r="AB483" s="37" t="str">
        <v/>
      </c>
      <c r="AC483" s="37" t="str">
        <v/>
      </c>
      <c r="AD483" s="37" t="str">
        <v/>
      </c>
      <c r="AE483" s="37" t="str">
        <v/>
      </c>
      <c r="AF483" s="37" t="str">
        <v/>
      </c>
      <c r="AG483" s="37" t="str">
        <v/>
      </c>
      <c r="AH483" s="40" t="str">
        <f t="shared" si="264"/>
        <v/>
      </c>
      <c r="AI483" s="36" t="str">
        <f>IFERROR(INDEX('Level Multipliers'!$D:$D,MATCH(AH483,'Level Multipliers'!$A:$A,0)),"")</f>
        <v/>
      </c>
      <c r="AJ483" s="37" t="str">
        <f t="shared" si="265"/>
        <v/>
      </c>
      <c r="AK483" s="37" t="str">
        <f t="shared" si="266"/>
        <v/>
      </c>
      <c r="AL483" s="38" t="str">
        <f t="shared" si="267"/>
        <v/>
      </c>
      <c r="AM483" s="38" t="str">
        <f t="shared" si="268"/>
        <v/>
      </c>
      <c r="AN483" s="38" t="b">
        <f t="shared" si="269"/>
        <v>1</v>
      </c>
      <c r="AO483" s="37" t="str">
        <f t="array" ref="AO483:AY483">IF(AN483,"",IVSolution($M483,$N483,$O483,AJ483,AK483,AL483,AM483,$E483,$F483,$G483,$H483,$I483))</f>
        <v/>
      </c>
      <c r="AP483" s="37" t="str">
        <v/>
      </c>
      <c r="AQ483" s="37" t="str">
        <v/>
      </c>
      <c r="AR483" s="39" t="str">
        <v/>
      </c>
      <c r="AS483" s="39" t="str">
        <v/>
      </c>
      <c r="AT483" s="37" t="str">
        <v/>
      </c>
      <c r="AU483" s="37" t="str">
        <v/>
      </c>
      <c r="AV483" s="37" t="str">
        <v/>
      </c>
      <c r="AW483" s="37" t="str">
        <v/>
      </c>
      <c r="AX483" s="37" t="str">
        <v/>
      </c>
      <c r="AY483" s="37" t="str">
        <v/>
      </c>
      <c r="AZ483" s="40" t="str">
        <f t="shared" si="270"/>
        <v/>
      </c>
      <c r="BA483" s="36" t="str">
        <f>IFERROR(INDEX('Level Multipliers'!$D:$D,MATCH(AZ483,'Level Multipliers'!$A:$A,0)),"")</f>
        <v/>
      </c>
      <c r="BB483" s="37" t="str">
        <f t="shared" si="271"/>
        <v/>
      </c>
      <c r="BC483" s="37" t="str">
        <f t="shared" si="272"/>
        <v/>
      </c>
      <c r="BD483" s="38" t="str">
        <f t="shared" si="273"/>
        <v/>
      </c>
      <c r="BE483" s="38" t="str">
        <f t="shared" si="274"/>
        <v/>
      </c>
      <c r="BF483" s="38" t="b">
        <f t="shared" si="275"/>
        <v>1</v>
      </c>
      <c r="BG483" s="37" t="str">
        <f t="array" ref="BG483:BQ483">IF(BF483,"",IVSolution($M483,$N483,$O483,BB483,BC483,BD483,BE483,$E483,$F483,$G483,$H483,$I483))</f>
        <v/>
      </c>
      <c r="BH483" s="37" t="str">
        <v/>
      </c>
      <c r="BI483" s="37" t="str">
        <v/>
      </c>
      <c r="BJ483" s="39" t="str">
        <v/>
      </c>
      <c r="BK483" s="39" t="str">
        <v/>
      </c>
      <c r="BL483" s="37" t="str">
        <v/>
      </c>
      <c r="BM483" s="37" t="str">
        <v/>
      </c>
      <c r="BN483" s="37" t="str">
        <v/>
      </c>
      <c r="BO483" s="37" t="str">
        <v/>
      </c>
      <c r="BP483" s="37" t="str">
        <v/>
      </c>
      <c r="BQ483" s="37" t="str">
        <v/>
      </c>
      <c r="BR483" s="40" t="str">
        <f t="shared" si="276"/>
        <v/>
      </c>
      <c r="BS483" s="36" t="str">
        <f>IFERROR(INDEX('Level Multipliers'!$D:$D,MATCH(BR483,'Level Multipliers'!$A:$A,0)),"")</f>
        <v/>
      </c>
      <c r="BT483" s="37" t="str">
        <f t="shared" si="277"/>
        <v/>
      </c>
      <c r="BU483" s="37" t="str">
        <f t="shared" si="278"/>
        <v/>
      </c>
      <c r="BV483" s="38" t="str">
        <f t="shared" si="279"/>
        <v/>
      </c>
      <c r="BW483" s="38" t="str">
        <f t="shared" si="280"/>
        <v/>
      </c>
      <c r="BX483" s="38" t="b">
        <f t="shared" si="281"/>
        <v>1</v>
      </c>
      <c r="BY483" s="37" t="str">
        <f t="array" ref="BY483:CI483">IF(BX483,"",IVSolution($M483,$N483,$O483,BT483,BU483,BV483,BW483,$E483,$F483,$G483,$H483,$I483))</f>
        <v/>
      </c>
      <c r="BZ483" s="37" t="str">
        <v/>
      </c>
      <c r="CA483" s="37" t="str">
        <v/>
      </c>
      <c r="CB483" s="39" t="str">
        <v/>
      </c>
      <c r="CC483" s="39" t="str">
        <v/>
      </c>
      <c r="CD483" s="37" t="str">
        <v/>
      </c>
      <c r="CE483" s="37" t="str">
        <v/>
      </c>
      <c r="CF483" s="37" t="str">
        <v/>
      </c>
      <c r="CG483" s="37" t="str">
        <v/>
      </c>
      <c r="CH483" s="37" t="str">
        <v/>
      </c>
      <c r="CI483" s="37" t="str">
        <v/>
      </c>
      <c r="CJ483" s="41" t="str">
        <f t="shared" si="282"/>
        <v/>
      </c>
      <c r="CK483" s="41" t="str">
        <f t="shared" si="283"/>
        <v/>
      </c>
      <c r="CL483" s="66" t="str">
        <f t="shared" si="284"/>
        <v/>
      </c>
      <c r="CM483" s="39" t="str">
        <f t="shared" si="285"/>
        <v/>
      </c>
      <c r="CN483" s="39" t="str">
        <f t="shared" si="286"/>
        <v/>
      </c>
      <c r="CO483" s="42" t="str">
        <f t="shared" si="287"/>
        <v/>
      </c>
      <c r="CP483" s="42" t="str">
        <f t="shared" si="288"/>
        <v/>
      </c>
      <c r="CQ483" s="42" t="str">
        <f t="shared" si="289"/>
        <v/>
      </c>
      <c r="CR483" s="42" t="str">
        <f t="shared" si="290"/>
        <v/>
      </c>
      <c r="CS483" s="42" t="str">
        <f t="shared" si="291"/>
        <v/>
      </c>
      <c r="CT483" s="42" t="str">
        <f t="shared" si="292"/>
        <v/>
      </c>
      <c r="CU483" s="43" t="str">
        <f t="shared" si="293"/>
        <v/>
      </c>
      <c r="CV483" s="43" t="str">
        <f t="shared" si="294"/>
        <v/>
      </c>
      <c r="CW483" s="43" t="str">
        <f t="shared" si="295"/>
        <v/>
      </c>
      <c r="CX483" s="13"/>
    </row>
    <row r="484" spans="1:102" x14ac:dyDescent="0.25">
      <c r="A484" s="31"/>
      <c r="B484" s="13"/>
      <c r="C484" s="13"/>
      <c r="D484" s="13"/>
      <c r="E484" s="32"/>
      <c r="F484" s="32"/>
      <c r="G484" s="32"/>
      <c r="H484" s="32"/>
      <c r="I484" s="32"/>
      <c r="J484" s="13"/>
      <c r="K484" s="33"/>
      <c r="L484" s="34" t="str">
        <f>IFERROR(INDEX('Pokemon Data'!A:A,MATCH($A484,'Pokemon Data'!$B:$B,0)),"")</f>
        <v/>
      </c>
      <c r="M484" s="34" t="str">
        <f>IFERROR(INDEX('Pokemon Data'!I:I,MATCH($A484,'Pokemon Data'!$B:$B,0)),"")</f>
        <v/>
      </c>
      <c r="N484" s="34" t="str">
        <f>IFERROR(INDEX('Pokemon Data'!J:J,MATCH($A484,'Pokemon Data'!$B:$B,0)),"")</f>
        <v/>
      </c>
      <c r="O484" s="34" t="str">
        <f>IFERROR(INDEX('Pokemon Data'!K:K,MATCH($A484,'Pokemon Data'!$B:$B,0)),"")</f>
        <v/>
      </c>
      <c r="P484" s="35" t="str">
        <f>IFERROR(INDEX('Level Multipliers'!$A:$A,MATCH($D484,'Level Multipliers'!$B:$B,0)),"")</f>
        <v/>
      </c>
      <c r="Q484" s="36" t="str">
        <f>IFERROR(INDEX('Level Multipliers'!$D:$D,MATCH(P484,'Level Multipliers'!$A:$A,0)),"")</f>
        <v/>
      </c>
      <c r="R484" s="37" t="str">
        <f t="shared" si="259"/>
        <v/>
      </c>
      <c r="S484" s="37" t="str">
        <f t="shared" si="260"/>
        <v/>
      </c>
      <c r="T484" s="38" t="str">
        <f t="shared" si="261"/>
        <v/>
      </c>
      <c r="U484" s="38" t="str">
        <f t="shared" si="262"/>
        <v/>
      </c>
      <c r="V484" s="38" t="b">
        <f t="shared" si="263"/>
        <v>1</v>
      </c>
      <c r="W484" s="37" t="str">
        <f t="array" ref="W484:AG484">IF(V484,"",IVSolution($M484,$N484,$O484,R484,S484,T484,U484,$E484,$F484,$G484,$H484,$I484))</f>
        <v/>
      </c>
      <c r="X484" s="37" t="str">
        <v/>
      </c>
      <c r="Y484" s="37" t="str">
        <v/>
      </c>
      <c r="Z484" s="39" t="str">
        <v/>
      </c>
      <c r="AA484" s="39" t="str">
        <v/>
      </c>
      <c r="AB484" s="37" t="str">
        <v/>
      </c>
      <c r="AC484" s="37" t="str">
        <v/>
      </c>
      <c r="AD484" s="37" t="str">
        <v/>
      </c>
      <c r="AE484" s="37" t="str">
        <v/>
      </c>
      <c r="AF484" s="37" t="str">
        <v/>
      </c>
      <c r="AG484" s="37" t="str">
        <v/>
      </c>
      <c r="AH484" s="40" t="str">
        <f t="shared" si="264"/>
        <v/>
      </c>
      <c r="AI484" s="36" t="str">
        <f>IFERROR(INDEX('Level Multipliers'!$D:$D,MATCH(AH484,'Level Multipliers'!$A:$A,0)),"")</f>
        <v/>
      </c>
      <c r="AJ484" s="37" t="str">
        <f t="shared" si="265"/>
        <v/>
      </c>
      <c r="AK484" s="37" t="str">
        <f t="shared" si="266"/>
        <v/>
      </c>
      <c r="AL484" s="38" t="str">
        <f t="shared" si="267"/>
        <v/>
      </c>
      <c r="AM484" s="38" t="str">
        <f t="shared" si="268"/>
        <v/>
      </c>
      <c r="AN484" s="38" t="b">
        <f t="shared" si="269"/>
        <v>1</v>
      </c>
      <c r="AO484" s="37" t="str">
        <f t="array" ref="AO484:AY484">IF(AN484,"",IVSolution($M484,$N484,$O484,AJ484,AK484,AL484,AM484,$E484,$F484,$G484,$H484,$I484))</f>
        <v/>
      </c>
      <c r="AP484" s="37" t="str">
        <v/>
      </c>
      <c r="AQ484" s="37" t="str">
        <v/>
      </c>
      <c r="AR484" s="39" t="str">
        <v/>
      </c>
      <c r="AS484" s="39" t="str">
        <v/>
      </c>
      <c r="AT484" s="37" t="str">
        <v/>
      </c>
      <c r="AU484" s="37" t="str">
        <v/>
      </c>
      <c r="AV484" s="37" t="str">
        <v/>
      </c>
      <c r="AW484" s="37" t="str">
        <v/>
      </c>
      <c r="AX484" s="37" t="str">
        <v/>
      </c>
      <c r="AY484" s="37" t="str">
        <v/>
      </c>
      <c r="AZ484" s="40" t="str">
        <f t="shared" si="270"/>
        <v/>
      </c>
      <c r="BA484" s="36" t="str">
        <f>IFERROR(INDEX('Level Multipliers'!$D:$D,MATCH(AZ484,'Level Multipliers'!$A:$A,0)),"")</f>
        <v/>
      </c>
      <c r="BB484" s="37" t="str">
        <f t="shared" si="271"/>
        <v/>
      </c>
      <c r="BC484" s="37" t="str">
        <f t="shared" si="272"/>
        <v/>
      </c>
      <c r="BD484" s="38" t="str">
        <f t="shared" si="273"/>
        <v/>
      </c>
      <c r="BE484" s="38" t="str">
        <f t="shared" si="274"/>
        <v/>
      </c>
      <c r="BF484" s="38" t="b">
        <f t="shared" si="275"/>
        <v>1</v>
      </c>
      <c r="BG484" s="37" t="str">
        <f t="array" ref="BG484:BQ484">IF(BF484,"",IVSolution($M484,$N484,$O484,BB484,BC484,BD484,BE484,$E484,$F484,$G484,$H484,$I484))</f>
        <v/>
      </c>
      <c r="BH484" s="37" t="str">
        <v/>
      </c>
      <c r="BI484" s="37" t="str">
        <v/>
      </c>
      <c r="BJ484" s="39" t="str">
        <v/>
      </c>
      <c r="BK484" s="39" t="str">
        <v/>
      </c>
      <c r="BL484" s="37" t="str">
        <v/>
      </c>
      <c r="BM484" s="37" t="str">
        <v/>
      </c>
      <c r="BN484" s="37" t="str">
        <v/>
      </c>
      <c r="BO484" s="37" t="str">
        <v/>
      </c>
      <c r="BP484" s="37" t="str">
        <v/>
      </c>
      <c r="BQ484" s="37" t="str">
        <v/>
      </c>
      <c r="BR484" s="40" t="str">
        <f t="shared" si="276"/>
        <v/>
      </c>
      <c r="BS484" s="36" t="str">
        <f>IFERROR(INDEX('Level Multipliers'!$D:$D,MATCH(BR484,'Level Multipliers'!$A:$A,0)),"")</f>
        <v/>
      </c>
      <c r="BT484" s="37" t="str">
        <f t="shared" si="277"/>
        <v/>
      </c>
      <c r="BU484" s="37" t="str">
        <f t="shared" si="278"/>
        <v/>
      </c>
      <c r="BV484" s="38" t="str">
        <f t="shared" si="279"/>
        <v/>
      </c>
      <c r="BW484" s="38" t="str">
        <f t="shared" si="280"/>
        <v/>
      </c>
      <c r="BX484" s="38" t="b">
        <f t="shared" si="281"/>
        <v>1</v>
      </c>
      <c r="BY484" s="37" t="str">
        <f t="array" ref="BY484:CI484">IF(BX484,"",IVSolution($M484,$N484,$O484,BT484,BU484,BV484,BW484,$E484,$F484,$G484,$H484,$I484))</f>
        <v/>
      </c>
      <c r="BZ484" s="37" t="str">
        <v/>
      </c>
      <c r="CA484" s="37" t="str">
        <v/>
      </c>
      <c r="CB484" s="39" t="str">
        <v/>
      </c>
      <c r="CC484" s="39" t="str">
        <v/>
      </c>
      <c r="CD484" s="37" t="str">
        <v/>
      </c>
      <c r="CE484" s="37" t="str">
        <v/>
      </c>
      <c r="CF484" s="37" t="str">
        <v/>
      </c>
      <c r="CG484" s="37" t="str">
        <v/>
      </c>
      <c r="CH484" s="37" t="str">
        <v/>
      </c>
      <c r="CI484" s="37" t="str">
        <v/>
      </c>
      <c r="CJ484" s="41" t="str">
        <f t="shared" si="282"/>
        <v/>
      </c>
      <c r="CK484" s="41" t="str">
        <f t="shared" si="283"/>
        <v/>
      </c>
      <c r="CL484" s="66" t="str">
        <f t="shared" si="284"/>
        <v/>
      </c>
      <c r="CM484" s="39" t="str">
        <f t="shared" si="285"/>
        <v/>
      </c>
      <c r="CN484" s="39" t="str">
        <f t="shared" si="286"/>
        <v/>
      </c>
      <c r="CO484" s="42" t="str">
        <f t="shared" si="287"/>
        <v/>
      </c>
      <c r="CP484" s="42" t="str">
        <f t="shared" si="288"/>
        <v/>
      </c>
      <c r="CQ484" s="42" t="str">
        <f t="shared" si="289"/>
        <v/>
      </c>
      <c r="CR484" s="42" t="str">
        <f t="shared" si="290"/>
        <v/>
      </c>
      <c r="CS484" s="42" t="str">
        <f t="shared" si="291"/>
        <v/>
      </c>
      <c r="CT484" s="42" t="str">
        <f t="shared" si="292"/>
        <v/>
      </c>
      <c r="CU484" s="43" t="str">
        <f t="shared" si="293"/>
        <v/>
      </c>
      <c r="CV484" s="43" t="str">
        <f t="shared" si="294"/>
        <v/>
      </c>
      <c r="CW484" s="43" t="str">
        <f t="shared" si="295"/>
        <v/>
      </c>
      <c r="CX484" s="13"/>
    </row>
    <row r="485" spans="1:102" x14ac:dyDescent="0.25">
      <c r="A485" s="31"/>
      <c r="B485" s="13"/>
      <c r="C485" s="13"/>
      <c r="D485" s="13"/>
      <c r="E485" s="32"/>
      <c r="F485" s="32"/>
      <c r="G485" s="32"/>
      <c r="H485" s="32"/>
      <c r="I485" s="32"/>
      <c r="J485" s="13"/>
      <c r="K485" s="33"/>
      <c r="L485" s="34" t="str">
        <f>IFERROR(INDEX('Pokemon Data'!A:A,MATCH($A485,'Pokemon Data'!$B:$B,0)),"")</f>
        <v/>
      </c>
      <c r="M485" s="34" t="str">
        <f>IFERROR(INDEX('Pokemon Data'!I:I,MATCH($A485,'Pokemon Data'!$B:$B,0)),"")</f>
        <v/>
      </c>
      <c r="N485" s="34" t="str">
        <f>IFERROR(INDEX('Pokemon Data'!J:J,MATCH($A485,'Pokemon Data'!$B:$B,0)),"")</f>
        <v/>
      </c>
      <c r="O485" s="34" t="str">
        <f>IFERROR(INDEX('Pokemon Data'!K:K,MATCH($A485,'Pokemon Data'!$B:$B,0)),"")</f>
        <v/>
      </c>
      <c r="P485" s="35" t="str">
        <f>IFERROR(INDEX('Level Multipliers'!$A:$A,MATCH($D485,'Level Multipliers'!$B:$B,0)),"")</f>
        <v/>
      </c>
      <c r="Q485" s="36" t="str">
        <f>IFERROR(INDEX('Level Multipliers'!$D:$D,MATCH(P485,'Level Multipliers'!$A:$A,0)),"")</f>
        <v/>
      </c>
      <c r="R485" s="37" t="str">
        <f t="shared" si="259"/>
        <v/>
      </c>
      <c r="S485" s="37" t="str">
        <f t="shared" si="260"/>
        <v/>
      </c>
      <c r="T485" s="38" t="str">
        <f t="shared" si="261"/>
        <v/>
      </c>
      <c r="U485" s="38" t="str">
        <f t="shared" si="262"/>
        <v/>
      </c>
      <c r="V485" s="38" t="b">
        <f t="shared" si="263"/>
        <v>1</v>
      </c>
      <c r="W485" s="37" t="str">
        <f t="array" ref="W485:AG485">IF(V485,"",IVSolution($M485,$N485,$O485,R485,S485,T485,U485,$E485,$F485,$G485,$H485,$I485))</f>
        <v/>
      </c>
      <c r="X485" s="37" t="str">
        <v/>
      </c>
      <c r="Y485" s="37" t="str">
        <v/>
      </c>
      <c r="Z485" s="39" t="str">
        <v/>
      </c>
      <c r="AA485" s="39" t="str">
        <v/>
      </c>
      <c r="AB485" s="37" t="str">
        <v/>
      </c>
      <c r="AC485" s="37" t="str">
        <v/>
      </c>
      <c r="AD485" s="37" t="str">
        <v/>
      </c>
      <c r="AE485" s="37" t="str">
        <v/>
      </c>
      <c r="AF485" s="37" t="str">
        <v/>
      </c>
      <c r="AG485" s="37" t="str">
        <v/>
      </c>
      <c r="AH485" s="40" t="str">
        <f t="shared" si="264"/>
        <v/>
      </c>
      <c r="AI485" s="36" t="str">
        <f>IFERROR(INDEX('Level Multipliers'!$D:$D,MATCH(AH485,'Level Multipliers'!$A:$A,0)),"")</f>
        <v/>
      </c>
      <c r="AJ485" s="37" t="str">
        <f t="shared" si="265"/>
        <v/>
      </c>
      <c r="AK485" s="37" t="str">
        <f t="shared" si="266"/>
        <v/>
      </c>
      <c r="AL485" s="38" t="str">
        <f t="shared" si="267"/>
        <v/>
      </c>
      <c r="AM485" s="38" t="str">
        <f t="shared" si="268"/>
        <v/>
      </c>
      <c r="AN485" s="38" t="b">
        <f t="shared" si="269"/>
        <v>1</v>
      </c>
      <c r="AO485" s="37" t="str">
        <f t="array" ref="AO485:AY485">IF(AN485,"",IVSolution($M485,$N485,$O485,AJ485,AK485,AL485,AM485,$E485,$F485,$G485,$H485,$I485))</f>
        <v/>
      </c>
      <c r="AP485" s="37" t="str">
        <v/>
      </c>
      <c r="AQ485" s="37" t="str">
        <v/>
      </c>
      <c r="AR485" s="39" t="str">
        <v/>
      </c>
      <c r="AS485" s="39" t="str">
        <v/>
      </c>
      <c r="AT485" s="37" t="str">
        <v/>
      </c>
      <c r="AU485" s="37" t="str">
        <v/>
      </c>
      <c r="AV485" s="37" t="str">
        <v/>
      </c>
      <c r="AW485" s="37" t="str">
        <v/>
      </c>
      <c r="AX485" s="37" t="str">
        <v/>
      </c>
      <c r="AY485" s="37" t="str">
        <v/>
      </c>
      <c r="AZ485" s="40" t="str">
        <f t="shared" si="270"/>
        <v/>
      </c>
      <c r="BA485" s="36" t="str">
        <f>IFERROR(INDEX('Level Multipliers'!$D:$D,MATCH(AZ485,'Level Multipliers'!$A:$A,0)),"")</f>
        <v/>
      </c>
      <c r="BB485" s="37" t="str">
        <f t="shared" si="271"/>
        <v/>
      </c>
      <c r="BC485" s="37" t="str">
        <f t="shared" si="272"/>
        <v/>
      </c>
      <c r="BD485" s="38" t="str">
        <f t="shared" si="273"/>
        <v/>
      </c>
      <c r="BE485" s="38" t="str">
        <f t="shared" si="274"/>
        <v/>
      </c>
      <c r="BF485" s="38" t="b">
        <f t="shared" si="275"/>
        <v>1</v>
      </c>
      <c r="BG485" s="37" t="str">
        <f t="array" ref="BG485:BQ485">IF(BF485,"",IVSolution($M485,$N485,$O485,BB485,BC485,BD485,BE485,$E485,$F485,$G485,$H485,$I485))</f>
        <v/>
      </c>
      <c r="BH485" s="37" t="str">
        <v/>
      </c>
      <c r="BI485" s="37" t="str">
        <v/>
      </c>
      <c r="BJ485" s="39" t="str">
        <v/>
      </c>
      <c r="BK485" s="39" t="str">
        <v/>
      </c>
      <c r="BL485" s="37" t="str">
        <v/>
      </c>
      <c r="BM485" s="37" t="str">
        <v/>
      </c>
      <c r="BN485" s="37" t="str">
        <v/>
      </c>
      <c r="BO485" s="37" t="str">
        <v/>
      </c>
      <c r="BP485" s="37" t="str">
        <v/>
      </c>
      <c r="BQ485" s="37" t="str">
        <v/>
      </c>
      <c r="BR485" s="40" t="str">
        <f t="shared" si="276"/>
        <v/>
      </c>
      <c r="BS485" s="36" t="str">
        <f>IFERROR(INDEX('Level Multipliers'!$D:$D,MATCH(BR485,'Level Multipliers'!$A:$A,0)),"")</f>
        <v/>
      </c>
      <c r="BT485" s="37" t="str">
        <f t="shared" si="277"/>
        <v/>
      </c>
      <c r="BU485" s="37" t="str">
        <f t="shared" si="278"/>
        <v/>
      </c>
      <c r="BV485" s="38" t="str">
        <f t="shared" si="279"/>
        <v/>
      </c>
      <c r="BW485" s="38" t="str">
        <f t="shared" si="280"/>
        <v/>
      </c>
      <c r="BX485" s="38" t="b">
        <f t="shared" si="281"/>
        <v>1</v>
      </c>
      <c r="BY485" s="37" t="str">
        <f t="array" ref="BY485:CI485">IF(BX485,"",IVSolution($M485,$N485,$O485,BT485,BU485,BV485,BW485,$E485,$F485,$G485,$H485,$I485))</f>
        <v/>
      </c>
      <c r="BZ485" s="37" t="str">
        <v/>
      </c>
      <c r="CA485" s="37" t="str">
        <v/>
      </c>
      <c r="CB485" s="39" t="str">
        <v/>
      </c>
      <c r="CC485" s="39" t="str">
        <v/>
      </c>
      <c r="CD485" s="37" t="str">
        <v/>
      </c>
      <c r="CE485" s="37" t="str">
        <v/>
      </c>
      <c r="CF485" s="37" t="str">
        <v/>
      </c>
      <c r="CG485" s="37" t="str">
        <v/>
      </c>
      <c r="CH485" s="37" t="str">
        <v/>
      </c>
      <c r="CI485" s="37" t="str">
        <v/>
      </c>
      <c r="CJ485" s="41" t="str">
        <f t="shared" si="282"/>
        <v/>
      </c>
      <c r="CK485" s="41" t="str">
        <f t="shared" si="283"/>
        <v/>
      </c>
      <c r="CL485" s="66" t="str">
        <f t="shared" si="284"/>
        <v/>
      </c>
      <c r="CM485" s="39" t="str">
        <f t="shared" si="285"/>
        <v/>
      </c>
      <c r="CN485" s="39" t="str">
        <f t="shared" si="286"/>
        <v/>
      </c>
      <c r="CO485" s="42" t="str">
        <f t="shared" si="287"/>
        <v/>
      </c>
      <c r="CP485" s="42" t="str">
        <f t="shared" si="288"/>
        <v/>
      </c>
      <c r="CQ485" s="42" t="str">
        <f t="shared" si="289"/>
        <v/>
      </c>
      <c r="CR485" s="42" t="str">
        <f t="shared" si="290"/>
        <v/>
      </c>
      <c r="CS485" s="42" t="str">
        <f t="shared" si="291"/>
        <v/>
      </c>
      <c r="CT485" s="42" t="str">
        <f t="shared" si="292"/>
        <v/>
      </c>
      <c r="CU485" s="43" t="str">
        <f t="shared" si="293"/>
        <v/>
      </c>
      <c r="CV485" s="43" t="str">
        <f t="shared" si="294"/>
        <v/>
      </c>
      <c r="CW485" s="43" t="str">
        <f t="shared" si="295"/>
        <v/>
      </c>
      <c r="CX485" s="13"/>
    </row>
    <row r="486" spans="1:102" x14ac:dyDescent="0.25">
      <c r="A486" s="31"/>
      <c r="B486" s="13"/>
      <c r="C486" s="13"/>
      <c r="D486" s="13"/>
      <c r="E486" s="32"/>
      <c r="F486" s="32"/>
      <c r="G486" s="32"/>
      <c r="H486" s="32"/>
      <c r="I486" s="32"/>
      <c r="J486" s="13"/>
      <c r="K486" s="33"/>
      <c r="L486" s="34" t="str">
        <f>IFERROR(INDEX('Pokemon Data'!A:A,MATCH($A486,'Pokemon Data'!$B:$B,0)),"")</f>
        <v/>
      </c>
      <c r="M486" s="34" t="str">
        <f>IFERROR(INDEX('Pokemon Data'!I:I,MATCH($A486,'Pokemon Data'!$B:$B,0)),"")</f>
        <v/>
      </c>
      <c r="N486" s="34" t="str">
        <f>IFERROR(INDEX('Pokemon Data'!J:J,MATCH($A486,'Pokemon Data'!$B:$B,0)),"")</f>
        <v/>
      </c>
      <c r="O486" s="34" t="str">
        <f>IFERROR(INDEX('Pokemon Data'!K:K,MATCH($A486,'Pokemon Data'!$B:$B,0)),"")</f>
        <v/>
      </c>
      <c r="P486" s="35" t="str">
        <f>IFERROR(INDEX('Level Multipliers'!$A:$A,MATCH($D486,'Level Multipliers'!$B:$B,0)),"")</f>
        <v/>
      </c>
      <c r="Q486" s="36" t="str">
        <f>IFERROR(INDEX('Level Multipliers'!$D:$D,MATCH(P486,'Level Multipliers'!$A:$A,0)),"")</f>
        <v/>
      </c>
      <c r="R486" s="37" t="str">
        <f t="shared" si="259"/>
        <v/>
      </c>
      <c r="S486" s="37" t="str">
        <f t="shared" si="260"/>
        <v/>
      </c>
      <c r="T486" s="38" t="str">
        <f t="shared" si="261"/>
        <v/>
      </c>
      <c r="U486" s="38" t="str">
        <f t="shared" si="262"/>
        <v/>
      </c>
      <c r="V486" s="38" t="b">
        <f t="shared" si="263"/>
        <v>1</v>
      </c>
      <c r="W486" s="37" t="str">
        <f t="array" ref="W486:AG486">IF(V486,"",IVSolution($M486,$N486,$O486,R486,S486,T486,U486,$E486,$F486,$G486,$H486,$I486))</f>
        <v/>
      </c>
      <c r="X486" s="37" t="str">
        <v/>
      </c>
      <c r="Y486" s="37" t="str">
        <v/>
      </c>
      <c r="Z486" s="39" t="str">
        <v/>
      </c>
      <c r="AA486" s="39" t="str">
        <v/>
      </c>
      <c r="AB486" s="37" t="str">
        <v/>
      </c>
      <c r="AC486" s="37" t="str">
        <v/>
      </c>
      <c r="AD486" s="37" t="str">
        <v/>
      </c>
      <c r="AE486" s="37" t="str">
        <v/>
      </c>
      <c r="AF486" s="37" t="str">
        <v/>
      </c>
      <c r="AG486" s="37" t="str">
        <v/>
      </c>
      <c r="AH486" s="40" t="str">
        <f t="shared" si="264"/>
        <v/>
      </c>
      <c r="AI486" s="36" t="str">
        <f>IFERROR(INDEX('Level Multipliers'!$D:$D,MATCH(AH486,'Level Multipliers'!$A:$A,0)),"")</f>
        <v/>
      </c>
      <c r="AJ486" s="37" t="str">
        <f t="shared" si="265"/>
        <v/>
      </c>
      <c r="AK486" s="37" t="str">
        <f t="shared" si="266"/>
        <v/>
      </c>
      <c r="AL486" s="38" t="str">
        <f t="shared" si="267"/>
        <v/>
      </c>
      <c r="AM486" s="38" t="str">
        <f t="shared" si="268"/>
        <v/>
      </c>
      <c r="AN486" s="38" t="b">
        <f t="shared" si="269"/>
        <v>1</v>
      </c>
      <c r="AO486" s="37" t="str">
        <f t="array" ref="AO486:AY486">IF(AN486,"",IVSolution($M486,$N486,$O486,AJ486,AK486,AL486,AM486,$E486,$F486,$G486,$H486,$I486))</f>
        <v/>
      </c>
      <c r="AP486" s="37" t="str">
        <v/>
      </c>
      <c r="AQ486" s="37" t="str">
        <v/>
      </c>
      <c r="AR486" s="39" t="str">
        <v/>
      </c>
      <c r="AS486" s="39" t="str">
        <v/>
      </c>
      <c r="AT486" s="37" t="str">
        <v/>
      </c>
      <c r="AU486" s="37" t="str">
        <v/>
      </c>
      <c r="AV486" s="37" t="str">
        <v/>
      </c>
      <c r="AW486" s="37" t="str">
        <v/>
      </c>
      <c r="AX486" s="37" t="str">
        <v/>
      </c>
      <c r="AY486" s="37" t="str">
        <v/>
      </c>
      <c r="AZ486" s="40" t="str">
        <f t="shared" si="270"/>
        <v/>
      </c>
      <c r="BA486" s="36" t="str">
        <f>IFERROR(INDEX('Level Multipliers'!$D:$D,MATCH(AZ486,'Level Multipliers'!$A:$A,0)),"")</f>
        <v/>
      </c>
      <c r="BB486" s="37" t="str">
        <f t="shared" si="271"/>
        <v/>
      </c>
      <c r="BC486" s="37" t="str">
        <f t="shared" si="272"/>
        <v/>
      </c>
      <c r="BD486" s="38" t="str">
        <f t="shared" si="273"/>
        <v/>
      </c>
      <c r="BE486" s="38" t="str">
        <f t="shared" si="274"/>
        <v/>
      </c>
      <c r="BF486" s="38" t="b">
        <f t="shared" si="275"/>
        <v>1</v>
      </c>
      <c r="BG486" s="37" t="str">
        <f t="array" ref="BG486:BQ486">IF(BF486,"",IVSolution($M486,$N486,$O486,BB486,BC486,BD486,BE486,$E486,$F486,$G486,$H486,$I486))</f>
        <v/>
      </c>
      <c r="BH486" s="37" t="str">
        <v/>
      </c>
      <c r="BI486" s="37" t="str">
        <v/>
      </c>
      <c r="BJ486" s="39" t="str">
        <v/>
      </c>
      <c r="BK486" s="39" t="str">
        <v/>
      </c>
      <c r="BL486" s="37" t="str">
        <v/>
      </c>
      <c r="BM486" s="37" t="str">
        <v/>
      </c>
      <c r="BN486" s="37" t="str">
        <v/>
      </c>
      <c r="BO486" s="37" t="str">
        <v/>
      </c>
      <c r="BP486" s="37" t="str">
        <v/>
      </c>
      <c r="BQ486" s="37" t="str">
        <v/>
      </c>
      <c r="BR486" s="40" t="str">
        <f t="shared" si="276"/>
        <v/>
      </c>
      <c r="BS486" s="36" t="str">
        <f>IFERROR(INDEX('Level Multipliers'!$D:$D,MATCH(BR486,'Level Multipliers'!$A:$A,0)),"")</f>
        <v/>
      </c>
      <c r="BT486" s="37" t="str">
        <f t="shared" si="277"/>
        <v/>
      </c>
      <c r="BU486" s="37" t="str">
        <f t="shared" si="278"/>
        <v/>
      </c>
      <c r="BV486" s="38" t="str">
        <f t="shared" si="279"/>
        <v/>
      </c>
      <c r="BW486" s="38" t="str">
        <f t="shared" si="280"/>
        <v/>
      </c>
      <c r="BX486" s="38" t="b">
        <f t="shared" si="281"/>
        <v>1</v>
      </c>
      <c r="BY486" s="37" t="str">
        <f t="array" ref="BY486:CI486">IF(BX486,"",IVSolution($M486,$N486,$O486,BT486,BU486,BV486,BW486,$E486,$F486,$G486,$H486,$I486))</f>
        <v/>
      </c>
      <c r="BZ486" s="37" t="str">
        <v/>
      </c>
      <c r="CA486" s="37" t="str">
        <v/>
      </c>
      <c r="CB486" s="39" t="str">
        <v/>
      </c>
      <c r="CC486" s="39" t="str">
        <v/>
      </c>
      <c r="CD486" s="37" t="str">
        <v/>
      </c>
      <c r="CE486" s="37" t="str">
        <v/>
      </c>
      <c r="CF486" s="37" t="str">
        <v/>
      </c>
      <c r="CG486" s="37" t="str">
        <v/>
      </c>
      <c r="CH486" s="37" t="str">
        <v/>
      </c>
      <c r="CI486" s="37" t="str">
        <v/>
      </c>
      <c r="CJ486" s="41" t="str">
        <f t="shared" si="282"/>
        <v/>
      </c>
      <c r="CK486" s="41" t="str">
        <f t="shared" si="283"/>
        <v/>
      </c>
      <c r="CL486" s="66" t="str">
        <f t="shared" si="284"/>
        <v/>
      </c>
      <c r="CM486" s="39" t="str">
        <f t="shared" si="285"/>
        <v/>
      </c>
      <c r="CN486" s="39" t="str">
        <f t="shared" si="286"/>
        <v/>
      </c>
      <c r="CO486" s="42" t="str">
        <f t="shared" si="287"/>
        <v/>
      </c>
      <c r="CP486" s="42" t="str">
        <f t="shared" si="288"/>
        <v/>
      </c>
      <c r="CQ486" s="42" t="str">
        <f t="shared" si="289"/>
        <v/>
      </c>
      <c r="CR486" s="42" t="str">
        <f t="shared" si="290"/>
        <v/>
      </c>
      <c r="CS486" s="42" t="str">
        <f t="shared" si="291"/>
        <v/>
      </c>
      <c r="CT486" s="42" t="str">
        <f t="shared" si="292"/>
        <v/>
      </c>
      <c r="CU486" s="43" t="str">
        <f t="shared" si="293"/>
        <v/>
      </c>
      <c r="CV486" s="43" t="str">
        <f t="shared" si="294"/>
        <v/>
      </c>
      <c r="CW486" s="43" t="str">
        <f t="shared" si="295"/>
        <v/>
      </c>
      <c r="CX486" s="13"/>
    </row>
    <row r="487" spans="1:102" x14ac:dyDescent="0.25">
      <c r="A487" s="31"/>
      <c r="B487" s="13"/>
      <c r="C487" s="13"/>
      <c r="D487" s="13"/>
      <c r="E487" s="32"/>
      <c r="F487" s="32"/>
      <c r="G487" s="32"/>
      <c r="H487" s="32"/>
      <c r="I487" s="32"/>
      <c r="J487" s="13"/>
      <c r="K487" s="33"/>
      <c r="L487" s="34" t="str">
        <f>IFERROR(INDEX('Pokemon Data'!A:A,MATCH($A487,'Pokemon Data'!$B:$B,0)),"")</f>
        <v/>
      </c>
      <c r="M487" s="34" t="str">
        <f>IFERROR(INDEX('Pokemon Data'!I:I,MATCH($A487,'Pokemon Data'!$B:$B,0)),"")</f>
        <v/>
      </c>
      <c r="N487" s="34" t="str">
        <f>IFERROR(INDEX('Pokemon Data'!J:J,MATCH($A487,'Pokemon Data'!$B:$B,0)),"")</f>
        <v/>
      </c>
      <c r="O487" s="34" t="str">
        <f>IFERROR(INDEX('Pokemon Data'!K:K,MATCH($A487,'Pokemon Data'!$B:$B,0)),"")</f>
        <v/>
      </c>
      <c r="P487" s="35" t="str">
        <f>IFERROR(INDEX('Level Multipliers'!$A:$A,MATCH($D487,'Level Multipliers'!$B:$B,0)),"")</f>
        <v/>
      </c>
      <c r="Q487" s="36" t="str">
        <f>IFERROR(INDEX('Level Multipliers'!$D:$D,MATCH(P487,'Level Multipliers'!$A:$A,0)),"")</f>
        <v/>
      </c>
      <c r="R487" s="37" t="str">
        <f t="shared" si="259"/>
        <v/>
      </c>
      <c r="S487" s="37" t="str">
        <f t="shared" si="260"/>
        <v/>
      </c>
      <c r="T487" s="38" t="str">
        <f t="shared" si="261"/>
        <v/>
      </c>
      <c r="U487" s="38" t="str">
        <f t="shared" si="262"/>
        <v/>
      </c>
      <c r="V487" s="38" t="b">
        <f t="shared" si="263"/>
        <v>1</v>
      </c>
      <c r="W487" s="37" t="str">
        <f t="array" ref="W487:AG487">IF(V487,"",IVSolution($M487,$N487,$O487,R487,S487,T487,U487,$E487,$F487,$G487,$H487,$I487))</f>
        <v/>
      </c>
      <c r="X487" s="37" t="str">
        <v/>
      </c>
      <c r="Y487" s="37" t="str">
        <v/>
      </c>
      <c r="Z487" s="39" t="str">
        <v/>
      </c>
      <c r="AA487" s="39" t="str">
        <v/>
      </c>
      <c r="AB487" s="37" t="str">
        <v/>
      </c>
      <c r="AC487" s="37" t="str">
        <v/>
      </c>
      <c r="AD487" s="37" t="str">
        <v/>
      </c>
      <c r="AE487" s="37" t="str">
        <v/>
      </c>
      <c r="AF487" s="37" t="str">
        <v/>
      </c>
      <c r="AG487" s="37" t="str">
        <v/>
      </c>
      <c r="AH487" s="40" t="str">
        <f t="shared" si="264"/>
        <v/>
      </c>
      <c r="AI487" s="36" t="str">
        <f>IFERROR(INDEX('Level Multipliers'!$D:$D,MATCH(AH487,'Level Multipliers'!$A:$A,0)),"")</f>
        <v/>
      </c>
      <c r="AJ487" s="37" t="str">
        <f t="shared" si="265"/>
        <v/>
      </c>
      <c r="AK487" s="37" t="str">
        <f t="shared" si="266"/>
        <v/>
      </c>
      <c r="AL487" s="38" t="str">
        <f t="shared" si="267"/>
        <v/>
      </c>
      <c r="AM487" s="38" t="str">
        <f t="shared" si="268"/>
        <v/>
      </c>
      <c r="AN487" s="38" t="b">
        <f t="shared" si="269"/>
        <v>1</v>
      </c>
      <c r="AO487" s="37" t="str">
        <f t="array" ref="AO487:AY487">IF(AN487,"",IVSolution($M487,$N487,$O487,AJ487,AK487,AL487,AM487,$E487,$F487,$G487,$H487,$I487))</f>
        <v/>
      </c>
      <c r="AP487" s="37" t="str">
        <v/>
      </c>
      <c r="AQ487" s="37" t="str">
        <v/>
      </c>
      <c r="AR487" s="39" t="str">
        <v/>
      </c>
      <c r="AS487" s="39" t="str">
        <v/>
      </c>
      <c r="AT487" s="37" t="str">
        <v/>
      </c>
      <c r="AU487" s="37" t="str">
        <v/>
      </c>
      <c r="AV487" s="37" t="str">
        <v/>
      </c>
      <c r="AW487" s="37" t="str">
        <v/>
      </c>
      <c r="AX487" s="37" t="str">
        <v/>
      </c>
      <c r="AY487" s="37" t="str">
        <v/>
      </c>
      <c r="AZ487" s="40" t="str">
        <f t="shared" si="270"/>
        <v/>
      </c>
      <c r="BA487" s="36" t="str">
        <f>IFERROR(INDEX('Level Multipliers'!$D:$D,MATCH(AZ487,'Level Multipliers'!$A:$A,0)),"")</f>
        <v/>
      </c>
      <c r="BB487" s="37" t="str">
        <f t="shared" si="271"/>
        <v/>
      </c>
      <c r="BC487" s="37" t="str">
        <f t="shared" si="272"/>
        <v/>
      </c>
      <c r="BD487" s="38" t="str">
        <f t="shared" si="273"/>
        <v/>
      </c>
      <c r="BE487" s="38" t="str">
        <f t="shared" si="274"/>
        <v/>
      </c>
      <c r="BF487" s="38" t="b">
        <f t="shared" si="275"/>
        <v>1</v>
      </c>
      <c r="BG487" s="37" t="str">
        <f t="array" ref="BG487:BQ487">IF(BF487,"",IVSolution($M487,$N487,$O487,BB487,BC487,BD487,BE487,$E487,$F487,$G487,$H487,$I487))</f>
        <v/>
      </c>
      <c r="BH487" s="37" t="str">
        <v/>
      </c>
      <c r="BI487" s="37" t="str">
        <v/>
      </c>
      <c r="BJ487" s="39" t="str">
        <v/>
      </c>
      <c r="BK487" s="39" t="str">
        <v/>
      </c>
      <c r="BL487" s="37" t="str">
        <v/>
      </c>
      <c r="BM487" s="37" t="str">
        <v/>
      </c>
      <c r="BN487" s="37" t="str">
        <v/>
      </c>
      <c r="BO487" s="37" t="str">
        <v/>
      </c>
      <c r="BP487" s="37" t="str">
        <v/>
      </c>
      <c r="BQ487" s="37" t="str">
        <v/>
      </c>
      <c r="BR487" s="40" t="str">
        <f t="shared" si="276"/>
        <v/>
      </c>
      <c r="BS487" s="36" t="str">
        <f>IFERROR(INDEX('Level Multipliers'!$D:$D,MATCH(BR487,'Level Multipliers'!$A:$A,0)),"")</f>
        <v/>
      </c>
      <c r="BT487" s="37" t="str">
        <f t="shared" si="277"/>
        <v/>
      </c>
      <c r="BU487" s="37" t="str">
        <f t="shared" si="278"/>
        <v/>
      </c>
      <c r="BV487" s="38" t="str">
        <f t="shared" si="279"/>
        <v/>
      </c>
      <c r="BW487" s="38" t="str">
        <f t="shared" si="280"/>
        <v/>
      </c>
      <c r="BX487" s="38" t="b">
        <f t="shared" si="281"/>
        <v>1</v>
      </c>
      <c r="BY487" s="37" t="str">
        <f t="array" ref="BY487:CI487">IF(BX487,"",IVSolution($M487,$N487,$O487,BT487,BU487,BV487,BW487,$E487,$F487,$G487,$H487,$I487))</f>
        <v/>
      </c>
      <c r="BZ487" s="37" t="str">
        <v/>
      </c>
      <c r="CA487" s="37" t="str">
        <v/>
      </c>
      <c r="CB487" s="39" t="str">
        <v/>
      </c>
      <c r="CC487" s="39" t="str">
        <v/>
      </c>
      <c r="CD487" s="37" t="str">
        <v/>
      </c>
      <c r="CE487" s="37" t="str">
        <v/>
      </c>
      <c r="CF487" s="37" t="str">
        <v/>
      </c>
      <c r="CG487" s="37" t="str">
        <v/>
      </c>
      <c r="CH487" s="37" t="str">
        <v/>
      </c>
      <c r="CI487" s="37" t="str">
        <v/>
      </c>
      <c r="CJ487" s="41" t="str">
        <f t="shared" si="282"/>
        <v/>
      </c>
      <c r="CK487" s="41" t="str">
        <f t="shared" si="283"/>
        <v/>
      </c>
      <c r="CL487" s="66" t="str">
        <f t="shared" si="284"/>
        <v/>
      </c>
      <c r="CM487" s="39" t="str">
        <f t="shared" si="285"/>
        <v/>
      </c>
      <c r="CN487" s="39" t="str">
        <f t="shared" si="286"/>
        <v/>
      </c>
      <c r="CO487" s="42" t="str">
        <f t="shared" si="287"/>
        <v/>
      </c>
      <c r="CP487" s="42" t="str">
        <f t="shared" si="288"/>
        <v/>
      </c>
      <c r="CQ487" s="42" t="str">
        <f t="shared" si="289"/>
        <v/>
      </c>
      <c r="CR487" s="42" t="str">
        <f t="shared" si="290"/>
        <v/>
      </c>
      <c r="CS487" s="42" t="str">
        <f t="shared" si="291"/>
        <v/>
      </c>
      <c r="CT487" s="42" t="str">
        <f t="shared" si="292"/>
        <v/>
      </c>
      <c r="CU487" s="43" t="str">
        <f t="shared" si="293"/>
        <v/>
      </c>
      <c r="CV487" s="43" t="str">
        <f t="shared" si="294"/>
        <v/>
      </c>
      <c r="CW487" s="43" t="str">
        <f t="shared" si="295"/>
        <v/>
      </c>
      <c r="CX487" s="13"/>
    </row>
    <row r="488" spans="1:102" x14ac:dyDescent="0.25">
      <c r="A488" s="31"/>
      <c r="B488" s="13"/>
      <c r="C488" s="13"/>
      <c r="D488" s="13"/>
      <c r="E488" s="32"/>
      <c r="F488" s="32"/>
      <c r="G488" s="32"/>
      <c r="H488" s="32"/>
      <c r="I488" s="32"/>
      <c r="J488" s="13"/>
      <c r="K488" s="33"/>
      <c r="L488" s="34" t="str">
        <f>IFERROR(INDEX('Pokemon Data'!A:A,MATCH($A488,'Pokemon Data'!$B:$B,0)),"")</f>
        <v/>
      </c>
      <c r="M488" s="34" t="str">
        <f>IFERROR(INDEX('Pokemon Data'!I:I,MATCH($A488,'Pokemon Data'!$B:$B,0)),"")</f>
        <v/>
      </c>
      <c r="N488" s="34" t="str">
        <f>IFERROR(INDEX('Pokemon Data'!J:J,MATCH($A488,'Pokemon Data'!$B:$B,0)),"")</f>
        <v/>
      </c>
      <c r="O488" s="34" t="str">
        <f>IFERROR(INDEX('Pokemon Data'!K:K,MATCH($A488,'Pokemon Data'!$B:$B,0)),"")</f>
        <v/>
      </c>
      <c r="P488" s="35" t="str">
        <f>IFERROR(INDEX('Level Multipliers'!$A:$A,MATCH($D488,'Level Multipliers'!$B:$B,0)),"")</f>
        <v/>
      </c>
      <c r="Q488" s="36" t="str">
        <f>IFERROR(INDEX('Level Multipliers'!$D:$D,MATCH(P488,'Level Multipliers'!$A:$A,0)),"")</f>
        <v/>
      </c>
      <c r="R488" s="37" t="str">
        <f t="shared" si="259"/>
        <v/>
      </c>
      <c r="S488" s="37" t="str">
        <f t="shared" si="260"/>
        <v/>
      </c>
      <c r="T488" s="38" t="str">
        <f t="shared" si="261"/>
        <v/>
      </c>
      <c r="U488" s="38" t="str">
        <f t="shared" si="262"/>
        <v/>
      </c>
      <c r="V488" s="38" t="b">
        <f t="shared" si="263"/>
        <v>1</v>
      </c>
      <c r="W488" s="37" t="str">
        <f t="array" ref="W488:AG488">IF(V488,"",IVSolution($M488,$N488,$O488,R488,S488,T488,U488,$E488,$F488,$G488,$H488,$I488))</f>
        <v/>
      </c>
      <c r="X488" s="37" t="str">
        <v/>
      </c>
      <c r="Y488" s="37" t="str">
        <v/>
      </c>
      <c r="Z488" s="39" t="str">
        <v/>
      </c>
      <c r="AA488" s="39" t="str">
        <v/>
      </c>
      <c r="AB488" s="37" t="str">
        <v/>
      </c>
      <c r="AC488" s="37" t="str">
        <v/>
      </c>
      <c r="AD488" s="37" t="str">
        <v/>
      </c>
      <c r="AE488" s="37" t="str">
        <v/>
      </c>
      <c r="AF488" s="37" t="str">
        <v/>
      </c>
      <c r="AG488" s="37" t="str">
        <v/>
      </c>
      <c r="AH488" s="40" t="str">
        <f t="shared" si="264"/>
        <v/>
      </c>
      <c r="AI488" s="36" t="str">
        <f>IFERROR(INDEX('Level Multipliers'!$D:$D,MATCH(AH488,'Level Multipliers'!$A:$A,0)),"")</f>
        <v/>
      </c>
      <c r="AJ488" s="37" t="str">
        <f t="shared" si="265"/>
        <v/>
      </c>
      <c r="AK488" s="37" t="str">
        <f t="shared" si="266"/>
        <v/>
      </c>
      <c r="AL488" s="38" t="str">
        <f t="shared" si="267"/>
        <v/>
      </c>
      <c r="AM488" s="38" t="str">
        <f t="shared" si="268"/>
        <v/>
      </c>
      <c r="AN488" s="38" t="b">
        <f t="shared" si="269"/>
        <v>1</v>
      </c>
      <c r="AO488" s="37" t="str">
        <f t="array" ref="AO488:AY488">IF(AN488,"",IVSolution($M488,$N488,$O488,AJ488,AK488,AL488,AM488,$E488,$F488,$G488,$H488,$I488))</f>
        <v/>
      </c>
      <c r="AP488" s="37" t="str">
        <v/>
      </c>
      <c r="AQ488" s="37" t="str">
        <v/>
      </c>
      <c r="AR488" s="39" t="str">
        <v/>
      </c>
      <c r="AS488" s="39" t="str">
        <v/>
      </c>
      <c r="AT488" s="37" t="str">
        <v/>
      </c>
      <c r="AU488" s="37" t="str">
        <v/>
      </c>
      <c r="AV488" s="37" t="str">
        <v/>
      </c>
      <c r="AW488" s="37" t="str">
        <v/>
      </c>
      <c r="AX488" s="37" t="str">
        <v/>
      </c>
      <c r="AY488" s="37" t="str">
        <v/>
      </c>
      <c r="AZ488" s="40" t="str">
        <f t="shared" si="270"/>
        <v/>
      </c>
      <c r="BA488" s="36" t="str">
        <f>IFERROR(INDEX('Level Multipliers'!$D:$D,MATCH(AZ488,'Level Multipliers'!$A:$A,0)),"")</f>
        <v/>
      </c>
      <c r="BB488" s="37" t="str">
        <f t="shared" si="271"/>
        <v/>
      </c>
      <c r="BC488" s="37" t="str">
        <f t="shared" si="272"/>
        <v/>
      </c>
      <c r="BD488" s="38" t="str">
        <f t="shared" si="273"/>
        <v/>
      </c>
      <c r="BE488" s="38" t="str">
        <f t="shared" si="274"/>
        <v/>
      </c>
      <c r="BF488" s="38" t="b">
        <f t="shared" si="275"/>
        <v>1</v>
      </c>
      <c r="BG488" s="37" t="str">
        <f t="array" ref="BG488:BQ488">IF(BF488,"",IVSolution($M488,$N488,$O488,BB488,BC488,BD488,BE488,$E488,$F488,$G488,$H488,$I488))</f>
        <v/>
      </c>
      <c r="BH488" s="37" t="str">
        <v/>
      </c>
      <c r="BI488" s="37" t="str">
        <v/>
      </c>
      <c r="BJ488" s="39" t="str">
        <v/>
      </c>
      <c r="BK488" s="39" t="str">
        <v/>
      </c>
      <c r="BL488" s="37" t="str">
        <v/>
      </c>
      <c r="BM488" s="37" t="str">
        <v/>
      </c>
      <c r="BN488" s="37" t="str">
        <v/>
      </c>
      <c r="BO488" s="37" t="str">
        <v/>
      </c>
      <c r="BP488" s="37" t="str">
        <v/>
      </c>
      <c r="BQ488" s="37" t="str">
        <v/>
      </c>
      <c r="BR488" s="40" t="str">
        <f t="shared" si="276"/>
        <v/>
      </c>
      <c r="BS488" s="36" t="str">
        <f>IFERROR(INDEX('Level Multipliers'!$D:$D,MATCH(BR488,'Level Multipliers'!$A:$A,0)),"")</f>
        <v/>
      </c>
      <c r="BT488" s="37" t="str">
        <f t="shared" si="277"/>
        <v/>
      </c>
      <c r="BU488" s="37" t="str">
        <f t="shared" si="278"/>
        <v/>
      </c>
      <c r="BV488" s="38" t="str">
        <f t="shared" si="279"/>
        <v/>
      </c>
      <c r="BW488" s="38" t="str">
        <f t="shared" si="280"/>
        <v/>
      </c>
      <c r="BX488" s="38" t="b">
        <f t="shared" si="281"/>
        <v>1</v>
      </c>
      <c r="BY488" s="37" t="str">
        <f t="array" ref="BY488:CI488">IF(BX488,"",IVSolution($M488,$N488,$O488,BT488,BU488,BV488,BW488,$E488,$F488,$G488,$H488,$I488))</f>
        <v/>
      </c>
      <c r="BZ488" s="37" t="str">
        <v/>
      </c>
      <c r="CA488" s="37" t="str">
        <v/>
      </c>
      <c r="CB488" s="39" t="str">
        <v/>
      </c>
      <c r="CC488" s="39" t="str">
        <v/>
      </c>
      <c r="CD488" s="37" t="str">
        <v/>
      </c>
      <c r="CE488" s="37" t="str">
        <v/>
      </c>
      <c r="CF488" s="37" t="str">
        <v/>
      </c>
      <c r="CG488" s="37" t="str">
        <v/>
      </c>
      <c r="CH488" s="37" t="str">
        <v/>
      </c>
      <c r="CI488" s="37" t="str">
        <v/>
      </c>
      <c r="CJ488" s="41" t="str">
        <f t="shared" si="282"/>
        <v/>
      </c>
      <c r="CK488" s="41" t="str">
        <f t="shared" si="283"/>
        <v/>
      </c>
      <c r="CL488" s="66" t="str">
        <f t="shared" si="284"/>
        <v/>
      </c>
      <c r="CM488" s="39" t="str">
        <f t="shared" si="285"/>
        <v/>
      </c>
      <c r="CN488" s="39" t="str">
        <f t="shared" si="286"/>
        <v/>
      </c>
      <c r="CO488" s="42" t="str">
        <f t="shared" si="287"/>
        <v/>
      </c>
      <c r="CP488" s="42" t="str">
        <f t="shared" si="288"/>
        <v/>
      </c>
      <c r="CQ488" s="42" t="str">
        <f t="shared" si="289"/>
        <v/>
      </c>
      <c r="CR488" s="42" t="str">
        <f t="shared" si="290"/>
        <v/>
      </c>
      <c r="CS488" s="42" t="str">
        <f t="shared" si="291"/>
        <v/>
      </c>
      <c r="CT488" s="42" t="str">
        <f t="shared" si="292"/>
        <v/>
      </c>
      <c r="CU488" s="43" t="str">
        <f t="shared" si="293"/>
        <v/>
      </c>
      <c r="CV488" s="43" t="str">
        <f t="shared" si="294"/>
        <v/>
      </c>
      <c r="CW488" s="43" t="str">
        <f t="shared" si="295"/>
        <v/>
      </c>
      <c r="CX488" s="13"/>
    </row>
    <row r="489" spans="1:102" x14ac:dyDescent="0.25">
      <c r="A489" s="31"/>
      <c r="B489" s="13"/>
      <c r="C489" s="13"/>
      <c r="D489" s="13"/>
      <c r="E489" s="32"/>
      <c r="F489" s="32"/>
      <c r="G489" s="32"/>
      <c r="H489" s="32"/>
      <c r="I489" s="32"/>
      <c r="J489" s="13"/>
      <c r="K489" s="33"/>
      <c r="L489" s="34" t="str">
        <f>IFERROR(INDEX('Pokemon Data'!A:A,MATCH($A489,'Pokemon Data'!$B:$B,0)),"")</f>
        <v/>
      </c>
      <c r="M489" s="34" t="str">
        <f>IFERROR(INDEX('Pokemon Data'!I:I,MATCH($A489,'Pokemon Data'!$B:$B,0)),"")</f>
        <v/>
      </c>
      <c r="N489" s="34" t="str">
        <f>IFERROR(INDEX('Pokemon Data'!J:J,MATCH($A489,'Pokemon Data'!$B:$B,0)),"")</f>
        <v/>
      </c>
      <c r="O489" s="34" t="str">
        <f>IFERROR(INDEX('Pokemon Data'!K:K,MATCH($A489,'Pokemon Data'!$B:$B,0)),"")</f>
        <v/>
      </c>
      <c r="P489" s="35" t="str">
        <f>IFERROR(INDEX('Level Multipliers'!$A:$A,MATCH($D489,'Level Multipliers'!$B:$B,0)),"")</f>
        <v/>
      </c>
      <c r="Q489" s="36" t="str">
        <f>IFERROR(INDEX('Level Multipliers'!$D:$D,MATCH(P489,'Level Multipliers'!$A:$A,0)),"")</f>
        <v/>
      </c>
      <c r="R489" s="37" t="str">
        <f t="shared" si="259"/>
        <v/>
      </c>
      <c r="S489" s="37" t="str">
        <f t="shared" si="260"/>
        <v/>
      </c>
      <c r="T489" s="38" t="str">
        <f t="shared" si="261"/>
        <v/>
      </c>
      <c r="U489" s="38" t="str">
        <f t="shared" si="262"/>
        <v/>
      </c>
      <c r="V489" s="38" t="b">
        <f t="shared" si="263"/>
        <v>1</v>
      </c>
      <c r="W489" s="37" t="str">
        <f t="array" ref="W489:AG489">IF(V489,"",IVSolution($M489,$N489,$O489,R489,S489,T489,U489,$E489,$F489,$G489,$H489,$I489))</f>
        <v/>
      </c>
      <c r="X489" s="37" t="str">
        <v/>
      </c>
      <c r="Y489" s="37" t="str">
        <v/>
      </c>
      <c r="Z489" s="39" t="str">
        <v/>
      </c>
      <c r="AA489" s="39" t="str">
        <v/>
      </c>
      <c r="AB489" s="37" t="str">
        <v/>
      </c>
      <c r="AC489" s="37" t="str">
        <v/>
      </c>
      <c r="AD489" s="37" t="str">
        <v/>
      </c>
      <c r="AE489" s="37" t="str">
        <v/>
      </c>
      <c r="AF489" s="37" t="str">
        <v/>
      </c>
      <c r="AG489" s="37" t="str">
        <v/>
      </c>
      <c r="AH489" s="40" t="str">
        <f t="shared" si="264"/>
        <v/>
      </c>
      <c r="AI489" s="36" t="str">
        <f>IFERROR(INDEX('Level Multipliers'!$D:$D,MATCH(AH489,'Level Multipliers'!$A:$A,0)),"")</f>
        <v/>
      </c>
      <c r="AJ489" s="37" t="str">
        <f t="shared" si="265"/>
        <v/>
      </c>
      <c r="AK489" s="37" t="str">
        <f t="shared" si="266"/>
        <v/>
      </c>
      <c r="AL489" s="38" t="str">
        <f t="shared" si="267"/>
        <v/>
      </c>
      <c r="AM489" s="38" t="str">
        <f t="shared" si="268"/>
        <v/>
      </c>
      <c r="AN489" s="38" t="b">
        <f t="shared" si="269"/>
        <v>1</v>
      </c>
      <c r="AO489" s="37" t="str">
        <f t="array" ref="AO489:AY489">IF(AN489,"",IVSolution($M489,$N489,$O489,AJ489,AK489,AL489,AM489,$E489,$F489,$G489,$H489,$I489))</f>
        <v/>
      </c>
      <c r="AP489" s="37" t="str">
        <v/>
      </c>
      <c r="AQ489" s="37" t="str">
        <v/>
      </c>
      <c r="AR489" s="39" t="str">
        <v/>
      </c>
      <c r="AS489" s="39" t="str">
        <v/>
      </c>
      <c r="AT489" s="37" t="str">
        <v/>
      </c>
      <c r="AU489" s="37" t="str">
        <v/>
      </c>
      <c r="AV489" s="37" t="str">
        <v/>
      </c>
      <c r="AW489" s="37" t="str">
        <v/>
      </c>
      <c r="AX489" s="37" t="str">
        <v/>
      </c>
      <c r="AY489" s="37" t="str">
        <v/>
      </c>
      <c r="AZ489" s="40" t="str">
        <f t="shared" si="270"/>
        <v/>
      </c>
      <c r="BA489" s="36" t="str">
        <f>IFERROR(INDEX('Level Multipliers'!$D:$D,MATCH(AZ489,'Level Multipliers'!$A:$A,0)),"")</f>
        <v/>
      </c>
      <c r="BB489" s="37" t="str">
        <f t="shared" si="271"/>
        <v/>
      </c>
      <c r="BC489" s="37" t="str">
        <f t="shared" si="272"/>
        <v/>
      </c>
      <c r="BD489" s="38" t="str">
        <f t="shared" si="273"/>
        <v/>
      </c>
      <c r="BE489" s="38" t="str">
        <f t="shared" si="274"/>
        <v/>
      </c>
      <c r="BF489" s="38" t="b">
        <f t="shared" si="275"/>
        <v>1</v>
      </c>
      <c r="BG489" s="37" t="str">
        <f t="array" ref="BG489:BQ489">IF(BF489,"",IVSolution($M489,$N489,$O489,BB489,BC489,BD489,BE489,$E489,$F489,$G489,$H489,$I489))</f>
        <v/>
      </c>
      <c r="BH489" s="37" t="str">
        <v/>
      </c>
      <c r="BI489" s="37" t="str">
        <v/>
      </c>
      <c r="BJ489" s="39" t="str">
        <v/>
      </c>
      <c r="BK489" s="39" t="str">
        <v/>
      </c>
      <c r="BL489" s="37" t="str">
        <v/>
      </c>
      <c r="BM489" s="37" t="str">
        <v/>
      </c>
      <c r="BN489" s="37" t="str">
        <v/>
      </c>
      <c r="BO489" s="37" t="str">
        <v/>
      </c>
      <c r="BP489" s="37" t="str">
        <v/>
      </c>
      <c r="BQ489" s="37" t="str">
        <v/>
      </c>
      <c r="BR489" s="40" t="str">
        <f t="shared" si="276"/>
        <v/>
      </c>
      <c r="BS489" s="36" t="str">
        <f>IFERROR(INDEX('Level Multipliers'!$D:$D,MATCH(BR489,'Level Multipliers'!$A:$A,0)),"")</f>
        <v/>
      </c>
      <c r="BT489" s="37" t="str">
        <f t="shared" si="277"/>
        <v/>
      </c>
      <c r="BU489" s="37" t="str">
        <f t="shared" si="278"/>
        <v/>
      </c>
      <c r="BV489" s="38" t="str">
        <f t="shared" si="279"/>
        <v/>
      </c>
      <c r="BW489" s="38" t="str">
        <f t="shared" si="280"/>
        <v/>
      </c>
      <c r="BX489" s="38" t="b">
        <f t="shared" si="281"/>
        <v>1</v>
      </c>
      <c r="BY489" s="37" t="str">
        <f t="array" ref="BY489:CI489">IF(BX489,"",IVSolution($M489,$N489,$O489,BT489,BU489,BV489,BW489,$E489,$F489,$G489,$H489,$I489))</f>
        <v/>
      </c>
      <c r="BZ489" s="37" t="str">
        <v/>
      </c>
      <c r="CA489" s="37" t="str">
        <v/>
      </c>
      <c r="CB489" s="39" t="str">
        <v/>
      </c>
      <c r="CC489" s="39" t="str">
        <v/>
      </c>
      <c r="CD489" s="37" t="str">
        <v/>
      </c>
      <c r="CE489" s="37" t="str">
        <v/>
      </c>
      <c r="CF489" s="37" t="str">
        <v/>
      </c>
      <c r="CG489" s="37" t="str">
        <v/>
      </c>
      <c r="CH489" s="37" t="str">
        <v/>
      </c>
      <c r="CI489" s="37" t="str">
        <v/>
      </c>
      <c r="CJ489" s="41" t="str">
        <f t="shared" si="282"/>
        <v/>
      </c>
      <c r="CK489" s="41" t="str">
        <f t="shared" si="283"/>
        <v/>
      </c>
      <c r="CL489" s="66" t="str">
        <f t="shared" si="284"/>
        <v/>
      </c>
      <c r="CM489" s="39" t="str">
        <f t="shared" si="285"/>
        <v/>
      </c>
      <c r="CN489" s="39" t="str">
        <f t="shared" si="286"/>
        <v/>
      </c>
      <c r="CO489" s="42" t="str">
        <f t="shared" si="287"/>
        <v/>
      </c>
      <c r="CP489" s="42" t="str">
        <f t="shared" si="288"/>
        <v/>
      </c>
      <c r="CQ489" s="42" t="str">
        <f t="shared" si="289"/>
        <v/>
      </c>
      <c r="CR489" s="42" t="str">
        <f t="shared" si="290"/>
        <v/>
      </c>
      <c r="CS489" s="42" t="str">
        <f t="shared" si="291"/>
        <v/>
      </c>
      <c r="CT489" s="42" t="str">
        <f t="shared" si="292"/>
        <v/>
      </c>
      <c r="CU489" s="43" t="str">
        <f t="shared" si="293"/>
        <v/>
      </c>
      <c r="CV489" s="43" t="str">
        <f t="shared" si="294"/>
        <v/>
      </c>
      <c r="CW489" s="43" t="str">
        <f t="shared" si="295"/>
        <v/>
      </c>
      <c r="CX489" s="13"/>
    </row>
    <row r="490" spans="1:102" x14ac:dyDescent="0.25">
      <c r="A490" s="31"/>
      <c r="B490" s="13"/>
      <c r="C490" s="13"/>
      <c r="D490" s="13"/>
      <c r="E490" s="32"/>
      <c r="F490" s="32"/>
      <c r="G490" s="32"/>
      <c r="H490" s="32"/>
      <c r="I490" s="32"/>
      <c r="J490" s="13"/>
      <c r="K490" s="33"/>
      <c r="L490" s="34" t="str">
        <f>IFERROR(INDEX('Pokemon Data'!A:A,MATCH($A490,'Pokemon Data'!$B:$B,0)),"")</f>
        <v/>
      </c>
      <c r="M490" s="34" t="str">
        <f>IFERROR(INDEX('Pokemon Data'!I:I,MATCH($A490,'Pokemon Data'!$B:$B,0)),"")</f>
        <v/>
      </c>
      <c r="N490" s="34" t="str">
        <f>IFERROR(INDEX('Pokemon Data'!J:J,MATCH($A490,'Pokemon Data'!$B:$B,0)),"")</f>
        <v/>
      </c>
      <c r="O490" s="34" t="str">
        <f>IFERROR(INDEX('Pokemon Data'!K:K,MATCH($A490,'Pokemon Data'!$B:$B,0)),"")</f>
        <v/>
      </c>
      <c r="P490" s="35" t="str">
        <f>IFERROR(INDEX('Level Multipliers'!$A:$A,MATCH($D490,'Level Multipliers'!$B:$B,0)),"")</f>
        <v/>
      </c>
      <c r="Q490" s="36" t="str">
        <f>IFERROR(INDEX('Level Multipliers'!$D:$D,MATCH(P490,'Level Multipliers'!$A:$A,0)),"")</f>
        <v/>
      </c>
      <c r="R490" s="37" t="str">
        <f t="shared" si="259"/>
        <v/>
      </c>
      <c r="S490" s="37" t="str">
        <f t="shared" si="260"/>
        <v/>
      </c>
      <c r="T490" s="38" t="str">
        <f t="shared" si="261"/>
        <v/>
      </c>
      <c r="U490" s="38" t="str">
        <f t="shared" si="262"/>
        <v/>
      </c>
      <c r="V490" s="38" t="b">
        <f t="shared" si="263"/>
        <v>1</v>
      </c>
      <c r="W490" s="37" t="str">
        <f t="array" ref="W490:AG490">IF(V490,"",IVSolution($M490,$N490,$O490,R490,S490,T490,U490,$E490,$F490,$G490,$H490,$I490))</f>
        <v/>
      </c>
      <c r="X490" s="37" t="str">
        <v/>
      </c>
      <c r="Y490" s="37" t="str">
        <v/>
      </c>
      <c r="Z490" s="39" t="str">
        <v/>
      </c>
      <c r="AA490" s="39" t="str">
        <v/>
      </c>
      <c r="AB490" s="37" t="str">
        <v/>
      </c>
      <c r="AC490" s="37" t="str">
        <v/>
      </c>
      <c r="AD490" s="37" t="str">
        <v/>
      </c>
      <c r="AE490" s="37" t="str">
        <v/>
      </c>
      <c r="AF490" s="37" t="str">
        <v/>
      </c>
      <c r="AG490" s="37" t="str">
        <v/>
      </c>
      <c r="AH490" s="40" t="str">
        <f t="shared" si="264"/>
        <v/>
      </c>
      <c r="AI490" s="36" t="str">
        <f>IFERROR(INDEX('Level Multipliers'!$D:$D,MATCH(AH490,'Level Multipliers'!$A:$A,0)),"")</f>
        <v/>
      </c>
      <c r="AJ490" s="37" t="str">
        <f t="shared" si="265"/>
        <v/>
      </c>
      <c r="AK490" s="37" t="str">
        <f t="shared" si="266"/>
        <v/>
      </c>
      <c r="AL490" s="38" t="str">
        <f t="shared" si="267"/>
        <v/>
      </c>
      <c r="AM490" s="38" t="str">
        <f t="shared" si="268"/>
        <v/>
      </c>
      <c r="AN490" s="38" t="b">
        <f t="shared" si="269"/>
        <v>1</v>
      </c>
      <c r="AO490" s="37" t="str">
        <f t="array" ref="AO490:AY490">IF(AN490,"",IVSolution($M490,$N490,$O490,AJ490,AK490,AL490,AM490,$E490,$F490,$G490,$H490,$I490))</f>
        <v/>
      </c>
      <c r="AP490" s="37" t="str">
        <v/>
      </c>
      <c r="AQ490" s="37" t="str">
        <v/>
      </c>
      <c r="AR490" s="39" t="str">
        <v/>
      </c>
      <c r="AS490" s="39" t="str">
        <v/>
      </c>
      <c r="AT490" s="37" t="str">
        <v/>
      </c>
      <c r="AU490" s="37" t="str">
        <v/>
      </c>
      <c r="AV490" s="37" t="str">
        <v/>
      </c>
      <c r="AW490" s="37" t="str">
        <v/>
      </c>
      <c r="AX490" s="37" t="str">
        <v/>
      </c>
      <c r="AY490" s="37" t="str">
        <v/>
      </c>
      <c r="AZ490" s="40" t="str">
        <f t="shared" si="270"/>
        <v/>
      </c>
      <c r="BA490" s="36" t="str">
        <f>IFERROR(INDEX('Level Multipliers'!$D:$D,MATCH(AZ490,'Level Multipliers'!$A:$A,0)),"")</f>
        <v/>
      </c>
      <c r="BB490" s="37" t="str">
        <f t="shared" si="271"/>
        <v/>
      </c>
      <c r="BC490" s="37" t="str">
        <f t="shared" si="272"/>
        <v/>
      </c>
      <c r="BD490" s="38" t="str">
        <f t="shared" si="273"/>
        <v/>
      </c>
      <c r="BE490" s="38" t="str">
        <f t="shared" si="274"/>
        <v/>
      </c>
      <c r="BF490" s="38" t="b">
        <f t="shared" si="275"/>
        <v>1</v>
      </c>
      <c r="BG490" s="37" t="str">
        <f t="array" ref="BG490:BQ490">IF(BF490,"",IVSolution($M490,$N490,$O490,BB490,BC490,BD490,BE490,$E490,$F490,$G490,$H490,$I490))</f>
        <v/>
      </c>
      <c r="BH490" s="37" t="str">
        <v/>
      </c>
      <c r="BI490" s="37" t="str">
        <v/>
      </c>
      <c r="BJ490" s="39" t="str">
        <v/>
      </c>
      <c r="BK490" s="39" t="str">
        <v/>
      </c>
      <c r="BL490" s="37" t="str">
        <v/>
      </c>
      <c r="BM490" s="37" t="str">
        <v/>
      </c>
      <c r="BN490" s="37" t="str">
        <v/>
      </c>
      <c r="BO490" s="37" t="str">
        <v/>
      </c>
      <c r="BP490" s="37" t="str">
        <v/>
      </c>
      <c r="BQ490" s="37" t="str">
        <v/>
      </c>
      <c r="BR490" s="40" t="str">
        <f t="shared" si="276"/>
        <v/>
      </c>
      <c r="BS490" s="36" t="str">
        <f>IFERROR(INDEX('Level Multipliers'!$D:$D,MATCH(BR490,'Level Multipliers'!$A:$A,0)),"")</f>
        <v/>
      </c>
      <c r="BT490" s="37" t="str">
        <f t="shared" si="277"/>
        <v/>
      </c>
      <c r="BU490" s="37" t="str">
        <f t="shared" si="278"/>
        <v/>
      </c>
      <c r="BV490" s="38" t="str">
        <f t="shared" si="279"/>
        <v/>
      </c>
      <c r="BW490" s="38" t="str">
        <f t="shared" si="280"/>
        <v/>
      </c>
      <c r="BX490" s="38" t="b">
        <f t="shared" si="281"/>
        <v>1</v>
      </c>
      <c r="BY490" s="37" t="str">
        <f t="array" ref="BY490:CI490">IF(BX490,"",IVSolution($M490,$N490,$O490,BT490,BU490,BV490,BW490,$E490,$F490,$G490,$H490,$I490))</f>
        <v/>
      </c>
      <c r="BZ490" s="37" t="str">
        <v/>
      </c>
      <c r="CA490" s="37" t="str">
        <v/>
      </c>
      <c r="CB490" s="39" t="str">
        <v/>
      </c>
      <c r="CC490" s="39" t="str">
        <v/>
      </c>
      <c r="CD490" s="37" t="str">
        <v/>
      </c>
      <c r="CE490" s="37" t="str">
        <v/>
      </c>
      <c r="CF490" s="37" t="str">
        <v/>
      </c>
      <c r="CG490" s="37" t="str">
        <v/>
      </c>
      <c r="CH490" s="37" t="str">
        <v/>
      </c>
      <c r="CI490" s="37" t="str">
        <v/>
      </c>
      <c r="CJ490" s="41" t="str">
        <f t="shared" si="282"/>
        <v/>
      </c>
      <c r="CK490" s="41" t="str">
        <f t="shared" si="283"/>
        <v/>
      </c>
      <c r="CL490" s="66" t="str">
        <f t="shared" si="284"/>
        <v/>
      </c>
      <c r="CM490" s="39" t="str">
        <f t="shared" si="285"/>
        <v/>
      </c>
      <c r="CN490" s="39" t="str">
        <f t="shared" si="286"/>
        <v/>
      </c>
      <c r="CO490" s="42" t="str">
        <f t="shared" si="287"/>
        <v/>
      </c>
      <c r="CP490" s="42" t="str">
        <f t="shared" si="288"/>
        <v/>
      </c>
      <c r="CQ490" s="42" t="str">
        <f t="shared" si="289"/>
        <v/>
      </c>
      <c r="CR490" s="42" t="str">
        <f t="shared" si="290"/>
        <v/>
      </c>
      <c r="CS490" s="42" t="str">
        <f t="shared" si="291"/>
        <v/>
      </c>
      <c r="CT490" s="42" t="str">
        <f t="shared" si="292"/>
        <v/>
      </c>
      <c r="CU490" s="43" t="str">
        <f t="shared" si="293"/>
        <v/>
      </c>
      <c r="CV490" s="43" t="str">
        <f t="shared" si="294"/>
        <v/>
      </c>
      <c r="CW490" s="43" t="str">
        <f t="shared" si="295"/>
        <v/>
      </c>
      <c r="CX490" s="13"/>
    </row>
    <row r="491" spans="1:102" x14ac:dyDescent="0.25">
      <c r="A491" s="31"/>
      <c r="B491" s="13"/>
      <c r="C491" s="13"/>
      <c r="D491" s="13"/>
      <c r="E491" s="32"/>
      <c r="F491" s="32"/>
      <c r="G491" s="32"/>
      <c r="H491" s="32"/>
      <c r="I491" s="32"/>
      <c r="J491" s="13"/>
      <c r="K491" s="33"/>
      <c r="L491" s="34" t="str">
        <f>IFERROR(INDEX('Pokemon Data'!A:A,MATCH($A491,'Pokemon Data'!$B:$B,0)),"")</f>
        <v/>
      </c>
      <c r="M491" s="34" t="str">
        <f>IFERROR(INDEX('Pokemon Data'!I:I,MATCH($A491,'Pokemon Data'!$B:$B,0)),"")</f>
        <v/>
      </c>
      <c r="N491" s="34" t="str">
        <f>IFERROR(INDEX('Pokemon Data'!J:J,MATCH($A491,'Pokemon Data'!$B:$B,0)),"")</f>
        <v/>
      </c>
      <c r="O491" s="34" t="str">
        <f>IFERROR(INDEX('Pokemon Data'!K:K,MATCH($A491,'Pokemon Data'!$B:$B,0)),"")</f>
        <v/>
      </c>
      <c r="P491" s="35" t="str">
        <f>IFERROR(INDEX('Level Multipliers'!$A:$A,MATCH($D491,'Level Multipliers'!$B:$B,0)),"")</f>
        <v/>
      </c>
      <c r="Q491" s="36" t="str">
        <f>IFERROR(INDEX('Level Multipliers'!$D:$D,MATCH(P491,'Level Multipliers'!$A:$A,0)),"")</f>
        <v/>
      </c>
      <c r="R491" s="37" t="str">
        <f t="shared" si="259"/>
        <v/>
      </c>
      <c r="S491" s="37" t="str">
        <f t="shared" si="260"/>
        <v/>
      </c>
      <c r="T491" s="38" t="str">
        <f t="shared" si="261"/>
        <v/>
      </c>
      <c r="U491" s="38" t="str">
        <f t="shared" si="262"/>
        <v/>
      </c>
      <c r="V491" s="38" t="b">
        <f t="shared" si="263"/>
        <v>1</v>
      </c>
      <c r="W491" s="37" t="str">
        <f t="array" ref="W491:AG491">IF(V491,"",IVSolution($M491,$N491,$O491,R491,S491,T491,U491,$E491,$F491,$G491,$H491,$I491))</f>
        <v/>
      </c>
      <c r="X491" s="37" t="str">
        <v/>
      </c>
      <c r="Y491" s="37" t="str">
        <v/>
      </c>
      <c r="Z491" s="39" t="str">
        <v/>
      </c>
      <c r="AA491" s="39" t="str">
        <v/>
      </c>
      <c r="AB491" s="37" t="str">
        <v/>
      </c>
      <c r="AC491" s="37" t="str">
        <v/>
      </c>
      <c r="AD491" s="37" t="str">
        <v/>
      </c>
      <c r="AE491" s="37" t="str">
        <v/>
      </c>
      <c r="AF491" s="37" t="str">
        <v/>
      </c>
      <c r="AG491" s="37" t="str">
        <v/>
      </c>
      <c r="AH491" s="40" t="str">
        <f t="shared" si="264"/>
        <v/>
      </c>
      <c r="AI491" s="36" t="str">
        <f>IFERROR(INDEX('Level Multipliers'!$D:$D,MATCH(AH491,'Level Multipliers'!$A:$A,0)),"")</f>
        <v/>
      </c>
      <c r="AJ491" s="37" t="str">
        <f t="shared" si="265"/>
        <v/>
      </c>
      <c r="AK491" s="37" t="str">
        <f t="shared" si="266"/>
        <v/>
      </c>
      <c r="AL491" s="38" t="str">
        <f t="shared" si="267"/>
        <v/>
      </c>
      <c r="AM491" s="38" t="str">
        <f t="shared" si="268"/>
        <v/>
      </c>
      <c r="AN491" s="38" t="b">
        <f t="shared" si="269"/>
        <v>1</v>
      </c>
      <c r="AO491" s="37" t="str">
        <f t="array" ref="AO491:AY491">IF(AN491,"",IVSolution($M491,$N491,$O491,AJ491,AK491,AL491,AM491,$E491,$F491,$G491,$H491,$I491))</f>
        <v/>
      </c>
      <c r="AP491" s="37" t="str">
        <v/>
      </c>
      <c r="AQ491" s="37" t="str">
        <v/>
      </c>
      <c r="AR491" s="39" t="str">
        <v/>
      </c>
      <c r="AS491" s="39" t="str">
        <v/>
      </c>
      <c r="AT491" s="37" t="str">
        <v/>
      </c>
      <c r="AU491" s="37" t="str">
        <v/>
      </c>
      <c r="AV491" s="37" t="str">
        <v/>
      </c>
      <c r="AW491" s="37" t="str">
        <v/>
      </c>
      <c r="AX491" s="37" t="str">
        <v/>
      </c>
      <c r="AY491" s="37" t="str">
        <v/>
      </c>
      <c r="AZ491" s="40" t="str">
        <f t="shared" si="270"/>
        <v/>
      </c>
      <c r="BA491" s="36" t="str">
        <f>IFERROR(INDEX('Level Multipliers'!$D:$D,MATCH(AZ491,'Level Multipliers'!$A:$A,0)),"")</f>
        <v/>
      </c>
      <c r="BB491" s="37" t="str">
        <f t="shared" si="271"/>
        <v/>
      </c>
      <c r="BC491" s="37" t="str">
        <f t="shared" si="272"/>
        <v/>
      </c>
      <c r="BD491" s="38" t="str">
        <f t="shared" si="273"/>
        <v/>
      </c>
      <c r="BE491" s="38" t="str">
        <f t="shared" si="274"/>
        <v/>
      </c>
      <c r="BF491" s="38" t="b">
        <f t="shared" si="275"/>
        <v>1</v>
      </c>
      <c r="BG491" s="37" t="str">
        <f t="array" ref="BG491:BQ491">IF(BF491,"",IVSolution($M491,$N491,$O491,BB491,BC491,BD491,BE491,$E491,$F491,$G491,$H491,$I491))</f>
        <v/>
      </c>
      <c r="BH491" s="37" t="str">
        <v/>
      </c>
      <c r="BI491" s="37" t="str">
        <v/>
      </c>
      <c r="BJ491" s="39" t="str">
        <v/>
      </c>
      <c r="BK491" s="39" t="str">
        <v/>
      </c>
      <c r="BL491" s="37" t="str">
        <v/>
      </c>
      <c r="BM491" s="37" t="str">
        <v/>
      </c>
      <c r="BN491" s="37" t="str">
        <v/>
      </c>
      <c r="BO491" s="37" t="str">
        <v/>
      </c>
      <c r="BP491" s="37" t="str">
        <v/>
      </c>
      <c r="BQ491" s="37" t="str">
        <v/>
      </c>
      <c r="BR491" s="40" t="str">
        <f t="shared" si="276"/>
        <v/>
      </c>
      <c r="BS491" s="36" t="str">
        <f>IFERROR(INDEX('Level Multipliers'!$D:$D,MATCH(BR491,'Level Multipliers'!$A:$A,0)),"")</f>
        <v/>
      </c>
      <c r="BT491" s="37" t="str">
        <f t="shared" si="277"/>
        <v/>
      </c>
      <c r="BU491" s="37" t="str">
        <f t="shared" si="278"/>
        <v/>
      </c>
      <c r="BV491" s="38" t="str">
        <f t="shared" si="279"/>
        <v/>
      </c>
      <c r="BW491" s="38" t="str">
        <f t="shared" si="280"/>
        <v/>
      </c>
      <c r="BX491" s="38" t="b">
        <f t="shared" si="281"/>
        <v>1</v>
      </c>
      <c r="BY491" s="37" t="str">
        <f t="array" ref="BY491:CI491">IF(BX491,"",IVSolution($M491,$N491,$O491,BT491,BU491,BV491,BW491,$E491,$F491,$G491,$H491,$I491))</f>
        <v/>
      </c>
      <c r="BZ491" s="37" t="str">
        <v/>
      </c>
      <c r="CA491" s="37" t="str">
        <v/>
      </c>
      <c r="CB491" s="39" t="str">
        <v/>
      </c>
      <c r="CC491" s="39" t="str">
        <v/>
      </c>
      <c r="CD491" s="37" t="str">
        <v/>
      </c>
      <c r="CE491" s="37" t="str">
        <v/>
      </c>
      <c r="CF491" s="37" t="str">
        <v/>
      </c>
      <c r="CG491" s="37" t="str">
        <v/>
      </c>
      <c r="CH491" s="37" t="str">
        <v/>
      </c>
      <c r="CI491" s="37" t="str">
        <v/>
      </c>
      <c r="CJ491" s="41" t="str">
        <f t="shared" si="282"/>
        <v/>
      </c>
      <c r="CK491" s="41" t="str">
        <f t="shared" si="283"/>
        <v/>
      </c>
      <c r="CL491" s="66" t="str">
        <f t="shared" si="284"/>
        <v/>
      </c>
      <c r="CM491" s="39" t="str">
        <f t="shared" si="285"/>
        <v/>
      </c>
      <c r="CN491" s="39" t="str">
        <f t="shared" si="286"/>
        <v/>
      </c>
      <c r="CO491" s="42" t="str">
        <f t="shared" si="287"/>
        <v/>
      </c>
      <c r="CP491" s="42" t="str">
        <f t="shared" si="288"/>
        <v/>
      </c>
      <c r="CQ491" s="42" t="str">
        <f t="shared" si="289"/>
        <v/>
      </c>
      <c r="CR491" s="42" t="str">
        <f t="shared" si="290"/>
        <v/>
      </c>
      <c r="CS491" s="42" t="str">
        <f t="shared" si="291"/>
        <v/>
      </c>
      <c r="CT491" s="42" t="str">
        <f t="shared" si="292"/>
        <v/>
      </c>
      <c r="CU491" s="43" t="str">
        <f t="shared" si="293"/>
        <v/>
      </c>
      <c r="CV491" s="43" t="str">
        <f t="shared" si="294"/>
        <v/>
      </c>
      <c r="CW491" s="43" t="str">
        <f t="shared" si="295"/>
        <v/>
      </c>
      <c r="CX491" s="13"/>
    </row>
    <row r="492" spans="1:102" x14ac:dyDescent="0.25">
      <c r="A492" s="31"/>
      <c r="B492" s="13"/>
      <c r="C492" s="13"/>
      <c r="D492" s="13"/>
      <c r="E492" s="32"/>
      <c r="F492" s="32"/>
      <c r="G492" s="32"/>
      <c r="H492" s="32"/>
      <c r="I492" s="32"/>
      <c r="J492" s="13"/>
      <c r="K492" s="33"/>
      <c r="L492" s="34" t="str">
        <f>IFERROR(INDEX('Pokemon Data'!A:A,MATCH($A492,'Pokemon Data'!$B:$B,0)),"")</f>
        <v/>
      </c>
      <c r="M492" s="34" t="str">
        <f>IFERROR(INDEX('Pokemon Data'!I:I,MATCH($A492,'Pokemon Data'!$B:$B,0)),"")</f>
        <v/>
      </c>
      <c r="N492" s="34" t="str">
        <f>IFERROR(INDEX('Pokemon Data'!J:J,MATCH($A492,'Pokemon Data'!$B:$B,0)),"")</f>
        <v/>
      </c>
      <c r="O492" s="34" t="str">
        <f>IFERROR(INDEX('Pokemon Data'!K:K,MATCH($A492,'Pokemon Data'!$B:$B,0)),"")</f>
        <v/>
      </c>
      <c r="P492" s="35" t="str">
        <f>IFERROR(INDEX('Level Multipliers'!$A:$A,MATCH($D492,'Level Multipliers'!$B:$B,0)),"")</f>
        <v/>
      </c>
      <c r="Q492" s="36" t="str">
        <f>IFERROR(INDEX('Level Multipliers'!$D:$D,MATCH(P492,'Level Multipliers'!$A:$A,0)),"")</f>
        <v/>
      </c>
      <c r="R492" s="37" t="str">
        <f t="shared" si="259"/>
        <v/>
      </c>
      <c r="S492" s="37" t="str">
        <f t="shared" si="260"/>
        <v/>
      </c>
      <c r="T492" s="38" t="str">
        <f t="shared" si="261"/>
        <v/>
      </c>
      <c r="U492" s="38" t="str">
        <f t="shared" si="262"/>
        <v/>
      </c>
      <c r="V492" s="38" t="b">
        <f t="shared" si="263"/>
        <v>1</v>
      </c>
      <c r="W492" s="37" t="str">
        <f t="array" ref="W492:AG492">IF(V492,"",IVSolution($M492,$N492,$O492,R492,S492,T492,U492,$E492,$F492,$G492,$H492,$I492))</f>
        <v/>
      </c>
      <c r="X492" s="37" t="str">
        <v/>
      </c>
      <c r="Y492" s="37" t="str">
        <v/>
      </c>
      <c r="Z492" s="39" t="str">
        <v/>
      </c>
      <c r="AA492" s="39" t="str">
        <v/>
      </c>
      <c r="AB492" s="37" t="str">
        <v/>
      </c>
      <c r="AC492" s="37" t="str">
        <v/>
      </c>
      <c r="AD492" s="37" t="str">
        <v/>
      </c>
      <c r="AE492" s="37" t="str">
        <v/>
      </c>
      <c r="AF492" s="37" t="str">
        <v/>
      </c>
      <c r="AG492" s="37" t="str">
        <v/>
      </c>
      <c r="AH492" s="40" t="str">
        <f t="shared" si="264"/>
        <v/>
      </c>
      <c r="AI492" s="36" t="str">
        <f>IFERROR(INDEX('Level Multipliers'!$D:$D,MATCH(AH492,'Level Multipliers'!$A:$A,0)),"")</f>
        <v/>
      </c>
      <c r="AJ492" s="37" t="str">
        <f t="shared" si="265"/>
        <v/>
      </c>
      <c r="AK492" s="37" t="str">
        <f t="shared" si="266"/>
        <v/>
      </c>
      <c r="AL492" s="38" t="str">
        <f t="shared" si="267"/>
        <v/>
      </c>
      <c r="AM492" s="38" t="str">
        <f t="shared" si="268"/>
        <v/>
      </c>
      <c r="AN492" s="38" t="b">
        <f t="shared" si="269"/>
        <v>1</v>
      </c>
      <c r="AO492" s="37" t="str">
        <f t="array" ref="AO492:AY492">IF(AN492,"",IVSolution($M492,$N492,$O492,AJ492,AK492,AL492,AM492,$E492,$F492,$G492,$H492,$I492))</f>
        <v/>
      </c>
      <c r="AP492" s="37" t="str">
        <v/>
      </c>
      <c r="AQ492" s="37" t="str">
        <v/>
      </c>
      <c r="AR492" s="39" t="str">
        <v/>
      </c>
      <c r="AS492" s="39" t="str">
        <v/>
      </c>
      <c r="AT492" s="37" t="str">
        <v/>
      </c>
      <c r="AU492" s="37" t="str">
        <v/>
      </c>
      <c r="AV492" s="37" t="str">
        <v/>
      </c>
      <c r="AW492" s="37" t="str">
        <v/>
      </c>
      <c r="AX492" s="37" t="str">
        <v/>
      </c>
      <c r="AY492" s="37" t="str">
        <v/>
      </c>
      <c r="AZ492" s="40" t="str">
        <f t="shared" si="270"/>
        <v/>
      </c>
      <c r="BA492" s="36" t="str">
        <f>IFERROR(INDEX('Level Multipliers'!$D:$D,MATCH(AZ492,'Level Multipliers'!$A:$A,0)),"")</f>
        <v/>
      </c>
      <c r="BB492" s="37" t="str">
        <f t="shared" si="271"/>
        <v/>
      </c>
      <c r="BC492" s="37" t="str">
        <f t="shared" si="272"/>
        <v/>
      </c>
      <c r="BD492" s="38" t="str">
        <f t="shared" si="273"/>
        <v/>
      </c>
      <c r="BE492" s="38" t="str">
        <f t="shared" si="274"/>
        <v/>
      </c>
      <c r="BF492" s="38" t="b">
        <f t="shared" si="275"/>
        <v>1</v>
      </c>
      <c r="BG492" s="37" t="str">
        <f t="array" ref="BG492:BQ492">IF(BF492,"",IVSolution($M492,$N492,$O492,BB492,BC492,BD492,BE492,$E492,$F492,$G492,$H492,$I492))</f>
        <v/>
      </c>
      <c r="BH492" s="37" t="str">
        <v/>
      </c>
      <c r="BI492" s="37" t="str">
        <v/>
      </c>
      <c r="BJ492" s="39" t="str">
        <v/>
      </c>
      <c r="BK492" s="39" t="str">
        <v/>
      </c>
      <c r="BL492" s="37" t="str">
        <v/>
      </c>
      <c r="BM492" s="37" t="str">
        <v/>
      </c>
      <c r="BN492" s="37" t="str">
        <v/>
      </c>
      <c r="BO492" s="37" t="str">
        <v/>
      </c>
      <c r="BP492" s="37" t="str">
        <v/>
      </c>
      <c r="BQ492" s="37" t="str">
        <v/>
      </c>
      <c r="BR492" s="40" t="str">
        <f t="shared" si="276"/>
        <v/>
      </c>
      <c r="BS492" s="36" t="str">
        <f>IFERROR(INDEX('Level Multipliers'!$D:$D,MATCH(BR492,'Level Multipliers'!$A:$A,0)),"")</f>
        <v/>
      </c>
      <c r="BT492" s="37" t="str">
        <f t="shared" si="277"/>
        <v/>
      </c>
      <c r="BU492" s="37" t="str">
        <f t="shared" si="278"/>
        <v/>
      </c>
      <c r="BV492" s="38" t="str">
        <f t="shared" si="279"/>
        <v/>
      </c>
      <c r="BW492" s="38" t="str">
        <f t="shared" si="280"/>
        <v/>
      </c>
      <c r="BX492" s="38" t="b">
        <f t="shared" si="281"/>
        <v>1</v>
      </c>
      <c r="BY492" s="37" t="str">
        <f t="array" ref="BY492:CI492">IF(BX492,"",IVSolution($M492,$N492,$O492,BT492,BU492,BV492,BW492,$E492,$F492,$G492,$H492,$I492))</f>
        <v/>
      </c>
      <c r="BZ492" s="37" t="str">
        <v/>
      </c>
      <c r="CA492" s="37" t="str">
        <v/>
      </c>
      <c r="CB492" s="39" t="str">
        <v/>
      </c>
      <c r="CC492" s="39" t="str">
        <v/>
      </c>
      <c r="CD492" s="37" t="str">
        <v/>
      </c>
      <c r="CE492" s="37" t="str">
        <v/>
      </c>
      <c r="CF492" s="37" t="str">
        <v/>
      </c>
      <c r="CG492" s="37" t="str">
        <v/>
      </c>
      <c r="CH492" s="37" t="str">
        <v/>
      </c>
      <c r="CI492" s="37" t="str">
        <v/>
      </c>
      <c r="CJ492" s="41" t="str">
        <f t="shared" si="282"/>
        <v/>
      </c>
      <c r="CK492" s="41" t="str">
        <f t="shared" si="283"/>
        <v/>
      </c>
      <c r="CL492" s="66" t="str">
        <f t="shared" si="284"/>
        <v/>
      </c>
      <c r="CM492" s="39" t="str">
        <f t="shared" si="285"/>
        <v/>
      </c>
      <c r="CN492" s="39" t="str">
        <f t="shared" si="286"/>
        <v/>
      </c>
      <c r="CO492" s="42" t="str">
        <f t="shared" si="287"/>
        <v/>
      </c>
      <c r="CP492" s="42" t="str">
        <f t="shared" si="288"/>
        <v/>
      </c>
      <c r="CQ492" s="42" t="str">
        <f t="shared" si="289"/>
        <v/>
      </c>
      <c r="CR492" s="42" t="str">
        <f t="shared" si="290"/>
        <v/>
      </c>
      <c r="CS492" s="42" t="str">
        <f t="shared" si="291"/>
        <v/>
      </c>
      <c r="CT492" s="42" t="str">
        <f t="shared" si="292"/>
        <v/>
      </c>
      <c r="CU492" s="43" t="str">
        <f t="shared" si="293"/>
        <v/>
      </c>
      <c r="CV492" s="43" t="str">
        <f t="shared" si="294"/>
        <v/>
      </c>
      <c r="CW492" s="43" t="str">
        <f t="shared" si="295"/>
        <v/>
      </c>
      <c r="CX492" s="13"/>
    </row>
    <row r="493" spans="1:102" x14ac:dyDescent="0.25">
      <c r="A493" s="31"/>
      <c r="B493" s="13"/>
      <c r="C493" s="13"/>
      <c r="D493" s="13"/>
      <c r="E493" s="32"/>
      <c r="F493" s="32"/>
      <c r="G493" s="32"/>
      <c r="H493" s="32"/>
      <c r="I493" s="32"/>
      <c r="J493" s="13"/>
      <c r="K493" s="33"/>
      <c r="L493" s="34" t="str">
        <f>IFERROR(INDEX('Pokemon Data'!A:A,MATCH($A493,'Pokemon Data'!$B:$B,0)),"")</f>
        <v/>
      </c>
      <c r="M493" s="34" t="str">
        <f>IFERROR(INDEX('Pokemon Data'!I:I,MATCH($A493,'Pokemon Data'!$B:$B,0)),"")</f>
        <v/>
      </c>
      <c r="N493" s="34" t="str">
        <f>IFERROR(INDEX('Pokemon Data'!J:J,MATCH($A493,'Pokemon Data'!$B:$B,0)),"")</f>
        <v/>
      </c>
      <c r="O493" s="34" t="str">
        <f>IFERROR(INDEX('Pokemon Data'!K:K,MATCH($A493,'Pokemon Data'!$B:$B,0)),"")</f>
        <v/>
      </c>
      <c r="P493" s="35" t="str">
        <f>IFERROR(INDEX('Level Multipliers'!$A:$A,MATCH($D493,'Level Multipliers'!$B:$B,0)),"")</f>
        <v/>
      </c>
      <c r="Q493" s="36" t="str">
        <f>IFERROR(INDEX('Level Multipliers'!$D:$D,MATCH(P493,'Level Multipliers'!$A:$A,0)),"")</f>
        <v/>
      </c>
      <c r="R493" s="37" t="str">
        <f t="shared" si="259"/>
        <v/>
      </c>
      <c r="S493" s="37" t="str">
        <f t="shared" si="260"/>
        <v/>
      </c>
      <c r="T493" s="38" t="str">
        <f t="shared" si="261"/>
        <v/>
      </c>
      <c r="U493" s="38" t="str">
        <f t="shared" si="262"/>
        <v/>
      </c>
      <c r="V493" s="38" t="b">
        <f t="shared" si="263"/>
        <v>1</v>
      </c>
      <c r="W493" s="37" t="str">
        <f t="array" ref="W493:AG493">IF(V493,"",IVSolution($M493,$N493,$O493,R493,S493,T493,U493,$E493,$F493,$G493,$H493,$I493))</f>
        <v/>
      </c>
      <c r="X493" s="37" t="str">
        <v/>
      </c>
      <c r="Y493" s="37" t="str">
        <v/>
      </c>
      <c r="Z493" s="39" t="str">
        <v/>
      </c>
      <c r="AA493" s="39" t="str">
        <v/>
      </c>
      <c r="AB493" s="37" t="str">
        <v/>
      </c>
      <c r="AC493" s="37" t="str">
        <v/>
      </c>
      <c r="AD493" s="37" t="str">
        <v/>
      </c>
      <c r="AE493" s="37" t="str">
        <v/>
      </c>
      <c r="AF493" s="37" t="str">
        <v/>
      </c>
      <c r="AG493" s="37" t="str">
        <v/>
      </c>
      <c r="AH493" s="40" t="str">
        <f t="shared" si="264"/>
        <v/>
      </c>
      <c r="AI493" s="36" t="str">
        <f>IFERROR(INDEX('Level Multipliers'!$D:$D,MATCH(AH493,'Level Multipliers'!$A:$A,0)),"")</f>
        <v/>
      </c>
      <c r="AJ493" s="37" t="str">
        <f t="shared" si="265"/>
        <v/>
      </c>
      <c r="AK493" s="37" t="str">
        <f t="shared" si="266"/>
        <v/>
      </c>
      <c r="AL493" s="38" t="str">
        <f t="shared" si="267"/>
        <v/>
      </c>
      <c r="AM493" s="38" t="str">
        <f t="shared" si="268"/>
        <v/>
      </c>
      <c r="AN493" s="38" t="b">
        <f t="shared" si="269"/>
        <v>1</v>
      </c>
      <c r="AO493" s="37" t="str">
        <f t="array" ref="AO493:AY493">IF(AN493,"",IVSolution($M493,$N493,$O493,AJ493,AK493,AL493,AM493,$E493,$F493,$G493,$H493,$I493))</f>
        <v/>
      </c>
      <c r="AP493" s="37" t="str">
        <v/>
      </c>
      <c r="AQ493" s="37" t="str">
        <v/>
      </c>
      <c r="AR493" s="39" t="str">
        <v/>
      </c>
      <c r="AS493" s="39" t="str">
        <v/>
      </c>
      <c r="AT493" s="37" t="str">
        <v/>
      </c>
      <c r="AU493" s="37" t="str">
        <v/>
      </c>
      <c r="AV493" s="37" t="str">
        <v/>
      </c>
      <c r="AW493" s="37" t="str">
        <v/>
      </c>
      <c r="AX493" s="37" t="str">
        <v/>
      </c>
      <c r="AY493" s="37" t="str">
        <v/>
      </c>
      <c r="AZ493" s="40" t="str">
        <f t="shared" si="270"/>
        <v/>
      </c>
      <c r="BA493" s="36" t="str">
        <f>IFERROR(INDEX('Level Multipliers'!$D:$D,MATCH(AZ493,'Level Multipliers'!$A:$A,0)),"")</f>
        <v/>
      </c>
      <c r="BB493" s="37" t="str">
        <f t="shared" si="271"/>
        <v/>
      </c>
      <c r="BC493" s="37" t="str">
        <f t="shared" si="272"/>
        <v/>
      </c>
      <c r="BD493" s="38" t="str">
        <f t="shared" si="273"/>
        <v/>
      </c>
      <c r="BE493" s="38" t="str">
        <f t="shared" si="274"/>
        <v/>
      </c>
      <c r="BF493" s="38" t="b">
        <f t="shared" si="275"/>
        <v>1</v>
      </c>
      <c r="BG493" s="37" t="str">
        <f t="array" ref="BG493:BQ493">IF(BF493,"",IVSolution($M493,$N493,$O493,BB493,BC493,BD493,BE493,$E493,$F493,$G493,$H493,$I493))</f>
        <v/>
      </c>
      <c r="BH493" s="37" t="str">
        <v/>
      </c>
      <c r="BI493" s="37" t="str">
        <v/>
      </c>
      <c r="BJ493" s="39" t="str">
        <v/>
      </c>
      <c r="BK493" s="39" t="str">
        <v/>
      </c>
      <c r="BL493" s="37" t="str">
        <v/>
      </c>
      <c r="BM493" s="37" t="str">
        <v/>
      </c>
      <c r="BN493" s="37" t="str">
        <v/>
      </c>
      <c r="BO493" s="37" t="str">
        <v/>
      </c>
      <c r="BP493" s="37" t="str">
        <v/>
      </c>
      <c r="BQ493" s="37" t="str">
        <v/>
      </c>
      <c r="BR493" s="40" t="str">
        <f t="shared" si="276"/>
        <v/>
      </c>
      <c r="BS493" s="36" t="str">
        <f>IFERROR(INDEX('Level Multipliers'!$D:$D,MATCH(BR493,'Level Multipliers'!$A:$A,0)),"")</f>
        <v/>
      </c>
      <c r="BT493" s="37" t="str">
        <f t="shared" si="277"/>
        <v/>
      </c>
      <c r="BU493" s="37" t="str">
        <f t="shared" si="278"/>
        <v/>
      </c>
      <c r="BV493" s="38" t="str">
        <f t="shared" si="279"/>
        <v/>
      </c>
      <c r="BW493" s="38" t="str">
        <f t="shared" si="280"/>
        <v/>
      </c>
      <c r="BX493" s="38" t="b">
        <f t="shared" si="281"/>
        <v>1</v>
      </c>
      <c r="BY493" s="37" t="str">
        <f t="array" ref="BY493:CI493">IF(BX493,"",IVSolution($M493,$N493,$O493,BT493,BU493,BV493,BW493,$E493,$F493,$G493,$H493,$I493))</f>
        <v/>
      </c>
      <c r="BZ493" s="37" t="str">
        <v/>
      </c>
      <c r="CA493" s="37" t="str">
        <v/>
      </c>
      <c r="CB493" s="39" t="str">
        <v/>
      </c>
      <c r="CC493" s="39" t="str">
        <v/>
      </c>
      <c r="CD493" s="37" t="str">
        <v/>
      </c>
      <c r="CE493" s="37" t="str">
        <v/>
      </c>
      <c r="CF493" s="37" t="str">
        <v/>
      </c>
      <c r="CG493" s="37" t="str">
        <v/>
      </c>
      <c r="CH493" s="37" t="str">
        <v/>
      </c>
      <c r="CI493" s="37" t="str">
        <v/>
      </c>
      <c r="CJ493" s="41" t="str">
        <f t="shared" si="282"/>
        <v/>
      </c>
      <c r="CK493" s="41" t="str">
        <f t="shared" si="283"/>
        <v/>
      </c>
      <c r="CL493" s="66" t="str">
        <f t="shared" si="284"/>
        <v/>
      </c>
      <c r="CM493" s="39" t="str">
        <f t="shared" si="285"/>
        <v/>
      </c>
      <c r="CN493" s="39" t="str">
        <f t="shared" si="286"/>
        <v/>
      </c>
      <c r="CO493" s="42" t="str">
        <f t="shared" si="287"/>
        <v/>
      </c>
      <c r="CP493" s="42" t="str">
        <f t="shared" si="288"/>
        <v/>
      </c>
      <c r="CQ493" s="42" t="str">
        <f t="shared" si="289"/>
        <v/>
      </c>
      <c r="CR493" s="42" t="str">
        <f t="shared" si="290"/>
        <v/>
      </c>
      <c r="CS493" s="42" t="str">
        <f t="shared" si="291"/>
        <v/>
      </c>
      <c r="CT493" s="42" t="str">
        <f t="shared" si="292"/>
        <v/>
      </c>
      <c r="CU493" s="43" t="str">
        <f t="shared" si="293"/>
        <v/>
      </c>
      <c r="CV493" s="43" t="str">
        <f t="shared" si="294"/>
        <v/>
      </c>
      <c r="CW493" s="43" t="str">
        <f t="shared" si="295"/>
        <v/>
      </c>
      <c r="CX493" s="13"/>
    </row>
    <row r="494" spans="1:102" x14ac:dyDescent="0.25">
      <c r="A494" s="31"/>
      <c r="B494" s="13"/>
      <c r="C494" s="13"/>
      <c r="D494" s="13"/>
      <c r="E494" s="32"/>
      <c r="F494" s="32"/>
      <c r="G494" s="32"/>
      <c r="H494" s="32"/>
      <c r="I494" s="32"/>
      <c r="J494" s="13"/>
      <c r="K494" s="33"/>
      <c r="L494" s="34" t="str">
        <f>IFERROR(INDEX('Pokemon Data'!A:A,MATCH($A494,'Pokemon Data'!$B:$B,0)),"")</f>
        <v/>
      </c>
      <c r="M494" s="34" t="str">
        <f>IFERROR(INDEX('Pokemon Data'!I:I,MATCH($A494,'Pokemon Data'!$B:$B,0)),"")</f>
        <v/>
      </c>
      <c r="N494" s="34" t="str">
        <f>IFERROR(INDEX('Pokemon Data'!J:J,MATCH($A494,'Pokemon Data'!$B:$B,0)),"")</f>
        <v/>
      </c>
      <c r="O494" s="34" t="str">
        <f>IFERROR(INDEX('Pokemon Data'!K:K,MATCH($A494,'Pokemon Data'!$B:$B,0)),"")</f>
        <v/>
      </c>
      <c r="P494" s="35" t="str">
        <f>IFERROR(INDEX('Level Multipliers'!$A:$A,MATCH($D494,'Level Multipliers'!$B:$B,0)),"")</f>
        <v/>
      </c>
      <c r="Q494" s="36" t="str">
        <f>IFERROR(INDEX('Level Multipliers'!$D:$D,MATCH(P494,'Level Multipliers'!$A:$A,0)),"")</f>
        <v/>
      </c>
      <c r="R494" s="37" t="str">
        <f t="shared" si="259"/>
        <v/>
      </c>
      <c r="S494" s="37" t="str">
        <f t="shared" si="260"/>
        <v/>
      </c>
      <c r="T494" s="38" t="str">
        <f t="shared" si="261"/>
        <v/>
      </c>
      <c r="U494" s="38" t="str">
        <f t="shared" si="262"/>
        <v/>
      </c>
      <c r="V494" s="38" t="b">
        <f t="shared" si="263"/>
        <v>1</v>
      </c>
      <c r="W494" s="37" t="str">
        <f t="array" ref="W494:AG494">IF(V494,"",IVSolution($M494,$N494,$O494,R494,S494,T494,U494,$E494,$F494,$G494,$H494,$I494))</f>
        <v/>
      </c>
      <c r="X494" s="37" t="str">
        <v/>
      </c>
      <c r="Y494" s="37" t="str">
        <v/>
      </c>
      <c r="Z494" s="39" t="str">
        <v/>
      </c>
      <c r="AA494" s="39" t="str">
        <v/>
      </c>
      <c r="AB494" s="37" t="str">
        <v/>
      </c>
      <c r="AC494" s="37" t="str">
        <v/>
      </c>
      <c r="AD494" s="37" t="str">
        <v/>
      </c>
      <c r="AE494" s="37" t="str">
        <v/>
      </c>
      <c r="AF494" s="37" t="str">
        <v/>
      </c>
      <c r="AG494" s="37" t="str">
        <v/>
      </c>
      <c r="AH494" s="40" t="str">
        <f t="shared" si="264"/>
        <v/>
      </c>
      <c r="AI494" s="36" t="str">
        <f>IFERROR(INDEX('Level Multipliers'!$D:$D,MATCH(AH494,'Level Multipliers'!$A:$A,0)),"")</f>
        <v/>
      </c>
      <c r="AJ494" s="37" t="str">
        <f t="shared" si="265"/>
        <v/>
      </c>
      <c r="AK494" s="37" t="str">
        <f t="shared" si="266"/>
        <v/>
      </c>
      <c r="AL494" s="38" t="str">
        <f t="shared" si="267"/>
        <v/>
      </c>
      <c r="AM494" s="38" t="str">
        <f t="shared" si="268"/>
        <v/>
      </c>
      <c r="AN494" s="38" t="b">
        <f t="shared" si="269"/>
        <v>1</v>
      </c>
      <c r="AO494" s="37" t="str">
        <f t="array" ref="AO494:AY494">IF(AN494,"",IVSolution($M494,$N494,$O494,AJ494,AK494,AL494,AM494,$E494,$F494,$G494,$H494,$I494))</f>
        <v/>
      </c>
      <c r="AP494" s="37" t="str">
        <v/>
      </c>
      <c r="AQ494" s="37" t="str">
        <v/>
      </c>
      <c r="AR494" s="39" t="str">
        <v/>
      </c>
      <c r="AS494" s="39" t="str">
        <v/>
      </c>
      <c r="AT494" s="37" t="str">
        <v/>
      </c>
      <c r="AU494" s="37" t="str">
        <v/>
      </c>
      <c r="AV494" s="37" t="str">
        <v/>
      </c>
      <c r="AW494" s="37" t="str">
        <v/>
      </c>
      <c r="AX494" s="37" t="str">
        <v/>
      </c>
      <c r="AY494" s="37" t="str">
        <v/>
      </c>
      <c r="AZ494" s="40" t="str">
        <f t="shared" si="270"/>
        <v/>
      </c>
      <c r="BA494" s="36" t="str">
        <f>IFERROR(INDEX('Level Multipliers'!$D:$D,MATCH(AZ494,'Level Multipliers'!$A:$A,0)),"")</f>
        <v/>
      </c>
      <c r="BB494" s="37" t="str">
        <f t="shared" si="271"/>
        <v/>
      </c>
      <c r="BC494" s="37" t="str">
        <f t="shared" si="272"/>
        <v/>
      </c>
      <c r="BD494" s="38" t="str">
        <f t="shared" si="273"/>
        <v/>
      </c>
      <c r="BE494" s="38" t="str">
        <f t="shared" si="274"/>
        <v/>
      </c>
      <c r="BF494" s="38" t="b">
        <f t="shared" si="275"/>
        <v>1</v>
      </c>
      <c r="BG494" s="37" t="str">
        <f t="array" ref="BG494:BQ494">IF(BF494,"",IVSolution($M494,$N494,$O494,BB494,BC494,BD494,BE494,$E494,$F494,$G494,$H494,$I494))</f>
        <v/>
      </c>
      <c r="BH494" s="37" t="str">
        <v/>
      </c>
      <c r="BI494" s="37" t="str">
        <v/>
      </c>
      <c r="BJ494" s="39" t="str">
        <v/>
      </c>
      <c r="BK494" s="39" t="str">
        <v/>
      </c>
      <c r="BL494" s="37" t="str">
        <v/>
      </c>
      <c r="BM494" s="37" t="str">
        <v/>
      </c>
      <c r="BN494" s="37" t="str">
        <v/>
      </c>
      <c r="BO494" s="37" t="str">
        <v/>
      </c>
      <c r="BP494" s="37" t="str">
        <v/>
      </c>
      <c r="BQ494" s="37" t="str">
        <v/>
      </c>
      <c r="BR494" s="40" t="str">
        <f t="shared" si="276"/>
        <v/>
      </c>
      <c r="BS494" s="36" t="str">
        <f>IFERROR(INDEX('Level Multipliers'!$D:$D,MATCH(BR494,'Level Multipliers'!$A:$A,0)),"")</f>
        <v/>
      </c>
      <c r="BT494" s="37" t="str">
        <f t="shared" si="277"/>
        <v/>
      </c>
      <c r="BU494" s="37" t="str">
        <f t="shared" si="278"/>
        <v/>
      </c>
      <c r="BV494" s="38" t="str">
        <f t="shared" si="279"/>
        <v/>
      </c>
      <c r="BW494" s="38" t="str">
        <f t="shared" si="280"/>
        <v/>
      </c>
      <c r="BX494" s="38" t="b">
        <f t="shared" si="281"/>
        <v>1</v>
      </c>
      <c r="BY494" s="37" t="str">
        <f t="array" ref="BY494:CI494">IF(BX494,"",IVSolution($M494,$N494,$O494,BT494,BU494,BV494,BW494,$E494,$F494,$G494,$H494,$I494))</f>
        <v/>
      </c>
      <c r="BZ494" s="37" t="str">
        <v/>
      </c>
      <c r="CA494" s="37" t="str">
        <v/>
      </c>
      <c r="CB494" s="39" t="str">
        <v/>
      </c>
      <c r="CC494" s="39" t="str">
        <v/>
      </c>
      <c r="CD494" s="37" t="str">
        <v/>
      </c>
      <c r="CE494" s="37" t="str">
        <v/>
      </c>
      <c r="CF494" s="37" t="str">
        <v/>
      </c>
      <c r="CG494" s="37" t="str">
        <v/>
      </c>
      <c r="CH494" s="37" t="str">
        <v/>
      </c>
      <c r="CI494" s="37" t="str">
        <v/>
      </c>
      <c r="CJ494" s="41" t="str">
        <f t="shared" si="282"/>
        <v/>
      </c>
      <c r="CK494" s="41" t="str">
        <f t="shared" si="283"/>
        <v/>
      </c>
      <c r="CL494" s="66" t="str">
        <f t="shared" si="284"/>
        <v/>
      </c>
      <c r="CM494" s="39" t="str">
        <f t="shared" si="285"/>
        <v/>
      </c>
      <c r="CN494" s="39" t="str">
        <f t="shared" si="286"/>
        <v/>
      </c>
      <c r="CO494" s="42" t="str">
        <f t="shared" si="287"/>
        <v/>
      </c>
      <c r="CP494" s="42" t="str">
        <f t="shared" si="288"/>
        <v/>
      </c>
      <c r="CQ494" s="42" t="str">
        <f t="shared" si="289"/>
        <v/>
      </c>
      <c r="CR494" s="42" t="str">
        <f t="shared" si="290"/>
        <v/>
      </c>
      <c r="CS494" s="42" t="str">
        <f t="shared" si="291"/>
        <v/>
      </c>
      <c r="CT494" s="42" t="str">
        <f t="shared" si="292"/>
        <v/>
      </c>
      <c r="CU494" s="43" t="str">
        <f t="shared" si="293"/>
        <v/>
      </c>
      <c r="CV494" s="43" t="str">
        <f t="shared" si="294"/>
        <v/>
      </c>
      <c r="CW494" s="43" t="str">
        <f t="shared" si="295"/>
        <v/>
      </c>
      <c r="CX494" s="13"/>
    </row>
    <row r="495" spans="1:102" x14ac:dyDescent="0.25">
      <c r="A495" s="31"/>
      <c r="B495" s="13"/>
      <c r="C495" s="13"/>
      <c r="D495" s="13"/>
      <c r="E495" s="32"/>
      <c r="F495" s="32"/>
      <c r="G495" s="32"/>
      <c r="H495" s="32"/>
      <c r="I495" s="32"/>
      <c r="J495" s="13"/>
      <c r="K495" s="33"/>
      <c r="L495" s="34" t="str">
        <f>IFERROR(INDEX('Pokemon Data'!A:A,MATCH($A495,'Pokemon Data'!$B:$B,0)),"")</f>
        <v/>
      </c>
      <c r="M495" s="34" t="str">
        <f>IFERROR(INDEX('Pokemon Data'!I:I,MATCH($A495,'Pokemon Data'!$B:$B,0)),"")</f>
        <v/>
      </c>
      <c r="N495" s="34" t="str">
        <f>IFERROR(INDEX('Pokemon Data'!J:J,MATCH($A495,'Pokemon Data'!$B:$B,0)),"")</f>
        <v/>
      </c>
      <c r="O495" s="34" t="str">
        <f>IFERROR(INDEX('Pokemon Data'!K:K,MATCH($A495,'Pokemon Data'!$B:$B,0)),"")</f>
        <v/>
      </c>
      <c r="P495" s="35" t="str">
        <f>IFERROR(INDEX('Level Multipliers'!$A:$A,MATCH($D495,'Level Multipliers'!$B:$B,0)),"")</f>
        <v/>
      </c>
      <c r="Q495" s="36" t="str">
        <f>IFERROR(INDEX('Level Multipliers'!$D:$D,MATCH(P495,'Level Multipliers'!$A:$A,0)),"")</f>
        <v/>
      </c>
      <c r="R495" s="37" t="str">
        <f t="shared" si="259"/>
        <v/>
      </c>
      <c r="S495" s="37" t="str">
        <f t="shared" si="260"/>
        <v/>
      </c>
      <c r="T495" s="38" t="str">
        <f t="shared" si="261"/>
        <v/>
      </c>
      <c r="U495" s="38" t="str">
        <f t="shared" si="262"/>
        <v/>
      </c>
      <c r="V495" s="38" t="b">
        <f t="shared" si="263"/>
        <v>1</v>
      </c>
      <c r="W495" s="37" t="str">
        <f t="array" ref="W495:AG495">IF(V495,"",IVSolution($M495,$N495,$O495,R495,S495,T495,U495,$E495,$F495,$G495,$H495,$I495))</f>
        <v/>
      </c>
      <c r="X495" s="37" t="str">
        <v/>
      </c>
      <c r="Y495" s="37" t="str">
        <v/>
      </c>
      <c r="Z495" s="39" t="str">
        <v/>
      </c>
      <c r="AA495" s="39" t="str">
        <v/>
      </c>
      <c r="AB495" s="37" t="str">
        <v/>
      </c>
      <c r="AC495" s="37" t="str">
        <v/>
      </c>
      <c r="AD495" s="37" t="str">
        <v/>
      </c>
      <c r="AE495" s="37" t="str">
        <v/>
      </c>
      <c r="AF495" s="37" t="str">
        <v/>
      </c>
      <c r="AG495" s="37" t="str">
        <v/>
      </c>
      <c r="AH495" s="40" t="str">
        <f t="shared" si="264"/>
        <v/>
      </c>
      <c r="AI495" s="36" t="str">
        <f>IFERROR(INDEX('Level Multipliers'!$D:$D,MATCH(AH495,'Level Multipliers'!$A:$A,0)),"")</f>
        <v/>
      </c>
      <c r="AJ495" s="37" t="str">
        <f t="shared" si="265"/>
        <v/>
      </c>
      <c r="AK495" s="37" t="str">
        <f t="shared" si="266"/>
        <v/>
      </c>
      <c r="AL495" s="38" t="str">
        <f t="shared" si="267"/>
        <v/>
      </c>
      <c r="AM495" s="38" t="str">
        <f t="shared" si="268"/>
        <v/>
      </c>
      <c r="AN495" s="38" t="b">
        <f t="shared" si="269"/>
        <v>1</v>
      </c>
      <c r="AO495" s="37" t="str">
        <f t="array" ref="AO495:AY495">IF(AN495,"",IVSolution($M495,$N495,$O495,AJ495,AK495,AL495,AM495,$E495,$F495,$G495,$H495,$I495))</f>
        <v/>
      </c>
      <c r="AP495" s="37" t="str">
        <v/>
      </c>
      <c r="AQ495" s="37" t="str">
        <v/>
      </c>
      <c r="AR495" s="39" t="str">
        <v/>
      </c>
      <c r="AS495" s="39" t="str">
        <v/>
      </c>
      <c r="AT495" s="37" t="str">
        <v/>
      </c>
      <c r="AU495" s="37" t="str">
        <v/>
      </c>
      <c r="AV495" s="37" t="str">
        <v/>
      </c>
      <c r="AW495" s="37" t="str">
        <v/>
      </c>
      <c r="AX495" s="37" t="str">
        <v/>
      </c>
      <c r="AY495" s="37" t="str">
        <v/>
      </c>
      <c r="AZ495" s="40" t="str">
        <f t="shared" si="270"/>
        <v/>
      </c>
      <c r="BA495" s="36" t="str">
        <f>IFERROR(INDEX('Level Multipliers'!$D:$D,MATCH(AZ495,'Level Multipliers'!$A:$A,0)),"")</f>
        <v/>
      </c>
      <c r="BB495" s="37" t="str">
        <f t="shared" si="271"/>
        <v/>
      </c>
      <c r="BC495" s="37" t="str">
        <f t="shared" si="272"/>
        <v/>
      </c>
      <c r="BD495" s="38" t="str">
        <f t="shared" si="273"/>
        <v/>
      </c>
      <c r="BE495" s="38" t="str">
        <f t="shared" si="274"/>
        <v/>
      </c>
      <c r="BF495" s="38" t="b">
        <f t="shared" si="275"/>
        <v>1</v>
      </c>
      <c r="BG495" s="37" t="str">
        <f t="array" ref="BG495:BQ495">IF(BF495,"",IVSolution($M495,$N495,$O495,BB495,BC495,BD495,BE495,$E495,$F495,$G495,$H495,$I495))</f>
        <v/>
      </c>
      <c r="BH495" s="37" t="str">
        <v/>
      </c>
      <c r="BI495" s="37" t="str">
        <v/>
      </c>
      <c r="BJ495" s="39" t="str">
        <v/>
      </c>
      <c r="BK495" s="39" t="str">
        <v/>
      </c>
      <c r="BL495" s="37" t="str">
        <v/>
      </c>
      <c r="BM495" s="37" t="str">
        <v/>
      </c>
      <c r="BN495" s="37" t="str">
        <v/>
      </c>
      <c r="BO495" s="37" t="str">
        <v/>
      </c>
      <c r="BP495" s="37" t="str">
        <v/>
      </c>
      <c r="BQ495" s="37" t="str">
        <v/>
      </c>
      <c r="BR495" s="40" t="str">
        <f t="shared" si="276"/>
        <v/>
      </c>
      <c r="BS495" s="36" t="str">
        <f>IFERROR(INDEX('Level Multipliers'!$D:$D,MATCH(BR495,'Level Multipliers'!$A:$A,0)),"")</f>
        <v/>
      </c>
      <c r="BT495" s="37" t="str">
        <f t="shared" si="277"/>
        <v/>
      </c>
      <c r="BU495" s="37" t="str">
        <f t="shared" si="278"/>
        <v/>
      </c>
      <c r="BV495" s="38" t="str">
        <f t="shared" si="279"/>
        <v/>
      </c>
      <c r="BW495" s="38" t="str">
        <f t="shared" si="280"/>
        <v/>
      </c>
      <c r="BX495" s="38" t="b">
        <f t="shared" si="281"/>
        <v>1</v>
      </c>
      <c r="BY495" s="37" t="str">
        <f t="array" ref="BY495:CI495">IF(BX495,"",IVSolution($M495,$N495,$O495,BT495,BU495,BV495,BW495,$E495,$F495,$G495,$H495,$I495))</f>
        <v/>
      </c>
      <c r="BZ495" s="37" t="str">
        <v/>
      </c>
      <c r="CA495" s="37" t="str">
        <v/>
      </c>
      <c r="CB495" s="39" t="str">
        <v/>
      </c>
      <c r="CC495" s="39" t="str">
        <v/>
      </c>
      <c r="CD495" s="37" t="str">
        <v/>
      </c>
      <c r="CE495" s="37" t="str">
        <v/>
      </c>
      <c r="CF495" s="37" t="str">
        <v/>
      </c>
      <c r="CG495" s="37" t="str">
        <v/>
      </c>
      <c r="CH495" s="37" t="str">
        <v/>
      </c>
      <c r="CI495" s="37" t="str">
        <v/>
      </c>
      <c r="CJ495" s="41" t="str">
        <f t="shared" si="282"/>
        <v/>
      </c>
      <c r="CK495" s="41" t="str">
        <f t="shared" si="283"/>
        <v/>
      </c>
      <c r="CL495" s="66" t="str">
        <f t="shared" si="284"/>
        <v/>
      </c>
      <c r="CM495" s="39" t="str">
        <f t="shared" si="285"/>
        <v/>
      </c>
      <c r="CN495" s="39" t="str">
        <f t="shared" si="286"/>
        <v/>
      </c>
      <c r="CO495" s="42" t="str">
        <f t="shared" si="287"/>
        <v/>
      </c>
      <c r="CP495" s="42" t="str">
        <f t="shared" si="288"/>
        <v/>
      </c>
      <c r="CQ495" s="42" t="str">
        <f t="shared" si="289"/>
        <v/>
      </c>
      <c r="CR495" s="42" t="str">
        <f t="shared" si="290"/>
        <v/>
      </c>
      <c r="CS495" s="42" t="str">
        <f t="shared" si="291"/>
        <v/>
      </c>
      <c r="CT495" s="42" t="str">
        <f t="shared" si="292"/>
        <v/>
      </c>
      <c r="CU495" s="43" t="str">
        <f t="shared" si="293"/>
        <v/>
      </c>
      <c r="CV495" s="43" t="str">
        <f t="shared" si="294"/>
        <v/>
      </c>
      <c r="CW495" s="43" t="str">
        <f t="shared" si="295"/>
        <v/>
      </c>
      <c r="CX495" s="13"/>
    </row>
    <row r="496" spans="1:102" x14ac:dyDescent="0.25">
      <c r="A496" s="31"/>
      <c r="B496" s="13"/>
      <c r="C496" s="13"/>
      <c r="D496" s="13"/>
      <c r="E496" s="32"/>
      <c r="F496" s="32"/>
      <c r="G496" s="32"/>
      <c r="H496" s="32"/>
      <c r="I496" s="32"/>
      <c r="J496" s="13"/>
      <c r="K496" s="33"/>
      <c r="L496" s="34" t="str">
        <f>IFERROR(INDEX('Pokemon Data'!A:A,MATCH($A496,'Pokemon Data'!$B:$B,0)),"")</f>
        <v/>
      </c>
      <c r="M496" s="34" t="str">
        <f>IFERROR(INDEX('Pokemon Data'!I:I,MATCH($A496,'Pokemon Data'!$B:$B,0)),"")</f>
        <v/>
      </c>
      <c r="N496" s="34" t="str">
        <f>IFERROR(INDEX('Pokemon Data'!J:J,MATCH($A496,'Pokemon Data'!$B:$B,0)),"")</f>
        <v/>
      </c>
      <c r="O496" s="34" t="str">
        <f>IFERROR(INDEX('Pokemon Data'!K:K,MATCH($A496,'Pokemon Data'!$B:$B,0)),"")</f>
        <v/>
      </c>
      <c r="P496" s="35" t="str">
        <f>IFERROR(INDEX('Level Multipliers'!$A:$A,MATCH($D496,'Level Multipliers'!$B:$B,0)),"")</f>
        <v/>
      </c>
      <c r="Q496" s="36" t="str">
        <f>IFERROR(INDEX('Level Multipliers'!$D:$D,MATCH(P496,'Level Multipliers'!$A:$A,0)),"")</f>
        <v/>
      </c>
      <c r="R496" s="37" t="str">
        <f t="shared" si="259"/>
        <v/>
      </c>
      <c r="S496" s="37" t="str">
        <f t="shared" si="260"/>
        <v/>
      </c>
      <c r="T496" s="38" t="str">
        <f t="shared" si="261"/>
        <v/>
      </c>
      <c r="U496" s="38" t="str">
        <f t="shared" si="262"/>
        <v/>
      </c>
      <c r="V496" s="38" t="b">
        <f t="shared" si="263"/>
        <v>1</v>
      </c>
      <c r="W496" s="37" t="str">
        <f t="array" ref="W496:AG496">IF(V496,"",IVSolution($M496,$N496,$O496,R496,S496,T496,U496,$E496,$F496,$G496,$H496,$I496))</f>
        <v/>
      </c>
      <c r="X496" s="37" t="str">
        <v/>
      </c>
      <c r="Y496" s="37" t="str">
        <v/>
      </c>
      <c r="Z496" s="39" t="str">
        <v/>
      </c>
      <c r="AA496" s="39" t="str">
        <v/>
      </c>
      <c r="AB496" s="37" t="str">
        <v/>
      </c>
      <c r="AC496" s="37" t="str">
        <v/>
      </c>
      <c r="AD496" s="37" t="str">
        <v/>
      </c>
      <c r="AE496" s="37" t="str">
        <v/>
      </c>
      <c r="AF496" s="37" t="str">
        <v/>
      </c>
      <c r="AG496" s="37" t="str">
        <v/>
      </c>
      <c r="AH496" s="40" t="str">
        <f t="shared" si="264"/>
        <v/>
      </c>
      <c r="AI496" s="36" t="str">
        <f>IFERROR(INDEX('Level Multipliers'!$D:$D,MATCH(AH496,'Level Multipliers'!$A:$A,0)),"")</f>
        <v/>
      </c>
      <c r="AJ496" s="37" t="str">
        <f t="shared" si="265"/>
        <v/>
      </c>
      <c r="AK496" s="37" t="str">
        <f t="shared" si="266"/>
        <v/>
      </c>
      <c r="AL496" s="38" t="str">
        <f t="shared" si="267"/>
        <v/>
      </c>
      <c r="AM496" s="38" t="str">
        <f t="shared" si="268"/>
        <v/>
      </c>
      <c r="AN496" s="38" t="b">
        <f t="shared" si="269"/>
        <v>1</v>
      </c>
      <c r="AO496" s="37" t="str">
        <f t="array" ref="AO496:AY496">IF(AN496,"",IVSolution($M496,$N496,$O496,AJ496,AK496,AL496,AM496,$E496,$F496,$G496,$H496,$I496))</f>
        <v/>
      </c>
      <c r="AP496" s="37" t="str">
        <v/>
      </c>
      <c r="AQ496" s="37" t="str">
        <v/>
      </c>
      <c r="AR496" s="39" t="str">
        <v/>
      </c>
      <c r="AS496" s="39" t="str">
        <v/>
      </c>
      <c r="AT496" s="37" t="str">
        <v/>
      </c>
      <c r="AU496" s="37" t="str">
        <v/>
      </c>
      <c r="AV496" s="37" t="str">
        <v/>
      </c>
      <c r="AW496" s="37" t="str">
        <v/>
      </c>
      <c r="AX496" s="37" t="str">
        <v/>
      </c>
      <c r="AY496" s="37" t="str">
        <v/>
      </c>
      <c r="AZ496" s="40" t="str">
        <f t="shared" si="270"/>
        <v/>
      </c>
      <c r="BA496" s="36" t="str">
        <f>IFERROR(INDEX('Level Multipliers'!$D:$D,MATCH(AZ496,'Level Multipliers'!$A:$A,0)),"")</f>
        <v/>
      </c>
      <c r="BB496" s="37" t="str">
        <f t="shared" si="271"/>
        <v/>
      </c>
      <c r="BC496" s="37" t="str">
        <f t="shared" si="272"/>
        <v/>
      </c>
      <c r="BD496" s="38" t="str">
        <f t="shared" si="273"/>
        <v/>
      </c>
      <c r="BE496" s="38" t="str">
        <f t="shared" si="274"/>
        <v/>
      </c>
      <c r="BF496" s="38" t="b">
        <f t="shared" si="275"/>
        <v>1</v>
      </c>
      <c r="BG496" s="37" t="str">
        <f t="array" ref="BG496:BQ496">IF(BF496,"",IVSolution($M496,$N496,$O496,BB496,BC496,BD496,BE496,$E496,$F496,$G496,$H496,$I496))</f>
        <v/>
      </c>
      <c r="BH496" s="37" t="str">
        <v/>
      </c>
      <c r="BI496" s="37" t="str">
        <v/>
      </c>
      <c r="BJ496" s="39" t="str">
        <v/>
      </c>
      <c r="BK496" s="39" t="str">
        <v/>
      </c>
      <c r="BL496" s="37" t="str">
        <v/>
      </c>
      <c r="BM496" s="37" t="str">
        <v/>
      </c>
      <c r="BN496" s="37" t="str">
        <v/>
      </c>
      <c r="BO496" s="37" t="str">
        <v/>
      </c>
      <c r="BP496" s="37" t="str">
        <v/>
      </c>
      <c r="BQ496" s="37" t="str">
        <v/>
      </c>
      <c r="BR496" s="40" t="str">
        <f t="shared" si="276"/>
        <v/>
      </c>
      <c r="BS496" s="36" t="str">
        <f>IFERROR(INDEX('Level Multipliers'!$D:$D,MATCH(BR496,'Level Multipliers'!$A:$A,0)),"")</f>
        <v/>
      </c>
      <c r="BT496" s="37" t="str">
        <f t="shared" si="277"/>
        <v/>
      </c>
      <c r="BU496" s="37" t="str">
        <f t="shared" si="278"/>
        <v/>
      </c>
      <c r="BV496" s="38" t="str">
        <f t="shared" si="279"/>
        <v/>
      </c>
      <c r="BW496" s="38" t="str">
        <f t="shared" si="280"/>
        <v/>
      </c>
      <c r="BX496" s="38" t="b">
        <f t="shared" si="281"/>
        <v>1</v>
      </c>
      <c r="BY496" s="37" t="str">
        <f t="array" ref="BY496:CI496">IF(BX496,"",IVSolution($M496,$N496,$O496,BT496,BU496,BV496,BW496,$E496,$F496,$G496,$H496,$I496))</f>
        <v/>
      </c>
      <c r="BZ496" s="37" t="str">
        <v/>
      </c>
      <c r="CA496" s="37" t="str">
        <v/>
      </c>
      <c r="CB496" s="39" t="str">
        <v/>
      </c>
      <c r="CC496" s="39" t="str">
        <v/>
      </c>
      <c r="CD496" s="37" t="str">
        <v/>
      </c>
      <c r="CE496" s="37" t="str">
        <v/>
      </c>
      <c r="CF496" s="37" t="str">
        <v/>
      </c>
      <c r="CG496" s="37" t="str">
        <v/>
      </c>
      <c r="CH496" s="37" t="str">
        <v/>
      </c>
      <c r="CI496" s="37" t="str">
        <v/>
      </c>
      <c r="CJ496" s="41" t="str">
        <f t="shared" si="282"/>
        <v/>
      </c>
      <c r="CK496" s="41" t="str">
        <f t="shared" si="283"/>
        <v/>
      </c>
      <c r="CL496" s="66" t="str">
        <f t="shared" si="284"/>
        <v/>
      </c>
      <c r="CM496" s="39" t="str">
        <f t="shared" si="285"/>
        <v/>
      </c>
      <c r="CN496" s="39" t="str">
        <f t="shared" si="286"/>
        <v/>
      </c>
      <c r="CO496" s="42" t="str">
        <f t="shared" si="287"/>
        <v/>
      </c>
      <c r="CP496" s="42" t="str">
        <f t="shared" si="288"/>
        <v/>
      </c>
      <c r="CQ496" s="42" t="str">
        <f t="shared" si="289"/>
        <v/>
      </c>
      <c r="CR496" s="42" t="str">
        <f t="shared" si="290"/>
        <v/>
      </c>
      <c r="CS496" s="42" t="str">
        <f t="shared" si="291"/>
        <v/>
      </c>
      <c r="CT496" s="42" t="str">
        <f t="shared" si="292"/>
        <v/>
      </c>
      <c r="CU496" s="43" t="str">
        <f t="shared" si="293"/>
        <v/>
      </c>
      <c r="CV496" s="43" t="str">
        <f t="shared" si="294"/>
        <v/>
      </c>
      <c r="CW496" s="43" t="str">
        <f t="shared" si="295"/>
        <v/>
      </c>
      <c r="CX496" s="13"/>
    </row>
    <row r="497" spans="1:102" x14ac:dyDescent="0.25">
      <c r="A497" s="31"/>
      <c r="B497" s="13"/>
      <c r="C497" s="13"/>
      <c r="D497" s="13"/>
      <c r="E497" s="32"/>
      <c r="F497" s="32"/>
      <c r="G497" s="32"/>
      <c r="H497" s="32"/>
      <c r="I497" s="32"/>
      <c r="J497" s="13"/>
      <c r="K497" s="33"/>
      <c r="L497" s="34" t="str">
        <f>IFERROR(INDEX('Pokemon Data'!A:A,MATCH($A497,'Pokemon Data'!$B:$B,0)),"")</f>
        <v/>
      </c>
      <c r="M497" s="34" t="str">
        <f>IFERROR(INDEX('Pokemon Data'!I:I,MATCH($A497,'Pokemon Data'!$B:$B,0)),"")</f>
        <v/>
      </c>
      <c r="N497" s="34" t="str">
        <f>IFERROR(INDEX('Pokemon Data'!J:J,MATCH($A497,'Pokemon Data'!$B:$B,0)),"")</f>
        <v/>
      </c>
      <c r="O497" s="34" t="str">
        <f>IFERROR(INDEX('Pokemon Data'!K:K,MATCH($A497,'Pokemon Data'!$B:$B,0)),"")</f>
        <v/>
      </c>
      <c r="P497" s="35" t="str">
        <f>IFERROR(INDEX('Level Multipliers'!$A:$A,MATCH($D497,'Level Multipliers'!$B:$B,0)),"")</f>
        <v/>
      </c>
      <c r="Q497" s="36" t="str">
        <f>IFERROR(INDEX('Level Multipliers'!$D:$D,MATCH(P497,'Level Multipliers'!$A:$A,0)),"")</f>
        <v/>
      </c>
      <c r="R497" s="37" t="str">
        <f t="shared" si="259"/>
        <v/>
      </c>
      <c r="S497" s="37" t="str">
        <f t="shared" si="260"/>
        <v/>
      </c>
      <c r="T497" s="38" t="str">
        <f t="shared" si="261"/>
        <v/>
      </c>
      <c r="U497" s="38" t="str">
        <f t="shared" si="262"/>
        <v/>
      </c>
      <c r="V497" s="38" t="b">
        <f t="shared" si="263"/>
        <v>1</v>
      </c>
      <c r="W497" s="37" t="str">
        <f t="array" ref="W497:AG497">IF(V497,"",IVSolution($M497,$N497,$O497,R497,S497,T497,U497,$E497,$F497,$G497,$H497,$I497))</f>
        <v/>
      </c>
      <c r="X497" s="37" t="str">
        <v/>
      </c>
      <c r="Y497" s="37" t="str">
        <v/>
      </c>
      <c r="Z497" s="39" t="str">
        <v/>
      </c>
      <c r="AA497" s="39" t="str">
        <v/>
      </c>
      <c r="AB497" s="37" t="str">
        <v/>
      </c>
      <c r="AC497" s="37" t="str">
        <v/>
      </c>
      <c r="AD497" s="37" t="str">
        <v/>
      </c>
      <c r="AE497" s="37" t="str">
        <v/>
      </c>
      <c r="AF497" s="37" t="str">
        <v/>
      </c>
      <c r="AG497" s="37" t="str">
        <v/>
      </c>
      <c r="AH497" s="40" t="str">
        <f t="shared" si="264"/>
        <v/>
      </c>
      <c r="AI497" s="36" t="str">
        <f>IFERROR(INDEX('Level Multipliers'!$D:$D,MATCH(AH497,'Level Multipliers'!$A:$A,0)),"")</f>
        <v/>
      </c>
      <c r="AJ497" s="37" t="str">
        <f t="shared" si="265"/>
        <v/>
      </c>
      <c r="AK497" s="37" t="str">
        <f t="shared" si="266"/>
        <v/>
      </c>
      <c r="AL497" s="38" t="str">
        <f t="shared" si="267"/>
        <v/>
      </c>
      <c r="AM497" s="38" t="str">
        <f t="shared" si="268"/>
        <v/>
      </c>
      <c r="AN497" s="38" t="b">
        <f t="shared" si="269"/>
        <v>1</v>
      </c>
      <c r="AO497" s="37" t="str">
        <f t="array" ref="AO497:AY497">IF(AN497,"",IVSolution($M497,$N497,$O497,AJ497,AK497,AL497,AM497,$E497,$F497,$G497,$H497,$I497))</f>
        <v/>
      </c>
      <c r="AP497" s="37" t="str">
        <v/>
      </c>
      <c r="AQ497" s="37" t="str">
        <v/>
      </c>
      <c r="AR497" s="39" t="str">
        <v/>
      </c>
      <c r="AS497" s="39" t="str">
        <v/>
      </c>
      <c r="AT497" s="37" t="str">
        <v/>
      </c>
      <c r="AU497" s="37" t="str">
        <v/>
      </c>
      <c r="AV497" s="37" t="str">
        <v/>
      </c>
      <c r="AW497" s="37" t="str">
        <v/>
      </c>
      <c r="AX497" s="37" t="str">
        <v/>
      </c>
      <c r="AY497" s="37" t="str">
        <v/>
      </c>
      <c r="AZ497" s="40" t="str">
        <f t="shared" si="270"/>
        <v/>
      </c>
      <c r="BA497" s="36" t="str">
        <f>IFERROR(INDEX('Level Multipliers'!$D:$D,MATCH(AZ497,'Level Multipliers'!$A:$A,0)),"")</f>
        <v/>
      </c>
      <c r="BB497" s="37" t="str">
        <f t="shared" si="271"/>
        <v/>
      </c>
      <c r="BC497" s="37" t="str">
        <f t="shared" si="272"/>
        <v/>
      </c>
      <c r="BD497" s="38" t="str">
        <f t="shared" si="273"/>
        <v/>
      </c>
      <c r="BE497" s="38" t="str">
        <f t="shared" si="274"/>
        <v/>
      </c>
      <c r="BF497" s="38" t="b">
        <f t="shared" si="275"/>
        <v>1</v>
      </c>
      <c r="BG497" s="37" t="str">
        <f t="array" ref="BG497:BQ497">IF(BF497,"",IVSolution($M497,$N497,$O497,BB497,BC497,BD497,BE497,$E497,$F497,$G497,$H497,$I497))</f>
        <v/>
      </c>
      <c r="BH497" s="37" t="str">
        <v/>
      </c>
      <c r="BI497" s="37" t="str">
        <v/>
      </c>
      <c r="BJ497" s="39" t="str">
        <v/>
      </c>
      <c r="BK497" s="39" t="str">
        <v/>
      </c>
      <c r="BL497" s="37" t="str">
        <v/>
      </c>
      <c r="BM497" s="37" t="str">
        <v/>
      </c>
      <c r="BN497" s="37" t="str">
        <v/>
      </c>
      <c r="BO497" s="37" t="str">
        <v/>
      </c>
      <c r="BP497" s="37" t="str">
        <v/>
      </c>
      <c r="BQ497" s="37" t="str">
        <v/>
      </c>
      <c r="BR497" s="40" t="str">
        <f t="shared" si="276"/>
        <v/>
      </c>
      <c r="BS497" s="36" t="str">
        <f>IFERROR(INDEX('Level Multipliers'!$D:$D,MATCH(BR497,'Level Multipliers'!$A:$A,0)),"")</f>
        <v/>
      </c>
      <c r="BT497" s="37" t="str">
        <f t="shared" si="277"/>
        <v/>
      </c>
      <c r="BU497" s="37" t="str">
        <f t="shared" si="278"/>
        <v/>
      </c>
      <c r="BV497" s="38" t="str">
        <f t="shared" si="279"/>
        <v/>
      </c>
      <c r="BW497" s="38" t="str">
        <f t="shared" si="280"/>
        <v/>
      </c>
      <c r="BX497" s="38" t="b">
        <f t="shared" si="281"/>
        <v>1</v>
      </c>
      <c r="BY497" s="37" t="str">
        <f t="array" ref="BY497:CI497">IF(BX497,"",IVSolution($M497,$N497,$O497,BT497,BU497,BV497,BW497,$E497,$F497,$G497,$H497,$I497))</f>
        <v/>
      </c>
      <c r="BZ497" s="37" t="str">
        <v/>
      </c>
      <c r="CA497" s="37" t="str">
        <v/>
      </c>
      <c r="CB497" s="39" t="str">
        <v/>
      </c>
      <c r="CC497" s="39" t="str">
        <v/>
      </c>
      <c r="CD497" s="37" t="str">
        <v/>
      </c>
      <c r="CE497" s="37" t="str">
        <v/>
      </c>
      <c r="CF497" s="37" t="str">
        <v/>
      </c>
      <c r="CG497" s="37" t="str">
        <v/>
      </c>
      <c r="CH497" s="37" t="str">
        <v/>
      </c>
      <c r="CI497" s="37" t="str">
        <v/>
      </c>
      <c r="CJ497" s="41" t="str">
        <f t="shared" si="282"/>
        <v/>
      </c>
      <c r="CK497" s="41" t="str">
        <f t="shared" si="283"/>
        <v/>
      </c>
      <c r="CL497" s="66" t="str">
        <f t="shared" si="284"/>
        <v/>
      </c>
      <c r="CM497" s="39" t="str">
        <f t="shared" si="285"/>
        <v/>
      </c>
      <c r="CN497" s="39" t="str">
        <f t="shared" si="286"/>
        <v/>
      </c>
      <c r="CO497" s="42" t="str">
        <f t="shared" si="287"/>
        <v/>
      </c>
      <c r="CP497" s="42" t="str">
        <f t="shared" si="288"/>
        <v/>
      </c>
      <c r="CQ497" s="42" t="str">
        <f t="shared" si="289"/>
        <v/>
      </c>
      <c r="CR497" s="42" t="str">
        <f t="shared" si="290"/>
        <v/>
      </c>
      <c r="CS497" s="42" t="str">
        <f t="shared" si="291"/>
        <v/>
      </c>
      <c r="CT497" s="42" t="str">
        <f t="shared" si="292"/>
        <v/>
      </c>
      <c r="CU497" s="43" t="str">
        <f t="shared" si="293"/>
        <v/>
      </c>
      <c r="CV497" s="43" t="str">
        <f t="shared" si="294"/>
        <v/>
      </c>
      <c r="CW497" s="43" t="str">
        <f t="shared" si="295"/>
        <v/>
      </c>
      <c r="CX497" s="13"/>
    </row>
    <row r="498" spans="1:102" x14ac:dyDescent="0.25">
      <c r="A498" s="31"/>
      <c r="B498" s="13"/>
      <c r="C498" s="13"/>
      <c r="D498" s="13"/>
      <c r="E498" s="32"/>
      <c r="F498" s="32"/>
      <c r="G498" s="32"/>
      <c r="H498" s="32"/>
      <c r="I498" s="32"/>
      <c r="J498" s="13"/>
      <c r="K498" s="33"/>
      <c r="L498" s="34" t="str">
        <f>IFERROR(INDEX('Pokemon Data'!A:A,MATCH($A498,'Pokemon Data'!$B:$B,0)),"")</f>
        <v/>
      </c>
      <c r="M498" s="34" t="str">
        <f>IFERROR(INDEX('Pokemon Data'!I:I,MATCH($A498,'Pokemon Data'!$B:$B,0)),"")</f>
        <v/>
      </c>
      <c r="N498" s="34" t="str">
        <f>IFERROR(INDEX('Pokemon Data'!J:J,MATCH($A498,'Pokemon Data'!$B:$B,0)),"")</f>
        <v/>
      </c>
      <c r="O498" s="34" t="str">
        <f>IFERROR(INDEX('Pokemon Data'!K:K,MATCH($A498,'Pokemon Data'!$B:$B,0)),"")</f>
        <v/>
      </c>
      <c r="P498" s="35" t="str">
        <f>IFERROR(INDEX('Level Multipliers'!$A:$A,MATCH($D498,'Level Multipliers'!$B:$B,0)),"")</f>
        <v/>
      </c>
      <c r="Q498" s="36" t="str">
        <f>IFERROR(INDEX('Level Multipliers'!$D:$D,MATCH(P498,'Level Multipliers'!$A:$A,0)),"")</f>
        <v/>
      </c>
      <c r="R498" s="37" t="str">
        <f t="shared" si="259"/>
        <v/>
      </c>
      <c r="S498" s="37" t="str">
        <f t="shared" si="260"/>
        <v/>
      </c>
      <c r="T498" s="38" t="str">
        <f t="shared" si="261"/>
        <v/>
      </c>
      <c r="U498" s="38" t="str">
        <f t="shared" si="262"/>
        <v/>
      </c>
      <c r="V498" s="38" t="b">
        <f t="shared" si="263"/>
        <v>1</v>
      </c>
      <c r="W498" s="37" t="str">
        <f t="array" ref="W498:AG498">IF(V498,"",IVSolution($M498,$N498,$O498,R498,S498,T498,U498,$E498,$F498,$G498,$H498,$I498))</f>
        <v/>
      </c>
      <c r="X498" s="37" t="str">
        <v/>
      </c>
      <c r="Y498" s="37" t="str">
        <v/>
      </c>
      <c r="Z498" s="39" t="str">
        <v/>
      </c>
      <c r="AA498" s="39" t="str">
        <v/>
      </c>
      <c r="AB498" s="37" t="str">
        <v/>
      </c>
      <c r="AC498" s="37" t="str">
        <v/>
      </c>
      <c r="AD498" s="37" t="str">
        <v/>
      </c>
      <c r="AE498" s="37" t="str">
        <v/>
      </c>
      <c r="AF498" s="37" t="str">
        <v/>
      </c>
      <c r="AG498" s="37" t="str">
        <v/>
      </c>
      <c r="AH498" s="40" t="str">
        <f t="shared" si="264"/>
        <v/>
      </c>
      <c r="AI498" s="36" t="str">
        <f>IFERROR(INDEX('Level Multipliers'!$D:$D,MATCH(AH498,'Level Multipliers'!$A:$A,0)),"")</f>
        <v/>
      </c>
      <c r="AJ498" s="37" t="str">
        <f t="shared" si="265"/>
        <v/>
      </c>
      <c r="AK498" s="37" t="str">
        <f t="shared" si="266"/>
        <v/>
      </c>
      <c r="AL498" s="38" t="str">
        <f t="shared" si="267"/>
        <v/>
      </c>
      <c r="AM498" s="38" t="str">
        <f t="shared" si="268"/>
        <v/>
      </c>
      <c r="AN498" s="38" t="b">
        <f t="shared" si="269"/>
        <v>1</v>
      </c>
      <c r="AO498" s="37" t="str">
        <f t="array" ref="AO498:AY498">IF(AN498,"",IVSolution($M498,$N498,$O498,AJ498,AK498,AL498,AM498,$E498,$F498,$G498,$H498,$I498))</f>
        <v/>
      </c>
      <c r="AP498" s="37" t="str">
        <v/>
      </c>
      <c r="AQ498" s="37" t="str">
        <v/>
      </c>
      <c r="AR498" s="39" t="str">
        <v/>
      </c>
      <c r="AS498" s="39" t="str">
        <v/>
      </c>
      <c r="AT498" s="37" t="str">
        <v/>
      </c>
      <c r="AU498" s="37" t="str">
        <v/>
      </c>
      <c r="AV498" s="37" t="str">
        <v/>
      </c>
      <c r="AW498" s="37" t="str">
        <v/>
      </c>
      <c r="AX498" s="37" t="str">
        <v/>
      </c>
      <c r="AY498" s="37" t="str">
        <v/>
      </c>
      <c r="AZ498" s="40" t="str">
        <f t="shared" si="270"/>
        <v/>
      </c>
      <c r="BA498" s="36" t="str">
        <f>IFERROR(INDEX('Level Multipliers'!$D:$D,MATCH(AZ498,'Level Multipliers'!$A:$A,0)),"")</f>
        <v/>
      </c>
      <c r="BB498" s="37" t="str">
        <f t="shared" si="271"/>
        <v/>
      </c>
      <c r="BC498" s="37" t="str">
        <f t="shared" si="272"/>
        <v/>
      </c>
      <c r="BD498" s="38" t="str">
        <f t="shared" si="273"/>
        <v/>
      </c>
      <c r="BE498" s="38" t="str">
        <f t="shared" si="274"/>
        <v/>
      </c>
      <c r="BF498" s="38" t="b">
        <f t="shared" si="275"/>
        <v>1</v>
      </c>
      <c r="BG498" s="37" t="str">
        <f t="array" ref="BG498:BQ498">IF(BF498,"",IVSolution($M498,$N498,$O498,BB498,BC498,BD498,BE498,$E498,$F498,$G498,$H498,$I498))</f>
        <v/>
      </c>
      <c r="BH498" s="37" t="str">
        <v/>
      </c>
      <c r="BI498" s="37" t="str">
        <v/>
      </c>
      <c r="BJ498" s="39" t="str">
        <v/>
      </c>
      <c r="BK498" s="39" t="str">
        <v/>
      </c>
      <c r="BL498" s="37" t="str">
        <v/>
      </c>
      <c r="BM498" s="37" t="str">
        <v/>
      </c>
      <c r="BN498" s="37" t="str">
        <v/>
      </c>
      <c r="BO498" s="37" t="str">
        <v/>
      </c>
      <c r="BP498" s="37" t="str">
        <v/>
      </c>
      <c r="BQ498" s="37" t="str">
        <v/>
      </c>
      <c r="BR498" s="40" t="str">
        <f t="shared" si="276"/>
        <v/>
      </c>
      <c r="BS498" s="36" t="str">
        <f>IFERROR(INDEX('Level Multipliers'!$D:$D,MATCH(BR498,'Level Multipliers'!$A:$A,0)),"")</f>
        <v/>
      </c>
      <c r="BT498" s="37" t="str">
        <f t="shared" si="277"/>
        <v/>
      </c>
      <c r="BU498" s="37" t="str">
        <f t="shared" si="278"/>
        <v/>
      </c>
      <c r="BV498" s="38" t="str">
        <f t="shared" si="279"/>
        <v/>
      </c>
      <c r="BW498" s="38" t="str">
        <f t="shared" si="280"/>
        <v/>
      </c>
      <c r="BX498" s="38" t="b">
        <f t="shared" si="281"/>
        <v>1</v>
      </c>
      <c r="BY498" s="37" t="str">
        <f t="array" ref="BY498:CI498">IF(BX498,"",IVSolution($M498,$N498,$O498,BT498,BU498,BV498,BW498,$E498,$F498,$G498,$H498,$I498))</f>
        <v/>
      </c>
      <c r="BZ498" s="37" t="str">
        <v/>
      </c>
      <c r="CA498" s="37" t="str">
        <v/>
      </c>
      <c r="CB498" s="39" t="str">
        <v/>
      </c>
      <c r="CC498" s="39" t="str">
        <v/>
      </c>
      <c r="CD498" s="37" t="str">
        <v/>
      </c>
      <c r="CE498" s="37" t="str">
        <v/>
      </c>
      <c r="CF498" s="37" t="str">
        <v/>
      </c>
      <c r="CG498" s="37" t="str">
        <v/>
      </c>
      <c r="CH498" s="37" t="str">
        <v/>
      </c>
      <c r="CI498" s="37" t="str">
        <v/>
      </c>
      <c r="CJ498" s="41" t="str">
        <f t="shared" si="282"/>
        <v/>
      </c>
      <c r="CK498" s="41" t="str">
        <f t="shared" si="283"/>
        <v/>
      </c>
      <c r="CL498" s="66" t="str">
        <f t="shared" si="284"/>
        <v/>
      </c>
      <c r="CM498" s="39" t="str">
        <f t="shared" si="285"/>
        <v/>
      </c>
      <c r="CN498" s="39" t="str">
        <f t="shared" si="286"/>
        <v/>
      </c>
      <c r="CO498" s="42" t="str">
        <f t="shared" si="287"/>
        <v/>
      </c>
      <c r="CP498" s="42" t="str">
        <f t="shared" si="288"/>
        <v/>
      </c>
      <c r="CQ498" s="42" t="str">
        <f t="shared" si="289"/>
        <v/>
      </c>
      <c r="CR498" s="42" t="str">
        <f t="shared" si="290"/>
        <v/>
      </c>
      <c r="CS498" s="42" t="str">
        <f t="shared" si="291"/>
        <v/>
      </c>
      <c r="CT498" s="42" t="str">
        <f t="shared" si="292"/>
        <v/>
      </c>
      <c r="CU498" s="43" t="str">
        <f t="shared" si="293"/>
        <v/>
      </c>
      <c r="CV498" s="43" t="str">
        <f t="shared" si="294"/>
        <v/>
      </c>
      <c r="CW498" s="43" t="str">
        <f t="shared" si="295"/>
        <v/>
      </c>
      <c r="CX498" s="13"/>
    </row>
    <row r="499" spans="1:102" x14ac:dyDescent="0.25">
      <c r="A499" s="31"/>
      <c r="B499" s="13"/>
      <c r="C499" s="13"/>
      <c r="D499" s="13"/>
      <c r="E499" s="32"/>
      <c r="F499" s="32"/>
      <c r="G499" s="32"/>
      <c r="H499" s="32"/>
      <c r="I499" s="32"/>
      <c r="J499" s="13"/>
      <c r="K499" s="33"/>
      <c r="L499" s="34" t="str">
        <f>IFERROR(INDEX('Pokemon Data'!A:A,MATCH($A499,'Pokemon Data'!$B:$B,0)),"")</f>
        <v/>
      </c>
      <c r="M499" s="34" t="str">
        <f>IFERROR(INDEX('Pokemon Data'!I:I,MATCH($A499,'Pokemon Data'!$B:$B,0)),"")</f>
        <v/>
      </c>
      <c r="N499" s="34" t="str">
        <f>IFERROR(INDEX('Pokemon Data'!J:J,MATCH($A499,'Pokemon Data'!$B:$B,0)),"")</f>
        <v/>
      </c>
      <c r="O499" s="34" t="str">
        <f>IFERROR(INDEX('Pokemon Data'!K:K,MATCH($A499,'Pokemon Data'!$B:$B,0)),"")</f>
        <v/>
      </c>
      <c r="P499" s="35" t="str">
        <f>IFERROR(INDEX('Level Multipliers'!$A:$A,MATCH($D499,'Level Multipliers'!$B:$B,0)),"")</f>
        <v/>
      </c>
      <c r="Q499" s="36" t="str">
        <f>IFERROR(INDEX('Level Multipliers'!$D:$D,MATCH(P499,'Level Multipliers'!$A:$A,0)),"")</f>
        <v/>
      </c>
      <c r="R499" s="37" t="str">
        <f t="shared" si="259"/>
        <v/>
      </c>
      <c r="S499" s="37" t="str">
        <f t="shared" si="260"/>
        <v/>
      </c>
      <c r="T499" s="38" t="str">
        <f t="shared" si="261"/>
        <v/>
      </c>
      <c r="U499" s="38" t="str">
        <f t="shared" si="262"/>
        <v/>
      </c>
      <c r="V499" s="38" t="b">
        <f t="shared" si="263"/>
        <v>1</v>
      </c>
      <c r="W499" s="37" t="str">
        <f t="array" ref="W499:AG499">IF(V499,"",IVSolution($M499,$N499,$O499,R499,S499,T499,U499,$E499,$F499,$G499,$H499,$I499))</f>
        <v/>
      </c>
      <c r="X499" s="37" t="str">
        <v/>
      </c>
      <c r="Y499" s="37" t="str">
        <v/>
      </c>
      <c r="Z499" s="39" t="str">
        <v/>
      </c>
      <c r="AA499" s="39" t="str">
        <v/>
      </c>
      <c r="AB499" s="37" t="str">
        <v/>
      </c>
      <c r="AC499" s="37" t="str">
        <v/>
      </c>
      <c r="AD499" s="37" t="str">
        <v/>
      </c>
      <c r="AE499" s="37" t="str">
        <v/>
      </c>
      <c r="AF499" s="37" t="str">
        <v/>
      </c>
      <c r="AG499" s="37" t="str">
        <v/>
      </c>
      <c r="AH499" s="40" t="str">
        <f t="shared" si="264"/>
        <v/>
      </c>
      <c r="AI499" s="36" t="str">
        <f>IFERROR(INDEX('Level Multipliers'!$D:$D,MATCH(AH499,'Level Multipliers'!$A:$A,0)),"")</f>
        <v/>
      </c>
      <c r="AJ499" s="37" t="str">
        <f t="shared" si="265"/>
        <v/>
      </c>
      <c r="AK499" s="37" t="str">
        <f t="shared" si="266"/>
        <v/>
      </c>
      <c r="AL499" s="38" t="str">
        <f t="shared" si="267"/>
        <v/>
      </c>
      <c r="AM499" s="38" t="str">
        <f t="shared" si="268"/>
        <v/>
      </c>
      <c r="AN499" s="38" t="b">
        <f t="shared" si="269"/>
        <v>1</v>
      </c>
      <c r="AO499" s="37" t="str">
        <f t="array" ref="AO499:AY499">IF(AN499,"",IVSolution($M499,$N499,$O499,AJ499,AK499,AL499,AM499,$E499,$F499,$G499,$H499,$I499))</f>
        <v/>
      </c>
      <c r="AP499" s="37" t="str">
        <v/>
      </c>
      <c r="AQ499" s="37" t="str">
        <v/>
      </c>
      <c r="AR499" s="39" t="str">
        <v/>
      </c>
      <c r="AS499" s="39" t="str">
        <v/>
      </c>
      <c r="AT499" s="37" t="str">
        <v/>
      </c>
      <c r="AU499" s="37" t="str">
        <v/>
      </c>
      <c r="AV499" s="37" t="str">
        <v/>
      </c>
      <c r="AW499" s="37" t="str">
        <v/>
      </c>
      <c r="AX499" s="37" t="str">
        <v/>
      </c>
      <c r="AY499" s="37" t="str">
        <v/>
      </c>
      <c r="AZ499" s="40" t="str">
        <f t="shared" si="270"/>
        <v/>
      </c>
      <c r="BA499" s="36" t="str">
        <f>IFERROR(INDEX('Level Multipliers'!$D:$D,MATCH(AZ499,'Level Multipliers'!$A:$A,0)),"")</f>
        <v/>
      </c>
      <c r="BB499" s="37" t="str">
        <f t="shared" si="271"/>
        <v/>
      </c>
      <c r="BC499" s="37" t="str">
        <f t="shared" si="272"/>
        <v/>
      </c>
      <c r="BD499" s="38" t="str">
        <f t="shared" si="273"/>
        <v/>
      </c>
      <c r="BE499" s="38" t="str">
        <f t="shared" si="274"/>
        <v/>
      </c>
      <c r="BF499" s="38" t="b">
        <f t="shared" si="275"/>
        <v>1</v>
      </c>
      <c r="BG499" s="37" t="str">
        <f t="array" ref="BG499:BQ499">IF(BF499,"",IVSolution($M499,$N499,$O499,BB499,BC499,BD499,BE499,$E499,$F499,$G499,$H499,$I499))</f>
        <v/>
      </c>
      <c r="BH499" s="37" t="str">
        <v/>
      </c>
      <c r="BI499" s="37" t="str">
        <v/>
      </c>
      <c r="BJ499" s="39" t="str">
        <v/>
      </c>
      <c r="BK499" s="39" t="str">
        <v/>
      </c>
      <c r="BL499" s="37" t="str">
        <v/>
      </c>
      <c r="BM499" s="37" t="str">
        <v/>
      </c>
      <c r="BN499" s="37" t="str">
        <v/>
      </c>
      <c r="BO499" s="37" t="str">
        <v/>
      </c>
      <c r="BP499" s="37" t="str">
        <v/>
      </c>
      <c r="BQ499" s="37" t="str">
        <v/>
      </c>
      <c r="BR499" s="40" t="str">
        <f t="shared" si="276"/>
        <v/>
      </c>
      <c r="BS499" s="36" t="str">
        <f>IFERROR(INDEX('Level Multipliers'!$D:$D,MATCH(BR499,'Level Multipliers'!$A:$A,0)),"")</f>
        <v/>
      </c>
      <c r="BT499" s="37" t="str">
        <f t="shared" si="277"/>
        <v/>
      </c>
      <c r="BU499" s="37" t="str">
        <f t="shared" si="278"/>
        <v/>
      </c>
      <c r="BV499" s="38" t="str">
        <f t="shared" si="279"/>
        <v/>
      </c>
      <c r="BW499" s="38" t="str">
        <f t="shared" si="280"/>
        <v/>
      </c>
      <c r="BX499" s="38" t="b">
        <f t="shared" si="281"/>
        <v>1</v>
      </c>
      <c r="BY499" s="37" t="str">
        <f t="array" ref="BY499:CI499">IF(BX499,"",IVSolution($M499,$N499,$O499,BT499,BU499,BV499,BW499,$E499,$F499,$G499,$H499,$I499))</f>
        <v/>
      </c>
      <c r="BZ499" s="37" t="str">
        <v/>
      </c>
      <c r="CA499" s="37" t="str">
        <v/>
      </c>
      <c r="CB499" s="39" t="str">
        <v/>
      </c>
      <c r="CC499" s="39" t="str">
        <v/>
      </c>
      <c r="CD499" s="37" t="str">
        <v/>
      </c>
      <c r="CE499" s="37" t="str">
        <v/>
      </c>
      <c r="CF499" s="37" t="str">
        <v/>
      </c>
      <c r="CG499" s="37" t="str">
        <v/>
      </c>
      <c r="CH499" s="37" t="str">
        <v/>
      </c>
      <c r="CI499" s="37" t="str">
        <v/>
      </c>
      <c r="CJ499" s="41" t="str">
        <f t="shared" si="282"/>
        <v/>
      </c>
      <c r="CK499" s="41" t="str">
        <f t="shared" si="283"/>
        <v/>
      </c>
      <c r="CL499" s="66" t="str">
        <f t="shared" si="284"/>
        <v/>
      </c>
      <c r="CM499" s="39" t="str">
        <f t="shared" si="285"/>
        <v/>
      </c>
      <c r="CN499" s="39" t="str">
        <f t="shared" si="286"/>
        <v/>
      </c>
      <c r="CO499" s="42" t="str">
        <f t="shared" si="287"/>
        <v/>
      </c>
      <c r="CP499" s="42" t="str">
        <f t="shared" si="288"/>
        <v/>
      </c>
      <c r="CQ499" s="42" t="str">
        <f t="shared" si="289"/>
        <v/>
      </c>
      <c r="CR499" s="42" t="str">
        <f t="shared" si="290"/>
        <v/>
      </c>
      <c r="CS499" s="42" t="str">
        <f t="shared" si="291"/>
        <v/>
      </c>
      <c r="CT499" s="42" t="str">
        <f t="shared" si="292"/>
        <v/>
      </c>
      <c r="CU499" s="43" t="str">
        <f t="shared" si="293"/>
        <v/>
      </c>
      <c r="CV499" s="43" t="str">
        <f t="shared" si="294"/>
        <v/>
      </c>
      <c r="CW499" s="43" t="str">
        <f t="shared" si="295"/>
        <v/>
      </c>
      <c r="CX499" s="13"/>
    </row>
    <row r="500" spans="1:102" x14ac:dyDescent="0.25">
      <c r="A500" s="31"/>
      <c r="B500" s="13"/>
      <c r="C500" s="13"/>
      <c r="D500" s="13"/>
      <c r="E500" s="32"/>
      <c r="F500" s="32"/>
      <c r="G500" s="32"/>
      <c r="H500" s="32"/>
      <c r="I500" s="32"/>
      <c r="J500" s="13"/>
      <c r="K500" s="33"/>
      <c r="L500" s="34" t="str">
        <f>IFERROR(INDEX('Pokemon Data'!A:A,MATCH($A500,'Pokemon Data'!$B:$B,0)),"")</f>
        <v/>
      </c>
      <c r="M500" s="34" t="str">
        <f>IFERROR(INDEX('Pokemon Data'!I:I,MATCH($A500,'Pokemon Data'!$B:$B,0)),"")</f>
        <v/>
      </c>
      <c r="N500" s="34" t="str">
        <f>IFERROR(INDEX('Pokemon Data'!J:J,MATCH($A500,'Pokemon Data'!$B:$B,0)),"")</f>
        <v/>
      </c>
      <c r="O500" s="34" t="str">
        <f>IFERROR(INDEX('Pokemon Data'!K:K,MATCH($A500,'Pokemon Data'!$B:$B,0)),"")</f>
        <v/>
      </c>
      <c r="P500" s="35" t="str">
        <f>IFERROR(INDEX('Level Multipliers'!$A:$A,MATCH($D500,'Level Multipliers'!$B:$B,0)),"")</f>
        <v/>
      </c>
      <c r="Q500" s="36" t="str">
        <f>IFERROR(INDEX('Level Multipliers'!$D:$D,MATCH(P500,'Level Multipliers'!$A:$A,0)),"")</f>
        <v/>
      </c>
      <c r="R500" s="37" t="str">
        <f t="shared" si="259"/>
        <v/>
      </c>
      <c r="S500" s="37" t="str">
        <f t="shared" si="260"/>
        <v/>
      </c>
      <c r="T500" s="38" t="str">
        <f t="shared" si="261"/>
        <v/>
      </c>
      <c r="U500" s="38" t="str">
        <f t="shared" si="262"/>
        <v/>
      </c>
      <c r="V500" s="38" t="b">
        <f t="shared" si="263"/>
        <v>1</v>
      </c>
      <c r="W500" s="37" t="str">
        <f t="array" ref="W500:AG500">IF(V500,"",IVSolution($M500,$N500,$O500,R500,S500,T500,U500,$E500,$F500,$G500,$H500,$I500))</f>
        <v/>
      </c>
      <c r="X500" s="37" t="str">
        <v/>
      </c>
      <c r="Y500" s="37" t="str">
        <v/>
      </c>
      <c r="Z500" s="39" t="str">
        <v/>
      </c>
      <c r="AA500" s="39" t="str">
        <v/>
      </c>
      <c r="AB500" s="37" t="str">
        <v/>
      </c>
      <c r="AC500" s="37" t="str">
        <v/>
      </c>
      <c r="AD500" s="37" t="str">
        <v/>
      </c>
      <c r="AE500" s="37" t="str">
        <v/>
      </c>
      <c r="AF500" s="37" t="str">
        <v/>
      </c>
      <c r="AG500" s="37" t="str">
        <v/>
      </c>
      <c r="AH500" s="40" t="str">
        <f t="shared" si="264"/>
        <v/>
      </c>
      <c r="AI500" s="36" t="str">
        <f>IFERROR(INDEX('Level Multipliers'!$D:$D,MATCH(AH500,'Level Multipliers'!$A:$A,0)),"")</f>
        <v/>
      </c>
      <c r="AJ500" s="37" t="str">
        <f t="shared" si="265"/>
        <v/>
      </c>
      <c r="AK500" s="37" t="str">
        <f t="shared" si="266"/>
        <v/>
      </c>
      <c r="AL500" s="38" t="str">
        <f t="shared" si="267"/>
        <v/>
      </c>
      <c r="AM500" s="38" t="str">
        <f t="shared" si="268"/>
        <v/>
      </c>
      <c r="AN500" s="38" t="b">
        <f t="shared" si="269"/>
        <v>1</v>
      </c>
      <c r="AO500" s="37" t="str">
        <f t="array" ref="AO500:AY500">IF(AN500,"",IVSolution($M500,$N500,$O500,AJ500,AK500,AL500,AM500,$E500,$F500,$G500,$H500,$I500))</f>
        <v/>
      </c>
      <c r="AP500" s="37" t="str">
        <v/>
      </c>
      <c r="AQ500" s="37" t="str">
        <v/>
      </c>
      <c r="AR500" s="39" t="str">
        <v/>
      </c>
      <c r="AS500" s="39" t="str">
        <v/>
      </c>
      <c r="AT500" s="37" t="str">
        <v/>
      </c>
      <c r="AU500" s="37" t="str">
        <v/>
      </c>
      <c r="AV500" s="37" t="str">
        <v/>
      </c>
      <c r="AW500" s="37" t="str">
        <v/>
      </c>
      <c r="AX500" s="37" t="str">
        <v/>
      </c>
      <c r="AY500" s="37" t="str">
        <v/>
      </c>
      <c r="AZ500" s="40" t="str">
        <f t="shared" si="270"/>
        <v/>
      </c>
      <c r="BA500" s="36" t="str">
        <f>IFERROR(INDEX('Level Multipliers'!$D:$D,MATCH(AZ500,'Level Multipliers'!$A:$A,0)),"")</f>
        <v/>
      </c>
      <c r="BB500" s="37" t="str">
        <f t="shared" si="271"/>
        <v/>
      </c>
      <c r="BC500" s="37" t="str">
        <f t="shared" si="272"/>
        <v/>
      </c>
      <c r="BD500" s="38" t="str">
        <f t="shared" si="273"/>
        <v/>
      </c>
      <c r="BE500" s="38" t="str">
        <f t="shared" si="274"/>
        <v/>
      </c>
      <c r="BF500" s="38" t="b">
        <f t="shared" si="275"/>
        <v>1</v>
      </c>
      <c r="BG500" s="37" t="str">
        <f t="array" ref="BG500:BQ500">IF(BF500,"",IVSolution($M500,$N500,$O500,BB500,BC500,BD500,BE500,$E500,$F500,$G500,$H500,$I500))</f>
        <v/>
      </c>
      <c r="BH500" s="37" t="str">
        <v/>
      </c>
      <c r="BI500" s="37" t="str">
        <v/>
      </c>
      <c r="BJ500" s="39" t="str">
        <v/>
      </c>
      <c r="BK500" s="39" t="str">
        <v/>
      </c>
      <c r="BL500" s="37" t="str">
        <v/>
      </c>
      <c r="BM500" s="37" t="str">
        <v/>
      </c>
      <c r="BN500" s="37" t="str">
        <v/>
      </c>
      <c r="BO500" s="37" t="str">
        <v/>
      </c>
      <c r="BP500" s="37" t="str">
        <v/>
      </c>
      <c r="BQ500" s="37" t="str">
        <v/>
      </c>
      <c r="BR500" s="40" t="str">
        <f t="shared" si="276"/>
        <v/>
      </c>
      <c r="BS500" s="36" t="str">
        <f>IFERROR(INDEX('Level Multipliers'!$D:$D,MATCH(BR500,'Level Multipliers'!$A:$A,0)),"")</f>
        <v/>
      </c>
      <c r="BT500" s="37" t="str">
        <f t="shared" si="277"/>
        <v/>
      </c>
      <c r="BU500" s="37" t="str">
        <f t="shared" si="278"/>
        <v/>
      </c>
      <c r="BV500" s="38" t="str">
        <f t="shared" si="279"/>
        <v/>
      </c>
      <c r="BW500" s="38" t="str">
        <f t="shared" si="280"/>
        <v/>
      </c>
      <c r="BX500" s="38" t="b">
        <f t="shared" si="281"/>
        <v>1</v>
      </c>
      <c r="BY500" s="37" t="str">
        <f t="array" ref="BY500:CI500">IF(BX500,"",IVSolution($M500,$N500,$O500,BT500,BU500,BV500,BW500,$E500,$F500,$G500,$H500,$I500))</f>
        <v/>
      </c>
      <c r="BZ500" s="37" t="str">
        <v/>
      </c>
      <c r="CA500" s="37" t="str">
        <v/>
      </c>
      <c r="CB500" s="39" t="str">
        <v/>
      </c>
      <c r="CC500" s="39" t="str">
        <v/>
      </c>
      <c r="CD500" s="37" t="str">
        <v/>
      </c>
      <c r="CE500" s="37" t="str">
        <v/>
      </c>
      <c r="CF500" s="37" t="str">
        <v/>
      </c>
      <c r="CG500" s="37" t="str">
        <v/>
      </c>
      <c r="CH500" s="37" t="str">
        <v/>
      </c>
      <c r="CI500" s="37" t="str">
        <v/>
      </c>
      <c r="CJ500" s="41" t="str">
        <f t="shared" si="282"/>
        <v/>
      </c>
      <c r="CK500" s="41" t="str">
        <f t="shared" si="283"/>
        <v/>
      </c>
      <c r="CL500" s="66" t="str">
        <f t="shared" si="284"/>
        <v/>
      </c>
      <c r="CM500" s="39" t="str">
        <f t="shared" si="285"/>
        <v/>
      </c>
      <c r="CN500" s="39" t="str">
        <f t="shared" si="286"/>
        <v/>
      </c>
      <c r="CO500" s="42" t="str">
        <f t="shared" si="287"/>
        <v/>
      </c>
      <c r="CP500" s="42" t="str">
        <f t="shared" si="288"/>
        <v/>
      </c>
      <c r="CQ500" s="42" t="str">
        <f t="shared" si="289"/>
        <v/>
      </c>
      <c r="CR500" s="42" t="str">
        <f t="shared" si="290"/>
        <v/>
      </c>
      <c r="CS500" s="42" t="str">
        <f t="shared" si="291"/>
        <v/>
      </c>
      <c r="CT500" s="42" t="str">
        <f t="shared" si="292"/>
        <v/>
      </c>
      <c r="CU500" s="43" t="str">
        <f t="shared" si="293"/>
        <v/>
      </c>
      <c r="CV500" s="43" t="str">
        <f t="shared" si="294"/>
        <v/>
      </c>
      <c r="CW500" s="43" t="str">
        <f t="shared" si="295"/>
        <v/>
      </c>
      <c r="CX500" s="13"/>
    </row>
    <row r="501" spans="1:102" x14ac:dyDescent="0.25">
      <c r="A501" s="31"/>
      <c r="B501" s="13"/>
      <c r="C501" s="13"/>
      <c r="D501" s="13"/>
      <c r="E501" s="32"/>
      <c r="F501" s="32"/>
      <c r="G501" s="32"/>
      <c r="H501" s="32"/>
      <c r="I501" s="32"/>
      <c r="J501" s="13"/>
      <c r="K501" s="33"/>
      <c r="L501" s="34" t="str">
        <f>IFERROR(INDEX('Pokemon Data'!A:A,MATCH($A501,'Pokemon Data'!$B:$B,0)),"")</f>
        <v/>
      </c>
      <c r="M501" s="34" t="str">
        <f>IFERROR(INDEX('Pokemon Data'!I:I,MATCH($A501,'Pokemon Data'!$B:$B,0)),"")</f>
        <v/>
      </c>
      <c r="N501" s="34" t="str">
        <f>IFERROR(INDEX('Pokemon Data'!J:J,MATCH($A501,'Pokemon Data'!$B:$B,0)),"")</f>
        <v/>
      </c>
      <c r="O501" s="34" t="str">
        <f>IFERROR(INDEX('Pokemon Data'!K:K,MATCH($A501,'Pokemon Data'!$B:$B,0)),"")</f>
        <v/>
      </c>
      <c r="P501" s="35" t="str">
        <f>IFERROR(INDEX('Level Multipliers'!$A:$A,MATCH($D501,'Level Multipliers'!$B:$B,0)),"")</f>
        <v/>
      </c>
      <c r="Q501" s="36" t="str">
        <f>IFERROR(INDEX('Level Multipliers'!$D:$D,MATCH(P501,'Level Multipliers'!$A:$A,0)),"")</f>
        <v/>
      </c>
      <c r="R501" s="37" t="str">
        <f t="shared" si="259"/>
        <v/>
      </c>
      <c r="S501" s="37" t="str">
        <f t="shared" si="260"/>
        <v/>
      </c>
      <c r="T501" s="38" t="str">
        <f t="shared" si="261"/>
        <v/>
      </c>
      <c r="U501" s="38" t="str">
        <f t="shared" si="262"/>
        <v/>
      </c>
      <c r="V501" s="38" t="b">
        <f t="shared" si="263"/>
        <v>1</v>
      </c>
      <c r="W501" s="37" t="str">
        <f t="array" ref="W501:AG501">IF(V501,"",IVSolution($M501,$N501,$O501,R501,S501,T501,U501,$E501,$F501,$G501,$H501,$I501))</f>
        <v/>
      </c>
      <c r="X501" s="37" t="str">
        <v/>
      </c>
      <c r="Y501" s="37" t="str">
        <v/>
      </c>
      <c r="Z501" s="39" t="str">
        <v/>
      </c>
      <c r="AA501" s="39" t="str">
        <v/>
      </c>
      <c r="AB501" s="37" t="str">
        <v/>
      </c>
      <c r="AC501" s="37" t="str">
        <v/>
      </c>
      <c r="AD501" s="37" t="str">
        <v/>
      </c>
      <c r="AE501" s="37" t="str">
        <v/>
      </c>
      <c r="AF501" s="37" t="str">
        <v/>
      </c>
      <c r="AG501" s="37" t="str">
        <v/>
      </c>
      <c r="AH501" s="40" t="str">
        <f t="shared" si="264"/>
        <v/>
      </c>
      <c r="AI501" s="36" t="str">
        <f>IFERROR(INDEX('Level Multipliers'!$D:$D,MATCH(AH501,'Level Multipliers'!$A:$A,0)),"")</f>
        <v/>
      </c>
      <c r="AJ501" s="37" t="str">
        <f t="shared" si="265"/>
        <v/>
      </c>
      <c r="AK501" s="37" t="str">
        <f t="shared" si="266"/>
        <v/>
      </c>
      <c r="AL501" s="38" t="str">
        <f t="shared" si="267"/>
        <v/>
      </c>
      <c r="AM501" s="38" t="str">
        <f t="shared" si="268"/>
        <v/>
      </c>
      <c r="AN501" s="38" t="b">
        <f t="shared" si="269"/>
        <v>1</v>
      </c>
      <c r="AO501" s="37" t="str">
        <f t="array" ref="AO501:AY501">IF(AN501,"",IVSolution($M501,$N501,$O501,AJ501,AK501,AL501,AM501,$E501,$F501,$G501,$H501,$I501))</f>
        <v/>
      </c>
      <c r="AP501" s="37" t="str">
        <v/>
      </c>
      <c r="AQ501" s="37" t="str">
        <v/>
      </c>
      <c r="AR501" s="39" t="str">
        <v/>
      </c>
      <c r="AS501" s="39" t="str">
        <v/>
      </c>
      <c r="AT501" s="37" t="str">
        <v/>
      </c>
      <c r="AU501" s="37" t="str">
        <v/>
      </c>
      <c r="AV501" s="37" t="str">
        <v/>
      </c>
      <c r="AW501" s="37" t="str">
        <v/>
      </c>
      <c r="AX501" s="37" t="str">
        <v/>
      </c>
      <c r="AY501" s="37" t="str">
        <v/>
      </c>
      <c r="AZ501" s="40" t="str">
        <f t="shared" si="270"/>
        <v/>
      </c>
      <c r="BA501" s="36" t="str">
        <f>IFERROR(INDEX('Level Multipliers'!$D:$D,MATCH(AZ501,'Level Multipliers'!$A:$A,0)),"")</f>
        <v/>
      </c>
      <c r="BB501" s="37" t="str">
        <f t="shared" si="271"/>
        <v/>
      </c>
      <c r="BC501" s="37" t="str">
        <f t="shared" si="272"/>
        <v/>
      </c>
      <c r="BD501" s="38" t="str">
        <f t="shared" si="273"/>
        <v/>
      </c>
      <c r="BE501" s="38" t="str">
        <f t="shared" si="274"/>
        <v/>
      </c>
      <c r="BF501" s="38" t="b">
        <f t="shared" si="275"/>
        <v>1</v>
      </c>
      <c r="BG501" s="37" t="str">
        <f t="array" ref="BG501:BQ501">IF(BF501,"",IVSolution($M501,$N501,$O501,BB501,BC501,BD501,BE501,$E501,$F501,$G501,$H501,$I501))</f>
        <v/>
      </c>
      <c r="BH501" s="37" t="str">
        <v/>
      </c>
      <c r="BI501" s="37" t="str">
        <v/>
      </c>
      <c r="BJ501" s="39" t="str">
        <v/>
      </c>
      <c r="BK501" s="39" t="str">
        <v/>
      </c>
      <c r="BL501" s="37" t="str">
        <v/>
      </c>
      <c r="BM501" s="37" t="str">
        <v/>
      </c>
      <c r="BN501" s="37" t="str">
        <v/>
      </c>
      <c r="BO501" s="37" t="str">
        <v/>
      </c>
      <c r="BP501" s="37" t="str">
        <v/>
      </c>
      <c r="BQ501" s="37" t="str">
        <v/>
      </c>
      <c r="BR501" s="40" t="str">
        <f t="shared" si="276"/>
        <v/>
      </c>
      <c r="BS501" s="36" t="str">
        <f>IFERROR(INDEX('Level Multipliers'!$D:$D,MATCH(BR501,'Level Multipliers'!$A:$A,0)),"")</f>
        <v/>
      </c>
      <c r="BT501" s="37" t="str">
        <f t="shared" si="277"/>
        <v/>
      </c>
      <c r="BU501" s="37" t="str">
        <f t="shared" si="278"/>
        <v/>
      </c>
      <c r="BV501" s="38" t="str">
        <f t="shared" si="279"/>
        <v/>
      </c>
      <c r="BW501" s="38" t="str">
        <f t="shared" si="280"/>
        <v/>
      </c>
      <c r="BX501" s="38" t="b">
        <f t="shared" si="281"/>
        <v>1</v>
      </c>
      <c r="BY501" s="37" t="str">
        <f t="array" ref="BY501:CI501">IF(BX501,"",IVSolution($M501,$N501,$O501,BT501,BU501,BV501,BW501,$E501,$F501,$G501,$H501,$I501))</f>
        <v/>
      </c>
      <c r="BZ501" s="37" t="str">
        <v/>
      </c>
      <c r="CA501" s="37" t="str">
        <v/>
      </c>
      <c r="CB501" s="39" t="str">
        <v/>
      </c>
      <c r="CC501" s="39" t="str">
        <v/>
      </c>
      <c r="CD501" s="37" t="str">
        <v/>
      </c>
      <c r="CE501" s="37" t="str">
        <v/>
      </c>
      <c r="CF501" s="37" t="str">
        <v/>
      </c>
      <c r="CG501" s="37" t="str">
        <v/>
      </c>
      <c r="CH501" s="37" t="str">
        <v/>
      </c>
      <c r="CI501" s="37" t="str">
        <v/>
      </c>
      <c r="CJ501" s="41" t="str">
        <f t="shared" si="282"/>
        <v/>
      </c>
      <c r="CK501" s="41" t="str">
        <f t="shared" si="283"/>
        <v/>
      </c>
      <c r="CL501" s="66" t="str">
        <f t="shared" si="284"/>
        <v/>
      </c>
      <c r="CM501" s="39" t="str">
        <f t="shared" si="285"/>
        <v/>
      </c>
      <c r="CN501" s="39" t="str">
        <f t="shared" si="286"/>
        <v/>
      </c>
      <c r="CO501" s="42" t="str">
        <f t="shared" si="287"/>
        <v/>
      </c>
      <c r="CP501" s="42" t="str">
        <f t="shared" si="288"/>
        <v/>
      </c>
      <c r="CQ501" s="42" t="str">
        <f t="shared" si="289"/>
        <v/>
      </c>
      <c r="CR501" s="42" t="str">
        <f t="shared" si="290"/>
        <v/>
      </c>
      <c r="CS501" s="42" t="str">
        <f t="shared" si="291"/>
        <v/>
      </c>
      <c r="CT501" s="42" t="str">
        <f t="shared" si="292"/>
        <v/>
      </c>
      <c r="CU501" s="43" t="str">
        <f t="shared" si="293"/>
        <v/>
      </c>
      <c r="CV501" s="43" t="str">
        <f t="shared" si="294"/>
        <v/>
      </c>
      <c r="CW501" s="43" t="str">
        <f t="shared" si="295"/>
        <v/>
      </c>
      <c r="CX501" s="13"/>
    </row>
    <row r="502" spans="1:102" x14ac:dyDescent="0.25">
      <c r="A502" s="31"/>
      <c r="B502" s="13"/>
      <c r="C502" s="13"/>
      <c r="D502" s="13"/>
      <c r="E502" s="32"/>
      <c r="F502" s="32"/>
      <c r="G502" s="32"/>
      <c r="H502" s="32"/>
      <c r="I502" s="32"/>
      <c r="J502" s="13"/>
      <c r="K502" s="33"/>
      <c r="L502" s="34" t="str">
        <f>IFERROR(INDEX('Pokemon Data'!A:A,MATCH($A502,'Pokemon Data'!$B:$B,0)),"")</f>
        <v/>
      </c>
      <c r="M502" s="34" t="str">
        <f>IFERROR(INDEX('Pokemon Data'!I:I,MATCH($A502,'Pokemon Data'!$B:$B,0)),"")</f>
        <v/>
      </c>
      <c r="N502" s="34" t="str">
        <f>IFERROR(INDEX('Pokemon Data'!J:J,MATCH($A502,'Pokemon Data'!$B:$B,0)),"")</f>
        <v/>
      </c>
      <c r="O502" s="34" t="str">
        <f>IFERROR(INDEX('Pokemon Data'!K:K,MATCH($A502,'Pokemon Data'!$B:$B,0)),"")</f>
        <v/>
      </c>
      <c r="P502" s="35" t="str">
        <f>IFERROR(INDEX('Level Multipliers'!$A:$A,MATCH($D502,'Level Multipliers'!$B:$B,0)),"")</f>
        <v/>
      </c>
      <c r="Q502" s="36" t="str">
        <f>IFERROR(INDEX('Level Multipliers'!$D:$D,MATCH(P502,'Level Multipliers'!$A:$A,0)),"")</f>
        <v/>
      </c>
      <c r="R502" s="37" t="str">
        <f t="shared" si="259"/>
        <v/>
      </c>
      <c r="S502" s="37" t="str">
        <f t="shared" si="260"/>
        <v/>
      </c>
      <c r="T502" s="38" t="str">
        <f t="shared" si="261"/>
        <v/>
      </c>
      <c r="U502" s="38" t="str">
        <f t="shared" si="262"/>
        <v/>
      </c>
      <c r="V502" s="38" t="b">
        <f t="shared" si="263"/>
        <v>1</v>
      </c>
      <c r="W502" s="37" t="str">
        <f t="array" ref="W502:AG502">IF(V502,"",IVSolution($M502,$N502,$O502,R502,S502,T502,U502,$E502,$F502,$G502,$H502,$I502))</f>
        <v/>
      </c>
      <c r="X502" s="37" t="str">
        <v/>
      </c>
      <c r="Y502" s="37" t="str">
        <v/>
      </c>
      <c r="Z502" s="39" t="str">
        <v/>
      </c>
      <c r="AA502" s="39" t="str">
        <v/>
      </c>
      <c r="AB502" s="37" t="str">
        <v/>
      </c>
      <c r="AC502" s="37" t="str">
        <v/>
      </c>
      <c r="AD502" s="37" t="str">
        <v/>
      </c>
      <c r="AE502" s="37" t="str">
        <v/>
      </c>
      <c r="AF502" s="37" t="str">
        <v/>
      </c>
      <c r="AG502" s="37" t="str">
        <v/>
      </c>
      <c r="AH502" s="40" t="str">
        <f t="shared" si="264"/>
        <v/>
      </c>
      <c r="AI502" s="36" t="str">
        <f>IFERROR(INDEX('Level Multipliers'!$D:$D,MATCH(AH502,'Level Multipliers'!$A:$A,0)),"")</f>
        <v/>
      </c>
      <c r="AJ502" s="37" t="str">
        <f t="shared" si="265"/>
        <v/>
      </c>
      <c r="AK502" s="37" t="str">
        <f t="shared" si="266"/>
        <v/>
      </c>
      <c r="AL502" s="38" t="str">
        <f t="shared" si="267"/>
        <v/>
      </c>
      <c r="AM502" s="38" t="str">
        <f t="shared" si="268"/>
        <v/>
      </c>
      <c r="AN502" s="38" t="b">
        <f t="shared" si="269"/>
        <v>1</v>
      </c>
      <c r="AO502" s="37" t="str">
        <f t="array" ref="AO502:AY502">IF(AN502,"",IVSolution($M502,$N502,$O502,AJ502,AK502,AL502,AM502,$E502,$F502,$G502,$H502,$I502))</f>
        <v/>
      </c>
      <c r="AP502" s="37" t="str">
        <v/>
      </c>
      <c r="AQ502" s="37" t="str">
        <v/>
      </c>
      <c r="AR502" s="39" t="str">
        <v/>
      </c>
      <c r="AS502" s="39" t="str">
        <v/>
      </c>
      <c r="AT502" s="37" t="str">
        <v/>
      </c>
      <c r="AU502" s="37" t="str">
        <v/>
      </c>
      <c r="AV502" s="37" t="str">
        <v/>
      </c>
      <c r="AW502" s="37" t="str">
        <v/>
      </c>
      <c r="AX502" s="37" t="str">
        <v/>
      </c>
      <c r="AY502" s="37" t="str">
        <v/>
      </c>
      <c r="AZ502" s="40" t="str">
        <f t="shared" si="270"/>
        <v/>
      </c>
      <c r="BA502" s="36" t="str">
        <f>IFERROR(INDEX('Level Multipliers'!$D:$D,MATCH(AZ502,'Level Multipliers'!$A:$A,0)),"")</f>
        <v/>
      </c>
      <c r="BB502" s="37" t="str">
        <f t="shared" si="271"/>
        <v/>
      </c>
      <c r="BC502" s="37" t="str">
        <f t="shared" si="272"/>
        <v/>
      </c>
      <c r="BD502" s="38" t="str">
        <f t="shared" si="273"/>
        <v/>
      </c>
      <c r="BE502" s="38" t="str">
        <f t="shared" si="274"/>
        <v/>
      </c>
      <c r="BF502" s="38" t="b">
        <f t="shared" si="275"/>
        <v>1</v>
      </c>
      <c r="BG502" s="37" t="str">
        <f t="array" ref="BG502:BQ502">IF(BF502,"",IVSolution($M502,$N502,$O502,BB502,BC502,BD502,BE502,$E502,$F502,$G502,$H502,$I502))</f>
        <v/>
      </c>
      <c r="BH502" s="37" t="str">
        <v/>
      </c>
      <c r="BI502" s="37" t="str">
        <v/>
      </c>
      <c r="BJ502" s="39" t="str">
        <v/>
      </c>
      <c r="BK502" s="39" t="str">
        <v/>
      </c>
      <c r="BL502" s="37" t="str">
        <v/>
      </c>
      <c r="BM502" s="37" t="str">
        <v/>
      </c>
      <c r="BN502" s="37" t="str">
        <v/>
      </c>
      <c r="BO502" s="37" t="str">
        <v/>
      </c>
      <c r="BP502" s="37" t="str">
        <v/>
      </c>
      <c r="BQ502" s="37" t="str">
        <v/>
      </c>
      <c r="BR502" s="40" t="str">
        <f t="shared" si="276"/>
        <v/>
      </c>
      <c r="BS502" s="36" t="str">
        <f>IFERROR(INDEX('Level Multipliers'!$D:$D,MATCH(BR502,'Level Multipliers'!$A:$A,0)),"")</f>
        <v/>
      </c>
      <c r="BT502" s="37" t="str">
        <f t="shared" si="277"/>
        <v/>
      </c>
      <c r="BU502" s="37" t="str">
        <f t="shared" si="278"/>
        <v/>
      </c>
      <c r="BV502" s="38" t="str">
        <f t="shared" si="279"/>
        <v/>
      </c>
      <c r="BW502" s="38" t="str">
        <f t="shared" si="280"/>
        <v/>
      </c>
      <c r="BX502" s="38" t="b">
        <f t="shared" si="281"/>
        <v>1</v>
      </c>
      <c r="BY502" s="37" t="str">
        <f t="array" ref="BY502:CI502">IF(BX502,"",IVSolution($M502,$N502,$O502,BT502,BU502,BV502,BW502,$E502,$F502,$G502,$H502,$I502))</f>
        <v/>
      </c>
      <c r="BZ502" s="37" t="str">
        <v/>
      </c>
      <c r="CA502" s="37" t="str">
        <v/>
      </c>
      <c r="CB502" s="39" t="str">
        <v/>
      </c>
      <c r="CC502" s="39" t="str">
        <v/>
      </c>
      <c r="CD502" s="37" t="str">
        <v/>
      </c>
      <c r="CE502" s="37" t="str">
        <v/>
      </c>
      <c r="CF502" s="37" t="str">
        <v/>
      </c>
      <c r="CG502" s="37" t="str">
        <v/>
      </c>
      <c r="CH502" s="37" t="str">
        <v/>
      </c>
      <c r="CI502" s="37" t="str">
        <v/>
      </c>
      <c r="CJ502" s="41" t="str">
        <f t="shared" si="282"/>
        <v/>
      </c>
      <c r="CK502" s="41" t="str">
        <f t="shared" si="283"/>
        <v/>
      </c>
      <c r="CL502" s="66" t="str">
        <f t="shared" si="284"/>
        <v/>
      </c>
      <c r="CM502" s="39" t="str">
        <f t="shared" si="285"/>
        <v/>
      </c>
      <c r="CN502" s="39" t="str">
        <f t="shared" si="286"/>
        <v/>
      </c>
      <c r="CO502" s="42" t="str">
        <f t="shared" si="287"/>
        <v/>
      </c>
      <c r="CP502" s="42" t="str">
        <f t="shared" si="288"/>
        <v/>
      </c>
      <c r="CQ502" s="42" t="str">
        <f t="shared" si="289"/>
        <v/>
      </c>
      <c r="CR502" s="42" t="str">
        <f t="shared" si="290"/>
        <v/>
      </c>
      <c r="CS502" s="42" t="str">
        <f t="shared" si="291"/>
        <v/>
      </c>
      <c r="CT502" s="42" t="str">
        <f t="shared" si="292"/>
        <v/>
      </c>
      <c r="CU502" s="43" t="str">
        <f t="shared" si="293"/>
        <v/>
      </c>
      <c r="CV502" s="43" t="str">
        <f t="shared" si="294"/>
        <v/>
      </c>
      <c r="CW502" s="43" t="str">
        <f t="shared" si="295"/>
        <v/>
      </c>
      <c r="CX502" s="13"/>
    </row>
    <row r="503" spans="1:102" hidden="1" x14ac:dyDescent="0.25"/>
    <row r="504" spans="1:102" hidden="1" x14ac:dyDescent="0.25"/>
    <row r="505" spans="1:102" hidden="1" x14ac:dyDescent="0.25"/>
    <row r="506" spans="1:102" hidden="1" x14ac:dyDescent="0.25"/>
    <row r="507" spans="1:102" hidden="1" x14ac:dyDescent="0.25"/>
    <row r="508" spans="1:102" hidden="1" x14ac:dyDescent="0.25"/>
    <row r="509" spans="1:102" hidden="1" x14ac:dyDescent="0.25"/>
    <row r="510" spans="1:102" hidden="1" x14ac:dyDescent="0.25"/>
    <row r="511" spans="1:102" hidden="1" x14ac:dyDescent="0.25"/>
    <row r="512" spans="1:10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X502">
    <sortState ref="A3:CX502">
      <sortCondition ref="L2:L502"/>
    </sortState>
  </autoFilter>
  <conditionalFormatting sqref="CJ1:CJ1048576 CM1:CM1048576">
    <cfRule type="expression" dxfId="11" priority="6">
      <formula>CJ1=CK1</formula>
    </cfRule>
  </conditionalFormatting>
  <conditionalFormatting sqref="A1:CX1048576">
    <cfRule type="expression" dxfId="10" priority="5">
      <formula>$A1&lt;&gt;$A2</formula>
    </cfRule>
  </conditionalFormatting>
  <conditionalFormatting sqref="CU1">
    <cfRule type="expression" dxfId="9" priority="4">
      <formula>CU1=CV1</formula>
    </cfRule>
  </conditionalFormatting>
  <conditionalFormatting sqref="CL1:CL1048576">
    <cfRule type="expression" dxfId="8" priority="13">
      <formula>CL1=CO1</formula>
    </cfRule>
  </conditionalFormatting>
  <conditionalFormatting sqref="CL1">
    <cfRule type="expression" dxfId="7" priority="3">
      <formula>CL1=CM1</formula>
    </cfRule>
  </conditionalFormatting>
  <conditionalFormatting sqref="E1:E1048576">
    <cfRule type="expression" dxfId="6" priority="2">
      <formula>E1=""</formula>
    </cfRule>
  </conditionalFormatting>
  <conditionalFormatting sqref="F1:I1048576">
    <cfRule type="expression" dxfId="5" priority="1">
      <formula>AND($F1&amp;$G1&amp;$H1="",$I1="")</formula>
    </cfRule>
  </conditionalFormatting>
  <dataValidations count="3">
    <dataValidation type="whole" operator="greaterThanOrEqual" allowBlank="1" showInputMessage="1" showErrorMessage="1" error="Values must be integers greater than or equal to 10" sqref="B3:C502">
      <formula1>10</formula1>
    </dataValidation>
    <dataValidation type="list" allowBlank="1" showInputMessage="1" showErrorMessage="1" error="Input must be 0 or 1" sqref="F3:H502">
      <formula1>"0,1"</formula1>
    </dataValidation>
    <dataValidation type="list" allowBlank="1" showInputMessage="1" showErrorMessage="1" sqref="J3:J50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A3:A502</xm:sqref>
        </x14:dataValidation>
        <x14:dataValidation type="list" allowBlank="1" showInputMessage="1" showErrorMessage="1">
          <x14:formula1>
            <xm:f>'Level Multipliers'!$F$2:$F$21</xm:f>
          </x14:formula1>
          <xm:sqref>D3:D502</xm:sqref>
        </x14:dataValidation>
        <x14:dataValidation type="list" allowBlank="1" showInputMessage="1" showErrorMessage="1">
          <x14:formula1>
            <xm:f>'Appraisal Grades'!$A$2:$A$5</xm:f>
          </x14:formula1>
          <xm:sqref>E3:E502</xm:sqref>
        </x14:dataValidation>
        <x14:dataValidation type="list" allowBlank="1" showInputMessage="1" showErrorMessage="1">
          <x14:formula1>
            <xm:f>'Appraisal Grades'!$E$2:$E$5</xm:f>
          </x14:formula1>
          <xm:sqref>I3:I502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326"/>
  <sheetViews>
    <sheetView zoomScale="85" zoomScaleNormal="85" workbookViewId="0">
      <pane xSplit="2" ySplit="1" topLeftCell="C2" activePane="bottomRight" state="frozen"/>
      <selection activeCell="CX6" sqref="CX6"/>
      <selection pane="topRight" activeCell="CX6" sqref="CX6"/>
      <selection pane="bottomLeft" activeCell="CX6" sqref="CX6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99" width="0" hidden="1" customWidth="1"/>
    <col min="103" max="16384" width="9.140625" hidden="1"/>
  </cols>
  <sheetData>
    <row r="1" spans="1:11" x14ac:dyDescent="0.25">
      <c r="A1" s="52" t="s">
        <v>401</v>
      </c>
      <c r="B1" s="1" t="s">
        <v>17</v>
      </c>
      <c r="C1" s="1" t="s">
        <v>402</v>
      </c>
      <c r="D1" s="1" t="s">
        <v>298</v>
      </c>
      <c r="E1" s="1" t="s">
        <v>403</v>
      </c>
      <c r="F1" s="1" t="s">
        <v>404</v>
      </c>
      <c r="G1" s="1" t="s">
        <v>405</v>
      </c>
      <c r="H1" s="55" t="s">
        <v>406</v>
      </c>
      <c r="I1" s="1" t="s">
        <v>407</v>
      </c>
      <c r="J1" s="1" t="s">
        <v>418</v>
      </c>
      <c r="K1" s="1" t="s">
        <v>408</v>
      </c>
    </row>
    <row r="2" spans="1:11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Pokemon'!$CX:$CX,"Evolve")</f>
        <v>0</v>
      </c>
      <c r="G2" s="53">
        <f>IF(D2=0,0,MAX(MIN(C2,INT((E2-1)/(D2-1))),0))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409</v>
      </c>
    </row>
    <row r="3" spans="1:11" x14ac:dyDescent="0.25">
      <c r="A3" s="53">
        <f>A2+1</f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116</v>
      </c>
      <c r="F3">
        <f>COUNTIFS('My Pokemon'!$A:$A,$B3,'My Pokemon'!$CX:$CX,"Evolve")</f>
        <v>0</v>
      </c>
      <c r="G3" s="53">
        <f t="shared" ref="G3:G66" si="0">IF(D3=0,0,MAX(MIN(C3,INT((E3-1)/(D3-1))),0))</f>
        <v>3</v>
      </c>
      <c r="H3" s="56">
        <f t="shared" ref="H3:H66" si="1">IFERROR((D3-I3)/D3,"")</f>
        <v>1</v>
      </c>
      <c r="I3">
        <f t="shared" ref="I3:I66" si="2">IFERROR(MAX(D3-(SUM(E3,G3)-G3*D3),0),"")</f>
        <v>0</v>
      </c>
      <c r="J3" s="1">
        <f t="shared" ref="J3:J66" si="3">IFERROR(C3-G3,"")</f>
        <v>0</v>
      </c>
      <c r="K3" t="s">
        <v>409</v>
      </c>
    </row>
    <row r="4" spans="1:11" x14ac:dyDescent="0.25">
      <c r="A4" s="53">
        <f t="shared" ref="A4:A67" si="4">A3+1</f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24</v>
      </c>
      <c r="F4">
        <f>COUNTIFS('My Pokemon'!$A:$A,$B4,'My Pokemon'!$CX:$CX,"Evolve")</f>
        <v>0</v>
      </c>
      <c r="G4" s="53">
        <f t="shared" si="0"/>
        <v>0</v>
      </c>
      <c r="H4" s="56">
        <f t="shared" si="1"/>
        <v>0.96</v>
      </c>
      <c r="I4">
        <f t="shared" si="2"/>
        <v>1</v>
      </c>
      <c r="J4" s="1">
        <f t="shared" si="3"/>
        <v>2</v>
      </c>
    </row>
    <row r="5" spans="1:11" x14ac:dyDescent="0.25">
      <c r="A5" s="53">
        <f t="shared" si="4"/>
        <v>4</v>
      </c>
      <c r="B5" t="s">
        <v>33</v>
      </c>
      <c r="C5">
        <f>COUNTIFS('My Pokemon'!$A:$A,$B5)</f>
        <v>0</v>
      </c>
      <c r="D5">
        <f>INDEX('Pokemon Data'!$N:$N,MATCH($B5,'Pokemon Data'!$B:$B,0))</f>
        <v>12</v>
      </c>
      <c r="E5" s="54">
        <v>10</v>
      </c>
      <c r="F5">
        <f>COUNTIFS('My Pokemon'!$A:$A,$B5,'My Pokemon'!$CX:$CX,"Evolve")</f>
        <v>0</v>
      </c>
      <c r="G5" s="53">
        <f t="shared" si="0"/>
        <v>0</v>
      </c>
      <c r="H5" s="56">
        <f t="shared" si="1"/>
        <v>0.83333333333333337</v>
      </c>
      <c r="I5">
        <f t="shared" si="2"/>
        <v>2</v>
      </c>
      <c r="J5" s="1">
        <f t="shared" si="3"/>
        <v>0</v>
      </c>
      <c r="K5" t="s">
        <v>409</v>
      </c>
    </row>
    <row r="6" spans="1:11" x14ac:dyDescent="0.25">
      <c r="A6" s="53">
        <f t="shared" si="4"/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22</v>
      </c>
      <c r="F6">
        <f>COUNTIFS('My Pokemon'!$A:$A,$B6,'My Pokemon'!$CX:$CX,"Evolve")</f>
        <v>0</v>
      </c>
      <c r="G6" s="53">
        <f t="shared" si="0"/>
        <v>1</v>
      </c>
      <c r="H6" s="56">
        <f t="shared" si="1"/>
        <v>0.91666666666666663</v>
      </c>
      <c r="I6">
        <f t="shared" si="2"/>
        <v>1</v>
      </c>
      <c r="J6" s="1">
        <f t="shared" si="3"/>
        <v>0</v>
      </c>
      <c r="K6" t="s">
        <v>409</v>
      </c>
    </row>
    <row r="7" spans="1:11" x14ac:dyDescent="0.25">
      <c r="A7" s="53">
        <f t="shared" si="4"/>
        <v>6</v>
      </c>
      <c r="B7" t="s">
        <v>40</v>
      </c>
      <c r="C7">
        <f>COUNTIFS('My Pokemon'!$A:$A,$B7)</f>
        <v>28</v>
      </c>
      <c r="D7">
        <f>INDEX('Pokemon Data'!$N:$N,MATCH($B7,'Pokemon Data'!$B:$B,0))</f>
        <v>12</v>
      </c>
      <c r="E7" s="54">
        <v>308</v>
      </c>
      <c r="F7">
        <f>COUNTIFS('My Pokemon'!$A:$A,$B7,'My Pokemon'!$CX:$CX,"Evolve")</f>
        <v>27</v>
      </c>
      <c r="G7" s="53">
        <f t="shared" si="0"/>
        <v>27</v>
      </c>
      <c r="H7" s="56">
        <f t="shared" si="1"/>
        <v>0.91666666666666663</v>
      </c>
      <c r="I7">
        <f t="shared" si="2"/>
        <v>1</v>
      </c>
      <c r="J7" s="1">
        <f t="shared" si="3"/>
        <v>1</v>
      </c>
    </row>
    <row r="8" spans="1:11" x14ac:dyDescent="0.25">
      <c r="A8" s="53">
        <f t="shared" si="4"/>
        <v>7</v>
      </c>
      <c r="B8" t="s">
        <v>44</v>
      </c>
      <c r="C8">
        <f>COUNTIFS('My Pokemon'!$A:$A,$B8)</f>
        <v>0</v>
      </c>
      <c r="D8">
        <f>INDEX('Pokemon Data'!$N:$N,MATCH($B8,'Pokemon Data'!$B:$B,0))</f>
        <v>25</v>
      </c>
      <c r="E8" s="54">
        <v>53</v>
      </c>
      <c r="F8">
        <f>COUNTIFS('My Pokemon'!$A:$A,$B8,'My Pokemon'!$CX:$CX,"Evolve")</f>
        <v>0</v>
      </c>
      <c r="G8" s="53">
        <f t="shared" si="0"/>
        <v>0</v>
      </c>
      <c r="H8" s="56">
        <f t="shared" si="1"/>
        <v>1</v>
      </c>
      <c r="I8">
        <f t="shared" si="2"/>
        <v>0</v>
      </c>
      <c r="J8" s="1">
        <f t="shared" si="3"/>
        <v>0</v>
      </c>
    </row>
    <row r="9" spans="1:11" x14ac:dyDescent="0.25">
      <c r="A9" s="53">
        <f t="shared" si="4"/>
        <v>8</v>
      </c>
      <c r="B9" t="s">
        <v>46</v>
      </c>
      <c r="C9">
        <f>COUNTIFS('My Pokemon'!$A:$A,$B9)</f>
        <v>0</v>
      </c>
      <c r="D9">
        <f>INDEX('Pokemon Data'!$N:$N,MATCH($B9,'Pokemon Data'!$B:$B,0))</f>
        <v>50</v>
      </c>
      <c r="E9" s="54">
        <v>38</v>
      </c>
      <c r="F9">
        <f>COUNTIFS('My Pokemon'!$A:$A,$B9,'My Pokemon'!$CX:$CX,"Evolve")</f>
        <v>0</v>
      </c>
      <c r="G9" s="53">
        <f t="shared" si="0"/>
        <v>0</v>
      </c>
      <c r="H9" s="56">
        <f t="shared" si="1"/>
        <v>0.76</v>
      </c>
      <c r="I9">
        <f t="shared" si="2"/>
        <v>12</v>
      </c>
      <c r="J9" s="1">
        <f t="shared" si="3"/>
        <v>0</v>
      </c>
    </row>
    <row r="10" spans="1:11" x14ac:dyDescent="0.25">
      <c r="A10" s="53">
        <f t="shared" si="4"/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Pokemon'!$CX:$CX,"Evolve")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</row>
    <row r="11" spans="1:11" x14ac:dyDescent="0.25">
      <c r="A11" s="53">
        <f t="shared" si="4"/>
        <v>10</v>
      </c>
      <c r="B11" t="s">
        <v>51</v>
      </c>
      <c r="C11">
        <f>COUNTIFS('My Pokemon'!$A:$A,$B11)</f>
        <v>0</v>
      </c>
      <c r="D11">
        <f>INDEX('Pokemon Data'!$N:$N,MATCH($B11,'Pokemon Data'!$B:$B,0))</f>
        <v>25</v>
      </c>
      <c r="E11" s="54">
        <v>32</v>
      </c>
      <c r="F11">
        <f>COUNTIFS('My Pokemon'!$A:$A,$B11,'My Pokemon'!$CX:$CX,"Evolve")</f>
        <v>0</v>
      </c>
      <c r="G11" s="53">
        <f t="shared" si="0"/>
        <v>0</v>
      </c>
      <c r="H11" s="56">
        <f t="shared" si="1"/>
        <v>1</v>
      </c>
      <c r="I11">
        <f t="shared" si="2"/>
        <v>0</v>
      </c>
      <c r="J11" s="1">
        <f t="shared" si="3"/>
        <v>0</v>
      </c>
    </row>
    <row r="12" spans="1:11" x14ac:dyDescent="0.25">
      <c r="A12" s="53">
        <f t="shared" si="4"/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7</v>
      </c>
      <c r="F12">
        <f>COUNTIFS('My Pokemon'!$A:$A,$B12,'My Pokemon'!$CX:$CX,"Evolve")</f>
        <v>0</v>
      </c>
      <c r="G12" s="53">
        <f t="shared" si="0"/>
        <v>0</v>
      </c>
      <c r="H12" s="56">
        <f t="shared" si="1"/>
        <v>0.14000000000000001</v>
      </c>
      <c r="I12">
        <f t="shared" si="2"/>
        <v>43</v>
      </c>
      <c r="J12" s="1">
        <f t="shared" si="3"/>
        <v>0</v>
      </c>
    </row>
    <row r="13" spans="1:11" x14ac:dyDescent="0.25">
      <c r="A13" s="53">
        <f t="shared" si="4"/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Pokemon'!$CX:$CX,"Evolve")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409</v>
      </c>
    </row>
    <row r="14" spans="1:11" x14ac:dyDescent="0.25">
      <c r="A14" s="53">
        <f t="shared" si="4"/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Pokemon'!$CX:$CX,"Evolve")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409</v>
      </c>
    </row>
    <row r="15" spans="1:11" x14ac:dyDescent="0.25">
      <c r="A15" s="53">
        <f t="shared" si="4"/>
        <v>14</v>
      </c>
      <c r="B15" t="s">
        <v>64</v>
      </c>
      <c r="C15">
        <f>COUNTIFS('My Pokemon'!$A:$A,$B15)</f>
        <v>0</v>
      </c>
      <c r="D15">
        <f>INDEX('Pokemon Data'!$N:$N,MATCH($B15,'Pokemon Data'!$B:$B,0))</f>
        <v>25</v>
      </c>
      <c r="E15" s="54">
        <v>37</v>
      </c>
      <c r="F15">
        <f>COUNTIFS('My Pokemon'!$A:$A,$B15,'My Pokemon'!$CX:$CX,"Evolve")</f>
        <v>0</v>
      </c>
      <c r="G15" s="53">
        <f t="shared" si="0"/>
        <v>0</v>
      </c>
      <c r="H15" s="56">
        <f t="shared" si="1"/>
        <v>1</v>
      </c>
      <c r="I15">
        <f t="shared" si="2"/>
        <v>0</v>
      </c>
      <c r="J15" s="1">
        <f t="shared" si="3"/>
        <v>0</v>
      </c>
    </row>
    <row r="16" spans="1:11" x14ac:dyDescent="0.25">
      <c r="A16" s="53">
        <f t="shared" si="4"/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Pokemon'!$CX:$CX,"Evolve")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1" x14ac:dyDescent="0.25">
      <c r="A17" s="53">
        <f t="shared" si="4"/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29</v>
      </c>
      <c r="F17">
        <f>COUNTIFS('My Pokemon'!$A:$A,$B17,'My Pokemon'!$CX:$CX,"Evolve")</f>
        <v>0</v>
      </c>
      <c r="G17" s="53">
        <f t="shared" si="0"/>
        <v>0</v>
      </c>
      <c r="H17" s="56">
        <f t="shared" si="1"/>
        <v>0.57999999999999996</v>
      </c>
      <c r="I17">
        <f t="shared" si="2"/>
        <v>21</v>
      </c>
      <c r="J17" s="1">
        <f t="shared" si="3"/>
        <v>1</v>
      </c>
    </row>
    <row r="18" spans="1:11" x14ac:dyDescent="0.25">
      <c r="A18" s="53">
        <f t="shared" si="4"/>
        <v>17</v>
      </c>
      <c r="B18" t="s">
        <v>72</v>
      </c>
      <c r="C18">
        <f>COUNTIFS('My Pokemon'!$A:$A,$B18)</f>
        <v>2</v>
      </c>
      <c r="D18">
        <f>INDEX('Pokemon Data'!$N:$N,MATCH($B18,'Pokemon Data'!$B:$B,0))</f>
        <v>25</v>
      </c>
      <c r="E18" s="54">
        <v>33</v>
      </c>
      <c r="F18">
        <f>COUNTIFS('My Pokemon'!$A:$A,$B18,'My Pokemon'!$CX:$CX,"Evolve")</f>
        <v>1</v>
      </c>
      <c r="G18" s="53">
        <f t="shared" si="0"/>
        <v>1</v>
      </c>
      <c r="H18" s="56">
        <f t="shared" si="1"/>
        <v>0.36</v>
      </c>
      <c r="I18">
        <f t="shared" si="2"/>
        <v>16</v>
      </c>
      <c r="J18" s="1">
        <f t="shared" si="3"/>
        <v>1</v>
      </c>
    </row>
    <row r="19" spans="1:11" x14ac:dyDescent="0.25">
      <c r="A19" s="53">
        <f t="shared" si="4"/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95</v>
      </c>
      <c r="F19">
        <f>COUNTIFS('My Pokemon'!$A:$A,$B19,'My Pokemon'!$CX:$CX,"Evolve")</f>
        <v>0</v>
      </c>
      <c r="G19" s="53">
        <f t="shared" si="0"/>
        <v>3</v>
      </c>
      <c r="H19" s="56">
        <f t="shared" si="1"/>
        <v>0.92</v>
      </c>
      <c r="I19">
        <f t="shared" si="2"/>
        <v>2</v>
      </c>
      <c r="J19" s="1">
        <f t="shared" si="3"/>
        <v>0</v>
      </c>
      <c r="K19" t="s">
        <v>409</v>
      </c>
    </row>
    <row r="20" spans="1:11" x14ac:dyDescent="0.25">
      <c r="A20" s="53">
        <f t="shared" si="4"/>
        <v>19</v>
      </c>
      <c r="B20" t="s">
        <v>78</v>
      </c>
      <c r="C20">
        <f>COUNTIFS('My Pokemon'!$A:$A,$B20)</f>
        <v>1</v>
      </c>
      <c r="D20">
        <f>INDEX('Pokemon Data'!$N:$N,MATCH($B20,'Pokemon Data'!$B:$B,0))</f>
        <v>50</v>
      </c>
      <c r="E20" s="54">
        <v>57</v>
      </c>
      <c r="F20">
        <f>COUNTIFS('My Pokemon'!$A:$A,$B20,'My Pokemon'!$CX:$CX,"Evolve")</f>
        <v>1</v>
      </c>
      <c r="G20" s="53">
        <f t="shared" si="0"/>
        <v>1</v>
      </c>
      <c r="H20" s="56">
        <f t="shared" si="1"/>
        <v>0.16</v>
      </c>
      <c r="I20">
        <f t="shared" si="2"/>
        <v>42</v>
      </c>
      <c r="J20" s="1">
        <f t="shared" si="3"/>
        <v>0</v>
      </c>
    </row>
    <row r="21" spans="1:11" x14ac:dyDescent="0.25">
      <c r="A21" s="53">
        <f t="shared" si="4"/>
        <v>20</v>
      </c>
      <c r="B21" t="s">
        <v>80</v>
      </c>
      <c r="C21">
        <f>COUNTIFS('My Pokemon'!$A:$A,$B21)</f>
        <v>0</v>
      </c>
      <c r="D21">
        <f>INDEX('Pokemon Data'!$N:$N,MATCH($B21,'Pokemon Data'!$B:$B,0))</f>
        <v>50</v>
      </c>
      <c r="E21" s="54">
        <v>18</v>
      </c>
      <c r="F21">
        <f>COUNTIFS('My Pokemon'!$A:$A,$B21,'My Pokemon'!$CX:$CX,"Evolve")</f>
        <v>0</v>
      </c>
      <c r="G21" s="53">
        <f t="shared" si="0"/>
        <v>0</v>
      </c>
      <c r="H21" s="56">
        <f t="shared" si="1"/>
        <v>0.36</v>
      </c>
      <c r="I21">
        <f t="shared" si="2"/>
        <v>32</v>
      </c>
      <c r="J21" s="1">
        <f t="shared" si="3"/>
        <v>0</v>
      </c>
    </row>
    <row r="22" spans="1:11" x14ac:dyDescent="0.25">
      <c r="A22" s="53">
        <f t="shared" si="4"/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Pokemon'!$CX:$CX,"Evolve")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</row>
    <row r="23" spans="1:11" x14ac:dyDescent="0.25">
      <c r="A23" s="53">
        <f t="shared" si="4"/>
        <v>22</v>
      </c>
      <c r="B23" t="s">
        <v>84</v>
      </c>
      <c r="C23">
        <f>COUNTIFS('My Pokemon'!$A:$A,$B23)</f>
        <v>1</v>
      </c>
      <c r="D23">
        <f>INDEX('Pokemon Data'!$N:$N,MATCH($B23,'Pokemon Data'!$B:$B,0))</f>
        <v>50</v>
      </c>
      <c r="E23" s="54">
        <v>35</v>
      </c>
      <c r="F23">
        <f>COUNTIFS('My Pokemon'!$A:$A,$B23,'My Pokemon'!$CX:$CX,"Evolve")</f>
        <v>0</v>
      </c>
      <c r="G23" s="53">
        <f t="shared" si="0"/>
        <v>0</v>
      </c>
      <c r="H23" s="56">
        <f t="shared" si="1"/>
        <v>0.7</v>
      </c>
      <c r="I23">
        <f t="shared" si="2"/>
        <v>15</v>
      </c>
      <c r="J23" s="1">
        <f t="shared" si="3"/>
        <v>1</v>
      </c>
    </row>
    <row r="24" spans="1:11" x14ac:dyDescent="0.25">
      <c r="A24" s="53">
        <f t="shared" si="4"/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35</v>
      </c>
      <c r="F24">
        <f>COUNTIFS('My Pokemon'!$A:$A,$B24,'My Pokemon'!$CX:$CX,"Evolve")</f>
        <v>0</v>
      </c>
      <c r="G24" s="53">
        <f t="shared" si="0"/>
        <v>0</v>
      </c>
      <c r="H24" s="56">
        <f t="shared" si="1"/>
        <v>0.7</v>
      </c>
      <c r="I24">
        <f t="shared" si="2"/>
        <v>15</v>
      </c>
      <c r="J24" s="1">
        <f t="shared" si="3"/>
        <v>1</v>
      </c>
    </row>
    <row r="25" spans="1:11" x14ac:dyDescent="0.25">
      <c r="A25" s="53">
        <f t="shared" si="4"/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Pokemon'!$CX:$CX,"Evolve")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</row>
    <row r="26" spans="1:11" x14ac:dyDescent="0.25">
      <c r="A26" s="53">
        <f t="shared" si="4"/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49</v>
      </c>
      <c r="F26">
        <f>COUNTIFS('My Pokemon'!$A:$A,$B26,'My Pokemon'!$CX:$CX,"Evolve")</f>
        <v>0</v>
      </c>
      <c r="G26" s="53">
        <f t="shared" si="0"/>
        <v>0</v>
      </c>
      <c r="H26" s="56">
        <f t="shared" si="1"/>
        <v>0.98</v>
      </c>
      <c r="I26">
        <f t="shared" si="2"/>
        <v>1</v>
      </c>
      <c r="J26" s="1">
        <f t="shared" si="3"/>
        <v>1</v>
      </c>
    </row>
    <row r="27" spans="1:11" x14ac:dyDescent="0.25">
      <c r="A27" s="53">
        <f t="shared" si="4"/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139</v>
      </c>
      <c r="F27">
        <f>COUNTIFS('My Pokemon'!$A:$A,$B27,'My Pokemon'!$CX:$CX,"Evolve")</f>
        <v>0</v>
      </c>
      <c r="G27" s="53">
        <f t="shared" si="0"/>
        <v>4</v>
      </c>
      <c r="H27" s="56">
        <f t="shared" si="1"/>
        <v>1</v>
      </c>
      <c r="I27">
        <f t="shared" si="2"/>
        <v>0</v>
      </c>
      <c r="J27" s="1">
        <f t="shared" si="3"/>
        <v>0</v>
      </c>
      <c r="K27" t="s">
        <v>409</v>
      </c>
    </row>
    <row r="28" spans="1:11" x14ac:dyDescent="0.25">
      <c r="A28" s="53">
        <f t="shared" si="4"/>
        <v>27</v>
      </c>
      <c r="B28" t="s">
        <v>96</v>
      </c>
      <c r="C28">
        <f>COUNTIFS('My Pokemon'!$A:$A,$B28)</f>
        <v>2</v>
      </c>
      <c r="D28">
        <f>INDEX('Pokemon Data'!$N:$N,MATCH($B28,'Pokemon Data'!$B:$B,0))</f>
        <v>25</v>
      </c>
      <c r="E28" s="54">
        <v>40</v>
      </c>
      <c r="F28">
        <f>COUNTIFS('My Pokemon'!$A:$A,$B28,'My Pokemon'!$CX:$CX,"Evolve")</f>
        <v>0</v>
      </c>
      <c r="G28" s="53">
        <f t="shared" si="0"/>
        <v>1</v>
      </c>
      <c r="H28" s="56">
        <f t="shared" si="1"/>
        <v>0.64</v>
      </c>
      <c r="I28">
        <f t="shared" si="2"/>
        <v>9</v>
      </c>
      <c r="J28" s="1">
        <f t="shared" si="3"/>
        <v>1</v>
      </c>
      <c r="K28" t="s">
        <v>409</v>
      </c>
    </row>
    <row r="29" spans="1:11" x14ac:dyDescent="0.25">
      <c r="A29" s="53">
        <f t="shared" si="4"/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49</v>
      </c>
      <c r="F29">
        <f>COUNTIFS('My Pokemon'!$A:$A,$B29,'My Pokemon'!$CX:$CX,"Evolve")</f>
        <v>0</v>
      </c>
      <c r="G29" s="53">
        <f t="shared" si="0"/>
        <v>2</v>
      </c>
      <c r="H29" s="56">
        <f t="shared" si="1"/>
        <v>0.04</v>
      </c>
      <c r="I29">
        <f t="shared" si="2"/>
        <v>24</v>
      </c>
      <c r="J29" s="1">
        <f t="shared" si="3"/>
        <v>1</v>
      </c>
      <c r="K29" t="s">
        <v>409</v>
      </c>
    </row>
    <row r="30" spans="1:11" x14ac:dyDescent="0.25">
      <c r="A30" s="53">
        <f t="shared" si="4"/>
        <v>29</v>
      </c>
      <c r="B30" t="s">
        <v>103</v>
      </c>
      <c r="C30">
        <f>COUNTIFS('My Pokemon'!$A:$A,$B30)</f>
        <v>3</v>
      </c>
      <c r="D30">
        <f>INDEX('Pokemon Data'!$N:$N,MATCH($B30,'Pokemon Data'!$B:$B,0))</f>
        <v>25</v>
      </c>
      <c r="E30" s="54">
        <v>41</v>
      </c>
      <c r="F30">
        <f>COUNTIFS('My Pokemon'!$A:$A,$B30,'My Pokemon'!$CX:$CX,"Evolve")</f>
        <v>0</v>
      </c>
      <c r="G30" s="53">
        <f t="shared" si="0"/>
        <v>1</v>
      </c>
      <c r="H30" s="56">
        <f t="shared" si="1"/>
        <v>0.68</v>
      </c>
      <c r="I30">
        <f t="shared" si="2"/>
        <v>8</v>
      </c>
      <c r="J30" s="1">
        <f t="shared" si="3"/>
        <v>2</v>
      </c>
      <c r="K30" t="s">
        <v>409</v>
      </c>
    </row>
    <row r="31" spans="1:11" x14ac:dyDescent="0.25">
      <c r="A31" s="53">
        <f t="shared" si="4"/>
        <v>30</v>
      </c>
      <c r="B31" t="s">
        <v>106</v>
      </c>
      <c r="C31">
        <f>COUNTIFS('My Pokemon'!$A:$A,$B31)</f>
        <v>1</v>
      </c>
      <c r="D31">
        <f>INDEX('Pokemon Data'!$N:$N,MATCH($B31,'Pokemon Data'!$B:$B,0))</f>
        <v>50</v>
      </c>
      <c r="E31" s="54">
        <v>45</v>
      </c>
      <c r="F31">
        <f>COUNTIFS('My Pokemon'!$A:$A,$B31,'My Pokemon'!$CX:$CX,"Evolve")</f>
        <v>0</v>
      </c>
      <c r="G31" s="53">
        <f t="shared" si="0"/>
        <v>0</v>
      </c>
      <c r="H31" s="56">
        <f t="shared" si="1"/>
        <v>0.9</v>
      </c>
      <c r="I31">
        <f t="shared" si="2"/>
        <v>5</v>
      </c>
      <c r="J31" s="1">
        <f t="shared" si="3"/>
        <v>1</v>
      </c>
    </row>
    <row r="32" spans="1:11" x14ac:dyDescent="0.25">
      <c r="A32" s="53">
        <f t="shared" si="4"/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Pokemon'!$CX:$CX,"Evolve")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409</v>
      </c>
    </row>
    <row r="33" spans="1:11" x14ac:dyDescent="0.25">
      <c r="A33" s="53">
        <f t="shared" si="4"/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Pokemon'!$CX:$CX,"Evolve")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1" x14ac:dyDescent="0.25">
      <c r="A34" s="53">
        <f t="shared" si="4"/>
        <v>33</v>
      </c>
      <c r="B34" t="s">
        <v>114</v>
      </c>
      <c r="C34">
        <f>COUNTIFS('My Pokemon'!$A:$A,$B34)</f>
        <v>0</v>
      </c>
      <c r="D34">
        <f>INDEX('Pokemon Data'!$N:$N,MATCH($B34,'Pokemon Data'!$B:$B,0))</f>
        <v>50</v>
      </c>
      <c r="E34" s="54">
        <v>80</v>
      </c>
      <c r="F34">
        <f>COUNTIFS('My Pokemon'!$A:$A,$B34,'My Pokemon'!$CX:$CX,"Evolve")</f>
        <v>0</v>
      </c>
      <c r="G34" s="53">
        <f t="shared" si="0"/>
        <v>0</v>
      </c>
      <c r="H34" s="56">
        <f t="shared" si="1"/>
        <v>1</v>
      </c>
      <c r="I34">
        <f t="shared" si="2"/>
        <v>0</v>
      </c>
      <c r="J34" s="1">
        <f t="shared" si="3"/>
        <v>0</v>
      </c>
    </row>
    <row r="35" spans="1:11" x14ac:dyDescent="0.25">
      <c r="A35" s="53">
        <f t="shared" si="4"/>
        <v>34</v>
      </c>
      <c r="B35" t="s">
        <v>116</v>
      </c>
      <c r="C35">
        <f>COUNTIFS('My Pokemon'!$A:$A,$B35)</f>
        <v>1</v>
      </c>
      <c r="D35">
        <f>INDEX('Pokemon Data'!$N:$N,MATCH($B35,'Pokemon Data'!$B:$B,0))</f>
        <v>50</v>
      </c>
      <c r="E35" s="54">
        <v>57</v>
      </c>
      <c r="F35">
        <f>COUNTIFS('My Pokemon'!$A:$A,$B35,'My Pokemon'!$CX:$CX,"Evolve")</f>
        <v>1</v>
      </c>
      <c r="G35" s="53">
        <f t="shared" si="0"/>
        <v>1</v>
      </c>
      <c r="H35" s="56">
        <f t="shared" si="1"/>
        <v>0.16</v>
      </c>
      <c r="I35">
        <f t="shared" si="2"/>
        <v>42</v>
      </c>
      <c r="J35" s="1">
        <f t="shared" si="3"/>
        <v>0</v>
      </c>
    </row>
    <row r="36" spans="1:11" x14ac:dyDescent="0.25">
      <c r="A36" s="53">
        <f t="shared" si="4"/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Pokemon'!$CX:$CX,"Evolve")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1" x14ac:dyDescent="0.25">
      <c r="A37" s="53">
        <f t="shared" si="4"/>
        <v>36</v>
      </c>
      <c r="B37" t="s">
        <v>120</v>
      </c>
      <c r="C37">
        <f>COUNTIFS('My Pokemon'!$A:$A,$B37)</f>
        <v>1</v>
      </c>
      <c r="D37">
        <f>INDEX('Pokemon Data'!$N:$N,MATCH($B37,'Pokemon Data'!$B:$B,0))</f>
        <v>50</v>
      </c>
      <c r="E37" s="54">
        <v>47</v>
      </c>
      <c r="F37">
        <f>COUNTIFS('My Pokemon'!$A:$A,$B37,'My Pokemon'!$CX:$CX,"Evolve")</f>
        <v>0</v>
      </c>
      <c r="G37" s="53">
        <f t="shared" si="0"/>
        <v>0</v>
      </c>
      <c r="H37" s="56">
        <f t="shared" si="1"/>
        <v>0.94</v>
      </c>
      <c r="I37">
        <f t="shared" si="2"/>
        <v>3</v>
      </c>
      <c r="J37" s="1">
        <f t="shared" si="3"/>
        <v>1</v>
      </c>
    </row>
    <row r="38" spans="1:11" x14ac:dyDescent="0.25">
      <c r="A38" s="53">
        <f t="shared" si="4"/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31</v>
      </c>
      <c r="F38">
        <f>COUNTIFS('My Pokemon'!$A:$A,$B38,'My Pokemon'!$CX:$CX,"Evolve")</f>
        <v>0</v>
      </c>
      <c r="G38" s="53">
        <f t="shared" si="0"/>
        <v>0</v>
      </c>
      <c r="H38" s="56">
        <f t="shared" si="1"/>
        <v>0.62</v>
      </c>
      <c r="I38">
        <f t="shared" si="2"/>
        <v>19</v>
      </c>
      <c r="J38" s="1">
        <f t="shared" si="3"/>
        <v>1</v>
      </c>
    </row>
    <row r="39" spans="1:11" x14ac:dyDescent="0.25">
      <c r="A39" s="53">
        <f t="shared" si="4"/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Pokemon'!$CX:$CX,"Evolve")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</row>
    <row r="40" spans="1:11" x14ac:dyDescent="0.25">
      <c r="A40" s="53">
        <f t="shared" si="4"/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28</v>
      </c>
      <c r="F40">
        <f>COUNTIFS('My Pokemon'!$A:$A,$B40,'My Pokemon'!$CX:$CX,"Evolve")</f>
        <v>0</v>
      </c>
      <c r="G40" s="53">
        <f t="shared" si="0"/>
        <v>0</v>
      </c>
      <c r="H40" s="56">
        <f t="shared" si="1"/>
        <v>0.56000000000000005</v>
      </c>
      <c r="I40">
        <f t="shared" si="2"/>
        <v>22</v>
      </c>
      <c r="J40" s="1">
        <f t="shared" si="3"/>
        <v>1</v>
      </c>
    </row>
    <row r="41" spans="1:11" x14ac:dyDescent="0.25">
      <c r="A41" s="53">
        <f t="shared" si="4"/>
        <v>40</v>
      </c>
      <c r="B41" t="s">
        <v>129</v>
      </c>
      <c r="C41">
        <f>COUNTIFS('My Pokemon'!$A:$A,$B41)</f>
        <v>3</v>
      </c>
      <c r="D41">
        <f>INDEX('Pokemon Data'!$N:$N,MATCH($B41,'Pokemon Data'!$B:$B,0))</f>
        <v>25</v>
      </c>
      <c r="E41" s="54">
        <v>98</v>
      </c>
      <c r="F41">
        <f>COUNTIFS('My Pokemon'!$A:$A,$B41,'My Pokemon'!$CX:$CX,"Evolve")</f>
        <v>0</v>
      </c>
      <c r="G41" s="53">
        <f t="shared" si="0"/>
        <v>3</v>
      </c>
      <c r="H41" s="56">
        <f t="shared" si="1"/>
        <v>1</v>
      </c>
      <c r="I41">
        <f t="shared" si="2"/>
        <v>0</v>
      </c>
      <c r="J41" s="1">
        <f t="shared" si="3"/>
        <v>0</v>
      </c>
      <c r="K41" t="s">
        <v>409</v>
      </c>
    </row>
    <row r="42" spans="1:11" x14ac:dyDescent="0.25">
      <c r="A42" s="53">
        <f t="shared" si="4"/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50</v>
      </c>
      <c r="E42" s="54">
        <v>44</v>
      </c>
      <c r="F42">
        <f>COUNTIFS('My Pokemon'!$A:$A,$B42,'My Pokemon'!$CX:$CX,"Evolve")</f>
        <v>0</v>
      </c>
      <c r="G42" s="53">
        <f t="shared" si="0"/>
        <v>0</v>
      </c>
      <c r="H42" s="56">
        <f t="shared" si="1"/>
        <v>0.88</v>
      </c>
      <c r="I42">
        <f t="shared" si="2"/>
        <v>6</v>
      </c>
      <c r="J42" s="1">
        <f t="shared" si="3"/>
        <v>1</v>
      </c>
    </row>
    <row r="43" spans="1:11" x14ac:dyDescent="0.25">
      <c r="A43" s="53">
        <f t="shared" si="4"/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23</v>
      </c>
      <c r="F43">
        <f>COUNTIFS('My Pokemon'!$A:$A,$B43,'My Pokemon'!$CX:$CX,"Evolve")</f>
        <v>0</v>
      </c>
      <c r="G43" s="53">
        <f t="shared" si="0"/>
        <v>0</v>
      </c>
      <c r="H43" s="56">
        <f t="shared" si="1"/>
        <v>0.46</v>
      </c>
      <c r="I43">
        <f t="shared" si="2"/>
        <v>27</v>
      </c>
      <c r="J43" s="1">
        <f t="shared" si="3"/>
        <v>1</v>
      </c>
    </row>
    <row r="44" spans="1:11" x14ac:dyDescent="0.25">
      <c r="A44" s="53">
        <f t="shared" si="4"/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42</v>
      </c>
      <c r="F44">
        <f>COUNTIFS('My Pokemon'!$A:$A,$B44,'My Pokemon'!$CX:$CX,"Evolve")</f>
        <v>0</v>
      </c>
      <c r="G44" s="53">
        <f t="shared" si="0"/>
        <v>0</v>
      </c>
      <c r="H44" s="56">
        <f t="shared" si="1"/>
        <v>0.84</v>
      </c>
      <c r="I44">
        <f t="shared" si="2"/>
        <v>8</v>
      </c>
      <c r="J44" s="1">
        <f t="shared" si="3"/>
        <v>1</v>
      </c>
    </row>
    <row r="45" spans="1:11" x14ac:dyDescent="0.25">
      <c r="A45" s="53">
        <f t="shared" si="4"/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29</v>
      </c>
      <c r="F45">
        <f>COUNTIFS('My Pokemon'!$A:$A,$B45,'My Pokemon'!$CX:$CX,"Evolve")</f>
        <v>0</v>
      </c>
      <c r="G45" s="53">
        <f t="shared" si="0"/>
        <v>0</v>
      </c>
      <c r="H45" s="56">
        <f t="shared" si="1"/>
        <v>0.57999999999999996</v>
      </c>
      <c r="I45">
        <f t="shared" si="2"/>
        <v>21</v>
      </c>
      <c r="J45" s="1">
        <f t="shared" si="3"/>
        <v>1</v>
      </c>
    </row>
    <row r="46" spans="1:11" x14ac:dyDescent="0.25">
      <c r="A46" s="53">
        <f t="shared" si="4"/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Pokemon'!$CX:$CX,"Evolve")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1" x14ac:dyDescent="0.25">
      <c r="A47" s="53">
        <f t="shared" si="4"/>
        <v>46</v>
      </c>
      <c r="B47" t="s">
        <v>143</v>
      </c>
      <c r="C47">
        <f>COUNTIFS('My Pokemon'!$A:$A,$B47)</f>
        <v>1</v>
      </c>
      <c r="D47">
        <f>INDEX('Pokemon Data'!$N:$N,MATCH($B47,'Pokemon Data'!$B:$B,0))</f>
        <v>50</v>
      </c>
      <c r="E47" s="54">
        <v>23</v>
      </c>
      <c r="F47">
        <f>COUNTIFS('My Pokemon'!$A:$A,$B47,'My Pokemon'!$CX:$CX,"Evolve")</f>
        <v>0</v>
      </c>
      <c r="G47" s="53">
        <f t="shared" si="0"/>
        <v>0</v>
      </c>
      <c r="H47" s="56">
        <f t="shared" si="1"/>
        <v>0.46</v>
      </c>
      <c r="I47">
        <f t="shared" si="2"/>
        <v>27</v>
      </c>
      <c r="J47" s="1">
        <f t="shared" si="3"/>
        <v>1</v>
      </c>
    </row>
    <row r="48" spans="1:11" x14ac:dyDescent="0.25">
      <c r="A48" s="53">
        <f t="shared" si="4"/>
        <v>47</v>
      </c>
      <c r="B48" t="s">
        <v>147</v>
      </c>
      <c r="C48">
        <f>COUNTIFS('My Pokemon'!$A:$A,$B48)</f>
        <v>1</v>
      </c>
      <c r="D48">
        <f>INDEX('Pokemon Data'!$N:$N,MATCH($B48,'Pokemon Data'!$B:$B,0))</f>
        <v>0</v>
      </c>
      <c r="E48" s="54">
        <v>32</v>
      </c>
      <c r="F48">
        <f>COUNTIFS('My Pokemon'!$A:$A,$B48,'My Pokemon'!$CX:$CX,"Evolve")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</row>
    <row r="49" spans="1:11" x14ac:dyDescent="0.25">
      <c r="A49" s="53">
        <f t="shared" si="4"/>
        <v>48</v>
      </c>
      <c r="B49" t="s">
        <v>148</v>
      </c>
      <c r="C49">
        <f>COUNTIFS('My Pokemon'!$A:$A,$B49)</f>
        <v>1</v>
      </c>
      <c r="D49">
        <f>INDEX('Pokemon Data'!$N:$N,MATCH($B49,'Pokemon Data'!$B:$B,0))</f>
        <v>50</v>
      </c>
      <c r="E49" s="54">
        <v>7</v>
      </c>
      <c r="F49">
        <f>COUNTIFS('My Pokemon'!$A:$A,$B49,'My Pokemon'!$CX:$CX,"Evolve")</f>
        <v>0</v>
      </c>
      <c r="G49" s="53">
        <f t="shared" si="0"/>
        <v>0</v>
      </c>
      <c r="H49" s="56">
        <f t="shared" si="1"/>
        <v>0.14000000000000001</v>
      </c>
      <c r="I49">
        <f t="shared" si="2"/>
        <v>43</v>
      </c>
      <c r="J49" s="1">
        <f t="shared" si="3"/>
        <v>1</v>
      </c>
    </row>
    <row r="50" spans="1:11" x14ac:dyDescent="0.25">
      <c r="A50" s="53">
        <f t="shared" si="4"/>
        <v>49</v>
      </c>
      <c r="B50" t="s">
        <v>150</v>
      </c>
      <c r="C50">
        <f>COUNTIFS('My Pokemon'!$A:$A,$B50)</f>
        <v>1</v>
      </c>
      <c r="D50">
        <f>INDEX('Pokemon Data'!$N:$N,MATCH($B50,'Pokemon Data'!$B:$B,0))</f>
        <v>50</v>
      </c>
      <c r="E50" s="54">
        <v>34</v>
      </c>
      <c r="F50">
        <f>COUNTIFS('My Pokemon'!$A:$A,$B50,'My Pokemon'!$CX:$CX,"Evolve")</f>
        <v>0</v>
      </c>
      <c r="G50" s="53">
        <f t="shared" si="0"/>
        <v>0</v>
      </c>
      <c r="H50" s="56">
        <f t="shared" si="1"/>
        <v>0.68</v>
      </c>
      <c r="I50">
        <f t="shared" si="2"/>
        <v>16</v>
      </c>
      <c r="J50" s="1">
        <f t="shared" si="3"/>
        <v>1</v>
      </c>
    </row>
    <row r="51" spans="1:11" x14ac:dyDescent="0.25">
      <c r="A51" s="53">
        <f t="shared" si="4"/>
        <v>50</v>
      </c>
      <c r="B51" t="s">
        <v>152</v>
      </c>
      <c r="C51">
        <f>COUNTIFS('My Pokemon'!$A:$A,$B51)</f>
        <v>1</v>
      </c>
      <c r="D51">
        <f>INDEX('Pokemon Data'!$N:$N,MATCH($B51,'Pokemon Data'!$B:$B,0))</f>
        <v>50</v>
      </c>
      <c r="E51" s="54">
        <v>42</v>
      </c>
      <c r="F51">
        <f>COUNTIFS('My Pokemon'!$A:$A,$B51,'My Pokemon'!$CX:$CX,"Evolve")</f>
        <v>0</v>
      </c>
      <c r="G51" s="53">
        <f t="shared" si="0"/>
        <v>0</v>
      </c>
      <c r="H51" s="56">
        <f t="shared" si="1"/>
        <v>0.84</v>
      </c>
      <c r="I51">
        <f t="shared" si="2"/>
        <v>8</v>
      </c>
      <c r="J51" s="1">
        <f t="shared" si="3"/>
        <v>1</v>
      </c>
    </row>
    <row r="52" spans="1:11" x14ac:dyDescent="0.25">
      <c r="A52" s="53">
        <f t="shared" si="4"/>
        <v>51</v>
      </c>
      <c r="B52" t="s">
        <v>154</v>
      </c>
      <c r="C52">
        <f>COUNTIFS('My Pokemon'!$A:$A,$B52)</f>
        <v>1</v>
      </c>
      <c r="D52">
        <f>INDEX('Pokemon Data'!$N:$N,MATCH($B52,'Pokemon Data'!$B:$B,0))</f>
        <v>0</v>
      </c>
      <c r="E52" s="54">
        <v>40</v>
      </c>
      <c r="F52">
        <f>COUNTIFS('My Pokemon'!$A:$A,$B52,'My Pokemon'!$CX:$CX,"Evolve")</f>
        <v>0</v>
      </c>
      <c r="G52" s="53">
        <f t="shared" si="0"/>
        <v>0</v>
      </c>
      <c r="H52" s="56" t="str">
        <f t="shared" si="1"/>
        <v/>
      </c>
      <c r="I52">
        <f t="shared" si="2"/>
        <v>0</v>
      </c>
      <c r="J52" s="1">
        <f t="shared" si="3"/>
        <v>1</v>
      </c>
    </row>
    <row r="53" spans="1:11" x14ac:dyDescent="0.25">
      <c r="A53" s="53">
        <f t="shared" si="4"/>
        <v>52</v>
      </c>
      <c r="B53" t="s">
        <v>155</v>
      </c>
      <c r="C53">
        <f>COUNTIFS('My Pokemon'!$A:$A,$B53)</f>
        <v>0</v>
      </c>
      <c r="D53">
        <f>INDEX('Pokemon Data'!$N:$N,MATCH($B53,'Pokemon Data'!$B:$B,0))</f>
        <v>0</v>
      </c>
      <c r="E53" s="54">
        <v>35</v>
      </c>
      <c r="F53">
        <f>COUNTIFS('My Pokemon'!$A:$A,$B53,'My Pokemon'!$CX:$CX,"Evolve")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1" x14ac:dyDescent="0.25">
      <c r="A54" s="53">
        <f t="shared" si="4"/>
        <v>53</v>
      </c>
      <c r="B54" t="s">
        <v>156</v>
      </c>
      <c r="C54">
        <f>COUNTIFS('My Pokemon'!$A:$A,$B54)</f>
        <v>1</v>
      </c>
      <c r="D54">
        <f>INDEX('Pokemon Data'!$N:$N,MATCH($B54,'Pokemon Data'!$B:$B,0))</f>
        <v>25</v>
      </c>
      <c r="E54" s="54">
        <v>71</v>
      </c>
      <c r="F54">
        <f>COUNTIFS('My Pokemon'!$A:$A,$B54,'My Pokemon'!$CX:$CX,"Evolve")</f>
        <v>0</v>
      </c>
      <c r="G54" s="53">
        <f t="shared" si="0"/>
        <v>1</v>
      </c>
      <c r="H54" s="56">
        <f t="shared" si="1"/>
        <v>1</v>
      </c>
      <c r="I54">
        <f t="shared" si="2"/>
        <v>0</v>
      </c>
      <c r="J54" s="1">
        <f t="shared" si="3"/>
        <v>0</v>
      </c>
      <c r="K54" t="s">
        <v>409</v>
      </c>
    </row>
    <row r="55" spans="1:11" x14ac:dyDescent="0.25">
      <c r="A55" s="53">
        <f t="shared" si="4"/>
        <v>54</v>
      </c>
      <c r="B55" t="s">
        <v>158</v>
      </c>
      <c r="C55">
        <f>COUNTIFS('My Pokemon'!$A:$A,$B55)</f>
        <v>2</v>
      </c>
      <c r="D55">
        <f>INDEX('Pokemon Data'!$N:$N,MATCH($B55,'Pokemon Data'!$B:$B,0))</f>
        <v>50</v>
      </c>
      <c r="E55" s="54">
        <v>48</v>
      </c>
      <c r="F55">
        <f>COUNTIFS('My Pokemon'!$A:$A,$B55,'My Pokemon'!$CX:$CX,"Evolve")</f>
        <v>0</v>
      </c>
      <c r="G55" s="53">
        <f t="shared" si="0"/>
        <v>0</v>
      </c>
      <c r="H55" s="56">
        <f t="shared" si="1"/>
        <v>0.96</v>
      </c>
      <c r="I55">
        <f t="shared" si="2"/>
        <v>2</v>
      </c>
      <c r="J55" s="1">
        <f t="shared" si="3"/>
        <v>2</v>
      </c>
    </row>
    <row r="56" spans="1:11" x14ac:dyDescent="0.25">
      <c r="A56" s="53">
        <f t="shared" si="4"/>
        <v>55</v>
      </c>
      <c r="B56" t="s">
        <v>160</v>
      </c>
      <c r="C56">
        <f>COUNTIFS('My Pokemon'!$A:$A,$B56)</f>
        <v>0</v>
      </c>
      <c r="D56">
        <f>INDEX('Pokemon Data'!$N:$N,MATCH($B56,'Pokemon Data'!$B:$B,0))</f>
        <v>50</v>
      </c>
      <c r="E56" s="54">
        <v>39</v>
      </c>
      <c r="F56">
        <f>COUNTIFS('My Pokemon'!$A:$A,$B56,'My Pokemon'!$CX:$CX,"Evolve")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0</v>
      </c>
    </row>
    <row r="57" spans="1:11" x14ac:dyDescent="0.25">
      <c r="A57" s="53">
        <f t="shared" si="4"/>
        <v>56</v>
      </c>
      <c r="B57" t="s">
        <v>162</v>
      </c>
      <c r="C57">
        <f>COUNTIFS('My Pokemon'!$A:$A,$B57)</f>
        <v>0</v>
      </c>
      <c r="D57">
        <f>INDEX('Pokemon Data'!$N:$N,MATCH($B57,'Pokemon Data'!$B:$B,0))</f>
        <v>0</v>
      </c>
      <c r="E57" s="54"/>
      <c r="F57">
        <f>COUNTIFS('My Pokemon'!$A:$A,$B57,'My Pokemon'!$CX:$CX,"Evolve")</f>
        <v>0</v>
      </c>
      <c r="G57" s="53">
        <f t="shared" si="0"/>
        <v>0</v>
      </c>
      <c r="H57" s="56" t="str">
        <f t="shared" si="1"/>
        <v/>
      </c>
      <c r="I57">
        <f t="shared" si="2"/>
        <v>0</v>
      </c>
      <c r="J57" s="1">
        <f t="shared" si="3"/>
        <v>0</v>
      </c>
    </row>
    <row r="58" spans="1:11" x14ac:dyDescent="0.25">
      <c r="A58" s="53">
        <f t="shared" si="4"/>
        <v>57</v>
      </c>
      <c r="B58" t="s">
        <v>163</v>
      </c>
      <c r="C58">
        <f>COUNTIFS('My Pokemon'!$A:$A,$B58)</f>
        <v>1</v>
      </c>
      <c r="D58">
        <f>INDEX('Pokemon Data'!$N:$N,MATCH($B58,'Pokemon Data'!$B:$B,0))</f>
        <v>50</v>
      </c>
      <c r="E58" s="54">
        <v>23</v>
      </c>
      <c r="F58">
        <f>COUNTIFS('My Pokemon'!$A:$A,$B58,'My Pokemon'!$CX:$CX,"Evolve")</f>
        <v>0</v>
      </c>
      <c r="G58" s="53">
        <f t="shared" si="0"/>
        <v>0</v>
      </c>
      <c r="H58" s="56">
        <f t="shared" si="1"/>
        <v>0.46</v>
      </c>
      <c r="I58">
        <f t="shared" si="2"/>
        <v>27</v>
      </c>
      <c r="J58" s="1">
        <f t="shared" si="3"/>
        <v>1</v>
      </c>
    </row>
    <row r="59" spans="1:11" x14ac:dyDescent="0.25">
      <c r="A59" s="53">
        <f t="shared" si="4"/>
        <v>58</v>
      </c>
      <c r="B59" t="s">
        <v>166</v>
      </c>
      <c r="C59">
        <f>COUNTIFS('My Pokemon'!$A:$A,$B59)</f>
        <v>0</v>
      </c>
      <c r="D59">
        <f>INDEX('Pokemon Data'!$N:$N,MATCH($B59,'Pokemon Data'!$B:$B,0))</f>
        <v>25</v>
      </c>
      <c r="E59" s="54">
        <v>115</v>
      </c>
      <c r="F59">
        <f>COUNTIFS('My Pokemon'!$A:$A,$B59,'My Pokemon'!$CX:$CX,"Evolve")</f>
        <v>0</v>
      </c>
      <c r="G59" s="53">
        <f t="shared" si="0"/>
        <v>0</v>
      </c>
      <c r="H59" s="56">
        <f t="shared" si="1"/>
        <v>1</v>
      </c>
      <c r="I59">
        <f t="shared" si="2"/>
        <v>0</v>
      </c>
      <c r="J59" s="1">
        <f t="shared" si="3"/>
        <v>0</v>
      </c>
    </row>
    <row r="60" spans="1:11" x14ac:dyDescent="0.25">
      <c r="A60" s="53">
        <f t="shared" si="4"/>
        <v>59</v>
      </c>
      <c r="B60" t="s">
        <v>168</v>
      </c>
      <c r="C60">
        <f>COUNTIFS('My Pokemon'!$A:$A,$B60)</f>
        <v>0</v>
      </c>
      <c r="D60">
        <f>INDEX('Pokemon Data'!$N:$N,MATCH($B60,'Pokemon Data'!$B:$B,0))</f>
        <v>25</v>
      </c>
      <c r="E60" s="54">
        <v>39</v>
      </c>
      <c r="F60">
        <f>COUNTIFS('My Pokemon'!$A:$A,$B60,'My Pokemon'!$CX:$CX,"Evolve")</f>
        <v>0</v>
      </c>
      <c r="G60" s="53">
        <f t="shared" si="0"/>
        <v>0</v>
      </c>
      <c r="H60" s="56">
        <f t="shared" si="1"/>
        <v>1</v>
      </c>
      <c r="I60">
        <f t="shared" si="2"/>
        <v>0</v>
      </c>
      <c r="J60" s="1">
        <f t="shared" si="3"/>
        <v>0</v>
      </c>
    </row>
    <row r="61" spans="1:11" x14ac:dyDescent="0.25">
      <c r="A61" s="53">
        <f t="shared" si="4"/>
        <v>60</v>
      </c>
      <c r="B61" t="s">
        <v>170</v>
      </c>
      <c r="C61">
        <f>COUNTIFS('My Pokemon'!$A:$A,$B61)</f>
        <v>0</v>
      </c>
      <c r="D61">
        <f>INDEX('Pokemon Data'!$N:$N,MATCH($B61,'Pokemon Data'!$B:$B,0))</f>
        <v>25</v>
      </c>
      <c r="E61" s="54">
        <v>29</v>
      </c>
      <c r="F61">
        <f>COUNTIFS('My Pokemon'!$A:$A,$B61,'My Pokemon'!$CX:$CX,"Evolve")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</row>
    <row r="62" spans="1:11" x14ac:dyDescent="0.25">
      <c r="A62" s="53">
        <f t="shared" si="4"/>
        <v>61</v>
      </c>
      <c r="B62" t="s">
        <v>171</v>
      </c>
      <c r="C62">
        <f>COUNTIFS('My Pokemon'!$A:$A,$B62)</f>
        <v>3</v>
      </c>
      <c r="D62">
        <f>INDEX('Pokemon Data'!$N:$N,MATCH($B62,'Pokemon Data'!$B:$B,0))</f>
        <v>0</v>
      </c>
      <c r="E62" s="54">
        <v>132</v>
      </c>
      <c r="F62">
        <f>COUNTIFS('My Pokemon'!$A:$A,$B62,'My Pokemon'!$CX:$CX,"Evolve")</f>
        <v>0</v>
      </c>
      <c r="G62" s="53">
        <f t="shared" si="0"/>
        <v>0</v>
      </c>
      <c r="H62" s="56" t="str">
        <f t="shared" si="1"/>
        <v/>
      </c>
      <c r="I62">
        <f t="shared" si="2"/>
        <v>0</v>
      </c>
      <c r="J62" s="1">
        <f t="shared" si="3"/>
        <v>3</v>
      </c>
    </row>
    <row r="63" spans="1:11" x14ac:dyDescent="0.25">
      <c r="A63" s="53">
        <f t="shared" si="4"/>
        <v>62</v>
      </c>
      <c r="B63" t="s">
        <v>172</v>
      </c>
      <c r="C63">
        <f>COUNTIFS('My Pokemon'!$A:$A,$B63)</f>
        <v>1</v>
      </c>
      <c r="D63">
        <f>INDEX('Pokemon Data'!$N:$N,MATCH($B63,'Pokemon Data'!$B:$B,0))</f>
        <v>0</v>
      </c>
      <c r="E63" s="54">
        <v>759</v>
      </c>
      <c r="F63">
        <f>COUNTIFS('My Pokemon'!$A:$A,$B63,'My Pokemon'!$CX:$CX,"Evolve")</f>
        <v>0</v>
      </c>
      <c r="G63" s="53">
        <f t="shared" si="0"/>
        <v>0</v>
      </c>
      <c r="H63" s="56" t="str">
        <f t="shared" si="1"/>
        <v/>
      </c>
      <c r="I63">
        <f t="shared" si="2"/>
        <v>0</v>
      </c>
      <c r="J63" s="1">
        <f t="shared" si="3"/>
        <v>1</v>
      </c>
    </row>
    <row r="64" spans="1:11" x14ac:dyDescent="0.25">
      <c r="A64" s="53">
        <f t="shared" si="4"/>
        <v>63</v>
      </c>
      <c r="B64" t="s">
        <v>173</v>
      </c>
      <c r="C64">
        <f>COUNTIFS('My Pokemon'!$A:$A,$B64)</f>
        <v>1</v>
      </c>
      <c r="D64">
        <f>INDEX('Pokemon Data'!$N:$N,MATCH($B64,'Pokemon Data'!$B:$B,0))</f>
        <v>400</v>
      </c>
      <c r="E64" s="54">
        <v>256</v>
      </c>
      <c r="F64">
        <f>COUNTIFS('My Pokemon'!$A:$A,$B64,'My Pokemon'!$CX:$CX,"Evolve")</f>
        <v>0</v>
      </c>
      <c r="G64" s="53">
        <f t="shared" si="0"/>
        <v>0</v>
      </c>
      <c r="H64" s="56">
        <f t="shared" si="1"/>
        <v>0.64</v>
      </c>
      <c r="I64">
        <f t="shared" si="2"/>
        <v>144</v>
      </c>
      <c r="J64" s="1">
        <f t="shared" si="3"/>
        <v>1</v>
      </c>
    </row>
    <row r="65" spans="1:10" x14ac:dyDescent="0.25">
      <c r="A65" s="53">
        <f t="shared" si="4"/>
        <v>64</v>
      </c>
      <c r="B65" t="s">
        <v>175</v>
      </c>
      <c r="C65">
        <f>COUNTIFS('My Pokemon'!$A:$A,$B65)</f>
        <v>1</v>
      </c>
      <c r="D65">
        <f>INDEX('Pokemon Data'!$N:$N,MATCH($B65,'Pokemon Data'!$B:$B,0))</f>
        <v>0</v>
      </c>
      <c r="E65" s="54">
        <v>25</v>
      </c>
      <c r="F65">
        <f>COUNTIFS('My Pokemon'!$A:$A,$B65,'My Pokemon'!$CX:$CX,"Evolve")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1</v>
      </c>
    </row>
    <row r="66" spans="1:10" x14ac:dyDescent="0.25">
      <c r="A66" s="53">
        <f t="shared" si="4"/>
        <v>65</v>
      </c>
      <c r="B66" t="s">
        <v>176</v>
      </c>
      <c r="C66">
        <f>COUNTIFS('My Pokemon'!$A:$A,$B66)</f>
        <v>1</v>
      </c>
      <c r="D66">
        <f>INDEX('Pokemon Data'!$N:$N,MATCH($B66,'Pokemon Data'!$B:$B,0))</f>
        <v>0</v>
      </c>
      <c r="E66" s="54">
        <v>171</v>
      </c>
      <c r="F66">
        <f>COUNTIFS('My Pokemon'!$A:$A,$B66,'My Pokemon'!$CX:$CX,"Evolve")</f>
        <v>0</v>
      </c>
      <c r="G66" s="53">
        <f t="shared" si="0"/>
        <v>0</v>
      </c>
      <c r="H66" s="56" t="str">
        <f t="shared" si="1"/>
        <v/>
      </c>
      <c r="I66">
        <f t="shared" si="2"/>
        <v>0</v>
      </c>
      <c r="J66" s="1">
        <f t="shared" si="3"/>
        <v>1</v>
      </c>
    </row>
    <row r="67" spans="1:10" x14ac:dyDescent="0.25">
      <c r="A67" s="53">
        <f t="shared" si="4"/>
        <v>66</v>
      </c>
      <c r="B67" t="s">
        <v>177</v>
      </c>
      <c r="C67">
        <f>COUNTIFS('My Pokemon'!$A:$A,$B67)</f>
        <v>0</v>
      </c>
      <c r="D67">
        <f>INDEX('Pokemon Data'!$N:$N,MATCH($B67,'Pokemon Data'!$B:$B,0))</f>
        <v>25</v>
      </c>
      <c r="E67" s="54">
        <v>16</v>
      </c>
      <c r="F67">
        <f>COUNTIFS('My Pokemon'!$A:$A,$B67,'My Pokemon'!$CX:$CX,"Evolve")</f>
        <v>0</v>
      </c>
      <c r="G67" s="53">
        <f t="shared" ref="G67:G130" si="5">IF(D67=0,0,MAX(MIN(C67,INT((E67-1)/(D67-1))),0))</f>
        <v>0</v>
      </c>
      <c r="H67" s="56">
        <f t="shared" ref="H67:H80" si="6">IFERROR((D67-I67)/D67,"")</f>
        <v>0.64</v>
      </c>
      <c r="I67">
        <f t="shared" ref="I67:I80" si="7">IFERROR(MAX(D67-(SUM(E67,G67)-G67*D67),0),"")</f>
        <v>9</v>
      </c>
      <c r="J67" s="1">
        <f t="shared" ref="J67:J80" si="8">IFERROR(C67-G67,"")</f>
        <v>0</v>
      </c>
    </row>
    <row r="68" spans="1:10" x14ac:dyDescent="0.25">
      <c r="A68" s="53">
        <f t="shared" ref="A68:A130" si="9">A67+1</f>
        <v>67</v>
      </c>
      <c r="B68" t="s">
        <v>181</v>
      </c>
      <c r="C68">
        <f>COUNTIFS('My Pokemon'!$A:$A,$B68)</f>
        <v>3</v>
      </c>
      <c r="D68">
        <f>INDEX('Pokemon Data'!$N:$N,MATCH($B68,'Pokemon Data'!$B:$B,0))</f>
        <v>50</v>
      </c>
      <c r="E68" s="54">
        <v>203</v>
      </c>
      <c r="F68">
        <f>COUNTIFS('My Pokemon'!$A:$A,$B68,'My Pokemon'!$CX:$CX,"Evolve")</f>
        <v>0</v>
      </c>
      <c r="G68" s="53">
        <f t="shared" si="5"/>
        <v>3</v>
      </c>
      <c r="H68" s="56">
        <f t="shared" si="6"/>
        <v>1</v>
      </c>
      <c r="I68">
        <f t="shared" si="7"/>
        <v>0</v>
      </c>
      <c r="J68" s="1">
        <f t="shared" si="8"/>
        <v>0</v>
      </c>
    </row>
    <row r="69" spans="1:10" x14ac:dyDescent="0.25">
      <c r="A69" s="53">
        <f t="shared" si="9"/>
        <v>68</v>
      </c>
      <c r="B69" t="s">
        <v>183</v>
      </c>
      <c r="C69">
        <f>COUNTIFS('My Pokemon'!$A:$A,$B69)</f>
        <v>1</v>
      </c>
      <c r="D69">
        <f>INDEX('Pokemon Data'!$N:$N,MATCH($B69,'Pokemon Data'!$B:$B,0))</f>
        <v>50</v>
      </c>
      <c r="E69" s="54">
        <v>12</v>
      </c>
      <c r="F69">
        <f>COUNTIFS('My Pokemon'!$A:$A,$B69,'My Pokemon'!$CX:$CX,"Evolve")</f>
        <v>0</v>
      </c>
      <c r="G69" s="53">
        <f t="shared" si="5"/>
        <v>0</v>
      </c>
      <c r="H69" s="56">
        <f t="shared" si="6"/>
        <v>0.24</v>
      </c>
      <c r="I69">
        <f t="shared" si="7"/>
        <v>38</v>
      </c>
      <c r="J69" s="1">
        <f t="shared" si="8"/>
        <v>1</v>
      </c>
    </row>
    <row r="70" spans="1:10" x14ac:dyDescent="0.25">
      <c r="A70" s="53">
        <f t="shared" si="9"/>
        <v>69</v>
      </c>
      <c r="B70" t="s">
        <v>185</v>
      </c>
      <c r="C70">
        <f>COUNTIFS('My Pokemon'!$A:$A,$B70)</f>
        <v>0</v>
      </c>
      <c r="D70">
        <f>INDEX('Pokemon Data'!$N:$N,MATCH($B70,'Pokemon Data'!$B:$B,0))</f>
        <v>50</v>
      </c>
      <c r="E70" s="54">
        <v>1</v>
      </c>
      <c r="F70">
        <f>COUNTIFS('My Pokemon'!$A:$A,$B70,'My Pokemon'!$CX:$CX,"Evolve")</f>
        <v>0</v>
      </c>
      <c r="G70" s="53">
        <f t="shared" si="5"/>
        <v>0</v>
      </c>
      <c r="H70" s="56">
        <f t="shared" si="6"/>
        <v>0.02</v>
      </c>
      <c r="I70">
        <f t="shared" si="7"/>
        <v>49</v>
      </c>
      <c r="J70" s="1">
        <f t="shared" si="8"/>
        <v>0</v>
      </c>
    </row>
    <row r="71" spans="1:10" x14ac:dyDescent="0.25">
      <c r="A71" s="53">
        <f t="shared" si="9"/>
        <v>70</v>
      </c>
      <c r="B71" t="s">
        <v>187</v>
      </c>
      <c r="C71">
        <f>COUNTIFS('My Pokemon'!$A:$A,$B71)</f>
        <v>1</v>
      </c>
      <c r="D71">
        <f>INDEX('Pokemon Data'!$N:$N,MATCH($B71,'Pokemon Data'!$B:$B,0))</f>
        <v>0</v>
      </c>
      <c r="E71" s="54">
        <v>32</v>
      </c>
      <c r="F71">
        <f>COUNTIFS('My Pokemon'!$A:$A,$B71,'My Pokemon'!$CX:$CX,"Evolve")</f>
        <v>0</v>
      </c>
      <c r="G71" s="53">
        <f t="shared" si="5"/>
        <v>0</v>
      </c>
      <c r="H71" s="56" t="str">
        <f t="shared" si="6"/>
        <v/>
      </c>
      <c r="I71">
        <f t="shared" si="7"/>
        <v>0</v>
      </c>
      <c r="J71" s="1">
        <f t="shared" si="8"/>
        <v>1</v>
      </c>
    </row>
    <row r="72" spans="1:10" x14ac:dyDescent="0.25">
      <c r="A72" s="53">
        <f t="shared" si="9"/>
        <v>71</v>
      </c>
      <c r="B72" t="s">
        <v>188</v>
      </c>
      <c r="C72">
        <f>COUNTIFS('My Pokemon'!$A:$A,$B72)</f>
        <v>1</v>
      </c>
      <c r="D72">
        <f>INDEX('Pokemon Data'!$N:$N,MATCH($B72,'Pokemon Data'!$B:$B,0))</f>
        <v>0</v>
      </c>
      <c r="E72" s="54">
        <v>4</v>
      </c>
      <c r="F72">
        <f>COUNTIFS('My Pokemon'!$A:$A,$B72,'My Pokemon'!$CX:$CX,"Evolve")</f>
        <v>0</v>
      </c>
      <c r="G72" s="53">
        <f t="shared" si="5"/>
        <v>0</v>
      </c>
      <c r="H72" s="56" t="str">
        <f t="shared" si="6"/>
        <v/>
      </c>
      <c r="I72">
        <f t="shared" si="7"/>
        <v>0</v>
      </c>
      <c r="J72" s="1">
        <f t="shared" si="8"/>
        <v>1</v>
      </c>
    </row>
    <row r="73" spans="1:10" x14ac:dyDescent="0.25">
      <c r="A73" s="53">
        <f t="shared" si="9"/>
        <v>72</v>
      </c>
      <c r="B73" t="s">
        <v>189</v>
      </c>
      <c r="C73">
        <f>COUNTIFS('My Pokemon'!$A:$A,$B73)</f>
        <v>0</v>
      </c>
      <c r="D73">
        <f>INDEX('Pokemon Data'!$N:$N,MATCH($B73,'Pokemon Data'!$B:$B,0))</f>
        <v>0</v>
      </c>
      <c r="E73" s="54"/>
      <c r="F73">
        <f>COUNTIFS('My Pokemon'!$A:$A,$B73,'My Pokemon'!$CX:$CX,"Evolve")</f>
        <v>0</v>
      </c>
      <c r="G73" s="53">
        <f t="shared" si="5"/>
        <v>0</v>
      </c>
      <c r="H73" s="56" t="str">
        <f t="shared" si="6"/>
        <v/>
      </c>
      <c r="I73">
        <f t="shared" si="7"/>
        <v>0</v>
      </c>
      <c r="J73" s="1">
        <f t="shared" si="8"/>
        <v>0</v>
      </c>
    </row>
    <row r="74" spans="1:10" x14ac:dyDescent="0.25">
      <c r="A74" s="53">
        <f t="shared" si="9"/>
        <v>73</v>
      </c>
      <c r="B74" t="s">
        <v>190</v>
      </c>
      <c r="C74">
        <f>COUNTIFS('My Pokemon'!$A:$A,$B74)</f>
        <v>0</v>
      </c>
      <c r="D74">
        <f>INDEX('Pokemon Data'!$N:$N,MATCH($B74,'Pokemon Data'!$B:$B,0))</f>
        <v>0</v>
      </c>
      <c r="E74" s="54"/>
      <c r="F74">
        <f>COUNTIFS('My Pokemon'!$A:$A,$B74,'My Pokemon'!$CX:$CX,"Evolve")</f>
        <v>0</v>
      </c>
      <c r="G74" s="53">
        <f t="shared" si="5"/>
        <v>0</v>
      </c>
      <c r="H74" s="56" t="str">
        <f t="shared" si="6"/>
        <v/>
      </c>
      <c r="I74">
        <f t="shared" si="7"/>
        <v>0</v>
      </c>
      <c r="J74" s="1">
        <f t="shared" si="8"/>
        <v>0</v>
      </c>
    </row>
    <row r="75" spans="1:10" x14ac:dyDescent="0.25">
      <c r="A75" s="53">
        <f t="shared" si="9"/>
        <v>74</v>
      </c>
      <c r="B75" t="s">
        <v>191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Pokemon'!$CX:$CX,"Evolve")</f>
        <v>0</v>
      </c>
      <c r="G75" s="53">
        <f t="shared" si="5"/>
        <v>0</v>
      </c>
      <c r="H75" s="56" t="str">
        <f t="shared" si="6"/>
        <v/>
      </c>
      <c r="I75">
        <f t="shared" si="7"/>
        <v>0</v>
      </c>
      <c r="J75" s="1">
        <f t="shared" si="8"/>
        <v>0</v>
      </c>
    </row>
    <row r="76" spans="1:10" x14ac:dyDescent="0.25">
      <c r="A76" s="53">
        <f t="shared" si="9"/>
        <v>75</v>
      </c>
      <c r="B76" t="s">
        <v>192</v>
      </c>
      <c r="C76">
        <f>COUNTIFS('My Pokemon'!$A:$A,$B76)</f>
        <v>2</v>
      </c>
      <c r="D76">
        <f>INDEX('Pokemon Data'!$N:$N,MATCH($B76,'Pokemon Data'!$B:$B,0))</f>
        <v>25</v>
      </c>
      <c r="E76" s="54">
        <v>26</v>
      </c>
      <c r="F76">
        <f>COUNTIFS('My Pokemon'!$A:$A,$B76,'My Pokemon'!$CX:$CX,"Evolve")</f>
        <v>0</v>
      </c>
      <c r="G76" s="53">
        <f t="shared" si="5"/>
        <v>1</v>
      </c>
      <c r="H76" s="56">
        <f t="shared" si="6"/>
        <v>0.08</v>
      </c>
      <c r="I76">
        <f t="shared" si="7"/>
        <v>23</v>
      </c>
      <c r="J76" s="1">
        <f t="shared" si="8"/>
        <v>1</v>
      </c>
    </row>
    <row r="77" spans="1:10" x14ac:dyDescent="0.25">
      <c r="A77" s="53">
        <f t="shared" si="9"/>
        <v>76</v>
      </c>
      <c r="B77" t="s">
        <v>196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Pokemon'!$CX:$CX,"Evolve")</f>
        <v>0</v>
      </c>
      <c r="G77" s="53">
        <f t="shared" si="5"/>
        <v>0</v>
      </c>
      <c r="H77" s="56" t="str">
        <f t="shared" si="6"/>
        <v/>
      </c>
      <c r="I77">
        <f t="shared" si="7"/>
        <v>0</v>
      </c>
      <c r="J77" s="1">
        <f t="shared" si="8"/>
        <v>0</v>
      </c>
    </row>
    <row r="78" spans="1:10" x14ac:dyDescent="0.25">
      <c r="A78" s="53">
        <f t="shared" si="9"/>
        <v>77</v>
      </c>
      <c r="B78" t="s">
        <v>197</v>
      </c>
      <c r="C78">
        <f>COUNTIFS('My Pokemon'!$A:$A,$B78)</f>
        <v>0</v>
      </c>
      <c r="D78">
        <f>INDEX('Pokemon Data'!$N:$N,MATCH($B78,'Pokemon Data'!$B:$B,0))</f>
        <v>0</v>
      </c>
      <c r="E78" s="54"/>
      <c r="F78">
        <f>COUNTIFS('My Pokemon'!$A:$A,$B78,'My Pokemon'!$CX:$CX,"Evolve")</f>
        <v>0</v>
      </c>
      <c r="G78" s="53">
        <f t="shared" si="5"/>
        <v>0</v>
      </c>
      <c r="H78" s="56" t="str">
        <f t="shared" si="6"/>
        <v/>
      </c>
      <c r="I78">
        <f t="shared" si="7"/>
        <v>0</v>
      </c>
      <c r="J78" s="1">
        <f t="shared" si="8"/>
        <v>0</v>
      </c>
    </row>
    <row r="79" spans="1:10" x14ac:dyDescent="0.25">
      <c r="A79" s="53">
        <f t="shared" si="9"/>
        <v>78</v>
      </c>
      <c r="B79" t="s">
        <v>198</v>
      </c>
      <c r="C79">
        <f>COUNTIFS('My Pokemon'!$A:$A,$B79)</f>
        <v>0</v>
      </c>
      <c r="D79">
        <f>INDEX('Pokemon Data'!$N:$N,MATCH($B79,'Pokemon Data'!$B:$B,0))</f>
        <v>25</v>
      </c>
      <c r="E79" s="54"/>
      <c r="F79">
        <f>COUNTIFS('My Pokemon'!$A:$A,$B79,'My Pokemon'!$CX:$CX,"Evolve")</f>
        <v>0</v>
      </c>
      <c r="G79" s="53">
        <f t="shared" si="5"/>
        <v>0</v>
      </c>
      <c r="H79" s="56">
        <f t="shared" si="6"/>
        <v>0</v>
      </c>
      <c r="I79">
        <f t="shared" si="7"/>
        <v>25</v>
      </c>
      <c r="J79" s="1">
        <f t="shared" si="8"/>
        <v>0</v>
      </c>
    </row>
    <row r="80" spans="1:10" x14ac:dyDescent="0.25">
      <c r="A80" s="53">
        <f t="shared" si="9"/>
        <v>79</v>
      </c>
      <c r="B80" t="s">
        <v>201</v>
      </c>
      <c r="C80">
        <f>COUNTIFS('My Pokemon'!$A:$A,$B80)</f>
        <v>0</v>
      </c>
      <c r="D80">
        <f>INDEX('Pokemon Data'!$N:$N,MATCH($B80,'Pokemon Data'!$B:$B,0))</f>
        <v>25</v>
      </c>
      <c r="E80" s="54"/>
      <c r="F80">
        <f>COUNTIFS('My Pokemon'!$A:$A,$B80,'My Pokemon'!$CX:$CX,"Evolve")</f>
        <v>0</v>
      </c>
      <c r="G80" s="53">
        <f t="shared" si="5"/>
        <v>0</v>
      </c>
      <c r="H80" s="56">
        <f t="shared" si="6"/>
        <v>0</v>
      </c>
      <c r="I80">
        <f t="shared" si="7"/>
        <v>25</v>
      </c>
      <c r="J80" s="1">
        <f t="shared" si="8"/>
        <v>0</v>
      </c>
    </row>
    <row r="81" spans="1:10" x14ac:dyDescent="0.25">
      <c r="A81" s="53">
        <f t="shared" si="9"/>
        <v>80</v>
      </c>
      <c r="B81" t="s">
        <v>204</v>
      </c>
      <c r="C81">
        <f>COUNTIFS('My Pokemon'!$A:$A,$B81)</f>
        <v>0</v>
      </c>
      <c r="D81">
        <f>INDEX('Pokemon Data'!$N:$N,MATCH($B81,'Pokemon Data'!$B:$B,0))</f>
        <v>25</v>
      </c>
      <c r="E81" s="54"/>
      <c r="F81">
        <f>COUNTIFS('My Pokemon'!$A:$A,$B81,'My Pokemon'!$CX:$CX,"Evolve")</f>
        <v>0</v>
      </c>
      <c r="G81" s="53">
        <f t="shared" si="5"/>
        <v>0</v>
      </c>
      <c r="H81" s="56">
        <f t="shared" ref="H81:H130" si="10">IFERROR((D81-I81)/D81,"")</f>
        <v>0</v>
      </c>
      <c r="I81">
        <f t="shared" ref="I81:I130" si="11">IFERROR(MAX(D81-(SUM(E81,G81)-G81*D81),0),"")</f>
        <v>25</v>
      </c>
      <c r="J81" s="1">
        <f t="shared" ref="J81:J130" si="12">IFERROR(C81-G81,"")</f>
        <v>0</v>
      </c>
    </row>
    <row r="82" spans="1:10" x14ac:dyDescent="0.25">
      <c r="A82" s="53">
        <f t="shared" si="9"/>
        <v>81</v>
      </c>
      <c r="B82" t="s">
        <v>207</v>
      </c>
      <c r="C82">
        <f>COUNTIFS('My Pokemon'!$A:$A,$B82)</f>
        <v>1</v>
      </c>
      <c r="D82">
        <f>INDEX('Pokemon Data'!$N:$N,MATCH($B82,'Pokemon Data'!$B:$B,0))</f>
        <v>25</v>
      </c>
      <c r="E82" s="54">
        <v>33</v>
      </c>
      <c r="F82">
        <f>COUNTIFS('My Pokemon'!$A:$A,$B82,'My Pokemon'!$CX:$CX,"Evolve")</f>
        <v>0</v>
      </c>
      <c r="G82" s="53">
        <f t="shared" si="5"/>
        <v>1</v>
      </c>
      <c r="H82" s="56">
        <f t="shared" si="10"/>
        <v>0.36</v>
      </c>
      <c r="I82">
        <f t="shared" si="11"/>
        <v>16</v>
      </c>
      <c r="J82" s="1">
        <f t="shared" si="12"/>
        <v>0</v>
      </c>
    </row>
    <row r="83" spans="1:10" x14ac:dyDescent="0.25">
      <c r="A83" s="53">
        <f t="shared" si="9"/>
        <v>82</v>
      </c>
      <c r="B83" t="s">
        <v>209</v>
      </c>
      <c r="C83">
        <f>COUNTIFS('My Pokemon'!$A:$A,$B83)</f>
        <v>1</v>
      </c>
      <c r="D83">
        <f>INDEX('Pokemon Data'!$N:$N,MATCH($B83,'Pokemon Data'!$B:$B,0))</f>
        <v>50</v>
      </c>
      <c r="E83" s="54">
        <v>79</v>
      </c>
      <c r="F83">
        <f>COUNTIFS('My Pokemon'!$A:$A,$B83,'My Pokemon'!$CX:$CX,"Evolve")</f>
        <v>0</v>
      </c>
      <c r="G83" s="53">
        <f t="shared" si="5"/>
        <v>1</v>
      </c>
      <c r="H83" s="56">
        <f t="shared" si="10"/>
        <v>0.6</v>
      </c>
      <c r="I83">
        <f t="shared" si="11"/>
        <v>20</v>
      </c>
      <c r="J83" s="1">
        <f t="shared" si="12"/>
        <v>0</v>
      </c>
    </row>
    <row r="84" spans="1:10" x14ac:dyDescent="0.25">
      <c r="A84" s="53">
        <f t="shared" si="9"/>
        <v>83</v>
      </c>
      <c r="B84" t="s">
        <v>211</v>
      </c>
      <c r="C84">
        <f>COUNTIFS('My Pokemon'!$A:$A,$B84)</f>
        <v>0</v>
      </c>
      <c r="D84">
        <f>INDEX('Pokemon Data'!$N:$N,MATCH($B84,'Pokemon Data'!$B:$B,0))</f>
        <v>25</v>
      </c>
      <c r="E84" s="54"/>
      <c r="F84">
        <f>COUNTIFS('My Pokemon'!$A:$A,$B84,'My Pokemon'!$CX:$CX,"Evolve")</f>
        <v>0</v>
      </c>
      <c r="G84" s="53">
        <f t="shared" si="5"/>
        <v>0</v>
      </c>
      <c r="H84" s="56">
        <f t="shared" si="10"/>
        <v>0</v>
      </c>
      <c r="I84">
        <f t="shared" si="11"/>
        <v>25</v>
      </c>
      <c r="J84" s="1">
        <f t="shared" si="12"/>
        <v>0</v>
      </c>
    </row>
    <row r="85" spans="1:10" x14ac:dyDescent="0.25">
      <c r="A85" s="53">
        <f t="shared" si="9"/>
        <v>84</v>
      </c>
      <c r="B85" t="s">
        <v>213</v>
      </c>
      <c r="C85">
        <f>COUNTIFS('My Pokemon'!$A:$A,$B85)</f>
        <v>0</v>
      </c>
      <c r="D85">
        <f>INDEX('Pokemon Data'!$N:$N,MATCH($B85,'Pokemon Data'!$B:$B,0))</f>
        <v>50</v>
      </c>
      <c r="E85" s="54"/>
      <c r="F85">
        <f>COUNTIFS('My Pokemon'!$A:$A,$B85,'My Pokemon'!$CX:$CX,"Evolve")</f>
        <v>0</v>
      </c>
      <c r="G85" s="53">
        <f t="shared" si="5"/>
        <v>0</v>
      </c>
      <c r="H85" s="56">
        <f t="shared" si="10"/>
        <v>0</v>
      </c>
      <c r="I85">
        <f t="shared" si="11"/>
        <v>50</v>
      </c>
      <c r="J85" s="1">
        <f t="shared" si="12"/>
        <v>0</v>
      </c>
    </row>
    <row r="86" spans="1:10" x14ac:dyDescent="0.25">
      <c r="A86" s="53">
        <f t="shared" si="9"/>
        <v>85</v>
      </c>
      <c r="B86" t="s">
        <v>215</v>
      </c>
      <c r="C86">
        <f>COUNTIFS('My Pokemon'!$A:$A,$B86)</f>
        <v>0</v>
      </c>
      <c r="D86">
        <f>INDEX('Pokemon Data'!$N:$N,MATCH($B86,'Pokemon Data'!$B:$B,0))</f>
        <v>50</v>
      </c>
      <c r="E86" s="54"/>
      <c r="F86">
        <f>COUNTIFS('My Pokemon'!$A:$A,$B86,'My Pokemon'!$CX:$CX,"Evolve")</f>
        <v>0</v>
      </c>
      <c r="G86" s="53">
        <f t="shared" si="5"/>
        <v>0</v>
      </c>
      <c r="H86" s="56">
        <f t="shared" si="10"/>
        <v>0</v>
      </c>
      <c r="I86">
        <f t="shared" si="11"/>
        <v>50</v>
      </c>
      <c r="J86" s="1">
        <f t="shared" si="12"/>
        <v>0</v>
      </c>
    </row>
    <row r="87" spans="1:10" x14ac:dyDescent="0.25">
      <c r="A87" s="53">
        <f t="shared" si="9"/>
        <v>86</v>
      </c>
      <c r="B87" t="s">
        <v>217</v>
      </c>
      <c r="C87">
        <f>COUNTIFS('My Pokemon'!$A:$A,$B87)</f>
        <v>0</v>
      </c>
      <c r="D87">
        <f>INDEX('Pokemon Data'!$N:$N,MATCH($B87,'Pokemon Data'!$B:$B,0))</f>
        <v>50</v>
      </c>
      <c r="E87" s="54"/>
      <c r="F87">
        <f>COUNTIFS('My Pokemon'!$A:$A,$B87,'My Pokemon'!$CX:$CX,"Evolve")</f>
        <v>0</v>
      </c>
      <c r="G87" s="53">
        <f t="shared" si="5"/>
        <v>0</v>
      </c>
      <c r="H87" s="56">
        <f t="shared" si="10"/>
        <v>0</v>
      </c>
      <c r="I87">
        <f t="shared" si="11"/>
        <v>50</v>
      </c>
      <c r="J87" s="1">
        <f t="shared" si="12"/>
        <v>0</v>
      </c>
    </row>
    <row r="88" spans="1:10" x14ac:dyDescent="0.25">
      <c r="A88" s="53">
        <f t="shared" si="9"/>
        <v>87</v>
      </c>
      <c r="B88" t="s">
        <v>219</v>
      </c>
      <c r="C88">
        <f>COUNTIFS('My Pokemon'!$A:$A,$B88)</f>
        <v>1</v>
      </c>
      <c r="D88">
        <f>INDEX('Pokemon Data'!$N:$N,MATCH($B88,'Pokemon Data'!$B:$B,0))</f>
        <v>50</v>
      </c>
      <c r="E88" s="54">
        <v>46</v>
      </c>
      <c r="F88">
        <f>COUNTIFS('My Pokemon'!$A:$A,$B88,'My Pokemon'!$CX:$CX,"Evolve")</f>
        <v>0</v>
      </c>
      <c r="G88" s="53">
        <f t="shared" si="5"/>
        <v>0</v>
      </c>
      <c r="H88" s="56">
        <f t="shared" si="10"/>
        <v>0.92</v>
      </c>
      <c r="I88">
        <f t="shared" si="11"/>
        <v>4</v>
      </c>
      <c r="J88" s="1">
        <f t="shared" si="12"/>
        <v>1</v>
      </c>
    </row>
    <row r="89" spans="1:10" x14ac:dyDescent="0.25">
      <c r="A89" s="53">
        <f t="shared" si="9"/>
        <v>88</v>
      </c>
      <c r="B89" t="s">
        <v>221</v>
      </c>
      <c r="C89">
        <f>COUNTIFS('My Pokemon'!$A:$A,$B89)</f>
        <v>0</v>
      </c>
      <c r="D89">
        <f>INDEX('Pokemon Data'!$N:$N,MATCH($B89,'Pokemon Data'!$B:$B,0))</f>
        <v>25</v>
      </c>
      <c r="E89" s="54"/>
      <c r="F89">
        <f>COUNTIFS('My Pokemon'!$A:$A,$B89,'My Pokemon'!$CX:$CX,"Evolve")</f>
        <v>0</v>
      </c>
      <c r="G89" s="53">
        <f t="shared" si="5"/>
        <v>0</v>
      </c>
      <c r="H89" s="56">
        <f t="shared" si="10"/>
        <v>0</v>
      </c>
      <c r="I89">
        <f t="shared" si="11"/>
        <v>25</v>
      </c>
      <c r="J89" s="1">
        <f t="shared" si="12"/>
        <v>0</v>
      </c>
    </row>
    <row r="90" spans="1:10" x14ac:dyDescent="0.25">
      <c r="A90" s="53">
        <f t="shared" si="9"/>
        <v>89</v>
      </c>
      <c r="B90" t="s">
        <v>225</v>
      </c>
      <c r="C90">
        <f>COUNTIFS('My Pokemon'!$A:$A,$B90)</f>
        <v>0</v>
      </c>
      <c r="D90">
        <f>INDEX('Pokemon Data'!$N:$N,MATCH($B90,'Pokemon Data'!$B:$B,0))</f>
        <v>25</v>
      </c>
      <c r="E90" s="54"/>
      <c r="F90">
        <f>COUNTIFS('My Pokemon'!$A:$A,$B90,'My Pokemon'!$CX:$CX,"Evolve")</f>
        <v>0</v>
      </c>
      <c r="G90" s="53">
        <f t="shared" si="5"/>
        <v>0</v>
      </c>
      <c r="H90" s="56">
        <f t="shared" si="10"/>
        <v>0</v>
      </c>
      <c r="I90">
        <f t="shared" si="11"/>
        <v>25</v>
      </c>
      <c r="J90" s="1">
        <f t="shared" si="12"/>
        <v>0</v>
      </c>
    </row>
    <row r="91" spans="1:10" x14ac:dyDescent="0.25">
      <c r="A91" s="53">
        <f t="shared" si="9"/>
        <v>90</v>
      </c>
      <c r="B91" t="s">
        <v>227</v>
      </c>
      <c r="C91">
        <f>COUNTIFS('My Pokemon'!$A:$A,$B91)</f>
        <v>1</v>
      </c>
      <c r="D91">
        <f>INDEX('Pokemon Data'!$N:$N,MATCH($B91,'Pokemon Data'!$B:$B,0))</f>
        <v>0</v>
      </c>
      <c r="E91" s="54">
        <v>16</v>
      </c>
      <c r="F91">
        <f>COUNTIFS('My Pokemon'!$A:$A,$B91,'My Pokemon'!$CX:$CX,"Evolve")</f>
        <v>0</v>
      </c>
      <c r="G91" s="53">
        <f t="shared" si="5"/>
        <v>0</v>
      </c>
      <c r="H91" s="56" t="str">
        <f t="shared" si="10"/>
        <v/>
      </c>
      <c r="I91">
        <f t="shared" si="11"/>
        <v>0</v>
      </c>
      <c r="J91" s="1">
        <f t="shared" si="12"/>
        <v>1</v>
      </c>
    </row>
    <row r="92" spans="1:10" x14ac:dyDescent="0.25">
      <c r="A92" s="53">
        <f t="shared" si="9"/>
        <v>91</v>
      </c>
      <c r="B92" t="s">
        <v>229</v>
      </c>
      <c r="C92">
        <f>COUNTIFS('My Pokemon'!$A:$A,$B92)</f>
        <v>1</v>
      </c>
      <c r="D92">
        <f>INDEX('Pokemon Data'!$N:$N,MATCH($B92,'Pokemon Data'!$B:$B,0))</f>
        <v>25</v>
      </c>
      <c r="E92" s="54">
        <v>3</v>
      </c>
      <c r="F92">
        <f>COUNTIFS('My Pokemon'!$A:$A,$B92,'My Pokemon'!$CX:$CX,"Evolve")</f>
        <v>0</v>
      </c>
      <c r="G92" s="53">
        <f t="shared" si="5"/>
        <v>0</v>
      </c>
      <c r="H92" s="56">
        <f t="shared" si="10"/>
        <v>0.12</v>
      </c>
      <c r="I92">
        <f t="shared" si="11"/>
        <v>22</v>
      </c>
      <c r="J92" s="1">
        <f t="shared" si="12"/>
        <v>1</v>
      </c>
    </row>
    <row r="93" spans="1:10" x14ac:dyDescent="0.25">
      <c r="A93" s="53">
        <f t="shared" si="9"/>
        <v>92</v>
      </c>
      <c r="B93" t="s">
        <v>232</v>
      </c>
      <c r="C93">
        <f>COUNTIFS('My Pokemon'!$A:$A,$B93)</f>
        <v>1</v>
      </c>
      <c r="D93">
        <f>INDEX('Pokemon Data'!$N:$N,MATCH($B93,'Pokemon Data'!$B:$B,0))</f>
        <v>0</v>
      </c>
      <c r="E93" s="54">
        <v>19</v>
      </c>
      <c r="F93">
        <f>COUNTIFS('My Pokemon'!$A:$A,$B93,'My Pokemon'!$CX:$CX,"Evolve")</f>
        <v>0</v>
      </c>
      <c r="G93" s="53">
        <f t="shared" si="5"/>
        <v>0</v>
      </c>
      <c r="H93" s="56" t="str">
        <f t="shared" si="10"/>
        <v/>
      </c>
      <c r="I93">
        <f t="shared" si="11"/>
        <v>0</v>
      </c>
      <c r="J93" s="1">
        <f t="shared" si="12"/>
        <v>1</v>
      </c>
    </row>
    <row r="94" spans="1:10" x14ac:dyDescent="0.25">
      <c r="A94" s="53">
        <f t="shared" si="9"/>
        <v>93</v>
      </c>
      <c r="B94" t="s">
        <v>233</v>
      </c>
      <c r="C94">
        <f>COUNTIFS('My Pokemon'!$A:$A,$B94)</f>
        <v>0</v>
      </c>
      <c r="D94">
        <f>INDEX('Pokemon Data'!$N:$N,MATCH($B94,'Pokemon Data'!$B:$B,0))</f>
        <v>50</v>
      </c>
      <c r="E94" s="54"/>
      <c r="F94">
        <f>COUNTIFS('My Pokemon'!$A:$A,$B94,'My Pokemon'!$CX:$CX,"Evolve")</f>
        <v>0</v>
      </c>
      <c r="G94" s="53">
        <f t="shared" si="5"/>
        <v>0</v>
      </c>
      <c r="H94" s="56">
        <f t="shared" si="10"/>
        <v>0</v>
      </c>
      <c r="I94">
        <f t="shared" si="11"/>
        <v>50</v>
      </c>
      <c r="J94" s="1">
        <f t="shared" si="12"/>
        <v>0</v>
      </c>
    </row>
    <row r="95" spans="1:10" x14ac:dyDescent="0.25">
      <c r="A95" s="53">
        <f t="shared" si="9"/>
        <v>94</v>
      </c>
      <c r="B95" t="s">
        <v>235</v>
      </c>
      <c r="C95">
        <f>COUNTIFS('My Pokemon'!$A:$A,$B95)</f>
        <v>0</v>
      </c>
      <c r="D95">
        <f>INDEX('Pokemon Data'!$N:$N,MATCH($B95,'Pokemon Data'!$B:$B,0))</f>
        <v>0</v>
      </c>
      <c r="E95" s="54"/>
      <c r="F95">
        <f>COUNTIFS('My Pokemon'!$A:$A,$B95,'My Pokemon'!$CX:$CX,"Evolve")</f>
        <v>0</v>
      </c>
      <c r="G95" s="53">
        <f t="shared" si="5"/>
        <v>0</v>
      </c>
      <c r="H95" s="56" t="str">
        <f t="shared" si="10"/>
        <v/>
      </c>
      <c r="I95">
        <f t="shared" si="11"/>
        <v>0</v>
      </c>
      <c r="J95" s="1">
        <f t="shared" si="12"/>
        <v>0</v>
      </c>
    </row>
    <row r="96" spans="1:10" x14ac:dyDescent="0.25">
      <c r="A96" s="53">
        <f t="shared" si="9"/>
        <v>95</v>
      </c>
      <c r="B96" t="s">
        <v>236</v>
      </c>
      <c r="C96">
        <f>COUNTIFS('My Pokemon'!$A:$A,$B96)</f>
        <v>1</v>
      </c>
      <c r="D96">
        <f>INDEX('Pokemon Data'!$N:$N,MATCH($B96,'Pokemon Data'!$B:$B,0))</f>
        <v>50</v>
      </c>
      <c r="E96" s="54">
        <v>33</v>
      </c>
      <c r="F96">
        <f>COUNTIFS('My Pokemon'!$A:$A,$B96,'My Pokemon'!$CX:$CX,"Evolve")</f>
        <v>0</v>
      </c>
      <c r="G96" s="53">
        <f t="shared" si="5"/>
        <v>0</v>
      </c>
      <c r="H96" s="56">
        <f t="shared" si="10"/>
        <v>0.66</v>
      </c>
      <c r="I96">
        <f t="shared" si="11"/>
        <v>17</v>
      </c>
      <c r="J96" s="1">
        <f t="shared" si="12"/>
        <v>1</v>
      </c>
    </row>
    <row r="97" spans="1:10" x14ac:dyDescent="0.25">
      <c r="A97" s="53">
        <f t="shared" si="9"/>
        <v>96</v>
      </c>
      <c r="B97" t="s">
        <v>241</v>
      </c>
      <c r="C97">
        <f>COUNTIFS('My Pokemon'!$A:$A,$B97)</f>
        <v>1</v>
      </c>
      <c r="D97">
        <f>INDEX('Pokemon Data'!$N:$N,MATCH($B97,'Pokemon Data'!$B:$B,0))</f>
        <v>0</v>
      </c>
      <c r="E97" s="54">
        <v>86</v>
      </c>
      <c r="F97">
        <f>COUNTIFS('My Pokemon'!$A:$A,$B97,'My Pokemon'!$CX:$CX,"Evolve")</f>
        <v>0</v>
      </c>
      <c r="G97" s="53">
        <f t="shared" si="5"/>
        <v>0</v>
      </c>
      <c r="H97" s="56" t="str">
        <f t="shared" si="10"/>
        <v/>
      </c>
      <c r="I97">
        <f t="shared" si="11"/>
        <v>0</v>
      </c>
      <c r="J97" s="1">
        <f t="shared" si="12"/>
        <v>1</v>
      </c>
    </row>
    <row r="98" spans="1:10" x14ac:dyDescent="0.25">
      <c r="A98" s="53">
        <f t="shared" si="9"/>
        <v>97</v>
      </c>
      <c r="B98" t="s">
        <v>243</v>
      </c>
      <c r="C98">
        <f>COUNTIFS('My Pokemon'!$A:$A,$B98)</f>
        <v>1</v>
      </c>
      <c r="D98">
        <f>INDEX('Pokemon Data'!$N:$N,MATCH($B98,'Pokemon Data'!$B:$B,0))</f>
        <v>0</v>
      </c>
      <c r="E98" s="54">
        <v>3</v>
      </c>
      <c r="F98">
        <f>COUNTIFS('My Pokemon'!$A:$A,$B98,'My Pokemon'!$CX:$CX,"Evolve")</f>
        <v>0</v>
      </c>
      <c r="G98" s="53">
        <f t="shared" si="5"/>
        <v>0</v>
      </c>
      <c r="H98" s="56" t="str">
        <f t="shared" si="10"/>
        <v/>
      </c>
      <c r="I98">
        <f t="shared" si="11"/>
        <v>0</v>
      </c>
      <c r="J98" s="1">
        <f t="shared" si="12"/>
        <v>1</v>
      </c>
    </row>
    <row r="99" spans="1:10" x14ac:dyDescent="0.25">
      <c r="A99" s="53">
        <f t="shared" si="9"/>
        <v>98</v>
      </c>
      <c r="B99" t="s">
        <v>244</v>
      </c>
      <c r="C99">
        <f>COUNTIFS('My Pokemon'!$A:$A,$B99)</f>
        <v>0</v>
      </c>
      <c r="D99">
        <f>INDEX('Pokemon Data'!$N:$N,MATCH($B99,'Pokemon Data'!$B:$B,0))</f>
        <v>0</v>
      </c>
      <c r="E99" s="54"/>
      <c r="F99">
        <f>COUNTIFS('My Pokemon'!$A:$A,$B99,'My Pokemon'!$CX:$CX,"Evolve")</f>
        <v>0</v>
      </c>
      <c r="G99" s="53">
        <f t="shared" si="5"/>
        <v>0</v>
      </c>
      <c r="H99" s="56" t="str">
        <f t="shared" si="10"/>
        <v/>
      </c>
      <c r="I99">
        <f t="shared" si="11"/>
        <v>0</v>
      </c>
      <c r="J99" s="1">
        <f t="shared" si="12"/>
        <v>0</v>
      </c>
    </row>
    <row r="100" spans="1:10" x14ac:dyDescent="0.25">
      <c r="A100" s="53">
        <f t="shared" si="9"/>
        <v>99</v>
      </c>
      <c r="B100" t="s">
        <v>245</v>
      </c>
      <c r="C100">
        <f>COUNTIFS('My Pokemon'!$A:$A,$B100)</f>
        <v>0</v>
      </c>
      <c r="D100">
        <f>INDEX('Pokemon Data'!$N:$N,MATCH($B100,'Pokemon Data'!$B:$B,0))</f>
        <v>0</v>
      </c>
      <c r="E100" s="54"/>
      <c r="F100">
        <f>COUNTIFS('My Pokemon'!$A:$A,$B100,'My Pokemon'!$CX:$CX,"Evolve")</f>
        <v>0</v>
      </c>
      <c r="G100" s="53">
        <f t="shared" si="5"/>
        <v>0</v>
      </c>
      <c r="H100" s="56" t="str">
        <f t="shared" si="10"/>
        <v/>
      </c>
      <c r="I100">
        <f t="shared" si="11"/>
        <v>0</v>
      </c>
      <c r="J100" s="1">
        <f t="shared" si="12"/>
        <v>0</v>
      </c>
    </row>
    <row r="101" spans="1:10" x14ac:dyDescent="0.25">
      <c r="A101" s="53">
        <f t="shared" si="9"/>
        <v>100</v>
      </c>
      <c r="B101" t="s">
        <v>246</v>
      </c>
      <c r="C101">
        <f>COUNTIFS('My Pokemon'!$A:$A,$B101)</f>
        <v>0</v>
      </c>
      <c r="D101">
        <f>INDEX('Pokemon Data'!$N:$N,MATCH($B101,'Pokemon Data'!$B:$B,0))</f>
        <v>0</v>
      </c>
      <c r="E101" s="54"/>
      <c r="F101">
        <f>COUNTIFS('My Pokemon'!$A:$A,$B101,'My Pokemon'!$CX:$CX,"Evolve")</f>
        <v>0</v>
      </c>
      <c r="G101" s="53">
        <f t="shared" si="5"/>
        <v>0</v>
      </c>
      <c r="H101" s="56" t="str">
        <f t="shared" si="10"/>
        <v/>
      </c>
      <c r="I101">
        <f t="shared" si="11"/>
        <v>0</v>
      </c>
      <c r="J101" s="1">
        <f t="shared" si="12"/>
        <v>0</v>
      </c>
    </row>
    <row r="102" spans="1:10" x14ac:dyDescent="0.25">
      <c r="A102" s="53">
        <f t="shared" si="9"/>
        <v>101</v>
      </c>
      <c r="B102" t="s">
        <v>247</v>
      </c>
      <c r="C102">
        <f>COUNTIFS('My Pokemon'!$A:$A,$B102)</f>
        <v>0</v>
      </c>
      <c r="D102">
        <f>INDEX('Pokemon Data'!$N:$N,MATCH($B102,'Pokemon Data'!$B:$B,0))</f>
        <v>50</v>
      </c>
      <c r="E102" s="54"/>
      <c r="F102">
        <f>COUNTIFS('My Pokemon'!$A:$A,$B102,'My Pokemon'!$CX:$CX,"Evolve")</f>
        <v>0</v>
      </c>
      <c r="G102" s="53">
        <f t="shared" si="5"/>
        <v>0</v>
      </c>
      <c r="H102" s="56">
        <f t="shared" si="10"/>
        <v>0</v>
      </c>
      <c r="I102">
        <f t="shared" si="11"/>
        <v>50</v>
      </c>
      <c r="J102" s="1">
        <f t="shared" si="12"/>
        <v>0</v>
      </c>
    </row>
    <row r="103" spans="1:10" x14ac:dyDescent="0.25">
      <c r="A103" s="53">
        <f t="shared" si="9"/>
        <v>102</v>
      </c>
      <c r="B103" t="s">
        <v>249</v>
      </c>
      <c r="C103">
        <f>COUNTIFS('My Pokemon'!$A:$A,$B103)</f>
        <v>0</v>
      </c>
      <c r="D103">
        <f>INDEX('Pokemon Data'!$N:$N,MATCH($B103,'Pokemon Data'!$B:$B,0))</f>
        <v>0</v>
      </c>
      <c r="E103" s="54"/>
      <c r="F103">
        <f>COUNTIFS('My Pokemon'!$A:$A,$B103,'My Pokemon'!$CX:$CX,"Evolve")</f>
        <v>0</v>
      </c>
      <c r="G103" s="53">
        <f t="shared" si="5"/>
        <v>0</v>
      </c>
      <c r="H103" s="56" t="str">
        <f t="shared" si="10"/>
        <v/>
      </c>
      <c r="I103">
        <f t="shared" si="11"/>
        <v>0</v>
      </c>
      <c r="J103" s="1">
        <f t="shared" si="12"/>
        <v>0</v>
      </c>
    </row>
    <row r="104" spans="1:10" x14ac:dyDescent="0.25">
      <c r="A104" s="53">
        <f t="shared" si="9"/>
        <v>103</v>
      </c>
      <c r="B104" t="s">
        <v>250</v>
      </c>
      <c r="C104">
        <f>COUNTIFS('My Pokemon'!$A:$A,$B104)</f>
        <v>1</v>
      </c>
      <c r="D104">
        <f>INDEX('Pokemon Data'!$N:$N,MATCH($B104,'Pokemon Data'!$B:$B,0))</f>
        <v>0</v>
      </c>
      <c r="E104" s="54"/>
      <c r="F104">
        <f>COUNTIFS('My Pokemon'!$A:$A,$B104,'My Pokemon'!$CX:$CX,"Evolve")</f>
        <v>0</v>
      </c>
      <c r="G104" s="53">
        <f t="shared" si="5"/>
        <v>0</v>
      </c>
      <c r="H104" s="56" t="str">
        <f t="shared" si="10"/>
        <v/>
      </c>
      <c r="I104">
        <f t="shared" si="11"/>
        <v>0</v>
      </c>
      <c r="J104" s="1">
        <f t="shared" si="12"/>
        <v>1</v>
      </c>
    </row>
    <row r="105" spans="1:10" x14ac:dyDescent="0.25">
      <c r="A105" s="53">
        <f t="shared" si="9"/>
        <v>104</v>
      </c>
      <c r="B105" t="s">
        <v>251</v>
      </c>
      <c r="C105">
        <f>COUNTIFS('My Pokemon'!$A:$A,$B105)</f>
        <v>0</v>
      </c>
      <c r="D105">
        <f>INDEX('Pokemon Data'!$N:$N,MATCH($B105,'Pokemon Data'!$B:$B,0))</f>
        <v>50</v>
      </c>
      <c r="E105" s="54"/>
      <c r="F105">
        <f>COUNTIFS('My Pokemon'!$A:$A,$B105,'My Pokemon'!$CX:$CX,"Evolve")</f>
        <v>0</v>
      </c>
      <c r="G105" s="53">
        <f t="shared" si="5"/>
        <v>0</v>
      </c>
      <c r="H105" s="56">
        <f t="shared" si="10"/>
        <v>0</v>
      </c>
      <c r="I105">
        <f t="shared" si="11"/>
        <v>50</v>
      </c>
      <c r="J105" s="1">
        <f t="shared" si="12"/>
        <v>0</v>
      </c>
    </row>
    <row r="106" spans="1:10" x14ac:dyDescent="0.25">
      <c r="A106" s="53">
        <f t="shared" si="9"/>
        <v>105</v>
      </c>
      <c r="B106" t="s">
        <v>253</v>
      </c>
      <c r="C106">
        <f>COUNTIFS('My Pokemon'!$A:$A,$B106)</f>
        <v>0</v>
      </c>
      <c r="D106">
        <f>INDEX('Pokemon Data'!$N:$N,MATCH($B106,'Pokemon Data'!$B:$B,0))</f>
        <v>0</v>
      </c>
      <c r="E106" s="54"/>
      <c r="F106">
        <f>COUNTIFS('My Pokemon'!$A:$A,$B106,'My Pokemon'!$CX:$CX,"Evolve")</f>
        <v>0</v>
      </c>
      <c r="G106" s="53">
        <f t="shared" si="5"/>
        <v>0</v>
      </c>
      <c r="H106" s="56" t="str">
        <f t="shared" si="10"/>
        <v/>
      </c>
      <c r="I106">
        <f t="shared" si="11"/>
        <v>0</v>
      </c>
      <c r="J106" s="1">
        <f t="shared" si="12"/>
        <v>0</v>
      </c>
    </row>
    <row r="107" spans="1:10" x14ac:dyDescent="0.25">
      <c r="A107" s="53">
        <f t="shared" si="9"/>
        <v>106</v>
      </c>
      <c r="B107" t="s">
        <v>254</v>
      </c>
      <c r="C107">
        <f>COUNTIFS('My Pokemon'!$A:$A,$B107)</f>
        <v>0</v>
      </c>
      <c r="D107">
        <f>INDEX('Pokemon Data'!$N:$N,MATCH($B107,'Pokemon Data'!$B:$B,0))</f>
        <v>0</v>
      </c>
      <c r="E107" s="54"/>
      <c r="F107">
        <f>COUNTIFS('My Pokemon'!$A:$A,$B107,'My Pokemon'!$CX:$CX,"Evolve")</f>
        <v>0</v>
      </c>
      <c r="G107" s="53">
        <f t="shared" si="5"/>
        <v>0</v>
      </c>
      <c r="H107" s="56" t="str">
        <f t="shared" si="10"/>
        <v/>
      </c>
      <c r="I107">
        <f t="shared" si="11"/>
        <v>0</v>
      </c>
      <c r="J107" s="1">
        <f t="shared" si="12"/>
        <v>0</v>
      </c>
    </row>
    <row r="108" spans="1:10" x14ac:dyDescent="0.25">
      <c r="A108" s="53">
        <f t="shared" si="9"/>
        <v>107</v>
      </c>
      <c r="B108" t="s">
        <v>255</v>
      </c>
      <c r="C108">
        <f>COUNTIFS('My Pokemon'!$A:$A,$B108)</f>
        <v>0</v>
      </c>
      <c r="D108">
        <f>INDEX('Pokemon Data'!$N:$N,MATCH($B108,'Pokemon Data'!$B:$B,0))</f>
        <v>0</v>
      </c>
      <c r="E108" s="54"/>
      <c r="F108">
        <f>COUNTIFS('My Pokemon'!$A:$A,$B108,'My Pokemon'!$CX:$CX,"Evolve")</f>
        <v>0</v>
      </c>
      <c r="G108" s="53">
        <f t="shared" si="5"/>
        <v>0</v>
      </c>
      <c r="H108" s="56" t="str">
        <f t="shared" si="10"/>
        <v/>
      </c>
      <c r="I108">
        <f t="shared" si="11"/>
        <v>0</v>
      </c>
      <c r="J108" s="1">
        <f t="shared" si="12"/>
        <v>0</v>
      </c>
    </row>
    <row r="109" spans="1:10" x14ac:dyDescent="0.25">
      <c r="A109" s="53">
        <f t="shared" si="9"/>
        <v>108</v>
      </c>
      <c r="B109" t="s">
        <v>256</v>
      </c>
      <c r="C109">
        <f>COUNTIFS('My Pokemon'!$A:$A,$B109)</f>
        <v>0</v>
      </c>
      <c r="D109">
        <f>INDEX('Pokemon Data'!$N:$N,MATCH($B109,'Pokemon Data'!$B:$B,0))</f>
        <v>0</v>
      </c>
      <c r="E109" s="54"/>
      <c r="F109">
        <f>COUNTIFS('My Pokemon'!$A:$A,$B109,'My Pokemon'!$CX:$CX,"Evolve")</f>
        <v>0</v>
      </c>
      <c r="G109" s="53">
        <f t="shared" si="5"/>
        <v>0</v>
      </c>
      <c r="H109" s="56" t="str">
        <f t="shared" si="10"/>
        <v/>
      </c>
      <c r="I109">
        <f t="shared" si="11"/>
        <v>0</v>
      </c>
      <c r="J109" s="1">
        <f t="shared" si="12"/>
        <v>0</v>
      </c>
    </row>
    <row r="110" spans="1:10" x14ac:dyDescent="0.25">
      <c r="A110" s="53">
        <f t="shared" si="9"/>
        <v>109</v>
      </c>
      <c r="B110" t="s">
        <v>257</v>
      </c>
      <c r="C110">
        <f>COUNTIFS('My Pokemon'!$A:$A,$B110)</f>
        <v>0</v>
      </c>
      <c r="D110">
        <f>INDEX('Pokemon Data'!$N:$N,MATCH($B110,'Pokemon Data'!$B:$B,0))</f>
        <v>50</v>
      </c>
      <c r="E110" s="54"/>
      <c r="F110">
        <f>COUNTIFS('My Pokemon'!$A:$A,$B110,'My Pokemon'!$CX:$CX,"Evolve")</f>
        <v>0</v>
      </c>
      <c r="G110" s="53">
        <f t="shared" si="5"/>
        <v>0</v>
      </c>
      <c r="H110" s="56">
        <f t="shared" si="10"/>
        <v>0</v>
      </c>
      <c r="I110">
        <f t="shared" si="11"/>
        <v>50</v>
      </c>
      <c r="J110" s="1">
        <f t="shared" si="12"/>
        <v>0</v>
      </c>
    </row>
    <row r="111" spans="1:10" x14ac:dyDescent="0.25">
      <c r="A111" s="53">
        <f t="shared" si="9"/>
        <v>110</v>
      </c>
      <c r="B111" t="s">
        <v>259</v>
      </c>
      <c r="C111">
        <f>COUNTIFS('My Pokemon'!$A:$A,$B111)</f>
        <v>0</v>
      </c>
      <c r="D111">
        <f>INDEX('Pokemon Data'!$N:$N,MATCH($B111,'Pokemon Data'!$B:$B,0))</f>
        <v>50</v>
      </c>
      <c r="E111" s="54"/>
      <c r="F111">
        <f>COUNTIFS('My Pokemon'!$A:$A,$B111,'My Pokemon'!$CX:$CX,"Evolve")</f>
        <v>0</v>
      </c>
      <c r="G111" s="53">
        <f t="shared" si="5"/>
        <v>0</v>
      </c>
      <c r="H111" s="56">
        <f t="shared" si="10"/>
        <v>0</v>
      </c>
      <c r="I111">
        <f t="shared" si="11"/>
        <v>50</v>
      </c>
      <c r="J111" s="1">
        <f t="shared" si="12"/>
        <v>0</v>
      </c>
    </row>
    <row r="112" spans="1:10" x14ac:dyDescent="0.25">
      <c r="A112" s="53">
        <f t="shared" si="9"/>
        <v>111</v>
      </c>
      <c r="B112" t="s">
        <v>261</v>
      </c>
      <c r="C112">
        <f>COUNTIFS('My Pokemon'!$A:$A,$B112)</f>
        <v>1</v>
      </c>
      <c r="D112">
        <f>INDEX('Pokemon Data'!$N:$N,MATCH($B112,'Pokemon Data'!$B:$B,0))</f>
        <v>50</v>
      </c>
      <c r="E112" s="54">
        <v>17</v>
      </c>
      <c r="F112">
        <f>COUNTIFS('My Pokemon'!$A:$A,$B112,'My Pokemon'!$CX:$CX,"Evolve")</f>
        <v>0</v>
      </c>
      <c r="G112" s="53">
        <f t="shared" si="5"/>
        <v>0</v>
      </c>
      <c r="H112" s="56">
        <f t="shared" si="10"/>
        <v>0.34</v>
      </c>
      <c r="I112">
        <f t="shared" si="11"/>
        <v>33</v>
      </c>
      <c r="J112" s="1">
        <f t="shared" si="12"/>
        <v>1</v>
      </c>
    </row>
    <row r="113" spans="1:10" x14ac:dyDescent="0.25">
      <c r="A113" s="53">
        <f t="shared" si="9"/>
        <v>112</v>
      </c>
      <c r="B113" t="s">
        <v>263</v>
      </c>
      <c r="C113">
        <f>COUNTIFS('My Pokemon'!$A:$A,$B113)</f>
        <v>0</v>
      </c>
      <c r="D113">
        <f>INDEX('Pokemon Data'!$N:$N,MATCH($B113,'Pokemon Data'!$B:$B,0))</f>
        <v>0</v>
      </c>
      <c r="E113" s="54"/>
      <c r="F113">
        <f>COUNTIFS('My Pokemon'!$A:$A,$B113,'My Pokemon'!$CX:$CX,"Evolve")</f>
        <v>0</v>
      </c>
      <c r="G113" s="53">
        <f t="shared" si="5"/>
        <v>0</v>
      </c>
      <c r="H113" s="56" t="str">
        <f t="shared" si="10"/>
        <v/>
      </c>
      <c r="I113">
        <f t="shared" si="11"/>
        <v>0</v>
      </c>
      <c r="J113" s="1">
        <f t="shared" si="12"/>
        <v>0</v>
      </c>
    </row>
    <row r="114" spans="1:10" x14ac:dyDescent="0.25">
      <c r="A114" s="53">
        <f t="shared" si="9"/>
        <v>113</v>
      </c>
      <c r="B114" t="s">
        <v>264</v>
      </c>
      <c r="C114">
        <f>COUNTIFS('My Pokemon'!$A:$A,$B114)</f>
        <v>0</v>
      </c>
      <c r="D114">
        <f>INDEX('Pokemon Data'!$N:$N,MATCH($B114,'Pokemon Data'!$B:$B,0))</f>
        <v>50</v>
      </c>
      <c r="E114" s="54"/>
      <c r="F114">
        <f>COUNTIFS('My Pokemon'!$A:$A,$B114,'My Pokemon'!$CX:$CX,"Evolve")</f>
        <v>0</v>
      </c>
      <c r="G114" s="53">
        <f t="shared" si="5"/>
        <v>0</v>
      </c>
      <c r="H114" s="56">
        <f t="shared" si="10"/>
        <v>0</v>
      </c>
      <c r="I114">
        <f t="shared" si="11"/>
        <v>50</v>
      </c>
      <c r="J114" s="1">
        <f t="shared" si="12"/>
        <v>0</v>
      </c>
    </row>
    <row r="115" spans="1:10" x14ac:dyDescent="0.25">
      <c r="A115" s="53">
        <f t="shared" si="9"/>
        <v>114</v>
      </c>
      <c r="B115" t="s">
        <v>266</v>
      </c>
      <c r="C115">
        <f>COUNTIFS('My Pokemon'!$A:$A,$B115)</f>
        <v>0</v>
      </c>
      <c r="D115">
        <f>INDEX('Pokemon Data'!$N:$N,MATCH($B115,'Pokemon Data'!$B:$B,0))</f>
        <v>0</v>
      </c>
      <c r="E115" s="54"/>
      <c r="F115">
        <f>COUNTIFS('My Pokemon'!$A:$A,$B115,'My Pokemon'!$CX:$CX,"Evolve")</f>
        <v>0</v>
      </c>
      <c r="G115" s="53">
        <f t="shared" si="5"/>
        <v>0</v>
      </c>
      <c r="H115" s="56" t="str">
        <f t="shared" si="10"/>
        <v/>
      </c>
      <c r="I115">
        <f t="shared" si="11"/>
        <v>0</v>
      </c>
      <c r="J115" s="1">
        <f t="shared" si="12"/>
        <v>0</v>
      </c>
    </row>
    <row r="116" spans="1:10" x14ac:dyDescent="0.25">
      <c r="A116" s="53">
        <f t="shared" si="9"/>
        <v>115</v>
      </c>
      <c r="B116" t="s">
        <v>267</v>
      </c>
      <c r="C116">
        <f>COUNTIFS('My Pokemon'!$A:$A,$B116)</f>
        <v>0</v>
      </c>
      <c r="D116">
        <f>INDEX('Pokemon Data'!$N:$N,MATCH($B116,'Pokemon Data'!$B:$B,0))</f>
        <v>0</v>
      </c>
      <c r="E116" s="54"/>
      <c r="F116">
        <f>COUNTIFS('My Pokemon'!$A:$A,$B116,'My Pokemon'!$CX:$CX,"Evolve")</f>
        <v>0</v>
      </c>
      <c r="G116" s="53">
        <f t="shared" si="5"/>
        <v>0</v>
      </c>
      <c r="H116" s="56" t="str">
        <f t="shared" si="10"/>
        <v/>
      </c>
      <c r="I116">
        <f t="shared" si="11"/>
        <v>0</v>
      </c>
      <c r="J116" s="1">
        <f t="shared" si="12"/>
        <v>0</v>
      </c>
    </row>
    <row r="117" spans="1:10" x14ac:dyDescent="0.25">
      <c r="A117" s="53">
        <f t="shared" si="9"/>
        <v>116</v>
      </c>
      <c r="B117" t="s">
        <v>268</v>
      </c>
      <c r="C117">
        <f>COUNTIFS('My Pokemon'!$A:$A,$B117)</f>
        <v>0</v>
      </c>
      <c r="D117">
        <f>INDEX('Pokemon Data'!$N:$N,MATCH($B117,'Pokemon Data'!$B:$B,0))</f>
        <v>0</v>
      </c>
      <c r="E117" s="54"/>
      <c r="F117">
        <f>COUNTIFS('My Pokemon'!$A:$A,$B117,'My Pokemon'!$CX:$CX,"Evolve")</f>
        <v>0</v>
      </c>
      <c r="G117" s="53">
        <f t="shared" si="5"/>
        <v>0</v>
      </c>
      <c r="H117" s="56" t="str">
        <f t="shared" si="10"/>
        <v/>
      </c>
      <c r="I117">
        <f t="shared" si="11"/>
        <v>0</v>
      </c>
      <c r="J117" s="1">
        <f t="shared" si="12"/>
        <v>0</v>
      </c>
    </row>
    <row r="118" spans="1:10" x14ac:dyDescent="0.25">
      <c r="A118" s="53">
        <f t="shared" si="9"/>
        <v>117</v>
      </c>
      <c r="B118" t="s">
        <v>269</v>
      </c>
      <c r="C118">
        <f>COUNTIFS('My Pokemon'!$A:$A,$B118)</f>
        <v>0</v>
      </c>
      <c r="D118">
        <f>INDEX('Pokemon Data'!$N:$N,MATCH($B118,'Pokemon Data'!$B:$B,0))</f>
        <v>50</v>
      </c>
      <c r="E118" s="54"/>
      <c r="F118">
        <f>COUNTIFS('My Pokemon'!$A:$A,$B118,'My Pokemon'!$CX:$CX,"Evolve")</f>
        <v>0</v>
      </c>
      <c r="G118" s="53">
        <f t="shared" si="5"/>
        <v>0</v>
      </c>
      <c r="H118" s="56">
        <f t="shared" si="10"/>
        <v>0</v>
      </c>
      <c r="I118">
        <f t="shared" si="11"/>
        <v>50</v>
      </c>
      <c r="J118" s="1">
        <f t="shared" si="12"/>
        <v>0</v>
      </c>
    </row>
    <row r="119" spans="1:10" x14ac:dyDescent="0.25">
      <c r="A119" s="53">
        <f t="shared" si="9"/>
        <v>118</v>
      </c>
      <c r="B119" t="s">
        <v>272</v>
      </c>
      <c r="C119">
        <f>COUNTIFS('My Pokemon'!$A:$A,$B119)</f>
        <v>0</v>
      </c>
      <c r="D119">
        <f>INDEX('Pokemon Data'!$N:$N,MATCH($B119,'Pokemon Data'!$B:$B,0))</f>
        <v>50</v>
      </c>
      <c r="E119" s="54"/>
      <c r="F119">
        <f>COUNTIFS('My Pokemon'!$A:$A,$B119,'My Pokemon'!$CX:$CX,"Evolve")</f>
        <v>0</v>
      </c>
      <c r="G119" s="53">
        <f t="shared" si="5"/>
        <v>0</v>
      </c>
      <c r="H119" s="56">
        <f t="shared" si="10"/>
        <v>0</v>
      </c>
      <c r="I119">
        <f t="shared" si="11"/>
        <v>50</v>
      </c>
      <c r="J119" s="1">
        <f t="shared" si="12"/>
        <v>0</v>
      </c>
    </row>
    <row r="120" spans="1:10" x14ac:dyDescent="0.25">
      <c r="A120" s="53">
        <f t="shared" si="9"/>
        <v>119</v>
      </c>
      <c r="B120" t="s">
        <v>274</v>
      </c>
      <c r="C120">
        <f>COUNTIFS('My Pokemon'!$A:$A,$B120)</f>
        <v>0</v>
      </c>
      <c r="D120">
        <f>INDEX('Pokemon Data'!$N:$N,MATCH($B120,'Pokemon Data'!$B:$B,0))</f>
        <v>0</v>
      </c>
      <c r="E120" s="54"/>
      <c r="F120">
        <f>COUNTIFS('My Pokemon'!$A:$A,$B120,'My Pokemon'!$CX:$CX,"Evolve")</f>
        <v>0</v>
      </c>
      <c r="G120" s="53">
        <f t="shared" si="5"/>
        <v>0</v>
      </c>
      <c r="H120" s="56" t="str">
        <f t="shared" si="10"/>
        <v/>
      </c>
      <c r="I120">
        <f t="shared" si="11"/>
        <v>0</v>
      </c>
      <c r="J120" s="1">
        <f t="shared" si="12"/>
        <v>0</v>
      </c>
    </row>
    <row r="121" spans="1:10" x14ac:dyDescent="0.25">
      <c r="A121" s="53">
        <f t="shared" si="9"/>
        <v>120</v>
      </c>
      <c r="B121" t="s">
        <v>275</v>
      </c>
      <c r="C121">
        <f>COUNTIFS('My Pokemon'!$A:$A,$B121)</f>
        <v>0</v>
      </c>
      <c r="D121">
        <f>INDEX('Pokemon Data'!$N:$N,MATCH($B121,'Pokemon Data'!$B:$B,0))</f>
        <v>0</v>
      </c>
      <c r="E121" s="54"/>
      <c r="F121">
        <f>COUNTIFS('My Pokemon'!$A:$A,$B121,'My Pokemon'!$CX:$CX,"Evolve")</f>
        <v>0</v>
      </c>
      <c r="G121" s="53">
        <f t="shared" si="5"/>
        <v>0</v>
      </c>
      <c r="H121" s="56" t="str">
        <f t="shared" si="10"/>
        <v/>
      </c>
      <c r="I121">
        <f t="shared" si="11"/>
        <v>0</v>
      </c>
      <c r="J121" s="1">
        <f t="shared" si="12"/>
        <v>0</v>
      </c>
    </row>
    <row r="122" spans="1:10" x14ac:dyDescent="0.25">
      <c r="A122" s="53">
        <f t="shared" si="9"/>
        <v>121</v>
      </c>
      <c r="B122" t="s">
        <v>276</v>
      </c>
      <c r="C122">
        <f>COUNTIFS('My Pokemon'!$A:$A,$B122)</f>
        <v>0</v>
      </c>
      <c r="D122">
        <f>INDEX('Pokemon Data'!$N:$N,MATCH($B122,'Pokemon Data'!$B:$B,0))</f>
        <v>25</v>
      </c>
      <c r="E122" s="54">
        <v>97</v>
      </c>
      <c r="F122">
        <f>COUNTIFS('My Pokemon'!$A:$A,$B122,'My Pokemon'!$CX:$CX,"Evolve")</f>
        <v>0</v>
      </c>
      <c r="G122" s="53">
        <f t="shared" si="5"/>
        <v>0</v>
      </c>
      <c r="H122" s="56">
        <f t="shared" si="10"/>
        <v>1</v>
      </c>
      <c r="I122">
        <f t="shared" si="11"/>
        <v>0</v>
      </c>
      <c r="J122" s="1">
        <f t="shared" si="12"/>
        <v>0</v>
      </c>
    </row>
    <row r="123" spans="1:10" x14ac:dyDescent="0.25">
      <c r="A123" s="53">
        <f t="shared" si="9"/>
        <v>122</v>
      </c>
      <c r="B123" t="s">
        <v>278</v>
      </c>
      <c r="C123">
        <f>COUNTIFS('My Pokemon'!$A:$A,$B123)</f>
        <v>0</v>
      </c>
      <c r="D123">
        <f>INDEX('Pokemon Data'!$N:$N,MATCH($B123,'Pokemon Data'!$B:$B,0))</f>
        <v>0</v>
      </c>
      <c r="E123" s="54"/>
      <c r="F123">
        <f>COUNTIFS('My Pokemon'!$A:$A,$B123,'My Pokemon'!$CX:$CX,"Evolve")</f>
        <v>0</v>
      </c>
      <c r="G123" s="53">
        <f t="shared" si="5"/>
        <v>0</v>
      </c>
      <c r="H123" s="56" t="str">
        <f t="shared" si="10"/>
        <v/>
      </c>
      <c r="I123">
        <f t="shared" si="11"/>
        <v>0</v>
      </c>
      <c r="J123" s="1">
        <f t="shared" si="12"/>
        <v>0</v>
      </c>
    </row>
    <row r="124" spans="1:10" x14ac:dyDescent="0.25">
      <c r="A124" s="53">
        <f t="shared" si="9"/>
        <v>123</v>
      </c>
      <c r="B124" t="s">
        <v>279</v>
      </c>
      <c r="C124">
        <f>COUNTIFS('My Pokemon'!$A:$A,$B124)</f>
        <v>0</v>
      </c>
      <c r="D124">
        <f>INDEX('Pokemon Data'!$N:$N,MATCH($B124,'Pokemon Data'!$B:$B,0))</f>
        <v>0</v>
      </c>
      <c r="E124" s="54"/>
      <c r="F124">
        <f>COUNTIFS('My Pokemon'!$A:$A,$B124,'My Pokemon'!$CX:$CX,"Evolve")</f>
        <v>0</v>
      </c>
      <c r="G124" s="53">
        <f t="shared" si="5"/>
        <v>0</v>
      </c>
      <c r="H124" s="56" t="str">
        <f t="shared" si="10"/>
        <v/>
      </c>
      <c r="I124">
        <f t="shared" si="11"/>
        <v>0</v>
      </c>
      <c r="J124" s="1">
        <f t="shared" si="12"/>
        <v>0</v>
      </c>
    </row>
    <row r="125" spans="1:10" x14ac:dyDescent="0.25">
      <c r="A125" s="53">
        <f t="shared" si="9"/>
        <v>124</v>
      </c>
      <c r="B125" t="s">
        <v>280</v>
      </c>
      <c r="C125">
        <f>COUNTIFS('My Pokemon'!$A:$A,$B125)</f>
        <v>0</v>
      </c>
      <c r="D125">
        <f>INDEX('Pokemon Data'!$N:$N,MATCH($B125,'Pokemon Data'!$B:$B,0))</f>
        <v>0</v>
      </c>
      <c r="E125" s="54"/>
      <c r="F125">
        <f>COUNTIFS('My Pokemon'!$A:$A,$B125,'My Pokemon'!$CX:$CX,"Evolve")</f>
        <v>0</v>
      </c>
      <c r="G125" s="53">
        <f t="shared" si="5"/>
        <v>0</v>
      </c>
      <c r="H125" s="56" t="str">
        <f t="shared" si="10"/>
        <v/>
      </c>
      <c r="I125">
        <f t="shared" si="11"/>
        <v>0</v>
      </c>
      <c r="J125" s="1">
        <f t="shared" si="12"/>
        <v>0</v>
      </c>
    </row>
    <row r="126" spans="1:10" x14ac:dyDescent="0.25">
      <c r="A126" s="53">
        <f t="shared" si="9"/>
        <v>125</v>
      </c>
      <c r="B126" t="s">
        <v>281</v>
      </c>
      <c r="C126">
        <f>COUNTIFS('My Pokemon'!$A:$A,$B126)</f>
        <v>0</v>
      </c>
      <c r="D126">
        <f>INDEX('Pokemon Data'!$N:$N,MATCH($B126,'Pokemon Data'!$B:$B,0))</f>
        <v>0</v>
      </c>
      <c r="E126" s="54"/>
      <c r="F126">
        <f>COUNTIFS('My Pokemon'!$A:$A,$B126,'My Pokemon'!$CX:$CX,"Evolve")</f>
        <v>0</v>
      </c>
      <c r="G126" s="53">
        <f t="shared" si="5"/>
        <v>0</v>
      </c>
      <c r="H126" s="56" t="str">
        <f t="shared" si="10"/>
        <v/>
      </c>
      <c r="I126">
        <f t="shared" si="11"/>
        <v>0</v>
      </c>
      <c r="J126" s="1">
        <f t="shared" si="12"/>
        <v>0</v>
      </c>
    </row>
    <row r="127" spans="1:10" x14ac:dyDescent="0.25">
      <c r="A127" s="53">
        <f t="shared" si="9"/>
        <v>126</v>
      </c>
      <c r="B127" t="s">
        <v>282</v>
      </c>
      <c r="C127">
        <f>COUNTIFS('My Pokemon'!$A:$A,$B127)</f>
        <v>0</v>
      </c>
      <c r="D127">
        <f>INDEX('Pokemon Data'!$N:$N,MATCH($B127,'Pokemon Data'!$B:$B,0))</f>
        <v>25</v>
      </c>
      <c r="E127" s="54"/>
      <c r="F127">
        <f>COUNTIFS('My Pokemon'!$A:$A,$B127,'My Pokemon'!$CX:$CX,"Evolve")</f>
        <v>0</v>
      </c>
      <c r="G127" s="53">
        <f t="shared" si="5"/>
        <v>0</v>
      </c>
      <c r="H127" s="56">
        <f t="shared" si="10"/>
        <v>0</v>
      </c>
      <c r="I127">
        <f t="shared" si="11"/>
        <v>25</v>
      </c>
      <c r="J127" s="1">
        <f t="shared" si="12"/>
        <v>0</v>
      </c>
    </row>
    <row r="128" spans="1:10" x14ac:dyDescent="0.25">
      <c r="A128" s="53">
        <f t="shared" si="9"/>
        <v>127</v>
      </c>
      <c r="B128" t="s">
        <v>285</v>
      </c>
      <c r="C128">
        <f>COUNTIFS('My Pokemon'!$A:$A,$B128)</f>
        <v>0</v>
      </c>
      <c r="D128">
        <f>INDEX('Pokemon Data'!$N:$N,MATCH($B128,'Pokemon Data'!$B:$B,0))</f>
        <v>0</v>
      </c>
      <c r="E128" s="54"/>
      <c r="F128">
        <f>COUNTIFS('My Pokemon'!$A:$A,$B128,'My Pokemon'!$CX:$CX,"Evolve")</f>
        <v>0</v>
      </c>
      <c r="G128" s="53">
        <f t="shared" si="5"/>
        <v>0</v>
      </c>
      <c r="H128" s="56" t="str">
        <f t="shared" si="10"/>
        <v/>
      </c>
      <c r="I128">
        <f t="shared" si="11"/>
        <v>0</v>
      </c>
      <c r="J128" s="1">
        <f t="shared" si="12"/>
        <v>0</v>
      </c>
    </row>
    <row r="129" spans="1:10" x14ac:dyDescent="0.25">
      <c r="A129" s="53">
        <f t="shared" si="9"/>
        <v>128</v>
      </c>
      <c r="B129" t="s">
        <v>286</v>
      </c>
      <c r="C129">
        <f>COUNTIFS('My Pokemon'!$A:$A,$B129)</f>
        <v>0</v>
      </c>
      <c r="D129">
        <f>INDEX('Pokemon Data'!$N:$N,MATCH($B129,'Pokemon Data'!$B:$B,0))</f>
        <v>0</v>
      </c>
      <c r="E129" s="54"/>
      <c r="F129">
        <f>COUNTIFS('My Pokemon'!$A:$A,$B129,'My Pokemon'!$CX:$CX,"Evolve")</f>
        <v>0</v>
      </c>
      <c r="G129" s="53">
        <f t="shared" si="5"/>
        <v>0</v>
      </c>
      <c r="H129" s="56" t="str">
        <f t="shared" si="10"/>
        <v/>
      </c>
      <c r="I129">
        <f t="shared" si="11"/>
        <v>0</v>
      </c>
      <c r="J129" s="1">
        <f t="shared" si="12"/>
        <v>0</v>
      </c>
    </row>
    <row r="130" spans="1:10" x14ac:dyDescent="0.25">
      <c r="A130" s="53">
        <f t="shared" si="9"/>
        <v>129</v>
      </c>
      <c r="B130" t="s">
        <v>287</v>
      </c>
      <c r="C130">
        <f>COUNTIFS('My Pokemon'!$A:$A,$B130)</f>
        <v>0</v>
      </c>
      <c r="D130">
        <f>INDEX('Pokemon Data'!$N:$N,MATCH($B130,'Pokemon Data'!$B:$B,0))</f>
        <v>0</v>
      </c>
      <c r="E130" s="54"/>
      <c r="F130">
        <f>COUNTIFS('My Pokemon'!$A:$A,$B130,'My Pokemon'!$CX:$CX,"Evolve")</f>
        <v>0</v>
      </c>
      <c r="G130" s="53">
        <f t="shared" si="5"/>
        <v>0</v>
      </c>
      <c r="H130" s="56" t="str">
        <f t="shared" si="10"/>
        <v/>
      </c>
      <c r="I130">
        <f t="shared" si="11"/>
        <v>0</v>
      </c>
      <c r="J130" s="1">
        <f t="shared" si="12"/>
        <v>0</v>
      </c>
    </row>
    <row r="131" spans="1:10" hidden="1" x14ac:dyDescent="0.25"/>
    <row r="132" spans="1:10" hidden="1" x14ac:dyDescent="0.25"/>
    <row r="133" spans="1:10" hidden="1" x14ac:dyDescent="0.25"/>
    <row r="325" spans="1:9" hidden="1" x14ac:dyDescent="0.25">
      <c r="A325" s="53" t="s">
        <v>40</v>
      </c>
      <c r="B325">
        <v>152</v>
      </c>
      <c r="C325">
        <v>39</v>
      </c>
      <c r="D325">
        <v>13</v>
      </c>
      <c r="E325" t="s">
        <v>3</v>
      </c>
      <c r="H325" s="57">
        <v>1</v>
      </c>
      <c r="I325" t="s">
        <v>0</v>
      </c>
    </row>
    <row r="326" spans="1:9" hidden="1" x14ac:dyDescent="0.25">
      <c r="A326" s="53" t="s">
        <v>207</v>
      </c>
      <c r="B326">
        <v>352</v>
      </c>
      <c r="C326">
        <v>51</v>
      </c>
      <c r="D326">
        <v>40</v>
      </c>
      <c r="E326" t="s">
        <v>2</v>
      </c>
      <c r="G326">
        <v>1</v>
      </c>
      <c r="I326" t="s">
        <v>0</v>
      </c>
    </row>
  </sheetData>
  <dataConsolidate/>
  <conditionalFormatting sqref="F1:K1048576">
    <cfRule type="expression" dxfId="4" priority="6">
      <formula>$D1=0</formula>
    </cfRule>
  </conditionalFormatting>
  <conditionalFormatting sqref="F1:G1048576">
    <cfRule type="expression" dxfId="3" priority="4">
      <formula>F1*1&gt;0</formula>
    </cfRule>
  </conditionalFormatting>
  <conditionalFormatting sqref="D1:D1048576">
    <cfRule type="expression" dxfId="2" priority="3">
      <formula>$D1=0</formula>
    </cfRule>
  </conditionalFormatting>
  <conditionalFormatting sqref="B1:K1048576">
    <cfRule type="expression" dxfId="1" priority="2" stopIfTrue="1">
      <formula>NOT(OR(ISBLANK($K1),$K1="Evolve Priority"))</formula>
    </cfRule>
  </conditionalFormatting>
  <conditionalFormatting sqref="H2:H13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H2:H130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Data'!$T$1,MATCH($A2,'Pokemon Data'!$Q:$Q,0)-1,0,COUNTIFS('Pokemon Data'!$Q:$Q,$A2))</xm:f>
          </x14:formula1>
          <xm:sqref>B2:B130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5"/>
  <sheetViews>
    <sheetView zoomScale="85" zoomScaleNormal="85" workbookViewId="0">
      <pane xSplit="2" ySplit="2" topLeftCell="J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1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413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414</v>
      </c>
      <c r="H2" s="62" t="s">
        <v>415</v>
      </c>
      <c r="I2" s="62" t="s">
        <v>416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 t="shared" ref="G3:G66" si="1">D3+15</f>
        <v>105</v>
      </c>
      <c r="H3" s="61">
        <f t="shared" ref="H3:H66" si="2">E3+15</f>
        <v>133</v>
      </c>
      <c r="I3" s="61">
        <f t="shared" ref="I3:I66" si="3">F3+15</f>
        <v>133</v>
      </c>
      <c r="J3" s="48">
        <f t="shared" ref="J3:S12" si="4">MAX(10,INT(SQRT($G3*$I3)*$H3*J$1^2/10))</f>
        <v>13</v>
      </c>
      <c r="K3" s="48">
        <f t="shared" si="4"/>
        <v>43</v>
      </c>
      <c r="L3" s="48">
        <f t="shared" si="4"/>
        <v>73</v>
      </c>
      <c r="M3" s="48">
        <f t="shared" si="4"/>
        <v>102</v>
      </c>
      <c r="N3" s="48">
        <f t="shared" si="4"/>
        <v>132</v>
      </c>
      <c r="O3" s="48">
        <f t="shared" si="4"/>
        <v>162</v>
      </c>
      <c r="P3" s="48">
        <f t="shared" si="4"/>
        <v>191</v>
      </c>
      <c r="Q3" s="48">
        <f t="shared" si="4"/>
        <v>221</v>
      </c>
      <c r="R3" s="48">
        <f t="shared" si="4"/>
        <v>250</v>
      </c>
      <c r="S3" s="48">
        <f t="shared" si="4"/>
        <v>280</v>
      </c>
      <c r="T3" s="48">
        <f t="shared" ref="T3:AC12" si="5">MAX(10,INT(SQRT($G3*$I3)*$H3*T$1^2/10))</f>
        <v>308</v>
      </c>
      <c r="U3" s="48">
        <f t="shared" si="5"/>
        <v>336</v>
      </c>
      <c r="V3" s="48">
        <f t="shared" si="5"/>
        <v>364</v>
      </c>
      <c r="W3" s="48">
        <f t="shared" si="5"/>
        <v>392</v>
      </c>
      <c r="X3" s="48">
        <f t="shared" si="5"/>
        <v>420</v>
      </c>
      <c r="Y3" s="48">
        <f t="shared" si="5"/>
        <v>448</v>
      </c>
      <c r="Z3" s="48">
        <f t="shared" si="5"/>
        <v>476</v>
      </c>
      <c r="AA3" s="48">
        <f t="shared" si="5"/>
        <v>504</v>
      </c>
      <c r="AB3" s="48">
        <f t="shared" si="5"/>
        <v>532</v>
      </c>
      <c r="AC3" s="48">
        <f t="shared" si="5"/>
        <v>560</v>
      </c>
      <c r="AD3" s="48">
        <f t="shared" ref="AD3:AM12" si="6">MAX(10,INT(SQRT($G3*$I3)*$H3*AD$1^2/10))</f>
        <v>588</v>
      </c>
      <c r="AE3" s="48">
        <f t="shared" si="6"/>
        <v>617</v>
      </c>
      <c r="AF3" s="48">
        <f t="shared" si="6"/>
        <v>645</v>
      </c>
      <c r="AG3" s="48">
        <f t="shared" si="6"/>
        <v>673</v>
      </c>
      <c r="AH3" s="48">
        <f t="shared" si="6"/>
        <v>701</v>
      </c>
      <c r="AI3" s="48">
        <f t="shared" si="6"/>
        <v>729</v>
      </c>
      <c r="AJ3" s="48">
        <f t="shared" si="6"/>
        <v>757</v>
      </c>
      <c r="AK3" s="48">
        <f t="shared" si="6"/>
        <v>785</v>
      </c>
      <c r="AL3" s="48">
        <f t="shared" si="6"/>
        <v>813</v>
      </c>
      <c r="AM3" s="48">
        <f t="shared" si="6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si="1"/>
        <v>135</v>
      </c>
      <c r="H4" s="61">
        <f t="shared" si="2"/>
        <v>166</v>
      </c>
      <c r="I4" s="61">
        <f t="shared" si="3"/>
        <v>166</v>
      </c>
      <c r="J4" s="48">
        <f t="shared" si="4"/>
        <v>21</v>
      </c>
      <c r="K4" s="48">
        <f t="shared" si="4"/>
        <v>68</v>
      </c>
      <c r="L4" s="48">
        <f t="shared" si="4"/>
        <v>115</v>
      </c>
      <c r="M4" s="48">
        <f t="shared" si="4"/>
        <v>162</v>
      </c>
      <c r="N4" s="48">
        <f t="shared" si="4"/>
        <v>209</v>
      </c>
      <c r="O4" s="48">
        <f t="shared" si="4"/>
        <v>256</v>
      </c>
      <c r="P4" s="48">
        <f t="shared" si="4"/>
        <v>303</v>
      </c>
      <c r="Q4" s="48">
        <f t="shared" si="4"/>
        <v>349</v>
      </c>
      <c r="R4" s="48">
        <f t="shared" si="4"/>
        <v>396</v>
      </c>
      <c r="S4" s="48">
        <f t="shared" si="4"/>
        <v>443</v>
      </c>
      <c r="T4" s="48">
        <f t="shared" si="5"/>
        <v>487</v>
      </c>
      <c r="U4" s="48">
        <f t="shared" si="5"/>
        <v>532</v>
      </c>
      <c r="V4" s="48">
        <f t="shared" si="5"/>
        <v>576</v>
      </c>
      <c r="W4" s="48">
        <f t="shared" si="5"/>
        <v>620</v>
      </c>
      <c r="X4" s="48">
        <f t="shared" si="5"/>
        <v>665</v>
      </c>
      <c r="Y4" s="48">
        <f t="shared" si="5"/>
        <v>709</v>
      </c>
      <c r="Z4" s="48">
        <f t="shared" si="5"/>
        <v>753</v>
      </c>
      <c r="AA4" s="48">
        <f t="shared" si="5"/>
        <v>798</v>
      </c>
      <c r="AB4" s="48">
        <f t="shared" si="5"/>
        <v>842</v>
      </c>
      <c r="AC4" s="48">
        <f t="shared" si="5"/>
        <v>886</v>
      </c>
      <c r="AD4" s="48">
        <f t="shared" si="6"/>
        <v>931</v>
      </c>
      <c r="AE4" s="48">
        <f t="shared" si="6"/>
        <v>975</v>
      </c>
      <c r="AF4" s="48">
        <f t="shared" si="6"/>
        <v>1019</v>
      </c>
      <c r="AG4" s="48">
        <f t="shared" si="6"/>
        <v>1064</v>
      </c>
      <c r="AH4" s="48">
        <f t="shared" si="6"/>
        <v>1108</v>
      </c>
      <c r="AI4" s="48">
        <f t="shared" si="6"/>
        <v>1153</v>
      </c>
      <c r="AJ4" s="48">
        <f t="shared" si="6"/>
        <v>1197</v>
      </c>
      <c r="AK4" s="48">
        <f t="shared" si="6"/>
        <v>1241</v>
      </c>
      <c r="AL4" s="48">
        <f t="shared" si="6"/>
        <v>1286</v>
      </c>
      <c r="AM4" s="48">
        <f t="shared" si="6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1"/>
        <v>175</v>
      </c>
      <c r="H5" s="61">
        <f t="shared" si="2"/>
        <v>213</v>
      </c>
      <c r="I5" s="61">
        <f t="shared" si="3"/>
        <v>213</v>
      </c>
      <c r="J5" s="48">
        <f t="shared" si="4"/>
        <v>36</v>
      </c>
      <c r="K5" s="48">
        <f t="shared" si="4"/>
        <v>113</v>
      </c>
      <c r="L5" s="48">
        <f t="shared" si="4"/>
        <v>191</v>
      </c>
      <c r="M5" s="48">
        <f t="shared" si="4"/>
        <v>268</v>
      </c>
      <c r="N5" s="48">
        <f t="shared" si="4"/>
        <v>346</v>
      </c>
      <c r="O5" s="48">
        <f t="shared" si="4"/>
        <v>423</v>
      </c>
      <c r="P5" s="48">
        <f t="shared" si="4"/>
        <v>501</v>
      </c>
      <c r="Q5" s="48">
        <f t="shared" si="4"/>
        <v>579</v>
      </c>
      <c r="R5" s="48">
        <f t="shared" si="4"/>
        <v>656</v>
      </c>
      <c r="S5" s="48">
        <f t="shared" si="4"/>
        <v>734</v>
      </c>
      <c r="T5" s="48">
        <f t="shared" si="5"/>
        <v>807</v>
      </c>
      <c r="U5" s="48">
        <f t="shared" si="5"/>
        <v>880</v>
      </c>
      <c r="V5" s="48">
        <f t="shared" si="5"/>
        <v>954</v>
      </c>
      <c r="W5" s="48">
        <f t="shared" si="5"/>
        <v>1027</v>
      </c>
      <c r="X5" s="48">
        <f t="shared" si="5"/>
        <v>1100</v>
      </c>
      <c r="Y5" s="48">
        <f t="shared" si="5"/>
        <v>1174</v>
      </c>
      <c r="Z5" s="48">
        <f t="shared" si="5"/>
        <v>1247</v>
      </c>
      <c r="AA5" s="48">
        <f t="shared" si="5"/>
        <v>1320</v>
      </c>
      <c r="AB5" s="48">
        <f t="shared" si="5"/>
        <v>1394</v>
      </c>
      <c r="AC5" s="48">
        <f t="shared" si="5"/>
        <v>1467</v>
      </c>
      <c r="AD5" s="48">
        <f t="shared" si="6"/>
        <v>1541</v>
      </c>
      <c r="AE5" s="48">
        <f t="shared" si="6"/>
        <v>1614</v>
      </c>
      <c r="AF5" s="48">
        <f t="shared" si="6"/>
        <v>1687</v>
      </c>
      <c r="AG5" s="48">
        <f t="shared" si="6"/>
        <v>1761</v>
      </c>
      <c r="AH5" s="48">
        <f t="shared" si="6"/>
        <v>1834</v>
      </c>
      <c r="AI5" s="48">
        <f t="shared" si="6"/>
        <v>1908</v>
      </c>
      <c r="AJ5" s="48">
        <f t="shared" si="6"/>
        <v>1981</v>
      </c>
      <c r="AK5" s="48">
        <f t="shared" si="6"/>
        <v>2054</v>
      </c>
      <c r="AL5" s="48">
        <f t="shared" si="6"/>
        <v>2128</v>
      </c>
      <c r="AM5" s="48">
        <f t="shared" si="6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1"/>
        <v>93</v>
      </c>
      <c r="H6" s="61">
        <f t="shared" si="2"/>
        <v>131</v>
      </c>
      <c r="I6" s="61">
        <f t="shared" si="3"/>
        <v>111</v>
      </c>
      <c r="J6" s="48">
        <f t="shared" si="4"/>
        <v>11</v>
      </c>
      <c r="K6" s="48">
        <f t="shared" si="4"/>
        <v>36</v>
      </c>
      <c r="L6" s="48">
        <f t="shared" si="4"/>
        <v>61</v>
      </c>
      <c r="M6" s="48">
        <f t="shared" si="4"/>
        <v>87</v>
      </c>
      <c r="N6" s="48">
        <f t="shared" si="4"/>
        <v>112</v>
      </c>
      <c r="O6" s="48">
        <f t="shared" si="4"/>
        <v>137</v>
      </c>
      <c r="P6" s="48">
        <f t="shared" si="4"/>
        <v>162</v>
      </c>
      <c r="Q6" s="48">
        <f t="shared" si="4"/>
        <v>187</v>
      </c>
      <c r="R6" s="48">
        <f t="shared" si="4"/>
        <v>212</v>
      </c>
      <c r="S6" s="48">
        <f t="shared" si="4"/>
        <v>237</v>
      </c>
      <c r="T6" s="48">
        <f t="shared" si="5"/>
        <v>261</v>
      </c>
      <c r="U6" s="48">
        <f t="shared" si="5"/>
        <v>285</v>
      </c>
      <c r="V6" s="48">
        <f t="shared" si="5"/>
        <v>308</v>
      </c>
      <c r="W6" s="48">
        <f t="shared" si="5"/>
        <v>332</v>
      </c>
      <c r="X6" s="48">
        <f t="shared" si="5"/>
        <v>356</v>
      </c>
      <c r="Y6" s="48">
        <f t="shared" si="5"/>
        <v>380</v>
      </c>
      <c r="Z6" s="48">
        <f t="shared" si="5"/>
        <v>403</v>
      </c>
      <c r="AA6" s="48">
        <f t="shared" si="5"/>
        <v>427</v>
      </c>
      <c r="AB6" s="48">
        <f t="shared" si="5"/>
        <v>451</v>
      </c>
      <c r="AC6" s="48">
        <f t="shared" si="5"/>
        <v>475</v>
      </c>
      <c r="AD6" s="48">
        <f t="shared" si="6"/>
        <v>498</v>
      </c>
      <c r="AE6" s="48">
        <f t="shared" si="6"/>
        <v>522</v>
      </c>
      <c r="AF6" s="48">
        <f t="shared" si="6"/>
        <v>546</v>
      </c>
      <c r="AG6" s="48">
        <f t="shared" si="6"/>
        <v>570</v>
      </c>
      <c r="AH6" s="48">
        <f t="shared" si="6"/>
        <v>593</v>
      </c>
      <c r="AI6" s="48">
        <f t="shared" si="6"/>
        <v>617</v>
      </c>
      <c r="AJ6" s="48">
        <f t="shared" si="6"/>
        <v>641</v>
      </c>
      <c r="AK6" s="48">
        <f t="shared" si="6"/>
        <v>665</v>
      </c>
      <c r="AL6" s="48">
        <f t="shared" si="6"/>
        <v>688</v>
      </c>
      <c r="AM6" s="48">
        <f t="shared" si="6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1"/>
        <v>131</v>
      </c>
      <c r="H7" s="61">
        <f t="shared" si="2"/>
        <v>173</v>
      </c>
      <c r="I7" s="61">
        <f t="shared" si="3"/>
        <v>144</v>
      </c>
      <c r="J7" s="48">
        <f t="shared" si="4"/>
        <v>20</v>
      </c>
      <c r="K7" s="48">
        <f t="shared" si="4"/>
        <v>65</v>
      </c>
      <c r="L7" s="48">
        <f t="shared" si="4"/>
        <v>110</v>
      </c>
      <c r="M7" s="48">
        <f t="shared" si="4"/>
        <v>155</v>
      </c>
      <c r="N7" s="48">
        <f t="shared" si="4"/>
        <v>200</v>
      </c>
      <c r="O7" s="48">
        <f t="shared" si="4"/>
        <v>244</v>
      </c>
      <c r="P7" s="48">
        <f t="shared" si="4"/>
        <v>289</v>
      </c>
      <c r="Q7" s="48">
        <f t="shared" si="4"/>
        <v>334</v>
      </c>
      <c r="R7" s="48">
        <f t="shared" si="4"/>
        <v>379</v>
      </c>
      <c r="S7" s="48">
        <f t="shared" si="4"/>
        <v>424</v>
      </c>
      <c r="T7" s="48">
        <f t="shared" si="5"/>
        <v>466</v>
      </c>
      <c r="U7" s="48">
        <f t="shared" si="5"/>
        <v>508</v>
      </c>
      <c r="V7" s="48">
        <f t="shared" si="5"/>
        <v>551</v>
      </c>
      <c r="W7" s="48">
        <f t="shared" si="5"/>
        <v>593</v>
      </c>
      <c r="X7" s="48">
        <f t="shared" si="5"/>
        <v>636</v>
      </c>
      <c r="Y7" s="48">
        <f t="shared" si="5"/>
        <v>678</v>
      </c>
      <c r="Z7" s="48">
        <f t="shared" si="5"/>
        <v>720</v>
      </c>
      <c r="AA7" s="48">
        <f t="shared" si="5"/>
        <v>763</v>
      </c>
      <c r="AB7" s="48">
        <f t="shared" si="5"/>
        <v>805</v>
      </c>
      <c r="AC7" s="48">
        <f t="shared" si="5"/>
        <v>847</v>
      </c>
      <c r="AD7" s="48">
        <f t="shared" si="6"/>
        <v>890</v>
      </c>
      <c r="AE7" s="48">
        <f t="shared" si="6"/>
        <v>932</v>
      </c>
      <c r="AF7" s="48">
        <f t="shared" si="6"/>
        <v>975</v>
      </c>
      <c r="AG7" s="48">
        <f t="shared" si="6"/>
        <v>1017</v>
      </c>
      <c r="AH7" s="48">
        <f t="shared" si="6"/>
        <v>1060</v>
      </c>
      <c r="AI7" s="48">
        <f t="shared" si="6"/>
        <v>1102</v>
      </c>
      <c r="AJ7" s="48">
        <f t="shared" si="6"/>
        <v>1144</v>
      </c>
      <c r="AK7" s="48">
        <f t="shared" si="6"/>
        <v>1187</v>
      </c>
      <c r="AL7" s="48">
        <f t="shared" si="6"/>
        <v>1229</v>
      </c>
      <c r="AM7" s="48">
        <f t="shared" si="6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1"/>
        <v>171</v>
      </c>
      <c r="H8" s="61">
        <f t="shared" si="2"/>
        <v>238</v>
      </c>
      <c r="I8" s="61">
        <f t="shared" si="3"/>
        <v>191</v>
      </c>
      <c r="J8" s="48">
        <f t="shared" si="4"/>
        <v>38</v>
      </c>
      <c r="K8" s="48">
        <f t="shared" si="4"/>
        <v>119</v>
      </c>
      <c r="L8" s="48">
        <f t="shared" si="4"/>
        <v>200</v>
      </c>
      <c r="M8" s="48">
        <f t="shared" si="4"/>
        <v>281</v>
      </c>
      <c r="N8" s="48">
        <f t="shared" si="4"/>
        <v>362</v>
      </c>
      <c r="O8" s="48">
        <f t="shared" si="4"/>
        <v>443</v>
      </c>
      <c r="P8" s="48">
        <f t="shared" si="4"/>
        <v>524</v>
      </c>
      <c r="Q8" s="48">
        <f t="shared" si="4"/>
        <v>605</v>
      </c>
      <c r="R8" s="48">
        <f t="shared" si="4"/>
        <v>686</v>
      </c>
      <c r="S8" s="48">
        <f t="shared" si="4"/>
        <v>767</v>
      </c>
      <c r="T8" s="48">
        <f t="shared" si="5"/>
        <v>844</v>
      </c>
      <c r="U8" s="48">
        <f t="shared" si="5"/>
        <v>921</v>
      </c>
      <c r="V8" s="48">
        <f t="shared" si="5"/>
        <v>997</v>
      </c>
      <c r="W8" s="48">
        <f t="shared" si="5"/>
        <v>1074</v>
      </c>
      <c r="X8" s="48">
        <f t="shared" si="5"/>
        <v>1151</v>
      </c>
      <c r="Y8" s="48">
        <f t="shared" si="5"/>
        <v>1228</v>
      </c>
      <c r="Z8" s="48">
        <f t="shared" si="5"/>
        <v>1304</v>
      </c>
      <c r="AA8" s="48">
        <f t="shared" si="5"/>
        <v>1381</v>
      </c>
      <c r="AB8" s="48">
        <f t="shared" si="5"/>
        <v>1458</v>
      </c>
      <c r="AC8" s="48">
        <f t="shared" si="5"/>
        <v>1535</v>
      </c>
      <c r="AD8" s="48">
        <f t="shared" si="6"/>
        <v>1611</v>
      </c>
      <c r="AE8" s="48">
        <f t="shared" si="6"/>
        <v>1688</v>
      </c>
      <c r="AF8" s="48">
        <f t="shared" si="6"/>
        <v>1765</v>
      </c>
      <c r="AG8" s="48">
        <f t="shared" si="6"/>
        <v>1842</v>
      </c>
      <c r="AH8" s="48">
        <f t="shared" si="6"/>
        <v>1918</v>
      </c>
      <c r="AI8" s="48">
        <f t="shared" si="6"/>
        <v>1995</v>
      </c>
      <c r="AJ8" s="48">
        <f t="shared" si="6"/>
        <v>2072</v>
      </c>
      <c r="AK8" s="48">
        <f t="shared" si="6"/>
        <v>2149</v>
      </c>
      <c r="AL8" s="48">
        <f t="shared" si="6"/>
        <v>2226</v>
      </c>
      <c r="AM8" s="48">
        <f t="shared" si="6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1"/>
        <v>103</v>
      </c>
      <c r="H9" s="61">
        <f t="shared" si="2"/>
        <v>109</v>
      </c>
      <c r="I9" s="61">
        <f t="shared" si="3"/>
        <v>137</v>
      </c>
      <c r="J9" s="48">
        <f t="shared" si="4"/>
        <v>11</v>
      </c>
      <c r="K9" s="48">
        <f t="shared" si="4"/>
        <v>35</v>
      </c>
      <c r="L9" s="48">
        <f t="shared" si="4"/>
        <v>60</v>
      </c>
      <c r="M9" s="48">
        <f t="shared" si="4"/>
        <v>84</v>
      </c>
      <c r="N9" s="48">
        <f t="shared" si="4"/>
        <v>109</v>
      </c>
      <c r="O9" s="48">
        <f t="shared" si="4"/>
        <v>133</v>
      </c>
      <c r="P9" s="48">
        <f t="shared" si="4"/>
        <v>157</v>
      </c>
      <c r="Q9" s="48">
        <f t="shared" si="4"/>
        <v>182</v>
      </c>
      <c r="R9" s="48">
        <f t="shared" si="4"/>
        <v>206</v>
      </c>
      <c r="S9" s="48">
        <f t="shared" si="4"/>
        <v>231</v>
      </c>
      <c r="T9" s="48">
        <f t="shared" si="5"/>
        <v>254</v>
      </c>
      <c r="U9" s="48">
        <f t="shared" si="5"/>
        <v>277</v>
      </c>
      <c r="V9" s="48">
        <f t="shared" si="5"/>
        <v>300</v>
      </c>
      <c r="W9" s="48">
        <f t="shared" si="5"/>
        <v>323</v>
      </c>
      <c r="X9" s="48">
        <f t="shared" si="5"/>
        <v>346</v>
      </c>
      <c r="Y9" s="48">
        <f t="shared" si="5"/>
        <v>369</v>
      </c>
      <c r="Z9" s="48">
        <f t="shared" si="5"/>
        <v>392</v>
      </c>
      <c r="AA9" s="48">
        <f t="shared" si="5"/>
        <v>415</v>
      </c>
      <c r="AB9" s="48">
        <f t="shared" si="5"/>
        <v>439</v>
      </c>
      <c r="AC9" s="48">
        <f t="shared" si="5"/>
        <v>462</v>
      </c>
      <c r="AD9" s="48">
        <f t="shared" si="6"/>
        <v>485</v>
      </c>
      <c r="AE9" s="48">
        <f t="shared" si="6"/>
        <v>508</v>
      </c>
      <c r="AF9" s="48">
        <f t="shared" si="6"/>
        <v>531</v>
      </c>
      <c r="AG9" s="48">
        <f t="shared" si="6"/>
        <v>554</v>
      </c>
      <c r="AH9" s="48">
        <f t="shared" si="6"/>
        <v>577</v>
      </c>
      <c r="AI9" s="48">
        <f t="shared" si="6"/>
        <v>600</v>
      </c>
      <c r="AJ9" s="48">
        <f t="shared" si="6"/>
        <v>623</v>
      </c>
      <c r="AK9" s="48">
        <f t="shared" si="6"/>
        <v>646</v>
      </c>
      <c r="AL9" s="48">
        <f t="shared" si="6"/>
        <v>670</v>
      </c>
      <c r="AM9" s="48">
        <f t="shared" si="6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1"/>
        <v>133</v>
      </c>
      <c r="H10" s="61">
        <f t="shared" si="2"/>
        <v>141</v>
      </c>
      <c r="I10" s="61">
        <f t="shared" si="3"/>
        <v>170</v>
      </c>
      <c r="J10" s="48">
        <f t="shared" si="4"/>
        <v>18</v>
      </c>
      <c r="K10" s="48">
        <f t="shared" si="4"/>
        <v>58</v>
      </c>
      <c r="L10" s="48">
        <f t="shared" si="4"/>
        <v>98</v>
      </c>
      <c r="M10" s="48">
        <f t="shared" si="4"/>
        <v>138</v>
      </c>
      <c r="N10" s="48">
        <f t="shared" si="4"/>
        <v>178</v>
      </c>
      <c r="O10" s="48">
        <f t="shared" si="4"/>
        <v>218</v>
      </c>
      <c r="P10" s="48">
        <f t="shared" si="4"/>
        <v>258</v>
      </c>
      <c r="Q10" s="48">
        <f t="shared" si="4"/>
        <v>298</v>
      </c>
      <c r="R10" s="48">
        <f t="shared" si="4"/>
        <v>338</v>
      </c>
      <c r="S10" s="48">
        <f t="shared" si="4"/>
        <v>378</v>
      </c>
      <c r="T10" s="48">
        <f t="shared" si="5"/>
        <v>416</v>
      </c>
      <c r="U10" s="48">
        <f t="shared" si="5"/>
        <v>454</v>
      </c>
      <c r="V10" s="48">
        <f t="shared" si="5"/>
        <v>491</v>
      </c>
      <c r="W10" s="48">
        <f t="shared" si="5"/>
        <v>529</v>
      </c>
      <c r="X10" s="48">
        <f t="shared" si="5"/>
        <v>567</v>
      </c>
      <c r="Y10" s="48">
        <f t="shared" si="5"/>
        <v>605</v>
      </c>
      <c r="Z10" s="48">
        <f t="shared" si="5"/>
        <v>643</v>
      </c>
      <c r="AA10" s="48">
        <f t="shared" si="5"/>
        <v>681</v>
      </c>
      <c r="AB10" s="48">
        <f t="shared" si="5"/>
        <v>718</v>
      </c>
      <c r="AC10" s="48">
        <f t="shared" si="5"/>
        <v>756</v>
      </c>
      <c r="AD10" s="48">
        <f t="shared" si="6"/>
        <v>794</v>
      </c>
      <c r="AE10" s="48">
        <f t="shared" si="6"/>
        <v>832</v>
      </c>
      <c r="AF10" s="48">
        <f t="shared" si="6"/>
        <v>870</v>
      </c>
      <c r="AG10" s="48">
        <f t="shared" si="6"/>
        <v>908</v>
      </c>
      <c r="AH10" s="48">
        <f t="shared" si="6"/>
        <v>945</v>
      </c>
      <c r="AI10" s="48">
        <f t="shared" si="6"/>
        <v>983</v>
      </c>
      <c r="AJ10" s="48">
        <f t="shared" si="6"/>
        <v>1021</v>
      </c>
      <c r="AK10" s="48">
        <f t="shared" si="6"/>
        <v>1059</v>
      </c>
      <c r="AL10" s="48">
        <f t="shared" si="6"/>
        <v>1097</v>
      </c>
      <c r="AM10" s="48">
        <f t="shared" si="6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1"/>
        <v>173</v>
      </c>
      <c r="H11" s="61">
        <f t="shared" si="2"/>
        <v>186</v>
      </c>
      <c r="I11" s="61">
        <f t="shared" si="3"/>
        <v>225</v>
      </c>
      <c r="J11" s="48">
        <f t="shared" si="4"/>
        <v>32</v>
      </c>
      <c r="K11" s="48">
        <f t="shared" si="4"/>
        <v>101</v>
      </c>
      <c r="L11" s="48">
        <f t="shared" si="4"/>
        <v>170</v>
      </c>
      <c r="M11" s="48">
        <f t="shared" si="4"/>
        <v>239</v>
      </c>
      <c r="N11" s="48">
        <f t="shared" si="4"/>
        <v>309</v>
      </c>
      <c r="O11" s="48">
        <f t="shared" si="4"/>
        <v>378</v>
      </c>
      <c r="P11" s="48">
        <f t="shared" si="4"/>
        <v>447</v>
      </c>
      <c r="Q11" s="48">
        <f t="shared" si="4"/>
        <v>516</v>
      </c>
      <c r="R11" s="48">
        <f t="shared" si="4"/>
        <v>585</v>
      </c>
      <c r="S11" s="48">
        <f t="shared" si="4"/>
        <v>655</v>
      </c>
      <c r="T11" s="48">
        <f t="shared" si="5"/>
        <v>720</v>
      </c>
      <c r="U11" s="48">
        <f t="shared" si="5"/>
        <v>785</v>
      </c>
      <c r="V11" s="48">
        <f t="shared" si="5"/>
        <v>851</v>
      </c>
      <c r="W11" s="48">
        <f t="shared" si="5"/>
        <v>916</v>
      </c>
      <c r="X11" s="48">
        <f t="shared" si="5"/>
        <v>982</v>
      </c>
      <c r="Y11" s="48">
        <f t="shared" si="5"/>
        <v>1047</v>
      </c>
      <c r="Z11" s="48">
        <f t="shared" si="5"/>
        <v>1113</v>
      </c>
      <c r="AA11" s="48">
        <f t="shared" si="5"/>
        <v>1178</v>
      </c>
      <c r="AB11" s="48">
        <f t="shared" si="5"/>
        <v>1244</v>
      </c>
      <c r="AC11" s="48">
        <f t="shared" si="5"/>
        <v>1309</v>
      </c>
      <c r="AD11" s="48">
        <f t="shared" si="6"/>
        <v>1375</v>
      </c>
      <c r="AE11" s="48">
        <f t="shared" si="6"/>
        <v>1440</v>
      </c>
      <c r="AF11" s="48">
        <f t="shared" si="6"/>
        <v>1506</v>
      </c>
      <c r="AG11" s="48">
        <f t="shared" si="6"/>
        <v>1571</v>
      </c>
      <c r="AH11" s="48">
        <f t="shared" si="6"/>
        <v>1637</v>
      </c>
      <c r="AI11" s="48">
        <f t="shared" si="6"/>
        <v>1702</v>
      </c>
      <c r="AJ11" s="48">
        <f t="shared" si="6"/>
        <v>1768</v>
      </c>
      <c r="AK11" s="48">
        <f t="shared" si="6"/>
        <v>1833</v>
      </c>
      <c r="AL11" s="48">
        <f t="shared" si="6"/>
        <v>1899</v>
      </c>
      <c r="AM11" s="48">
        <f t="shared" si="6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1"/>
        <v>105</v>
      </c>
      <c r="H12" s="61">
        <f t="shared" si="2"/>
        <v>70</v>
      </c>
      <c r="I12" s="61">
        <f t="shared" si="3"/>
        <v>77</v>
      </c>
      <c r="J12" s="48">
        <f t="shared" si="4"/>
        <v>10</v>
      </c>
      <c r="K12" s="48">
        <f t="shared" si="4"/>
        <v>17</v>
      </c>
      <c r="L12" s="48">
        <f t="shared" si="4"/>
        <v>29</v>
      </c>
      <c r="M12" s="48">
        <f t="shared" si="4"/>
        <v>41</v>
      </c>
      <c r="N12" s="48">
        <f t="shared" si="4"/>
        <v>53</v>
      </c>
      <c r="O12" s="48">
        <f t="shared" si="4"/>
        <v>64</v>
      </c>
      <c r="P12" s="48">
        <f t="shared" si="4"/>
        <v>76</v>
      </c>
      <c r="Q12" s="48">
        <f t="shared" si="4"/>
        <v>88</v>
      </c>
      <c r="R12" s="48">
        <f t="shared" si="4"/>
        <v>100</v>
      </c>
      <c r="S12" s="48">
        <f t="shared" si="4"/>
        <v>112</v>
      </c>
      <c r="T12" s="48">
        <f t="shared" si="5"/>
        <v>123</v>
      </c>
      <c r="U12" s="48">
        <f t="shared" si="5"/>
        <v>134</v>
      </c>
      <c r="V12" s="48">
        <f t="shared" si="5"/>
        <v>146</v>
      </c>
      <c r="W12" s="48">
        <f t="shared" si="5"/>
        <v>157</v>
      </c>
      <c r="X12" s="48">
        <f t="shared" si="5"/>
        <v>168</v>
      </c>
      <c r="Y12" s="48">
        <f t="shared" si="5"/>
        <v>179</v>
      </c>
      <c r="Z12" s="48">
        <f t="shared" si="5"/>
        <v>190</v>
      </c>
      <c r="AA12" s="48">
        <f t="shared" si="5"/>
        <v>202</v>
      </c>
      <c r="AB12" s="48">
        <f t="shared" si="5"/>
        <v>213</v>
      </c>
      <c r="AC12" s="48">
        <f t="shared" si="5"/>
        <v>224</v>
      </c>
      <c r="AD12" s="48">
        <f t="shared" si="6"/>
        <v>235</v>
      </c>
      <c r="AE12" s="48">
        <f t="shared" si="6"/>
        <v>247</v>
      </c>
      <c r="AF12" s="48">
        <f t="shared" si="6"/>
        <v>258</v>
      </c>
      <c r="AG12" s="48">
        <f t="shared" si="6"/>
        <v>269</v>
      </c>
      <c r="AH12" s="48">
        <f t="shared" si="6"/>
        <v>280</v>
      </c>
      <c r="AI12" s="48">
        <f t="shared" si="6"/>
        <v>292</v>
      </c>
      <c r="AJ12" s="48">
        <f t="shared" si="6"/>
        <v>303</v>
      </c>
      <c r="AK12" s="48">
        <f t="shared" si="6"/>
        <v>314</v>
      </c>
      <c r="AL12" s="48">
        <f t="shared" si="6"/>
        <v>325</v>
      </c>
      <c r="AM12" s="48">
        <f t="shared" si="6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1"/>
        <v>115</v>
      </c>
      <c r="H13" s="61">
        <f t="shared" si="2"/>
        <v>60</v>
      </c>
      <c r="I13" s="61">
        <f t="shared" si="3"/>
        <v>109</v>
      </c>
      <c r="J13" s="48">
        <f t="shared" ref="J13:S22" si="7">MAX(10,INT(SQRT($G13*$I13)*$H13*J$1^2/10))</f>
        <v>10</v>
      </c>
      <c r="K13" s="48">
        <f t="shared" si="7"/>
        <v>18</v>
      </c>
      <c r="L13" s="48">
        <f t="shared" si="7"/>
        <v>31</v>
      </c>
      <c r="M13" s="48">
        <f t="shared" si="7"/>
        <v>43</v>
      </c>
      <c r="N13" s="48">
        <f t="shared" si="7"/>
        <v>56</v>
      </c>
      <c r="O13" s="48">
        <f t="shared" si="7"/>
        <v>69</v>
      </c>
      <c r="P13" s="48">
        <f t="shared" si="7"/>
        <v>81</v>
      </c>
      <c r="Q13" s="48">
        <f t="shared" si="7"/>
        <v>94</v>
      </c>
      <c r="R13" s="48">
        <f t="shared" si="7"/>
        <v>107</v>
      </c>
      <c r="S13" s="48">
        <f t="shared" si="7"/>
        <v>119</v>
      </c>
      <c r="T13" s="48">
        <f t="shared" ref="T13:AC22" si="8">MAX(10,INT(SQRT($G13*$I13)*$H13*T$1^2/10))</f>
        <v>131</v>
      </c>
      <c r="U13" s="48">
        <f t="shared" si="8"/>
        <v>143</v>
      </c>
      <c r="V13" s="48">
        <f t="shared" si="8"/>
        <v>155</v>
      </c>
      <c r="W13" s="48">
        <f t="shared" si="8"/>
        <v>167</v>
      </c>
      <c r="X13" s="48">
        <f t="shared" si="8"/>
        <v>179</v>
      </c>
      <c r="Y13" s="48">
        <f t="shared" si="8"/>
        <v>191</v>
      </c>
      <c r="Z13" s="48">
        <f t="shared" si="8"/>
        <v>203</v>
      </c>
      <c r="AA13" s="48">
        <f t="shared" si="8"/>
        <v>215</v>
      </c>
      <c r="AB13" s="48">
        <f t="shared" si="8"/>
        <v>227</v>
      </c>
      <c r="AC13" s="48">
        <f t="shared" si="8"/>
        <v>239</v>
      </c>
      <c r="AD13" s="48">
        <f t="shared" ref="AD13:AM22" si="9">MAX(10,INT(SQRT($G13*$I13)*$H13*AD$1^2/10))</f>
        <v>251</v>
      </c>
      <c r="AE13" s="48">
        <f t="shared" si="9"/>
        <v>263</v>
      </c>
      <c r="AF13" s="48">
        <f t="shared" si="9"/>
        <v>275</v>
      </c>
      <c r="AG13" s="48">
        <f t="shared" si="9"/>
        <v>287</v>
      </c>
      <c r="AH13" s="48">
        <f t="shared" si="9"/>
        <v>299</v>
      </c>
      <c r="AI13" s="48">
        <f t="shared" si="9"/>
        <v>311</v>
      </c>
      <c r="AJ13" s="48">
        <f t="shared" si="9"/>
        <v>323</v>
      </c>
      <c r="AK13" s="48">
        <f t="shared" si="9"/>
        <v>335</v>
      </c>
      <c r="AL13" s="48">
        <f t="shared" si="9"/>
        <v>347</v>
      </c>
      <c r="AM13" s="48">
        <f t="shared" si="9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1"/>
        <v>135</v>
      </c>
      <c r="H14" s="61">
        <f t="shared" si="2"/>
        <v>182</v>
      </c>
      <c r="I14" s="61">
        <f t="shared" si="3"/>
        <v>166</v>
      </c>
      <c r="J14" s="48">
        <f t="shared" si="7"/>
        <v>24</v>
      </c>
      <c r="K14" s="48">
        <f t="shared" si="7"/>
        <v>75</v>
      </c>
      <c r="L14" s="48">
        <f t="shared" si="7"/>
        <v>126</v>
      </c>
      <c r="M14" s="48">
        <f t="shared" si="7"/>
        <v>178</v>
      </c>
      <c r="N14" s="48">
        <f t="shared" si="7"/>
        <v>229</v>
      </c>
      <c r="O14" s="48">
        <f t="shared" si="7"/>
        <v>280</v>
      </c>
      <c r="P14" s="48">
        <f t="shared" si="7"/>
        <v>332</v>
      </c>
      <c r="Q14" s="48">
        <f t="shared" si="7"/>
        <v>383</v>
      </c>
      <c r="R14" s="48">
        <f t="shared" si="7"/>
        <v>434</v>
      </c>
      <c r="S14" s="48">
        <f t="shared" si="7"/>
        <v>486</v>
      </c>
      <c r="T14" s="48">
        <f t="shared" si="8"/>
        <v>534</v>
      </c>
      <c r="U14" s="48">
        <f t="shared" si="8"/>
        <v>583</v>
      </c>
      <c r="V14" s="48">
        <f t="shared" si="8"/>
        <v>632</v>
      </c>
      <c r="W14" s="48">
        <f t="shared" si="8"/>
        <v>680</v>
      </c>
      <c r="X14" s="48">
        <f t="shared" si="8"/>
        <v>729</v>
      </c>
      <c r="Y14" s="48">
        <f t="shared" si="8"/>
        <v>777</v>
      </c>
      <c r="Z14" s="48">
        <f t="shared" si="8"/>
        <v>826</v>
      </c>
      <c r="AA14" s="48">
        <f t="shared" si="8"/>
        <v>875</v>
      </c>
      <c r="AB14" s="48">
        <f t="shared" si="8"/>
        <v>923</v>
      </c>
      <c r="AC14" s="48">
        <f t="shared" si="8"/>
        <v>972</v>
      </c>
      <c r="AD14" s="48">
        <f t="shared" si="9"/>
        <v>1020</v>
      </c>
      <c r="AE14" s="48">
        <f t="shared" si="9"/>
        <v>1069</v>
      </c>
      <c r="AF14" s="48">
        <f t="shared" si="9"/>
        <v>1118</v>
      </c>
      <c r="AG14" s="48">
        <f t="shared" si="9"/>
        <v>1166</v>
      </c>
      <c r="AH14" s="48">
        <f t="shared" si="9"/>
        <v>1215</v>
      </c>
      <c r="AI14" s="48">
        <f t="shared" si="9"/>
        <v>1264</v>
      </c>
      <c r="AJ14" s="48">
        <f t="shared" si="9"/>
        <v>1312</v>
      </c>
      <c r="AK14" s="48">
        <f t="shared" si="9"/>
        <v>1361</v>
      </c>
      <c r="AL14" s="48">
        <f t="shared" si="9"/>
        <v>1410</v>
      </c>
      <c r="AM14" s="48">
        <f t="shared" si="9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1"/>
        <v>95</v>
      </c>
      <c r="H15" s="61">
        <f t="shared" si="2"/>
        <v>78</v>
      </c>
      <c r="I15" s="61">
        <f t="shared" si="3"/>
        <v>70</v>
      </c>
      <c r="J15" s="48">
        <f t="shared" si="7"/>
        <v>10</v>
      </c>
      <c r="K15" s="48">
        <f t="shared" si="7"/>
        <v>17</v>
      </c>
      <c r="L15" s="48">
        <f t="shared" si="7"/>
        <v>29</v>
      </c>
      <c r="M15" s="48">
        <f t="shared" si="7"/>
        <v>41</v>
      </c>
      <c r="N15" s="48">
        <f t="shared" si="7"/>
        <v>53</v>
      </c>
      <c r="O15" s="48">
        <f t="shared" si="7"/>
        <v>65</v>
      </c>
      <c r="P15" s="48">
        <f t="shared" si="7"/>
        <v>77</v>
      </c>
      <c r="Q15" s="48">
        <f t="shared" si="7"/>
        <v>89</v>
      </c>
      <c r="R15" s="48">
        <f t="shared" si="7"/>
        <v>101</v>
      </c>
      <c r="S15" s="48">
        <f t="shared" si="7"/>
        <v>113</v>
      </c>
      <c r="T15" s="48">
        <f t="shared" si="8"/>
        <v>124</v>
      </c>
      <c r="U15" s="48">
        <f t="shared" si="8"/>
        <v>136</v>
      </c>
      <c r="V15" s="48">
        <f t="shared" si="8"/>
        <v>147</v>
      </c>
      <c r="W15" s="48">
        <f t="shared" si="8"/>
        <v>158</v>
      </c>
      <c r="X15" s="48">
        <f t="shared" si="8"/>
        <v>170</v>
      </c>
      <c r="Y15" s="48">
        <f t="shared" si="8"/>
        <v>181</v>
      </c>
      <c r="Z15" s="48">
        <f t="shared" si="8"/>
        <v>192</v>
      </c>
      <c r="AA15" s="48">
        <f t="shared" si="8"/>
        <v>204</v>
      </c>
      <c r="AB15" s="48">
        <f t="shared" si="8"/>
        <v>215</v>
      </c>
      <c r="AC15" s="48">
        <f t="shared" si="8"/>
        <v>227</v>
      </c>
      <c r="AD15" s="48">
        <f t="shared" si="9"/>
        <v>238</v>
      </c>
      <c r="AE15" s="48">
        <f t="shared" si="9"/>
        <v>249</v>
      </c>
      <c r="AF15" s="48">
        <f t="shared" si="9"/>
        <v>261</v>
      </c>
      <c r="AG15" s="48">
        <f t="shared" si="9"/>
        <v>272</v>
      </c>
      <c r="AH15" s="48">
        <f t="shared" si="9"/>
        <v>283</v>
      </c>
      <c r="AI15" s="48">
        <f t="shared" si="9"/>
        <v>295</v>
      </c>
      <c r="AJ15" s="48">
        <f t="shared" si="9"/>
        <v>306</v>
      </c>
      <c r="AK15" s="48">
        <f t="shared" si="9"/>
        <v>317</v>
      </c>
      <c r="AL15" s="48">
        <f t="shared" si="9"/>
        <v>329</v>
      </c>
      <c r="AM15" s="48">
        <f t="shared" si="9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1"/>
        <v>105</v>
      </c>
      <c r="H16" s="61">
        <f t="shared" si="2"/>
        <v>61</v>
      </c>
      <c r="I16" s="61">
        <f t="shared" si="3"/>
        <v>101</v>
      </c>
      <c r="J16" s="48">
        <f t="shared" si="7"/>
        <v>10</v>
      </c>
      <c r="K16" s="48">
        <f t="shared" si="7"/>
        <v>17</v>
      </c>
      <c r="L16" s="48">
        <f t="shared" si="7"/>
        <v>29</v>
      </c>
      <c r="M16" s="48">
        <f t="shared" si="7"/>
        <v>41</v>
      </c>
      <c r="N16" s="48">
        <f t="shared" si="7"/>
        <v>52</v>
      </c>
      <c r="O16" s="48">
        <f t="shared" si="7"/>
        <v>64</v>
      </c>
      <c r="P16" s="48">
        <f t="shared" si="7"/>
        <v>76</v>
      </c>
      <c r="Q16" s="48">
        <f t="shared" si="7"/>
        <v>88</v>
      </c>
      <c r="R16" s="48">
        <f t="shared" si="7"/>
        <v>100</v>
      </c>
      <c r="S16" s="48">
        <f t="shared" si="7"/>
        <v>112</v>
      </c>
      <c r="T16" s="48">
        <f t="shared" si="8"/>
        <v>123</v>
      </c>
      <c r="U16" s="48">
        <f t="shared" si="8"/>
        <v>134</v>
      </c>
      <c r="V16" s="48">
        <f t="shared" si="8"/>
        <v>145</v>
      </c>
      <c r="W16" s="48">
        <f t="shared" si="8"/>
        <v>156</v>
      </c>
      <c r="X16" s="48">
        <f t="shared" si="8"/>
        <v>168</v>
      </c>
      <c r="Y16" s="48">
        <f t="shared" si="8"/>
        <v>179</v>
      </c>
      <c r="Z16" s="48">
        <f t="shared" si="8"/>
        <v>190</v>
      </c>
      <c r="AA16" s="48">
        <f t="shared" si="8"/>
        <v>201</v>
      </c>
      <c r="AB16" s="48">
        <f t="shared" si="8"/>
        <v>212</v>
      </c>
      <c r="AC16" s="48">
        <f t="shared" si="8"/>
        <v>224</v>
      </c>
      <c r="AD16" s="48">
        <f t="shared" si="9"/>
        <v>235</v>
      </c>
      <c r="AE16" s="48">
        <f t="shared" si="9"/>
        <v>246</v>
      </c>
      <c r="AF16" s="48">
        <f t="shared" si="9"/>
        <v>257</v>
      </c>
      <c r="AG16" s="48">
        <f t="shared" si="9"/>
        <v>269</v>
      </c>
      <c r="AH16" s="48">
        <f t="shared" si="9"/>
        <v>280</v>
      </c>
      <c r="AI16" s="48">
        <f t="shared" si="9"/>
        <v>291</v>
      </c>
      <c r="AJ16" s="48">
        <f t="shared" si="9"/>
        <v>302</v>
      </c>
      <c r="AK16" s="48">
        <f t="shared" si="9"/>
        <v>313</v>
      </c>
      <c r="AL16" s="48">
        <f t="shared" si="9"/>
        <v>325</v>
      </c>
      <c r="AM16" s="48">
        <f t="shared" si="9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1"/>
        <v>145</v>
      </c>
      <c r="H17" s="61">
        <f t="shared" si="2"/>
        <v>184</v>
      </c>
      <c r="I17" s="61">
        <f t="shared" si="3"/>
        <v>165</v>
      </c>
      <c r="J17" s="48">
        <f t="shared" si="7"/>
        <v>25</v>
      </c>
      <c r="K17" s="48">
        <f t="shared" si="7"/>
        <v>78</v>
      </c>
      <c r="L17" s="48">
        <f t="shared" si="7"/>
        <v>132</v>
      </c>
      <c r="M17" s="48">
        <f t="shared" si="7"/>
        <v>186</v>
      </c>
      <c r="N17" s="48">
        <f t="shared" si="7"/>
        <v>239</v>
      </c>
      <c r="O17" s="48">
        <f t="shared" si="7"/>
        <v>293</v>
      </c>
      <c r="P17" s="48">
        <f t="shared" si="7"/>
        <v>347</v>
      </c>
      <c r="Q17" s="48">
        <f t="shared" si="7"/>
        <v>400</v>
      </c>
      <c r="R17" s="48">
        <f t="shared" si="7"/>
        <v>454</v>
      </c>
      <c r="S17" s="48">
        <f t="shared" si="7"/>
        <v>508</v>
      </c>
      <c r="T17" s="48">
        <f t="shared" si="8"/>
        <v>558</v>
      </c>
      <c r="U17" s="48">
        <f t="shared" si="8"/>
        <v>609</v>
      </c>
      <c r="V17" s="48">
        <f t="shared" si="8"/>
        <v>660</v>
      </c>
      <c r="W17" s="48">
        <f t="shared" si="8"/>
        <v>711</v>
      </c>
      <c r="X17" s="48">
        <f t="shared" si="8"/>
        <v>761</v>
      </c>
      <c r="Y17" s="48">
        <f t="shared" si="8"/>
        <v>812</v>
      </c>
      <c r="Z17" s="48">
        <f t="shared" si="8"/>
        <v>863</v>
      </c>
      <c r="AA17" s="48">
        <f t="shared" si="8"/>
        <v>914</v>
      </c>
      <c r="AB17" s="48">
        <f t="shared" si="8"/>
        <v>964</v>
      </c>
      <c r="AC17" s="48">
        <f t="shared" si="8"/>
        <v>1015</v>
      </c>
      <c r="AD17" s="48">
        <f t="shared" si="9"/>
        <v>1066</v>
      </c>
      <c r="AE17" s="48">
        <f t="shared" si="9"/>
        <v>1117</v>
      </c>
      <c r="AF17" s="48">
        <f t="shared" si="9"/>
        <v>1168</v>
      </c>
      <c r="AG17" s="48">
        <f t="shared" si="9"/>
        <v>1218</v>
      </c>
      <c r="AH17" s="48">
        <f t="shared" si="9"/>
        <v>1269</v>
      </c>
      <c r="AI17" s="48">
        <f t="shared" si="9"/>
        <v>1320</v>
      </c>
      <c r="AJ17" s="48">
        <f t="shared" si="9"/>
        <v>1371</v>
      </c>
      <c r="AK17" s="48">
        <f t="shared" si="9"/>
        <v>1422</v>
      </c>
      <c r="AL17" s="48">
        <f t="shared" si="9"/>
        <v>1472</v>
      </c>
      <c r="AM17" s="48">
        <f t="shared" si="9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1"/>
        <v>95</v>
      </c>
      <c r="H18" s="61">
        <f t="shared" si="2"/>
        <v>100</v>
      </c>
      <c r="I18" s="61">
        <f t="shared" si="3"/>
        <v>91</v>
      </c>
      <c r="J18" s="48">
        <f t="shared" si="7"/>
        <v>10</v>
      </c>
      <c r="K18" s="48">
        <f t="shared" si="7"/>
        <v>25</v>
      </c>
      <c r="L18" s="48">
        <f t="shared" si="7"/>
        <v>43</v>
      </c>
      <c r="M18" s="48">
        <f t="shared" si="7"/>
        <v>60</v>
      </c>
      <c r="N18" s="48">
        <f t="shared" si="7"/>
        <v>78</v>
      </c>
      <c r="O18" s="48">
        <f t="shared" si="7"/>
        <v>95</v>
      </c>
      <c r="P18" s="48">
        <f t="shared" si="7"/>
        <v>113</v>
      </c>
      <c r="Q18" s="48">
        <f t="shared" si="7"/>
        <v>130</v>
      </c>
      <c r="R18" s="48">
        <f t="shared" si="7"/>
        <v>148</v>
      </c>
      <c r="S18" s="48">
        <f t="shared" si="7"/>
        <v>165</v>
      </c>
      <c r="T18" s="48">
        <f t="shared" si="8"/>
        <v>182</v>
      </c>
      <c r="U18" s="48">
        <f t="shared" si="8"/>
        <v>199</v>
      </c>
      <c r="V18" s="48">
        <f t="shared" si="8"/>
        <v>215</v>
      </c>
      <c r="W18" s="48">
        <f t="shared" si="8"/>
        <v>232</v>
      </c>
      <c r="X18" s="48">
        <f t="shared" si="8"/>
        <v>248</v>
      </c>
      <c r="Y18" s="48">
        <f t="shared" si="8"/>
        <v>265</v>
      </c>
      <c r="Z18" s="48">
        <f t="shared" si="8"/>
        <v>282</v>
      </c>
      <c r="AA18" s="48">
        <f t="shared" si="8"/>
        <v>298</v>
      </c>
      <c r="AB18" s="48">
        <f t="shared" si="8"/>
        <v>315</v>
      </c>
      <c r="AC18" s="48">
        <f t="shared" si="8"/>
        <v>331</v>
      </c>
      <c r="AD18" s="48">
        <f t="shared" si="9"/>
        <v>348</v>
      </c>
      <c r="AE18" s="48">
        <f t="shared" si="9"/>
        <v>365</v>
      </c>
      <c r="AF18" s="48">
        <f t="shared" si="9"/>
        <v>381</v>
      </c>
      <c r="AG18" s="48">
        <f t="shared" si="9"/>
        <v>398</v>
      </c>
      <c r="AH18" s="48">
        <f t="shared" si="9"/>
        <v>414</v>
      </c>
      <c r="AI18" s="48">
        <f t="shared" si="9"/>
        <v>431</v>
      </c>
      <c r="AJ18" s="48">
        <f t="shared" si="9"/>
        <v>448</v>
      </c>
      <c r="AK18" s="48">
        <f t="shared" si="9"/>
        <v>464</v>
      </c>
      <c r="AL18" s="48">
        <f t="shared" si="9"/>
        <v>481</v>
      </c>
      <c r="AM18" s="48">
        <f t="shared" si="9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1"/>
        <v>141</v>
      </c>
      <c r="H19" s="61">
        <f t="shared" si="2"/>
        <v>132</v>
      </c>
      <c r="I19" s="61">
        <f t="shared" si="3"/>
        <v>123</v>
      </c>
      <c r="J19" s="48">
        <f t="shared" si="7"/>
        <v>15</v>
      </c>
      <c r="K19" s="48">
        <f t="shared" si="7"/>
        <v>48</v>
      </c>
      <c r="L19" s="48">
        <f t="shared" si="7"/>
        <v>80</v>
      </c>
      <c r="M19" s="48">
        <f t="shared" si="7"/>
        <v>113</v>
      </c>
      <c r="N19" s="48">
        <f t="shared" si="7"/>
        <v>146</v>
      </c>
      <c r="O19" s="48">
        <f t="shared" si="7"/>
        <v>179</v>
      </c>
      <c r="P19" s="48">
        <f t="shared" si="7"/>
        <v>211</v>
      </c>
      <c r="Q19" s="48">
        <f t="shared" si="7"/>
        <v>244</v>
      </c>
      <c r="R19" s="48">
        <f t="shared" si="7"/>
        <v>277</v>
      </c>
      <c r="S19" s="48">
        <f t="shared" si="7"/>
        <v>310</v>
      </c>
      <c r="T19" s="48">
        <f t="shared" si="8"/>
        <v>341</v>
      </c>
      <c r="U19" s="48">
        <f t="shared" si="8"/>
        <v>372</v>
      </c>
      <c r="V19" s="48">
        <f t="shared" si="8"/>
        <v>403</v>
      </c>
      <c r="W19" s="48">
        <f t="shared" si="8"/>
        <v>434</v>
      </c>
      <c r="X19" s="48">
        <f t="shared" si="8"/>
        <v>465</v>
      </c>
      <c r="Y19" s="48">
        <f t="shared" si="8"/>
        <v>496</v>
      </c>
      <c r="Z19" s="48">
        <f t="shared" si="8"/>
        <v>527</v>
      </c>
      <c r="AA19" s="48">
        <f t="shared" si="8"/>
        <v>558</v>
      </c>
      <c r="AB19" s="48">
        <f t="shared" si="8"/>
        <v>589</v>
      </c>
      <c r="AC19" s="48">
        <f t="shared" si="8"/>
        <v>620</v>
      </c>
      <c r="AD19" s="48">
        <f t="shared" si="9"/>
        <v>651</v>
      </c>
      <c r="AE19" s="48">
        <f t="shared" si="9"/>
        <v>682</v>
      </c>
      <c r="AF19" s="48">
        <f t="shared" si="9"/>
        <v>713</v>
      </c>
      <c r="AG19" s="48">
        <f t="shared" si="9"/>
        <v>744</v>
      </c>
      <c r="AH19" s="48">
        <f t="shared" si="9"/>
        <v>775</v>
      </c>
      <c r="AI19" s="48">
        <f t="shared" si="9"/>
        <v>806</v>
      </c>
      <c r="AJ19" s="48">
        <f t="shared" si="9"/>
        <v>837</v>
      </c>
      <c r="AK19" s="48">
        <f t="shared" si="9"/>
        <v>868</v>
      </c>
      <c r="AL19" s="48">
        <f t="shared" si="9"/>
        <v>899</v>
      </c>
      <c r="AM19" s="48">
        <f t="shared" si="9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1"/>
        <v>181</v>
      </c>
      <c r="H20" s="61">
        <f t="shared" si="2"/>
        <v>181</v>
      </c>
      <c r="I20" s="61">
        <f t="shared" si="3"/>
        <v>172</v>
      </c>
      <c r="J20" s="48">
        <f t="shared" si="7"/>
        <v>28</v>
      </c>
      <c r="K20" s="48">
        <f t="shared" si="7"/>
        <v>88</v>
      </c>
      <c r="L20" s="48">
        <f t="shared" si="7"/>
        <v>148</v>
      </c>
      <c r="M20" s="48">
        <f t="shared" si="7"/>
        <v>208</v>
      </c>
      <c r="N20" s="48">
        <f t="shared" si="7"/>
        <v>269</v>
      </c>
      <c r="O20" s="48">
        <f t="shared" si="7"/>
        <v>329</v>
      </c>
      <c r="P20" s="48">
        <f t="shared" si="7"/>
        <v>389</v>
      </c>
      <c r="Q20" s="48">
        <f t="shared" si="7"/>
        <v>449</v>
      </c>
      <c r="R20" s="48">
        <f t="shared" si="7"/>
        <v>509</v>
      </c>
      <c r="S20" s="48">
        <f t="shared" si="7"/>
        <v>570</v>
      </c>
      <c r="T20" s="48">
        <f t="shared" si="8"/>
        <v>627</v>
      </c>
      <c r="U20" s="48">
        <f t="shared" si="8"/>
        <v>684</v>
      </c>
      <c r="V20" s="48">
        <f t="shared" si="8"/>
        <v>740</v>
      </c>
      <c r="W20" s="48">
        <f t="shared" si="8"/>
        <v>797</v>
      </c>
      <c r="X20" s="48">
        <f t="shared" si="8"/>
        <v>854</v>
      </c>
      <c r="Y20" s="48">
        <f t="shared" si="8"/>
        <v>911</v>
      </c>
      <c r="Z20" s="48">
        <f t="shared" si="8"/>
        <v>968</v>
      </c>
      <c r="AA20" s="48">
        <f t="shared" si="8"/>
        <v>1025</v>
      </c>
      <c r="AB20" s="48">
        <f t="shared" si="8"/>
        <v>1082</v>
      </c>
      <c r="AC20" s="48">
        <f t="shared" si="8"/>
        <v>1139</v>
      </c>
      <c r="AD20" s="48">
        <f t="shared" si="9"/>
        <v>1196</v>
      </c>
      <c r="AE20" s="48">
        <f t="shared" si="9"/>
        <v>1253</v>
      </c>
      <c r="AF20" s="48">
        <f t="shared" si="9"/>
        <v>1310</v>
      </c>
      <c r="AG20" s="48">
        <f t="shared" si="9"/>
        <v>1367</v>
      </c>
      <c r="AH20" s="48">
        <f t="shared" si="9"/>
        <v>1424</v>
      </c>
      <c r="AI20" s="48">
        <f t="shared" si="9"/>
        <v>1481</v>
      </c>
      <c r="AJ20" s="48">
        <f t="shared" si="9"/>
        <v>1538</v>
      </c>
      <c r="AK20" s="48">
        <f t="shared" si="9"/>
        <v>1595</v>
      </c>
      <c r="AL20" s="48">
        <f t="shared" si="9"/>
        <v>1652</v>
      </c>
      <c r="AM20" s="48">
        <f t="shared" si="9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1"/>
        <v>75</v>
      </c>
      <c r="H21" s="61">
        <f t="shared" si="2"/>
        <v>118</v>
      </c>
      <c r="I21" s="61">
        <f t="shared" si="3"/>
        <v>85</v>
      </c>
      <c r="J21" s="48">
        <f t="shared" si="7"/>
        <v>10</v>
      </c>
      <c r="K21" s="48">
        <f t="shared" si="7"/>
        <v>26</v>
      </c>
      <c r="L21" s="48">
        <f t="shared" si="7"/>
        <v>43</v>
      </c>
      <c r="M21" s="48">
        <f t="shared" si="7"/>
        <v>61</v>
      </c>
      <c r="N21" s="48">
        <f t="shared" si="7"/>
        <v>79</v>
      </c>
      <c r="O21" s="48">
        <f t="shared" si="7"/>
        <v>97</v>
      </c>
      <c r="P21" s="48">
        <f t="shared" si="7"/>
        <v>114</v>
      </c>
      <c r="Q21" s="48">
        <f t="shared" si="7"/>
        <v>132</v>
      </c>
      <c r="R21" s="48">
        <f t="shared" si="7"/>
        <v>150</v>
      </c>
      <c r="S21" s="48">
        <f t="shared" si="7"/>
        <v>168</v>
      </c>
      <c r="T21" s="48">
        <f t="shared" si="8"/>
        <v>184</v>
      </c>
      <c r="U21" s="48">
        <f t="shared" si="8"/>
        <v>201</v>
      </c>
      <c r="V21" s="48">
        <f t="shared" si="8"/>
        <v>218</v>
      </c>
      <c r="W21" s="48">
        <f t="shared" si="8"/>
        <v>235</v>
      </c>
      <c r="X21" s="48">
        <f t="shared" si="8"/>
        <v>252</v>
      </c>
      <c r="Y21" s="48">
        <f t="shared" si="8"/>
        <v>269</v>
      </c>
      <c r="Z21" s="48">
        <f t="shared" si="8"/>
        <v>285</v>
      </c>
      <c r="AA21" s="48">
        <f t="shared" si="8"/>
        <v>302</v>
      </c>
      <c r="AB21" s="48">
        <f t="shared" si="8"/>
        <v>319</v>
      </c>
      <c r="AC21" s="48">
        <f t="shared" si="8"/>
        <v>336</v>
      </c>
      <c r="AD21" s="48">
        <f t="shared" si="9"/>
        <v>353</v>
      </c>
      <c r="AE21" s="48">
        <f t="shared" si="9"/>
        <v>369</v>
      </c>
      <c r="AF21" s="48">
        <f t="shared" si="9"/>
        <v>386</v>
      </c>
      <c r="AG21" s="48">
        <f t="shared" si="9"/>
        <v>403</v>
      </c>
      <c r="AH21" s="48">
        <f t="shared" si="9"/>
        <v>420</v>
      </c>
      <c r="AI21" s="48">
        <f t="shared" si="9"/>
        <v>437</v>
      </c>
      <c r="AJ21" s="48">
        <f t="shared" si="9"/>
        <v>453</v>
      </c>
      <c r="AK21" s="48">
        <f t="shared" si="9"/>
        <v>470</v>
      </c>
      <c r="AL21" s="48">
        <f t="shared" si="9"/>
        <v>487</v>
      </c>
      <c r="AM21" s="48">
        <f t="shared" si="9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1"/>
        <v>125</v>
      </c>
      <c r="H22" s="61">
        <f t="shared" si="2"/>
        <v>176</v>
      </c>
      <c r="I22" s="61">
        <f t="shared" si="3"/>
        <v>159</v>
      </c>
      <c r="J22" s="48">
        <f t="shared" si="7"/>
        <v>21</v>
      </c>
      <c r="K22" s="48">
        <f t="shared" si="7"/>
        <v>68</v>
      </c>
      <c r="L22" s="48">
        <f t="shared" si="7"/>
        <v>115</v>
      </c>
      <c r="M22" s="48">
        <f t="shared" si="7"/>
        <v>162</v>
      </c>
      <c r="N22" s="48">
        <f t="shared" si="7"/>
        <v>209</v>
      </c>
      <c r="O22" s="48">
        <f t="shared" si="7"/>
        <v>255</v>
      </c>
      <c r="P22" s="48">
        <f t="shared" si="7"/>
        <v>302</v>
      </c>
      <c r="Q22" s="48">
        <f t="shared" si="7"/>
        <v>349</v>
      </c>
      <c r="R22" s="48">
        <f t="shared" si="7"/>
        <v>396</v>
      </c>
      <c r="S22" s="48">
        <f t="shared" si="7"/>
        <v>442</v>
      </c>
      <c r="T22" s="48">
        <f t="shared" si="8"/>
        <v>487</v>
      </c>
      <c r="U22" s="48">
        <f t="shared" si="8"/>
        <v>531</v>
      </c>
      <c r="V22" s="48">
        <f t="shared" si="8"/>
        <v>575</v>
      </c>
      <c r="W22" s="48">
        <f t="shared" si="8"/>
        <v>619</v>
      </c>
      <c r="X22" s="48">
        <f t="shared" si="8"/>
        <v>664</v>
      </c>
      <c r="Y22" s="48">
        <f t="shared" si="8"/>
        <v>708</v>
      </c>
      <c r="Z22" s="48">
        <f t="shared" si="8"/>
        <v>752</v>
      </c>
      <c r="AA22" s="48">
        <f t="shared" si="8"/>
        <v>796</v>
      </c>
      <c r="AB22" s="48">
        <f t="shared" si="8"/>
        <v>841</v>
      </c>
      <c r="AC22" s="48">
        <f t="shared" si="8"/>
        <v>885</v>
      </c>
      <c r="AD22" s="48">
        <f t="shared" si="9"/>
        <v>929</v>
      </c>
      <c r="AE22" s="48">
        <f t="shared" si="9"/>
        <v>974</v>
      </c>
      <c r="AF22" s="48">
        <f t="shared" si="9"/>
        <v>1018</v>
      </c>
      <c r="AG22" s="48">
        <f t="shared" si="9"/>
        <v>1062</v>
      </c>
      <c r="AH22" s="48">
        <f t="shared" si="9"/>
        <v>1106</v>
      </c>
      <c r="AI22" s="48">
        <f t="shared" si="9"/>
        <v>1151</v>
      </c>
      <c r="AJ22" s="48">
        <f t="shared" si="9"/>
        <v>1195</v>
      </c>
      <c r="AK22" s="48">
        <f t="shared" si="9"/>
        <v>1239</v>
      </c>
      <c r="AL22" s="48">
        <f t="shared" si="9"/>
        <v>1284</v>
      </c>
      <c r="AM22" s="48">
        <f t="shared" si="9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1"/>
        <v>95</v>
      </c>
      <c r="H23" s="61">
        <f t="shared" si="2"/>
        <v>127</v>
      </c>
      <c r="I23" s="61">
        <f t="shared" si="3"/>
        <v>76</v>
      </c>
      <c r="J23" s="48">
        <f t="shared" ref="J23:S32" si="10">MAX(10,INT(SQRT($G23*$I23)*$H23*J$1^2/10))</f>
        <v>10</v>
      </c>
      <c r="K23" s="48">
        <f t="shared" si="10"/>
        <v>29</v>
      </c>
      <c r="L23" s="48">
        <f t="shared" si="10"/>
        <v>50</v>
      </c>
      <c r="M23" s="48">
        <f t="shared" si="10"/>
        <v>70</v>
      </c>
      <c r="N23" s="48">
        <f t="shared" si="10"/>
        <v>90</v>
      </c>
      <c r="O23" s="48">
        <f t="shared" si="10"/>
        <v>111</v>
      </c>
      <c r="P23" s="48">
        <f t="shared" si="10"/>
        <v>131</v>
      </c>
      <c r="Q23" s="48">
        <f t="shared" si="10"/>
        <v>151</v>
      </c>
      <c r="R23" s="48">
        <f t="shared" si="10"/>
        <v>172</v>
      </c>
      <c r="S23" s="48">
        <f t="shared" si="10"/>
        <v>192</v>
      </c>
      <c r="T23" s="48">
        <f t="shared" ref="T23:AC32" si="11">MAX(10,INT(SQRT($G23*$I23)*$H23*T$1^2/10))</f>
        <v>211</v>
      </c>
      <c r="U23" s="48">
        <f t="shared" si="11"/>
        <v>231</v>
      </c>
      <c r="V23" s="48">
        <f t="shared" si="11"/>
        <v>250</v>
      </c>
      <c r="W23" s="48">
        <f t="shared" si="11"/>
        <v>269</v>
      </c>
      <c r="X23" s="48">
        <f t="shared" si="11"/>
        <v>288</v>
      </c>
      <c r="Y23" s="48">
        <f t="shared" si="11"/>
        <v>308</v>
      </c>
      <c r="Z23" s="48">
        <f t="shared" si="11"/>
        <v>327</v>
      </c>
      <c r="AA23" s="48">
        <f t="shared" si="11"/>
        <v>346</v>
      </c>
      <c r="AB23" s="48">
        <f t="shared" si="11"/>
        <v>365</v>
      </c>
      <c r="AC23" s="48">
        <f t="shared" si="11"/>
        <v>385</v>
      </c>
      <c r="AD23" s="48">
        <f t="shared" ref="AD23:AM32" si="12">MAX(10,INT(SQRT($G23*$I23)*$H23*AD$1^2/10))</f>
        <v>404</v>
      </c>
      <c r="AE23" s="48">
        <f t="shared" si="12"/>
        <v>423</v>
      </c>
      <c r="AF23" s="48">
        <f t="shared" si="12"/>
        <v>442</v>
      </c>
      <c r="AG23" s="48">
        <f t="shared" si="12"/>
        <v>462</v>
      </c>
      <c r="AH23" s="48">
        <f t="shared" si="12"/>
        <v>481</v>
      </c>
      <c r="AI23" s="48">
        <f t="shared" si="12"/>
        <v>500</v>
      </c>
      <c r="AJ23" s="48">
        <f t="shared" si="12"/>
        <v>519</v>
      </c>
      <c r="AK23" s="48">
        <f t="shared" si="12"/>
        <v>539</v>
      </c>
      <c r="AL23" s="48">
        <f t="shared" si="12"/>
        <v>558</v>
      </c>
      <c r="AM23" s="48">
        <f t="shared" si="12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1"/>
        <v>145</v>
      </c>
      <c r="H24" s="61">
        <f t="shared" si="2"/>
        <v>197</v>
      </c>
      <c r="I24" s="61">
        <f t="shared" si="3"/>
        <v>150</v>
      </c>
      <c r="J24" s="48">
        <f t="shared" si="10"/>
        <v>25</v>
      </c>
      <c r="K24" s="48">
        <f t="shared" si="10"/>
        <v>80</v>
      </c>
      <c r="L24" s="48">
        <f t="shared" si="10"/>
        <v>135</v>
      </c>
      <c r="M24" s="48">
        <f t="shared" si="10"/>
        <v>189</v>
      </c>
      <c r="N24" s="48">
        <f t="shared" si="10"/>
        <v>244</v>
      </c>
      <c r="O24" s="48">
        <f t="shared" si="10"/>
        <v>299</v>
      </c>
      <c r="P24" s="48">
        <f t="shared" si="10"/>
        <v>354</v>
      </c>
      <c r="Q24" s="48">
        <f t="shared" si="10"/>
        <v>409</v>
      </c>
      <c r="R24" s="48">
        <f t="shared" si="10"/>
        <v>463</v>
      </c>
      <c r="S24" s="48">
        <f t="shared" si="10"/>
        <v>518</v>
      </c>
      <c r="T24" s="48">
        <f t="shared" si="11"/>
        <v>570</v>
      </c>
      <c r="U24" s="48">
        <f t="shared" si="11"/>
        <v>622</v>
      </c>
      <c r="V24" s="48">
        <f t="shared" si="11"/>
        <v>674</v>
      </c>
      <c r="W24" s="48">
        <f t="shared" si="11"/>
        <v>725</v>
      </c>
      <c r="X24" s="48">
        <f t="shared" si="11"/>
        <v>777</v>
      </c>
      <c r="Y24" s="48">
        <f t="shared" si="11"/>
        <v>829</v>
      </c>
      <c r="Z24" s="48">
        <f t="shared" si="11"/>
        <v>881</v>
      </c>
      <c r="AA24" s="48">
        <f t="shared" si="11"/>
        <v>933</v>
      </c>
      <c r="AB24" s="48">
        <f t="shared" si="11"/>
        <v>985</v>
      </c>
      <c r="AC24" s="48">
        <f t="shared" si="11"/>
        <v>1036</v>
      </c>
      <c r="AD24" s="48">
        <f t="shared" si="12"/>
        <v>1088</v>
      </c>
      <c r="AE24" s="48">
        <f t="shared" si="12"/>
        <v>1140</v>
      </c>
      <c r="AF24" s="48">
        <f t="shared" si="12"/>
        <v>1192</v>
      </c>
      <c r="AG24" s="48">
        <f t="shared" si="12"/>
        <v>1244</v>
      </c>
      <c r="AH24" s="48">
        <f t="shared" si="12"/>
        <v>1296</v>
      </c>
      <c r="AI24" s="48">
        <f t="shared" si="12"/>
        <v>1348</v>
      </c>
      <c r="AJ24" s="48">
        <f t="shared" si="12"/>
        <v>1399</v>
      </c>
      <c r="AK24" s="48">
        <f t="shared" si="12"/>
        <v>1451</v>
      </c>
      <c r="AL24" s="48">
        <f t="shared" si="12"/>
        <v>1503</v>
      </c>
      <c r="AM24" s="48">
        <f t="shared" si="12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1"/>
        <v>85</v>
      </c>
      <c r="H25" s="61">
        <f t="shared" si="2"/>
        <v>125</v>
      </c>
      <c r="I25" s="61">
        <f t="shared" si="3"/>
        <v>117</v>
      </c>
      <c r="J25" s="48">
        <f t="shared" si="10"/>
        <v>11</v>
      </c>
      <c r="K25" s="48">
        <f t="shared" si="10"/>
        <v>34</v>
      </c>
      <c r="L25" s="48">
        <f t="shared" si="10"/>
        <v>58</v>
      </c>
      <c r="M25" s="48">
        <f t="shared" si="10"/>
        <v>81</v>
      </c>
      <c r="N25" s="48">
        <f t="shared" si="10"/>
        <v>105</v>
      </c>
      <c r="O25" s="48">
        <f t="shared" si="10"/>
        <v>128</v>
      </c>
      <c r="P25" s="48">
        <f t="shared" si="10"/>
        <v>152</v>
      </c>
      <c r="Q25" s="48">
        <f t="shared" si="10"/>
        <v>175</v>
      </c>
      <c r="R25" s="48">
        <f t="shared" si="10"/>
        <v>199</v>
      </c>
      <c r="S25" s="48">
        <f t="shared" si="10"/>
        <v>222</v>
      </c>
      <c r="T25" s="48">
        <f t="shared" si="11"/>
        <v>244</v>
      </c>
      <c r="U25" s="48">
        <f t="shared" si="11"/>
        <v>266</v>
      </c>
      <c r="V25" s="48">
        <f t="shared" si="11"/>
        <v>289</v>
      </c>
      <c r="W25" s="48">
        <f t="shared" si="11"/>
        <v>311</v>
      </c>
      <c r="X25" s="48">
        <f t="shared" si="11"/>
        <v>333</v>
      </c>
      <c r="Y25" s="48">
        <f t="shared" si="11"/>
        <v>355</v>
      </c>
      <c r="Z25" s="48">
        <f t="shared" si="11"/>
        <v>378</v>
      </c>
      <c r="AA25" s="48">
        <f t="shared" si="11"/>
        <v>400</v>
      </c>
      <c r="AB25" s="48">
        <f t="shared" si="11"/>
        <v>422</v>
      </c>
      <c r="AC25" s="48">
        <f t="shared" si="11"/>
        <v>444</v>
      </c>
      <c r="AD25" s="48">
        <f t="shared" si="12"/>
        <v>467</v>
      </c>
      <c r="AE25" s="48">
        <f t="shared" si="12"/>
        <v>489</v>
      </c>
      <c r="AF25" s="48">
        <f t="shared" si="12"/>
        <v>511</v>
      </c>
      <c r="AG25" s="48">
        <f t="shared" si="12"/>
        <v>533</v>
      </c>
      <c r="AH25" s="48">
        <f t="shared" si="12"/>
        <v>556</v>
      </c>
      <c r="AI25" s="48">
        <f t="shared" si="12"/>
        <v>578</v>
      </c>
      <c r="AJ25" s="48">
        <f t="shared" si="12"/>
        <v>600</v>
      </c>
      <c r="AK25" s="48">
        <f t="shared" si="12"/>
        <v>622</v>
      </c>
      <c r="AL25" s="48">
        <f t="shared" si="12"/>
        <v>645</v>
      </c>
      <c r="AM25" s="48">
        <f t="shared" si="12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1"/>
        <v>135</v>
      </c>
      <c r="H26" s="61">
        <f t="shared" si="2"/>
        <v>182</v>
      </c>
      <c r="I26" s="61">
        <f t="shared" si="3"/>
        <v>173</v>
      </c>
      <c r="J26" s="48">
        <f t="shared" si="10"/>
        <v>24</v>
      </c>
      <c r="K26" s="48">
        <f t="shared" si="10"/>
        <v>77</v>
      </c>
      <c r="L26" s="48">
        <f t="shared" si="10"/>
        <v>129</v>
      </c>
      <c r="M26" s="48">
        <f t="shared" si="10"/>
        <v>181</v>
      </c>
      <c r="N26" s="48">
        <f t="shared" si="10"/>
        <v>234</v>
      </c>
      <c r="O26" s="48">
        <f t="shared" si="10"/>
        <v>286</v>
      </c>
      <c r="P26" s="48">
        <f t="shared" si="10"/>
        <v>339</v>
      </c>
      <c r="Q26" s="48">
        <f t="shared" si="10"/>
        <v>391</v>
      </c>
      <c r="R26" s="48">
        <f t="shared" si="10"/>
        <v>444</v>
      </c>
      <c r="S26" s="48">
        <f t="shared" si="10"/>
        <v>496</v>
      </c>
      <c r="T26" s="48">
        <f t="shared" si="11"/>
        <v>546</v>
      </c>
      <c r="U26" s="48">
        <f t="shared" si="11"/>
        <v>595</v>
      </c>
      <c r="V26" s="48">
        <f t="shared" si="11"/>
        <v>645</v>
      </c>
      <c r="W26" s="48">
        <f t="shared" si="11"/>
        <v>694</v>
      </c>
      <c r="X26" s="48">
        <f t="shared" si="11"/>
        <v>744</v>
      </c>
      <c r="Y26" s="48">
        <f t="shared" si="11"/>
        <v>794</v>
      </c>
      <c r="Z26" s="48">
        <f t="shared" si="11"/>
        <v>843</v>
      </c>
      <c r="AA26" s="48">
        <f t="shared" si="11"/>
        <v>893</v>
      </c>
      <c r="AB26" s="48">
        <f t="shared" si="11"/>
        <v>943</v>
      </c>
      <c r="AC26" s="48">
        <f t="shared" si="11"/>
        <v>992</v>
      </c>
      <c r="AD26" s="48">
        <f t="shared" si="12"/>
        <v>1042</v>
      </c>
      <c r="AE26" s="48">
        <f t="shared" si="12"/>
        <v>1091</v>
      </c>
      <c r="AF26" s="48">
        <f t="shared" si="12"/>
        <v>1141</v>
      </c>
      <c r="AG26" s="48">
        <f t="shared" si="12"/>
        <v>1191</v>
      </c>
      <c r="AH26" s="48">
        <f t="shared" si="12"/>
        <v>1240</v>
      </c>
      <c r="AI26" s="48">
        <f t="shared" si="12"/>
        <v>1290</v>
      </c>
      <c r="AJ26" s="48">
        <f t="shared" si="12"/>
        <v>1340</v>
      </c>
      <c r="AK26" s="48">
        <f t="shared" si="12"/>
        <v>1389</v>
      </c>
      <c r="AL26" s="48">
        <f t="shared" si="12"/>
        <v>1439</v>
      </c>
      <c r="AM26" s="48">
        <f t="shared" si="12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1"/>
        <v>85</v>
      </c>
      <c r="H27" s="61">
        <f t="shared" si="2"/>
        <v>127</v>
      </c>
      <c r="I27" s="61">
        <f t="shared" si="3"/>
        <v>116</v>
      </c>
      <c r="J27" s="48">
        <f t="shared" si="10"/>
        <v>11</v>
      </c>
      <c r="K27" s="48">
        <f t="shared" si="10"/>
        <v>34</v>
      </c>
      <c r="L27" s="48">
        <f t="shared" si="10"/>
        <v>58</v>
      </c>
      <c r="M27" s="48">
        <f t="shared" si="10"/>
        <v>82</v>
      </c>
      <c r="N27" s="48">
        <f t="shared" si="10"/>
        <v>106</v>
      </c>
      <c r="O27" s="48">
        <f t="shared" si="10"/>
        <v>130</v>
      </c>
      <c r="P27" s="48">
        <f t="shared" si="10"/>
        <v>153</v>
      </c>
      <c r="Q27" s="48">
        <f t="shared" si="10"/>
        <v>177</v>
      </c>
      <c r="R27" s="48">
        <f t="shared" si="10"/>
        <v>201</v>
      </c>
      <c r="S27" s="48">
        <f t="shared" si="10"/>
        <v>225</v>
      </c>
      <c r="T27" s="48">
        <f t="shared" si="11"/>
        <v>247</v>
      </c>
      <c r="U27" s="48">
        <f t="shared" si="11"/>
        <v>270</v>
      </c>
      <c r="V27" s="48">
        <f t="shared" si="11"/>
        <v>292</v>
      </c>
      <c r="W27" s="48">
        <f t="shared" si="11"/>
        <v>315</v>
      </c>
      <c r="X27" s="48">
        <f t="shared" si="11"/>
        <v>337</v>
      </c>
      <c r="Y27" s="48">
        <f t="shared" si="11"/>
        <v>360</v>
      </c>
      <c r="Z27" s="48">
        <f t="shared" si="11"/>
        <v>382</v>
      </c>
      <c r="AA27" s="48">
        <f t="shared" si="11"/>
        <v>405</v>
      </c>
      <c r="AB27" s="48">
        <f t="shared" si="11"/>
        <v>427</v>
      </c>
      <c r="AC27" s="48">
        <f t="shared" si="11"/>
        <v>450</v>
      </c>
      <c r="AD27" s="48">
        <f t="shared" si="12"/>
        <v>472</v>
      </c>
      <c r="AE27" s="48">
        <f t="shared" si="12"/>
        <v>495</v>
      </c>
      <c r="AF27" s="48">
        <f t="shared" si="12"/>
        <v>517</v>
      </c>
      <c r="AG27" s="48">
        <f t="shared" si="12"/>
        <v>540</v>
      </c>
      <c r="AH27" s="48">
        <f t="shared" si="12"/>
        <v>562</v>
      </c>
      <c r="AI27" s="48">
        <f t="shared" si="12"/>
        <v>585</v>
      </c>
      <c r="AJ27" s="48">
        <f t="shared" si="12"/>
        <v>607</v>
      </c>
      <c r="AK27" s="48">
        <f t="shared" si="12"/>
        <v>630</v>
      </c>
      <c r="AL27" s="48">
        <f t="shared" si="12"/>
        <v>652</v>
      </c>
      <c r="AM27" s="48">
        <f t="shared" si="12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1"/>
        <v>135</v>
      </c>
      <c r="H28" s="61">
        <f t="shared" si="2"/>
        <v>208</v>
      </c>
      <c r="I28" s="61">
        <f t="shared" si="3"/>
        <v>180</v>
      </c>
      <c r="J28" s="48">
        <f t="shared" si="10"/>
        <v>28</v>
      </c>
      <c r="K28" s="48">
        <f t="shared" si="10"/>
        <v>89</v>
      </c>
      <c r="L28" s="48">
        <f t="shared" si="10"/>
        <v>150</v>
      </c>
      <c r="M28" s="48">
        <f t="shared" si="10"/>
        <v>212</v>
      </c>
      <c r="N28" s="48">
        <f t="shared" si="10"/>
        <v>273</v>
      </c>
      <c r="O28" s="48">
        <f t="shared" si="10"/>
        <v>334</v>
      </c>
      <c r="P28" s="48">
        <f t="shared" si="10"/>
        <v>395</v>
      </c>
      <c r="Q28" s="48">
        <f t="shared" si="10"/>
        <v>456</v>
      </c>
      <c r="R28" s="48">
        <f t="shared" si="10"/>
        <v>517</v>
      </c>
      <c r="S28" s="48">
        <f t="shared" si="10"/>
        <v>578</v>
      </c>
      <c r="T28" s="48">
        <f t="shared" si="11"/>
        <v>636</v>
      </c>
      <c r="U28" s="48">
        <f t="shared" si="11"/>
        <v>694</v>
      </c>
      <c r="V28" s="48">
        <f t="shared" si="11"/>
        <v>752</v>
      </c>
      <c r="W28" s="48">
        <f t="shared" si="11"/>
        <v>810</v>
      </c>
      <c r="X28" s="48">
        <f t="shared" si="11"/>
        <v>867</v>
      </c>
      <c r="Y28" s="48">
        <f t="shared" si="11"/>
        <v>925</v>
      </c>
      <c r="Z28" s="48">
        <f t="shared" si="11"/>
        <v>983</v>
      </c>
      <c r="AA28" s="48">
        <f t="shared" si="11"/>
        <v>1041</v>
      </c>
      <c r="AB28" s="48">
        <f t="shared" si="11"/>
        <v>1099</v>
      </c>
      <c r="AC28" s="48">
        <f t="shared" si="11"/>
        <v>1157</v>
      </c>
      <c r="AD28" s="48">
        <f t="shared" si="12"/>
        <v>1215</v>
      </c>
      <c r="AE28" s="48">
        <f t="shared" si="12"/>
        <v>1272</v>
      </c>
      <c r="AF28" s="48">
        <f t="shared" si="12"/>
        <v>1330</v>
      </c>
      <c r="AG28" s="48">
        <f t="shared" si="12"/>
        <v>1388</v>
      </c>
      <c r="AH28" s="48">
        <f t="shared" si="12"/>
        <v>1446</v>
      </c>
      <c r="AI28" s="48">
        <f t="shared" si="12"/>
        <v>1504</v>
      </c>
      <c r="AJ28" s="48">
        <f t="shared" si="12"/>
        <v>1562</v>
      </c>
      <c r="AK28" s="48">
        <f t="shared" si="12"/>
        <v>1620</v>
      </c>
      <c r="AL28" s="48">
        <f t="shared" si="12"/>
        <v>1678</v>
      </c>
      <c r="AM28" s="48">
        <f t="shared" si="12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1"/>
        <v>115</v>
      </c>
      <c r="H29" s="61">
        <f t="shared" si="2"/>
        <v>141</v>
      </c>
      <c r="I29" s="61">
        <f t="shared" si="3"/>
        <v>160</v>
      </c>
      <c r="J29" s="48">
        <f t="shared" si="10"/>
        <v>16</v>
      </c>
      <c r="K29" s="48">
        <f t="shared" si="10"/>
        <v>52</v>
      </c>
      <c r="L29" s="48">
        <f t="shared" si="10"/>
        <v>89</v>
      </c>
      <c r="M29" s="48">
        <f t="shared" si="10"/>
        <v>125</v>
      </c>
      <c r="N29" s="48">
        <f t="shared" si="10"/>
        <v>161</v>
      </c>
      <c r="O29" s="48">
        <f t="shared" si="10"/>
        <v>197</v>
      </c>
      <c r="P29" s="48">
        <f t="shared" si="10"/>
        <v>233</v>
      </c>
      <c r="Q29" s="48">
        <f t="shared" si="10"/>
        <v>269</v>
      </c>
      <c r="R29" s="48">
        <f t="shared" si="10"/>
        <v>305</v>
      </c>
      <c r="S29" s="48">
        <f t="shared" si="10"/>
        <v>341</v>
      </c>
      <c r="T29" s="48">
        <f t="shared" si="11"/>
        <v>375</v>
      </c>
      <c r="U29" s="48">
        <f t="shared" si="11"/>
        <v>409</v>
      </c>
      <c r="V29" s="48">
        <f t="shared" si="11"/>
        <v>443</v>
      </c>
      <c r="W29" s="48">
        <f t="shared" si="11"/>
        <v>477</v>
      </c>
      <c r="X29" s="48">
        <f t="shared" si="11"/>
        <v>512</v>
      </c>
      <c r="Y29" s="48">
        <f t="shared" si="11"/>
        <v>546</v>
      </c>
      <c r="Z29" s="48">
        <f t="shared" si="11"/>
        <v>580</v>
      </c>
      <c r="AA29" s="48">
        <f t="shared" si="11"/>
        <v>614</v>
      </c>
      <c r="AB29" s="48">
        <f t="shared" si="11"/>
        <v>648</v>
      </c>
      <c r="AC29" s="48">
        <f t="shared" si="11"/>
        <v>682</v>
      </c>
      <c r="AD29" s="48">
        <f t="shared" si="12"/>
        <v>716</v>
      </c>
      <c r="AE29" s="48">
        <f t="shared" si="12"/>
        <v>750</v>
      </c>
      <c r="AF29" s="48">
        <f t="shared" si="12"/>
        <v>785</v>
      </c>
      <c r="AG29" s="48">
        <f t="shared" si="12"/>
        <v>819</v>
      </c>
      <c r="AH29" s="48">
        <f t="shared" si="12"/>
        <v>853</v>
      </c>
      <c r="AI29" s="48">
        <f t="shared" si="12"/>
        <v>887</v>
      </c>
      <c r="AJ29" s="48">
        <f t="shared" si="12"/>
        <v>921</v>
      </c>
      <c r="AK29" s="48">
        <f t="shared" si="12"/>
        <v>955</v>
      </c>
      <c r="AL29" s="48">
        <f t="shared" si="12"/>
        <v>989</v>
      </c>
      <c r="AM29" s="48">
        <f t="shared" si="12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1"/>
        <v>165</v>
      </c>
      <c r="H30" s="61">
        <f t="shared" si="2"/>
        <v>197</v>
      </c>
      <c r="I30" s="61">
        <f t="shared" si="3"/>
        <v>217</v>
      </c>
      <c r="J30" s="48">
        <f t="shared" si="10"/>
        <v>32</v>
      </c>
      <c r="K30" s="48">
        <f t="shared" si="10"/>
        <v>103</v>
      </c>
      <c r="L30" s="48">
        <f t="shared" si="10"/>
        <v>173</v>
      </c>
      <c r="M30" s="48">
        <f t="shared" si="10"/>
        <v>243</v>
      </c>
      <c r="N30" s="48">
        <f t="shared" si="10"/>
        <v>314</v>
      </c>
      <c r="O30" s="48">
        <f t="shared" si="10"/>
        <v>384</v>
      </c>
      <c r="P30" s="48">
        <f t="shared" si="10"/>
        <v>454</v>
      </c>
      <c r="Q30" s="48">
        <f t="shared" si="10"/>
        <v>524</v>
      </c>
      <c r="R30" s="48">
        <f t="shared" si="10"/>
        <v>595</v>
      </c>
      <c r="S30" s="48">
        <f t="shared" si="10"/>
        <v>665</v>
      </c>
      <c r="T30" s="48">
        <f t="shared" si="11"/>
        <v>731</v>
      </c>
      <c r="U30" s="48">
        <f t="shared" si="11"/>
        <v>798</v>
      </c>
      <c r="V30" s="48">
        <f t="shared" si="11"/>
        <v>864</v>
      </c>
      <c r="W30" s="48">
        <f t="shared" si="11"/>
        <v>931</v>
      </c>
      <c r="X30" s="48">
        <f t="shared" si="11"/>
        <v>997</v>
      </c>
      <c r="Y30" s="48">
        <f t="shared" si="11"/>
        <v>1064</v>
      </c>
      <c r="Z30" s="48">
        <f t="shared" si="11"/>
        <v>1130</v>
      </c>
      <c r="AA30" s="48">
        <f t="shared" si="11"/>
        <v>1197</v>
      </c>
      <c r="AB30" s="48">
        <f t="shared" si="11"/>
        <v>1263</v>
      </c>
      <c r="AC30" s="48">
        <f t="shared" si="11"/>
        <v>1330</v>
      </c>
      <c r="AD30" s="48">
        <f t="shared" si="12"/>
        <v>1396</v>
      </c>
      <c r="AE30" s="48">
        <f t="shared" si="12"/>
        <v>1463</v>
      </c>
      <c r="AF30" s="48">
        <f t="shared" si="12"/>
        <v>1529</v>
      </c>
      <c r="AG30" s="48">
        <f t="shared" si="12"/>
        <v>1596</v>
      </c>
      <c r="AH30" s="48">
        <f t="shared" si="12"/>
        <v>1663</v>
      </c>
      <c r="AI30" s="48">
        <f t="shared" si="12"/>
        <v>1729</v>
      </c>
      <c r="AJ30" s="48">
        <f t="shared" si="12"/>
        <v>1796</v>
      </c>
      <c r="AK30" s="48">
        <f t="shared" si="12"/>
        <v>1862</v>
      </c>
      <c r="AL30" s="48">
        <f t="shared" si="12"/>
        <v>1929</v>
      </c>
      <c r="AM30" s="48">
        <f t="shared" si="12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1"/>
        <v>125</v>
      </c>
      <c r="H31" s="61">
        <f t="shared" si="2"/>
        <v>101</v>
      </c>
      <c r="I31" s="61">
        <f t="shared" si="3"/>
        <v>109</v>
      </c>
      <c r="J31" s="48">
        <f t="shared" si="10"/>
        <v>10</v>
      </c>
      <c r="K31" s="48">
        <f t="shared" si="10"/>
        <v>32</v>
      </c>
      <c r="L31" s="48">
        <f t="shared" si="10"/>
        <v>54</v>
      </c>
      <c r="M31" s="48">
        <f t="shared" si="10"/>
        <v>77</v>
      </c>
      <c r="N31" s="48">
        <f t="shared" si="10"/>
        <v>99</v>
      </c>
      <c r="O31" s="48">
        <f t="shared" si="10"/>
        <v>121</v>
      </c>
      <c r="P31" s="48">
        <f t="shared" si="10"/>
        <v>143</v>
      </c>
      <c r="Q31" s="48">
        <f t="shared" si="10"/>
        <v>165</v>
      </c>
      <c r="R31" s="48">
        <f t="shared" si="10"/>
        <v>188</v>
      </c>
      <c r="S31" s="48">
        <f t="shared" si="10"/>
        <v>210</v>
      </c>
      <c r="T31" s="48">
        <f t="shared" si="11"/>
        <v>231</v>
      </c>
      <c r="U31" s="48">
        <f t="shared" si="11"/>
        <v>252</v>
      </c>
      <c r="V31" s="48">
        <f t="shared" si="11"/>
        <v>273</v>
      </c>
      <c r="W31" s="48">
        <f t="shared" si="11"/>
        <v>294</v>
      </c>
      <c r="X31" s="48">
        <f t="shared" si="11"/>
        <v>315</v>
      </c>
      <c r="Y31" s="48">
        <f t="shared" si="11"/>
        <v>336</v>
      </c>
      <c r="Z31" s="48">
        <f t="shared" si="11"/>
        <v>357</v>
      </c>
      <c r="AA31" s="48">
        <f t="shared" si="11"/>
        <v>378</v>
      </c>
      <c r="AB31" s="48">
        <f t="shared" si="11"/>
        <v>399</v>
      </c>
      <c r="AC31" s="48">
        <f t="shared" si="11"/>
        <v>420</v>
      </c>
      <c r="AD31" s="48">
        <f t="shared" si="12"/>
        <v>441</v>
      </c>
      <c r="AE31" s="48">
        <f t="shared" si="12"/>
        <v>462</v>
      </c>
      <c r="AF31" s="48">
        <f t="shared" si="12"/>
        <v>483</v>
      </c>
      <c r="AG31" s="48">
        <f t="shared" si="12"/>
        <v>504</v>
      </c>
      <c r="AH31" s="48">
        <f t="shared" si="12"/>
        <v>525</v>
      </c>
      <c r="AI31" s="48">
        <f t="shared" si="12"/>
        <v>547</v>
      </c>
      <c r="AJ31" s="48">
        <f t="shared" si="12"/>
        <v>568</v>
      </c>
      <c r="AK31" s="48">
        <f t="shared" si="12"/>
        <v>589</v>
      </c>
      <c r="AL31" s="48">
        <f t="shared" si="12"/>
        <v>610</v>
      </c>
      <c r="AM31" s="48">
        <f t="shared" si="12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1"/>
        <v>155</v>
      </c>
      <c r="H32" s="61">
        <f t="shared" si="2"/>
        <v>132</v>
      </c>
      <c r="I32" s="61">
        <f t="shared" si="3"/>
        <v>141</v>
      </c>
      <c r="J32" s="48">
        <f t="shared" si="10"/>
        <v>17</v>
      </c>
      <c r="K32" s="48">
        <f t="shared" si="10"/>
        <v>54</v>
      </c>
      <c r="L32" s="48">
        <f t="shared" si="10"/>
        <v>90</v>
      </c>
      <c r="M32" s="48">
        <f t="shared" si="10"/>
        <v>127</v>
      </c>
      <c r="N32" s="48">
        <f t="shared" si="10"/>
        <v>164</v>
      </c>
      <c r="O32" s="48">
        <f t="shared" si="10"/>
        <v>201</v>
      </c>
      <c r="P32" s="48">
        <f t="shared" si="10"/>
        <v>237</v>
      </c>
      <c r="Q32" s="48">
        <f t="shared" si="10"/>
        <v>274</v>
      </c>
      <c r="R32" s="48">
        <f t="shared" si="10"/>
        <v>311</v>
      </c>
      <c r="S32" s="48">
        <f t="shared" si="10"/>
        <v>348</v>
      </c>
      <c r="T32" s="48">
        <f t="shared" si="11"/>
        <v>383</v>
      </c>
      <c r="U32" s="48">
        <f t="shared" si="11"/>
        <v>417</v>
      </c>
      <c r="V32" s="48">
        <f t="shared" si="11"/>
        <v>452</v>
      </c>
      <c r="W32" s="48">
        <f t="shared" si="11"/>
        <v>487</v>
      </c>
      <c r="X32" s="48">
        <f t="shared" si="11"/>
        <v>522</v>
      </c>
      <c r="Y32" s="48">
        <f t="shared" si="11"/>
        <v>557</v>
      </c>
      <c r="Z32" s="48">
        <f t="shared" si="11"/>
        <v>592</v>
      </c>
      <c r="AA32" s="48">
        <f t="shared" si="11"/>
        <v>626</v>
      </c>
      <c r="AB32" s="48">
        <f t="shared" si="11"/>
        <v>661</v>
      </c>
      <c r="AC32" s="48">
        <f t="shared" si="11"/>
        <v>696</v>
      </c>
      <c r="AD32" s="48">
        <f t="shared" si="12"/>
        <v>731</v>
      </c>
      <c r="AE32" s="48">
        <f t="shared" si="12"/>
        <v>766</v>
      </c>
      <c r="AF32" s="48">
        <f t="shared" si="12"/>
        <v>800</v>
      </c>
      <c r="AG32" s="48">
        <f t="shared" si="12"/>
        <v>835</v>
      </c>
      <c r="AH32" s="48">
        <f t="shared" si="12"/>
        <v>870</v>
      </c>
      <c r="AI32" s="48">
        <f t="shared" si="12"/>
        <v>905</v>
      </c>
      <c r="AJ32" s="48">
        <f t="shared" si="12"/>
        <v>940</v>
      </c>
      <c r="AK32" s="48">
        <f t="shared" si="12"/>
        <v>975</v>
      </c>
      <c r="AL32" s="48">
        <f t="shared" si="12"/>
        <v>1009</v>
      </c>
      <c r="AM32" s="48">
        <f t="shared" si="12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1"/>
        <v>195</v>
      </c>
      <c r="H33" s="61">
        <f t="shared" si="2"/>
        <v>195</v>
      </c>
      <c r="I33" s="61">
        <f t="shared" si="3"/>
        <v>189</v>
      </c>
      <c r="J33" s="48">
        <f t="shared" ref="J33:S42" si="13">MAX(10,INT(SQRT($G33*$I33)*$H33*J$1^2/10))</f>
        <v>33</v>
      </c>
      <c r="K33" s="48">
        <f t="shared" si="13"/>
        <v>103</v>
      </c>
      <c r="L33" s="48">
        <f t="shared" si="13"/>
        <v>174</v>
      </c>
      <c r="M33" s="48">
        <f t="shared" si="13"/>
        <v>244</v>
      </c>
      <c r="N33" s="48">
        <f t="shared" si="13"/>
        <v>315</v>
      </c>
      <c r="O33" s="48">
        <f t="shared" si="13"/>
        <v>385</v>
      </c>
      <c r="P33" s="48">
        <f t="shared" si="13"/>
        <v>456</v>
      </c>
      <c r="Q33" s="48">
        <f t="shared" si="13"/>
        <v>527</v>
      </c>
      <c r="R33" s="48">
        <f t="shared" si="13"/>
        <v>597</v>
      </c>
      <c r="S33" s="48">
        <f t="shared" si="13"/>
        <v>668</v>
      </c>
      <c r="T33" s="48">
        <f t="shared" ref="T33:AC42" si="14">MAX(10,INT(SQRT($G33*$I33)*$H33*T$1^2/10))</f>
        <v>735</v>
      </c>
      <c r="U33" s="48">
        <f t="shared" si="14"/>
        <v>801</v>
      </c>
      <c r="V33" s="48">
        <f t="shared" si="14"/>
        <v>868</v>
      </c>
      <c r="W33" s="48">
        <f t="shared" si="14"/>
        <v>935</v>
      </c>
      <c r="X33" s="48">
        <f t="shared" si="14"/>
        <v>1002</v>
      </c>
      <c r="Y33" s="48">
        <f t="shared" si="14"/>
        <v>1068</v>
      </c>
      <c r="Z33" s="48">
        <f t="shared" si="14"/>
        <v>1135</v>
      </c>
      <c r="AA33" s="48">
        <f t="shared" si="14"/>
        <v>1202</v>
      </c>
      <c r="AB33" s="48">
        <f t="shared" si="14"/>
        <v>1269</v>
      </c>
      <c r="AC33" s="48">
        <f t="shared" si="14"/>
        <v>1336</v>
      </c>
      <c r="AD33" s="48">
        <f t="shared" ref="AD33:AM42" si="15">MAX(10,INT(SQRT($G33*$I33)*$H33*AD$1^2/10))</f>
        <v>1402</v>
      </c>
      <c r="AE33" s="48">
        <f t="shared" si="15"/>
        <v>1469</v>
      </c>
      <c r="AF33" s="48">
        <f t="shared" si="15"/>
        <v>1536</v>
      </c>
      <c r="AG33" s="48">
        <f t="shared" si="15"/>
        <v>1603</v>
      </c>
      <c r="AH33" s="48">
        <f t="shared" si="15"/>
        <v>1670</v>
      </c>
      <c r="AI33" s="48">
        <f t="shared" si="15"/>
        <v>1736</v>
      </c>
      <c r="AJ33" s="48">
        <f t="shared" si="15"/>
        <v>1803</v>
      </c>
      <c r="AK33" s="48">
        <f t="shared" si="15"/>
        <v>1870</v>
      </c>
      <c r="AL33" s="48">
        <f t="shared" si="15"/>
        <v>1937</v>
      </c>
      <c r="AM33" s="48">
        <f t="shared" si="15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1"/>
        <v>107</v>
      </c>
      <c r="H34" s="61">
        <f t="shared" si="2"/>
        <v>120</v>
      </c>
      <c r="I34" s="61">
        <f t="shared" si="3"/>
        <v>91</v>
      </c>
      <c r="J34" s="48">
        <f t="shared" si="13"/>
        <v>10</v>
      </c>
      <c r="K34" s="48">
        <f t="shared" si="13"/>
        <v>32</v>
      </c>
      <c r="L34" s="48">
        <f t="shared" si="13"/>
        <v>55</v>
      </c>
      <c r="M34" s="48">
        <f t="shared" si="13"/>
        <v>77</v>
      </c>
      <c r="N34" s="48">
        <f t="shared" si="13"/>
        <v>99</v>
      </c>
      <c r="O34" s="48">
        <f t="shared" si="13"/>
        <v>122</v>
      </c>
      <c r="P34" s="48">
        <f t="shared" si="13"/>
        <v>144</v>
      </c>
      <c r="Q34" s="48">
        <f t="shared" si="13"/>
        <v>166</v>
      </c>
      <c r="R34" s="48">
        <f t="shared" si="13"/>
        <v>189</v>
      </c>
      <c r="S34" s="48">
        <f t="shared" si="13"/>
        <v>211</v>
      </c>
      <c r="T34" s="48">
        <f t="shared" si="14"/>
        <v>232</v>
      </c>
      <c r="U34" s="48">
        <f t="shared" si="14"/>
        <v>253</v>
      </c>
      <c r="V34" s="48">
        <f t="shared" si="14"/>
        <v>274</v>
      </c>
      <c r="W34" s="48">
        <f t="shared" si="14"/>
        <v>295</v>
      </c>
      <c r="X34" s="48">
        <f t="shared" si="14"/>
        <v>316</v>
      </c>
      <c r="Y34" s="48">
        <f t="shared" si="14"/>
        <v>338</v>
      </c>
      <c r="Z34" s="48">
        <f t="shared" si="14"/>
        <v>359</v>
      </c>
      <c r="AA34" s="48">
        <f t="shared" si="14"/>
        <v>380</v>
      </c>
      <c r="AB34" s="48">
        <f t="shared" si="14"/>
        <v>401</v>
      </c>
      <c r="AC34" s="48">
        <f t="shared" si="14"/>
        <v>422</v>
      </c>
      <c r="AD34" s="48">
        <f t="shared" si="15"/>
        <v>443</v>
      </c>
      <c r="AE34" s="48">
        <f t="shared" si="15"/>
        <v>464</v>
      </c>
      <c r="AF34" s="48">
        <f t="shared" si="15"/>
        <v>486</v>
      </c>
      <c r="AG34" s="48">
        <f t="shared" si="15"/>
        <v>507</v>
      </c>
      <c r="AH34" s="48">
        <f t="shared" si="15"/>
        <v>528</v>
      </c>
      <c r="AI34" s="48">
        <f t="shared" si="15"/>
        <v>549</v>
      </c>
      <c r="AJ34" s="48">
        <f t="shared" si="15"/>
        <v>570</v>
      </c>
      <c r="AK34" s="48">
        <f t="shared" si="15"/>
        <v>591</v>
      </c>
      <c r="AL34" s="48">
        <f t="shared" si="15"/>
        <v>612</v>
      </c>
      <c r="AM34" s="48">
        <f t="shared" si="15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1"/>
        <v>137</v>
      </c>
      <c r="H35" s="61">
        <f t="shared" si="2"/>
        <v>152</v>
      </c>
      <c r="I35" s="61">
        <f t="shared" si="3"/>
        <v>127</v>
      </c>
      <c r="J35" s="48">
        <f t="shared" si="13"/>
        <v>17</v>
      </c>
      <c r="K35" s="48">
        <f t="shared" si="13"/>
        <v>55</v>
      </c>
      <c r="L35" s="48">
        <f t="shared" si="13"/>
        <v>93</v>
      </c>
      <c r="M35" s="48">
        <f t="shared" si="13"/>
        <v>131</v>
      </c>
      <c r="N35" s="48">
        <f t="shared" si="13"/>
        <v>168</v>
      </c>
      <c r="O35" s="48">
        <f t="shared" si="13"/>
        <v>206</v>
      </c>
      <c r="P35" s="48">
        <f t="shared" si="13"/>
        <v>244</v>
      </c>
      <c r="Q35" s="48">
        <f t="shared" si="13"/>
        <v>282</v>
      </c>
      <c r="R35" s="48">
        <f t="shared" si="13"/>
        <v>320</v>
      </c>
      <c r="S35" s="48">
        <f t="shared" si="13"/>
        <v>357</v>
      </c>
      <c r="T35" s="48">
        <f t="shared" si="14"/>
        <v>393</v>
      </c>
      <c r="U35" s="48">
        <f t="shared" si="14"/>
        <v>429</v>
      </c>
      <c r="V35" s="48">
        <f t="shared" si="14"/>
        <v>465</v>
      </c>
      <c r="W35" s="48">
        <f t="shared" si="14"/>
        <v>500</v>
      </c>
      <c r="X35" s="48">
        <f t="shared" si="14"/>
        <v>536</v>
      </c>
      <c r="Y35" s="48">
        <f t="shared" si="14"/>
        <v>572</v>
      </c>
      <c r="Z35" s="48">
        <f t="shared" si="14"/>
        <v>608</v>
      </c>
      <c r="AA35" s="48">
        <f t="shared" si="14"/>
        <v>644</v>
      </c>
      <c r="AB35" s="48">
        <f t="shared" si="14"/>
        <v>679</v>
      </c>
      <c r="AC35" s="48">
        <f t="shared" si="14"/>
        <v>715</v>
      </c>
      <c r="AD35" s="48">
        <f t="shared" si="15"/>
        <v>751</v>
      </c>
      <c r="AE35" s="48">
        <f t="shared" si="15"/>
        <v>787</v>
      </c>
      <c r="AF35" s="48">
        <f t="shared" si="15"/>
        <v>822</v>
      </c>
      <c r="AG35" s="48">
        <f t="shared" si="15"/>
        <v>858</v>
      </c>
      <c r="AH35" s="48">
        <f t="shared" si="15"/>
        <v>894</v>
      </c>
      <c r="AI35" s="48">
        <f t="shared" si="15"/>
        <v>930</v>
      </c>
      <c r="AJ35" s="48">
        <f t="shared" si="15"/>
        <v>966</v>
      </c>
      <c r="AK35" s="48">
        <f t="shared" si="15"/>
        <v>1001</v>
      </c>
      <c r="AL35" s="48">
        <f t="shared" si="15"/>
        <v>1037</v>
      </c>
      <c r="AM35" s="48">
        <f t="shared" si="15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1"/>
        <v>177</v>
      </c>
      <c r="H36" s="61">
        <f t="shared" si="2"/>
        <v>219</v>
      </c>
      <c r="I36" s="61">
        <f t="shared" si="3"/>
        <v>172</v>
      </c>
      <c r="J36" s="48">
        <f t="shared" si="13"/>
        <v>33</v>
      </c>
      <c r="K36" s="48">
        <f t="shared" si="13"/>
        <v>105</v>
      </c>
      <c r="L36" s="48">
        <f t="shared" si="13"/>
        <v>177</v>
      </c>
      <c r="M36" s="48">
        <f t="shared" si="13"/>
        <v>249</v>
      </c>
      <c r="N36" s="48">
        <f t="shared" si="13"/>
        <v>321</v>
      </c>
      <c r="O36" s="48">
        <f t="shared" si="13"/>
        <v>393</v>
      </c>
      <c r="P36" s="48">
        <f t="shared" si="13"/>
        <v>465</v>
      </c>
      <c r="Q36" s="48">
        <f t="shared" si="13"/>
        <v>538</v>
      </c>
      <c r="R36" s="48">
        <f t="shared" si="13"/>
        <v>610</v>
      </c>
      <c r="S36" s="48">
        <f t="shared" si="13"/>
        <v>682</v>
      </c>
      <c r="T36" s="48">
        <f t="shared" si="14"/>
        <v>750</v>
      </c>
      <c r="U36" s="48">
        <f t="shared" si="14"/>
        <v>818</v>
      </c>
      <c r="V36" s="48">
        <f t="shared" si="14"/>
        <v>886</v>
      </c>
      <c r="W36" s="48">
        <f t="shared" si="14"/>
        <v>954</v>
      </c>
      <c r="X36" s="48">
        <f t="shared" si="14"/>
        <v>1022</v>
      </c>
      <c r="Y36" s="48">
        <f t="shared" si="14"/>
        <v>1091</v>
      </c>
      <c r="Z36" s="48">
        <f t="shared" si="14"/>
        <v>1159</v>
      </c>
      <c r="AA36" s="48">
        <f t="shared" si="14"/>
        <v>1227</v>
      </c>
      <c r="AB36" s="48">
        <f t="shared" si="14"/>
        <v>1295</v>
      </c>
      <c r="AC36" s="48">
        <f t="shared" si="14"/>
        <v>1363</v>
      </c>
      <c r="AD36" s="48">
        <f t="shared" si="15"/>
        <v>1431</v>
      </c>
      <c r="AE36" s="48">
        <f t="shared" si="15"/>
        <v>1500</v>
      </c>
      <c r="AF36" s="48">
        <f t="shared" si="15"/>
        <v>1568</v>
      </c>
      <c r="AG36" s="48">
        <f t="shared" si="15"/>
        <v>1636</v>
      </c>
      <c r="AH36" s="48">
        <f t="shared" si="15"/>
        <v>1704</v>
      </c>
      <c r="AI36" s="48">
        <f t="shared" si="15"/>
        <v>1772</v>
      </c>
      <c r="AJ36" s="48">
        <f t="shared" si="15"/>
        <v>1841</v>
      </c>
      <c r="AK36" s="48">
        <f t="shared" si="15"/>
        <v>1909</v>
      </c>
      <c r="AL36" s="48">
        <f t="shared" si="15"/>
        <v>1977</v>
      </c>
      <c r="AM36" s="48">
        <f t="shared" si="15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1"/>
        <v>155</v>
      </c>
      <c r="H37" s="61">
        <f t="shared" si="2"/>
        <v>122</v>
      </c>
      <c r="I37" s="61">
        <f t="shared" si="3"/>
        <v>131</v>
      </c>
      <c r="J37" s="48">
        <f t="shared" si="13"/>
        <v>15</v>
      </c>
      <c r="K37" s="48">
        <f t="shared" si="13"/>
        <v>48</v>
      </c>
      <c r="L37" s="48">
        <f t="shared" si="13"/>
        <v>80</v>
      </c>
      <c r="M37" s="48">
        <f t="shared" si="13"/>
        <v>113</v>
      </c>
      <c r="N37" s="48">
        <f t="shared" si="13"/>
        <v>146</v>
      </c>
      <c r="O37" s="48">
        <f t="shared" si="13"/>
        <v>179</v>
      </c>
      <c r="P37" s="48">
        <f t="shared" si="13"/>
        <v>212</v>
      </c>
      <c r="Q37" s="48">
        <f t="shared" si="13"/>
        <v>244</v>
      </c>
      <c r="R37" s="48">
        <f t="shared" si="13"/>
        <v>277</v>
      </c>
      <c r="S37" s="48">
        <f t="shared" si="13"/>
        <v>310</v>
      </c>
      <c r="T37" s="48">
        <f t="shared" si="14"/>
        <v>341</v>
      </c>
      <c r="U37" s="48">
        <f t="shared" si="14"/>
        <v>372</v>
      </c>
      <c r="V37" s="48">
        <f t="shared" si="14"/>
        <v>403</v>
      </c>
      <c r="W37" s="48">
        <f t="shared" si="14"/>
        <v>434</v>
      </c>
      <c r="X37" s="48">
        <f t="shared" si="14"/>
        <v>465</v>
      </c>
      <c r="Y37" s="48">
        <f t="shared" si="14"/>
        <v>496</v>
      </c>
      <c r="Z37" s="48">
        <f t="shared" si="14"/>
        <v>527</v>
      </c>
      <c r="AA37" s="48">
        <f t="shared" si="14"/>
        <v>558</v>
      </c>
      <c r="AB37" s="48">
        <f t="shared" si="14"/>
        <v>589</v>
      </c>
      <c r="AC37" s="48">
        <f t="shared" si="14"/>
        <v>620</v>
      </c>
      <c r="AD37" s="48">
        <f t="shared" si="15"/>
        <v>651</v>
      </c>
      <c r="AE37" s="48">
        <f t="shared" si="15"/>
        <v>682</v>
      </c>
      <c r="AF37" s="48">
        <f t="shared" si="15"/>
        <v>713</v>
      </c>
      <c r="AG37" s="48">
        <f t="shared" si="15"/>
        <v>744</v>
      </c>
      <c r="AH37" s="48">
        <f t="shared" si="15"/>
        <v>775</v>
      </c>
      <c r="AI37" s="48">
        <f t="shared" si="15"/>
        <v>806</v>
      </c>
      <c r="AJ37" s="48">
        <f t="shared" si="15"/>
        <v>837</v>
      </c>
      <c r="AK37" s="48">
        <f t="shared" si="15"/>
        <v>868</v>
      </c>
      <c r="AL37" s="48">
        <f t="shared" si="15"/>
        <v>899</v>
      </c>
      <c r="AM37" s="48">
        <f t="shared" si="15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1"/>
        <v>205</v>
      </c>
      <c r="H38" s="61">
        <f t="shared" si="2"/>
        <v>193</v>
      </c>
      <c r="I38" s="61">
        <f t="shared" si="3"/>
        <v>186</v>
      </c>
      <c r="J38" s="48">
        <f t="shared" si="13"/>
        <v>33</v>
      </c>
      <c r="K38" s="48">
        <f t="shared" si="13"/>
        <v>104</v>
      </c>
      <c r="L38" s="48">
        <f t="shared" si="13"/>
        <v>175</v>
      </c>
      <c r="M38" s="48">
        <f t="shared" si="13"/>
        <v>246</v>
      </c>
      <c r="N38" s="48">
        <f t="shared" si="13"/>
        <v>317</v>
      </c>
      <c r="O38" s="48">
        <f t="shared" si="13"/>
        <v>388</v>
      </c>
      <c r="P38" s="48">
        <f t="shared" si="13"/>
        <v>459</v>
      </c>
      <c r="Q38" s="48">
        <f t="shared" si="13"/>
        <v>530</v>
      </c>
      <c r="R38" s="48">
        <f t="shared" si="13"/>
        <v>601</v>
      </c>
      <c r="S38" s="48">
        <f t="shared" si="13"/>
        <v>672</v>
      </c>
      <c r="T38" s="48">
        <f t="shared" si="14"/>
        <v>739</v>
      </c>
      <c r="U38" s="48">
        <f t="shared" si="14"/>
        <v>807</v>
      </c>
      <c r="V38" s="48">
        <f t="shared" si="14"/>
        <v>874</v>
      </c>
      <c r="W38" s="48">
        <f t="shared" si="14"/>
        <v>941</v>
      </c>
      <c r="X38" s="48">
        <f t="shared" si="14"/>
        <v>1008</v>
      </c>
      <c r="Y38" s="48">
        <f t="shared" si="14"/>
        <v>1076</v>
      </c>
      <c r="Z38" s="48">
        <f t="shared" si="14"/>
        <v>1143</v>
      </c>
      <c r="AA38" s="48">
        <f t="shared" si="14"/>
        <v>1210</v>
      </c>
      <c r="AB38" s="48">
        <f t="shared" si="14"/>
        <v>1277</v>
      </c>
      <c r="AC38" s="48">
        <f t="shared" si="14"/>
        <v>1344</v>
      </c>
      <c r="AD38" s="48">
        <f t="shared" si="15"/>
        <v>1412</v>
      </c>
      <c r="AE38" s="48">
        <f t="shared" si="15"/>
        <v>1479</v>
      </c>
      <c r="AF38" s="48">
        <f t="shared" si="15"/>
        <v>1546</v>
      </c>
      <c r="AG38" s="48">
        <f t="shared" si="15"/>
        <v>1614</v>
      </c>
      <c r="AH38" s="48">
        <f t="shared" si="15"/>
        <v>1681</v>
      </c>
      <c r="AI38" s="48">
        <f t="shared" si="15"/>
        <v>1748</v>
      </c>
      <c r="AJ38" s="48">
        <f t="shared" si="15"/>
        <v>1815</v>
      </c>
      <c r="AK38" s="48">
        <f t="shared" si="15"/>
        <v>1883</v>
      </c>
      <c r="AL38" s="48">
        <f t="shared" si="15"/>
        <v>1950</v>
      </c>
      <c r="AM38" s="48">
        <f t="shared" si="15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1"/>
        <v>91</v>
      </c>
      <c r="H39" s="61">
        <f t="shared" si="2"/>
        <v>111</v>
      </c>
      <c r="I39" s="61">
        <f t="shared" si="3"/>
        <v>137</v>
      </c>
      <c r="J39" s="48">
        <f t="shared" si="13"/>
        <v>10</v>
      </c>
      <c r="K39" s="48">
        <f t="shared" si="13"/>
        <v>34</v>
      </c>
      <c r="L39" s="48">
        <f t="shared" si="13"/>
        <v>57</v>
      </c>
      <c r="M39" s="48">
        <f t="shared" si="13"/>
        <v>81</v>
      </c>
      <c r="N39" s="48">
        <f t="shared" si="13"/>
        <v>104</v>
      </c>
      <c r="O39" s="48">
        <f t="shared" si="13"/>
        <v>127</v>
      </c>
      <c r="P39" s="48">
        <f t="shared" si="13"/>
        <v>151</v>
      </c>
      <c r="Q39" s="48">
        <f t="shared" si="13"/>
        <v>174</v>
      </c>
      <c r="R39" s="48">
        <f t="shared" si="13"/>
        <v>197</v>
      </c>
      <c r="S39" s="48">
        <f t="shared" si="13"/>
        <v>221</v>
      </c>
      <c r="T39" s="48">
        <f t="shared" si="14"/>
        <v>243</v>
      </c>
      <c r="U39" s="48">
        <f t="shared" si="14"/>
        <v>265</v>
      </c>
      <c r="V39" s="48">
        <f t="shared" si="14"/>
        <v>287</v>
      </c>
      <c r="W39" s="48">
        <f t="shared" si="14"/>
        <v>309</v>
      </c>
      <c r="X39" s="48">
        <f t="shared" si="14"/>
        <v>331</v>
      </c>
      <c r="Y39" s="48">
        <f t="shared" si="14"/>
        <v>353</v>
      </c>
      <c r="Z39" s="48">
        <f t="shared" si="14"/>
        <v>375</v>
      </c>
      <c r="AA39" s="48">
        <f t="shared" si="14"/>
        <v>398</v>
      </c>
      <c r="AB39" s="48">
        <f t="shared" si="14"/>
        <v>420</v>
      </c>
      <c r="AC39" s="48">
        <f t="shared" si="14"/>
        <v>442</v>
      </c>
      <c r="AD39" s="48">
        <f t="shared" si="15"/>
        <v>464</v>
      </c>
      <c r="AE39" s="48">
        <f t="shared" si="15"/>
        <v>486</v>
      </c>
      <c r="AF39" s="48">
        <f t="shared" si="15"/>
        <v>508</v>
      </c>
      <c r="AG39" s="48">
        <f t="shared" si="15"/>
        <v>530</v>
      </c>
      <c r="AH39" s="48">
        <f t="shared" si="15"/>
        <v>552</v>
      </c>
      <c r="AI39" s="48">
        <f t="shared" si="15"/>
        <v>575</v>
      </c>
      <c r="AJ39" s="48">
        <f t="shared" si="15"/>
        <v>597</v>
      </c>
      <c r="AK39" s="48">
        <f t="shared" si="15"/>
        <v>619</v>
      </c>
      <c r="AL39" s="48">
        <f t="shared" si="15"/>
        <v>641</v>
      </c>
      <c r="AM39" s="48">
        <f t="shared" si="15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1"/>
        <v>161</v>
      </c>
      <c r="H40" s="61">
        <f t="shared" si="2"/>
        <v>184</v>
      </c>
      <c r="I40" s="61">
        <f t="shared" si="3"/>
        <v>219</v>
      </c>
      <c r="J40" s="48">
        <f t="shared" si="13"/>
        <v>30</v>
      </c>
      <c r="K40" s="48">
        <f t="shared" si="13"/>
        <v>95</v>
      </c>
      <c r="L40" s="48">
        <f t="shared" si="13"/>
        <v>160</v>
      </c>
      <c r="M40" s="48">
        <f t="shared" si="13"/>
        <v>225</v>
      </c>
      <c r="N40" s="48">
        <f t="shared" si="13"/>
        <v>291</v>
      </c>
      <c r="O40" s="48">
        <f t="shared" si="13"/>
        <v>356</v>
      </c>
      <c r="P40" s="48">
        <f t="shared" si="13"/>
        <v>421</v>
      </c>
      <c r="Q40" s="48">
        <f t="shared" si="13"/>
        <v>486</v>
      </c>
      <c r="R40" s="48">
        <f t="shared" si="13"/>
        <v>551</v>
      </c>
      <c r="S40" s="48">
        <f t="shared" si="13"/>
        <v>616</v>
      </c>
      <c r="T40" s="48">
        <f t="shared" si="14"/>
        <v>678</v>
      </c>
      <c r="U40" s="48">
        <f t="shared" si="14"/>
        <v>740</v>
      </c>
      <c r="V40" s="48">
        <f t="shared" si="14"/>
        <v>801</v>
      </c>
      <c r="W40" s="48">
        <f t="shared" si="14"/>
        <v>863</v>
      </c>
      <c r="X40" s="48">
        <f t="shared" si="14"/>
        <v>924</v>
      </c>
      <c r="Y40" s="48">
        <f t="shared" si="14"/>
        <v>986</v>
      </c>
      <c r="Z40" s="48">
        <f t="shared" si="14"/>
        <v>1048</v>
      </c>
      <c r="AA40" s="48">
        <f t="shared" si="14"/>
        <v>1109</v>
      </c>
      <c r="AB40" s="48">
        <f t="shared" si="14"/>
        <v>1171</v>
      </c>
      <c r="AC40" s="48">
        <f t="shared" si="14"/>
        <v>1233</v>
      </c>
      <c r="AD40" s="48">
        <f t="shared" si="15"/>
        <v>1294</v>
      </c>
      <c r="AE40" s="48">
        <f t="shared" si="15"/>
        <v>1356</v>
      </c>
      <c r="AF40" s="48">
        <f t="shared" si="15"/>
        <v>1418</v>
      </c>
      <c r="AG40" s="48">
        <f t="shared" si="15"/>
        <v>1479</v>
      </c>
      <c r="AH40" s="48">
        <f t="shared" si="15"/>
        <v>1541</v>
      </c>
      <c r="AI40" s="48">
        <f t="shared" si="15"/>
        <v>1603</v>
      </c>
      <c r="AJ40" s="48">
        <f t="shared" si="15"/>
        <v>1664</v>
      </c>
      <c r="AK40" s="48">
        <f t="shared" si="15"/>
        <v>1726</v>
      </c>
      <c r="AL40" s="48">
        <f t="shared" si="15"/>
        <v>1788</v>
      </c>
      <c r="AM40" s="48">
        <f t="shared" si="15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1"/>
        <v>245</v>
      </c>
      <c r="H41" s="61">
        <f t="shared" si="2"/>
        <v>95</v>
      </c>
      <c r="I41" s="61">
        <f t="shared" si="3"/>
        <v>59</v>
      </c>
      <c r="J41" s="48">
        <f t="shared" si="13"/>
        <v>10</v>
      </c>
      <c r="K41" s="48">
        <f t="shared" si="13"/>
        <v>31</v>
      </c>
      <c r="L41" s="48">
        <f t="shared" si="13"/>
        <v>53</v>
      </c>
      <c r="M41" s="48">
        <f t="shared" si="13"/>
        <v>74</v>
      </c>
      <c r="N41" s="48">
        <f t="shared" si="13"/>
        <v>96</v>
      </c>
      <c r="O41" s="48">
        <f t="shared" si="13"/>
        <v>117</v>
      </c>
      <c r="P41" s="48">
        <f t="shared" si="13"/>
        <v>139</v>
      </c>
      <c r="Q41" s="48">
        <f t="shared" si="13"/>
        <v>160</v>
      </c>
      <c r="R41" s="48">
        <f t="shared" si="13"/>
        <v>182</v>
      </c>
      <c r="S41" s="48">
        <f t="shared" si="13"/>
        <v>203</v>
      </c>
      <c r="T41" s="48">
        <f t="shared" si="14"/>
        <v>224</v>
      </c>
      <c r="U41" s="48">
        <f t="shared" si="14"/>
        <v>244</v>
      </c>
      <c r="V41" s="48">
        <f t="shared" si="14"/>
        <v>265</v>
      </c>
      <c r="W41" s="48">
        <f t="shared" si="14"/>
        <v>285</v>
      </c>
      <c r="X41" s="48">
        <f t="shared" si="14"/>
        <v>305</v>
      </c>
      <c r="Y41" s="48">
        <f t="shared" si="14"/>
        <v>326</v>
      </c>
      <c r="Z41" s="48">
        <f t="shared" si="14"/>
        <v>346</v>
      </c>
      <c r="AA41" s="48">
        <f t="shared" si="14"/>
        <v>366</v>
      </c>
      <c r="AB41" s="48">
        <f t="shared" si="14"/>
        <v>387</v>
      </c>
      <c r="AC41" s="48">
        <f t="shared" si="14"/>
        <v>407</v>
      </c>
      <c r="AD41" s="48">
        <f t="shared" si="15"/>
        <v>428</v>
      </c>
      <c r="AE41" s="48">
        <f t="shared" si="15"/>
        <v>448</v>
      </c>
      <c r="AF41" s="48">
        <f t="shared" si="15"/>
        <v>468</v>
      </c>
      <c r="AG41" s="48">
        <f t="shared" si="15"/>
        <v>489</v>
      </c>
      <c r="AH41" s="48">
        <f t="shared" si="15"/>
        <v>509</v>
      </c>
      <c r="AI41" s="48">
        <f t="shared" si="15"/>
        <v>529</v>
      </c>
      <c r="AJ41" s="48">
        <f t="shared" si="15"/>
        <v>550</v>
      </c>
      <c r="AK41" s="48">
        <f t="shared" si="15"/>
        <v>570</v>
      </c>
      <c r="AL41" s="48">
        <f t="shared" si="15"/>
        <v>591</v>
      </c>
      <c r="AM41" s="48">
        <f t="shared" si="15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1"/>
        <v>295</v>
      </c>
      <c r="H42" s="61">
        <f t="shared" si="2"/>
        <v>171</v>
      </c>
      <c r="I42" s="61">
        <f t="shared" si="3"/>
        <v>108</v>
      </c>
      <c r="J42" s="48">
        <f t="shared" si="13"/>
        <v>26</v>
      </c>
      <c r="K42" s="48">
        <f t="shared" si="13"/>
        <v>84</v>
      </c>
      <c r="L42" s="48">
        <f t="shared" si="13"/>
        <v>142</v>
      </c>
      <c r="M42" s="48">
        <f t="shared" si="13"/>
        <v>199</v>
      </c>
      <c r="N42" s="48">
        <f t="shared" si="13"/>
        <v>257</v>
      </c>
      <c r="O42" s="48">
        <f t="shared" si="13"/>
        <v>314</v>
      </c>
      <c r="P42" s="48">
        <f t="shared" si="13"/>
        <v>372</v>
      </c>
      <c r="Q42" s="48">
        <f t="shared" si="13"/>
        <v>429</v>
      </c>
      <c r="R42" s="48">
        <f t="shared" si="13"/>
        <v>487</v>
      </c>
      <c r="S42" s="48">
        <f t="shared" si="13"/>
        <v>544</v>
      </c>
      <c r="T42" s="48">
        <f t="shared" si="14"/>
        <v>599</v>
      </c>
      <c r="U42" s="48">
        <f t="shared" si="14"/>
        <v>653</v>
      </c>
      <c r="V42" s="48">
        <f t="shared" si="14"/>
        <v>708</v>
      </c>
      <c r="W42" s="48">
        <f t="shared" si="14"/>
        <v>762</v>
      </c>
      <c r="X42" s="48">
        <f t="shared" si="14"/>
        <v>817</v>
      </c>
      <c r="Y42" s="48">
        <f t="shared" si="14"/>
        <v>871</v>
      </c>
      <c r="Z42" s="48">
        <f t="shared" si="14"/>
        <v>925</v>
      </c>
      <c r="AA42" s="48">
        <f t="shared" si="14"/>
        <v>980</v>
      </c>
      <c r="AB42" s="48">
        <f t="shared" si="14"/>
        <v>1034</v>
      </c>
      <c r="AC42" s="48">
        <f t="shared" si="14"/>
        <v>1089</v>
      </c>
      <c r="AD42" s="48">
        <f t="shared" si="15"/>
        <v>1143</v>
      </c>
      <c r="AE42" s="48">
        <f t="shared" si="15"/>
        <v>1198</v>
      </c>
      <c r="AF42" s="48">
        <f t="shared" si="15"/>
        <v>1252</v>
      </c>
      <c r="AG42" s="48">
        <f t="shared" si="15"/>
        <v>1307</v>
      </c>
      <c r="AH42" s="48">
        <f t="shared" si="15"/>
        <v>1361</v>
      </c>
      <c r="AI42" s="48">
        <f t="shared" si="15"/>
        <v>1416</v>
      </c>
      <c r="AJ42" s="48">
        <f t="shared" si="15"/>
        <v>1470</v>
      </c>
      <c r="AK42" s="48">
        <f t="shared" si="15"/>
        <v>1525</v>
      </c>
      <c r="AL42" s="48">
        <f t="shared" si="15"/>
        <v>1579</v>
      </c>
      <c r="AM42" s="48">
        <f t="shared" si="15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1"/>
        <v>95</v>
      </c>
      <c r="H43" s="61">
        <f t="shared" si="2"/>
        <v>98</v>
      </c>
      <c r="I43" s="61">
        <f t="shared" si="3"/>
        <v>91</v>
      </c>
      <c r="J43" s="48">
        <f t="shared" ref="J43:S52" si="16">MAX(10,INT(SQRT($G43*$I43)*$H43*J$1^2/10))</f>
        <v>10</v>
      </c>
      <c r="K43" s="48">
        <f t="shared" si="16"/>
        <v>25</v>
      </c>
      <c r="L43" s="48">
        <f t="shared" si="16"/>
        <v>42</v>
      </c>
      <c r="M43" s="48">
        <f t="shared" si="16"/>
        <v>59</v>
      </c>
      <c r="N43" s="48">
        <f t="shared" si="16"/>
        <v>76</v>
      </c>
      <c r="O43" s="48">
        <f t="shared" si="16"/>
        <v>93</v>
      </c>
      <c r="P43" s="48">
        <f t="shared" si="16"/>
        <v>111</v>
      </c>
      <c r="Q43" s="48">
        <f t="shared" si="16"/>
        <v>128</v>
      </c>
      <c r="R43" s="48">
        <f t="shared" si="16"/>
        <v>145</v>
      </c>
      <c r="S43" s="48">
        <f t="shared" si="16"/>
        <v>162</v>
      </c>
      <c r="T43" s="48">
        <f t="shared" ref="T43:AC52" si="17">MAX(10,INT(SQRT($G43*$I43)*$H43*T$1^2/10))</f>
        <v>178</v>
      </c>
      <c r="U43" s="48">
        <f t="shared" si="17"/>
        <v>195</v>
      </c>
      <c r="V43" s="48">
        <f t="shared" si="17"/>
        <v>211</v>
      </c>
      <c r="W43" s="48">
        <f t="shared" si="17"/>
        <v>227</v>
      </c>
      <c r="X43" s="48">
        <f t="shared" si="17"/>
        <v>243</v>
      </c>
      <c r="Y43" s="48">
        <f t="shared" si="17"/>
        <v>260</v>
      </c>
      <c r="Z43" s="48">
        <f t="shared" si="17"/>
        <v>276</v>
      </c>
      <c r="AA43" s="48">
        <f t="shared" si="17"/>
        <v>292</v>
      </c>
      <c r="AB43" s="48">
        <f t="shared" si="17"/>
        <v>308</v>
      </c>
      <c r="AC43" s="48">
        <f t="shared" si="17"/>
        <v>325</v>
      </c>
      <c r="AD43" s="48">
        <f t="shared" ref="AD43:AM52" si="18">MAX(10,INT(SQRT($G43*$I43)*$H43*AD$1^2/10))</f>
        <v>341</v>
      </c>
      <c r="AE43" s="48">
        <f t="shared" si="18"/>
        <v>357</v>
      </c>
      <c r="AF43" s="48">
        <f t="shared" si="18"/>
        <v>373</v>
      </c>
      <c r="AG43" s="48">
        <f t="shared" si="18"/>
        <v>390</v>
      </c>
      <c r="AH43" s="48">
        <f t="shared" si="18"/>
        <v>406</v>
      </c>
      <c r="AI43" s="48">
        <f t="shared" si="18"/>
        <v>422</v>
      </c>
      <c r="AJ43" s="48">
        <f t="shared" si="18"/>
        <v>439</v>
      </c>
      <c r="AK43" s="48">
        <f t="shared" si="18"/>
        <v>455</v>
      </c>
      <c r="AL43" s="48">
        <f t="shared" si="18"/>
        <v>471</v>
      </c>
      <c r="AM43" s="48">
        <f t="shared" si="18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1"/>
        <v>165</v>
      </c>
      <c r="H44" s="61">
        <f t="shared" si="2"/>
        <v>176</v>
      </c>
      <c r="I44" s="61">
        <f t="shared" si="3"/>
        <v>168</v>
      </c>
      <c r="J44" s="48">
        <f t="shared" si="16"/>
        <v>25</v>
      </c>
      <c r="K44" s="48">
        <f t="shared" si="16"/>
        <v>81</v>
      </c>
      <c r="L44" s="48">
        <f t="shared" si="16"/>
        <v>136</v>
      </c>
      <c r="M44" s="48">
        <f t="shared" si="16"/>
        <v>191</v>
      </c>
      <c r="N44" s="48">
        <f t="shared" si="16"/>
        <v>246</v>
      </c>
      <c r="O44" s="48">
        <f t="shared" si="16"/>
        <v>302</v>
      </c>
      <c r="P44" s="48">
        <f t="shared" si="16"/>
        <v>357</v>
      </c>
      <c r="Q44" s="48">
        <f t="shared" si="16"/>
        <v>412</v>
      </c>
      <c r="R44" s="48">
        <f t="shared" si="16"/>
        <v>467</v>
      </c>
      <c r="S44" s="48">
        <f t="shared" si="16"/>
        <v>523</v>
      </c>
      <c r="T44" s="48">
        <f t="shared" si="17"/>
        <v>575</v>
      </c>
      <c r="U44" s="48">
        <f t="shared" si="17"/>
        <v>627</v>
      </c>
      <c r="V44" s="48">
        <f t="shared" si="17"/>
        <v>679</v>
      </c>
      <c r="W44" s="48">
        <f t="shared" si="17"/>
        <v>732</v>
      </c>
      <c r="X44" s="48">
        <f t="shared" si="17"/>
        <v>784</v>
      </c>
      <c r="Y44" s="48">
        <f t="shared" si="17"/>
        <v>836</v>
      </c>
      <c r="Z44" s="48">
        <f t="shared" si="17"/>
        <v>888</v>
      </c>
      <c r="AA44" s="48">
        <f t="shared" si="17"/>
        <v>941</v>
      </c>
      <c r="AB44" s="48">
        <f t="shared" si="17"/>
        <v>993</v>
      </c>
      <c r="AC44" s="48">
        <f t="shared" si="17"/>
        <v>1045</v>
      </c>
      <c r="AD44" s="48">
        <f t="shared" si="18"/>
        <v>1098</v>
      </c>
      <c r="AE44" s="48">
        <f t="shared" si="18"/>
        <v>1150</v>
      </c>
      <c r="AF44" s="48">
        <f t="shared" si="18"/>
        <v>1202</v>
      </c>
      <c r="AG44" s="48">
        <f t="shared" si="18"/>
        <v>1254</v>
      </c>
      <c r="AH44" s="48">
        <f t="shared" si="18"/>
        <v>1307</v>
      </c>
      <c r="AI44" s="48">
        <f t="shared" si="18"/>
        <v>1359</v>
      </c>
      <c r="AJ44" s="48">
        <f t="shared" si="18"/>
        <v>1411</v>
      </c>
      <c r="AK44" s="48">
        <f t="shared" si="18"/>
        <v>1464</v>
      </c>
      <c r="AL44" s="48">
        <f t="shared" si="18"/>
        <v>1516</v>
      </c>
      <c r="AM44" s="48">
        <f t="shared" si="18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1"/>
        <v>105</v>
      </c>
      <c r="H45" s="61">
        <f t="shared" si="2"/>
        <v>146</v>
      </c>
      <c r="I45" s="61">
        <f t="shared" si="3"/>
        <v>131</v>
      </c>
      <c r="J45" s="48">
        <f t="shared" si="16"/>
        <v>15</v>
      </c>
      <c r="K45" s="48">
        <f t="shared" si="16"/>
        <v>47</v>
      </c>
      <c r="L45" s="48">
        <f t="shared" si="16"/>
        <v>79</v>
      </c>
      <c r="M45" s="48">
        <f t="shared" si="16"/>
        <v>111</v>
      </c>
      <c r="N45" s="48">
        <f t="shared" si="16"/>
        <v>144</v>
      </c>
      <c r="O45" s="48">
        <f t="shared" si="16"/>
        <v>176</v>
      </c>
      <c r="P45" s="48">
        <f t="shared" si="16"/>
        <v>208</v>
      </c>
      <c r="Q45" s="48">
        <f t="shared" si="16"/>
        <v>241</v>
      </c>
      <c r="R45" s="48">
        <f t="shared" si="16"/>
        <v>273</v>
      </c>
      <c r="S45" s="48">
        <f t="shared" si="16"/>
        <v>305</v>
      </c>
      <c r="T45" s="48">
        <f t="shared" si="17"/>
        <v>336</v>
      </c>
      <c r="U45" s="48">
        <f t="shared" si="17"/>
        <v>366</v>
      </c>
      <c r="V45" s="48">
        <f t="shared" si="17"/>
        <v>397</v>
      </c>
      <c r="W45" s="48">
        <f t="shared" si="17"/>
        <v>427</v>
      </c>
      <c r="X45" s="48">
        <f t="shared" si="17"/>
        <v>458</v>
      </c>
      <c r="Y45" s="48">
        <f t="shared" si="17"/>
        <v>488</v>
      </c>
      <c r="Z45" s="48">
        <f t="shared" si="17"/>
        <v>519</v>
      </c>
      <c r="AA45" s="48">
        <f t="shared" si="17"/>
        <v>550</v>
      </c>
      <c r="AB45" s="48">
        <f t="shared" si="17"/>
        <v>580</v>
      </c>
      <c r="AC45" s="48">
        <f t="shared" si="17"/>
        <v>611</v>
      </c>
      <c r="AD45" s="48">
        <f t="shared" si="18"/>
        <v>641</v>
      </c>
      <c r="AE45" s="48">
        <f t="shared" si="18"/>
        <v>672</v>
      </c>
      <c r="AF45" s="48">
        <f t="shared" si="18"/>
        <v>702</v>
      </c>
      <c r="AG45" s="48">
        <f t="shared" si="18"/>
        <v>733</v>
      </c>
      <c r="AH45" s="48">
        <f t="shared" si="18"/>
        <v>763</v>
      </c>
      <c r="AI45" s="48">
        <f t="shared" si="18"/>
        <v>794</v>
      </c>
      <c r="AJ45" s="48">
        <f t="shared" si="18"/>
        <v>825</v>
      </c>
      <c r="AK45" s="48">
        <f t="shared" si="18"/>
        <v>855</v>
      </c>
      <c r="AL45" s="48">
        <f t="shared" si="18"/>
        <v>886</v>
      </c>
      <c r="AM45" s="48">
        <f t="shared" si="18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1"/>
        <v>135</v>
      </c>
      <c r="H46" s="61">
        <f t="shared" si="2"/>
        <v>168</v>
      </c>
      <c r="I46" s="61">
        <f t="shared" si="3"/>
        <v>154</v>
      </c>
      <c r="J46" s="48">
        <f t="shared" si="16"/>
        <v>21</v>
      </c>
      <c r="K46" s="48">
        <f t="shared" si="16"/>
        <v>67</v>
      </c>
      <c r="L46" s="48">
        <f t="shared" si="16"/>
        <v>112</v>
      </c>
      <c r="M46" s="48">
        <f t="shared" si="16"/>
        <v>158</v>
      </c>
      <c r="N46" s="48">
        <f t="shared" si="16"/>
        <v>204</v>
      </c>
      <c r="O46" s="48">
        <f t="shared" si="16"/>
        <v>249</v>
      </c>
      <c r="P46" s="48">
        <f t="shared" si="16"/>
        <v>295</v>
      </c>
      <c r="Q46" s="48">
        <f t="shared" si="16"/>
        <v>341</v>
      </c>
      <c r="R46" s="48">
        <f t="shared" si="16"/>
        <v>386</v>
      </c>
      <c r="S46" s="48">
        <f t="shared" si="16"/>
        <v>432</v>
      </c>
      <c r="T46" s="48">
        <f t="shared" si="17"/>
        <v>475</v>
      </c>
      <c r="U46" s="48">
        <f t="shared" si="17"/>
        <v>518</v>
      </c>
      <c r="V46" s="48">
        <f t="shared" si="17"/>
        <v>562</v>
      </c>
      <c r="W46" s="48">
        <f t="shared" si="17"/>
        <v>605</v>
      </c>
      <c r="X46" s="48">
        <f t="shared" si="17"/>
        <v>648</v>
      </c>
      <c r="Y46" s="48">
        <f t="shared" si="17"/>
        <v>691</v>
      </c>
      <c r="Z46" s="48">
        <f t="shared" si="17"/>
        <v>734</v>
      </c>
      <c r="AA46" s="48">
        <f t="shared" si="17"/>
        <v>778</v>
      </c>
      <c r="AB46" s="48">
        <f t="shared" si="17"/>
        <v>821</v>
      </c>
      <c r="AC46" s="48">
        <f t="shared" si="17"/>
        <v>864</v>
      </c>
      <c r="AD46" s="48">
        <f t="shared" si="18"/>
        <v>907</v>
      </c>
      <c r="AE46" s="48">
        <f t="shared" si="18"/>
        <v>950</v>
      </c>
      <c r="AF46" s="48">
        <f t="shared" si="18"/>
        <v>994</v>
      </c>
      <c r="AG46" s="48">
        <f t="shared" si="18"/>
        <v>1037</v>
      </c>
      <c r="AH46" s="48">
        <f t="shared" si="18"/>
        <v>1080</v>
      </c>
      <c r="AI46" s="48">
        <f t="shared" si="18"/>
        <v>1123</v>
      </c>
      <c r="AJ46" s="48">
        <f t="shared" si="18"/>
        <v>1167</v>
      </c>
      <c r="AK46" s="48">
        <f t="shared" si="18"/>
        <v>1210</v>
      </c>
      <c r="AL46" s="48">
        <f t="shared" si="18"/>
        <v>1253</v>
      </c>
      <c r="AM46" s="48">
        <f t="shared" si="18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1"/>
        <v>165</v>
      </c>
      <c r="H47" s="61">
        <f t="shared" si="2"/>
        <v>217</v>
      </c>
      <c r="I47" s="61">
        <f t="shared" si="3"/>
        <v>185</v>
      </c>
      <c r="J47" s="48">
        <f t="shared" si="16"/>
        <v>33</v>
      </c>
      <c r="K47" s="48">
        <f t="shared" si="16"/>
        <v>104</v>
      </c>
      <c r="L47" s="48">
        <f t="shared" si="16"/>
        <v>176</v>
      </c>
      <c r="M47" s="48">
        <f t="shared" si="16"/>
        <v>247</v>
      </c>
      <c r="N47" s="48">
        <f t="shared" si="16"/>
        <v>319</v>
      </c>
      <c r="O47" s="48">
        <f t="shared" si="16"/>
        <v>390</v>
      </c>
      <c r="P47" s="48">
        <f t="shared" si="16"/>
        <v>462</v>
      </c>
      <c r="Q47" s="48">
        <f t="shared" si="16"/>
        <v>533</v>
      </c>
      <c r="R47" s="48">
        <f t="shared" si="16"/>
        <v>605</v>
      </c>
      <c r="S47" s="48">
        <f t="shared" si="16"/>
        <v>676</v>
      </c>
      <c r="T47" s="48">
        <f t="shared" si="17"/>
        <v>744</v>
      </c>
      <c r="U47" s="48">
        <f t="shared" si="17"/>
        <v>812</v>
      </c>
      <c r="V47" s="48">
        <f t="shared" si="17"/>
        <v>879</v>
      </c>
      <c r="W47" s="48">
        <f t="shared" si="17"/>
        <v>947</v>
      </c>
      <c r="X47" s="48">
        <f t="shared" si="17"/>
        <v>1014</v>
      </c>
      <c r="Y47" s="48">
        <f t="shared" si="17"/>
        <v>1082</v>
      </c>
      <c r="Z47" s="48">
        <f t="shared" si="17"/>
        <v>1150</v>
      </c>
      <c r="AA47" s="48">
        <f t="shared" si="17"/>
        <v>1217</v>
      </c>
      <c r="AB47" s="48">
        <f t="shared" si="17"/>
        <v>1285</v>
      </c>
      <c r="AC47" s="48">
        <f t="shared" si="17"/>
        <v>1353</v>
      </c>
      <c r="AD47" s="48">
        <f t="shared" si="18"/>
        <v>1420</v>
      </c>
      <c r="AE47" s="48">
        <f t="shared" si="18"/>
        <v>1488</v>
      </c>
      <c r="AF47" s="48">
        <f t="shared" si="18"/>
        <v>1556</v>
      </c>
      <c r="AG47" s="48">
        <f t="shared" si="18"/>
        <v>1623</v>
      </c>
      <c r="AH47" s="48">
        <f t="shared" si="18"/>
        <v>1691</v>
      </c>
      <c r="AI47" s="48">
        <f t="shared" si="18"/>
        <v>1759</v>
      </c>
      <c r="AJ47" s="48">
        <f t="shared" si="18"/>
        <v>1826</v>
      </c>
      <c r="AK47" s="48">
        <f t="shared" si="18"/>
        <v>1894</v>
      </c>
      <c r="AL47" s="48">
        <f t="shared" si="18"/>
        <v>1962</v>
      </c>
      <c r="AM47" s="48">
        <f t="shared" si="18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1"/>
        <v>85</v>
      </c>
      <c r="H48" s="61">
        <f t="shared" si="2"/>
        <v>136</v>
      </c>
      <c r="I48" s="61">
        <f t="shared" si="3"/>
        <v>114</v>
      </c>
      <c r="J48" s="48">
        <f t="shared" si="16"/>
        <v>11</v>
      </c>
      <c r="K48" s="48">
        <f t="shared" si="16"/>
        <v>37</v>
      </c>
      <c r="L48" s="48">
        <f t="shared" si="16"/>
        <v>62</v>
      </c>
      <c r="M48" s="48">
        <f t="shared" si="16"/>
        <v>87</v>
      </c>
      <c r="N48" s="48">
        <f t="shared" si="16"/>
        <v>112</v>
      </c>
      <c r="O48" s="48">
        <f t="shared" si="16"/>
        <v>138</v>
      </c>
      <c r="P48" s="48">
        <f t="shared" si="16"/>
        <v>163</v>
      </c>
      <c r="Q48" s="48">
        <f t="shared" si="16"/>
        <v>188</v>
      </c>
      <c r="R48" s="48">
        <f t="shared" si="16"/>
        <v>213</v>
      </c>
      <c r="S48" s="48">
        <f t="shared" si="16"/>
        <v>238</v>
      </c>
      <c r="T48" s="48">
        <f t="shared" si="17"/>
        <v>262</v>
      </c>
      <c r="U48" s="48">
        <f t="shared" si="17"/>
        <v>286</v>
      </c>
      <c r="V48" s="48">
        <f t="shared" si="17"/>
        <v>310</v>
      </c>
      <c r="W48" s="48">
        <f t="shared" si="17"/>
        <v>334</v>
      </c>
      <c r="X48" s="48">
        <f t="shared" si="17"/>
        <v>358</v>
      </c>
      <c r="Y48" s="48">
        <f t="shared" si="17"/>
        <v>382</v>
      </c>
      <c r="Z48" s="48">
        <f t="shared" si="17"/>
        <v>406</v>
      </c>
      <c r="AA48" s="48">
        <f t="shared" si="17"/>
        <v>430</v>
      </c>
      <c r="AB48" s="48">
        <f t="shared" si="17"/>
        <v>453</v>
      </c>
      <c r="AC48" s="48">
        <f t="shared" si="17"/>
        <v>477</v>
      </c>
      <c r="AD48" s="48">
        <f t="shared" si="18"/>
        <v>501</v>
      </c>
      <c r="AE48" s="48">
        <f t="shared" si="18"/>
        <v>525</v>
      </c>
      <c r="AF48" s="48">
        <f t="shared" si="18"/>
        <v>549</v>
      </c>
      <c r="AG48" s="48">
        <f t="shared" si="18"/>
        <v>573</v>
      </c>
      <c r="AH48" s="48">
        <f t="shared" si="18"/>
        <v>597</v>
      </c>
      <c r="AI48" s="48">
        <f t="shared" si="18"/>
        <v>621</v>
      </c>
      <c r="AJ48" s="48">
        <f t="shared" si="18"/>
        <v>645</v>
      </c>
      <c r="AK48" s="48">
        <f t="shared" si="18"/>
        <v>668</v>
      </c>
      <c r="AL48" s="48">
        <f t="shared" si="18"/>
        <v>692</v>
      </c>
      <c r="AM48" s="48">
        <f t="shared" si="18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1"/>
        <v>135</v>
      </c>
      <c r="H49" s="61">
        <f t="shared" si="2"/>
        <v>180</v>
      </c>
      <c r="I49" s="61">
        <f t="shared" si="3"/>
        <v>161</v>
      </c>
      <c r="J49" s="48">
        <f t="shared" si="16"/>
        <v>23</v>
      </c>
      <c r="K49" s="48">
        <f t="shared" si="16"/>
        <v>73</v>
      </c>
      <c r="L49" s="48">
        <f t="shared" si="16"/>
        <v>123</v>
      </c>
      <c r="M49" s="48">
        <f t="shared" si="16"/>
        <v>173</v>
      </c>
      <c r="N49" s="48">
        <f t="shared" si="16"/>
        <v>223</v>
      </c>
      <c r="O49" s="48">
        <f t="shared" si="16"/>
        <v>273</v>
      </c>
      <c r="P49" s="48">
        <f t="shared" si="16"/>
        <v>323</v>
      </c>
      <c r="Q49" s="48">
        <f t="shared" si="16"/>
        <v>373</v>
      </c>
      <c r="R49" s="48">
        <f t="shared" si="16"/>
        <v>423</v>
      </c>
      <c r="S49" s="48">
        <f t="shared" si="16"/>
        <v>473</v>
      </c>
      <c r="T49" s="48">
        <f t="shared" si="17"/>
        <v>521</v>
      </c>
      <c r="U49" s="48">
        <f t="shared" si="17"/>
        <v>568</v>
      </c>
      <c r="V49" s="48">
        <f t="shared" si="17"/>
        <v>615</v>
      </c>
      <c r="W49" s="48">
        <f t="shared" si="17"/>
        <v>663</v>
      </c>
      <c r="X49" s="48">
        <f t="shared" si="17"/>
        <v>710</v>
      </c>
      <c r="Y49" s="48">
        <f t="shared" si="17"/>
        <v>757</v>
      </c>
      <c r="Z49" s="48">
        <f t="shared" si="17"/>
        <v>805</v>
      </c>
      <c r="AA49" s="48">
        <f t="shared" si="17"/>
        <v>852</v>
      </c>
      <c r="AB49" s="48">
        <f t="shared" si="17"/>
        <v>899</v>
      </c>
      <c r="AC49" s="48">
        <f t="shared" si="17"/>
        <v>947</v>
      </c>
      <c r="AD49" s="48">
        <f t="shared" si="18"/>
        <v>994</v>
      </c>
      <c r="AE49" s="48">
        <f t="shared" si="18"/>
        <v>1041</v>
      </c>
      <c r="AF49" s="48">
        <f t="shared" si="18"/>
        <v>1089</v>
      </c>
      <c r="AG49" s="48">
        <f t="shared" si="18"/>
        <v>1136</v>
      </c>
      <c r="AH49" s="48">
        <f t="shared" si="18"/>
        <v>1183</v>
      </c>
      <c r="AI49" s="48">
        <f t="shared" si="18"/>
        <v>1231</v>
      </c>
      <c r="AJ49" s="48">
        <f t="shared" si="18"/>
        <v>1278</v>
      </c>
      <c r="AK49" s="48">
        <f t="shared" si="18"/>
        <v>1326</v>
      </c>
      <c r="AL49" s="48">
        <f t="shared" si="18"/>
        <v>1373</v>
      </c>
      <c r="AM49" s="48">
        <f t="shared" si="18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1"/>
        <v>135</v>
      </c>
      <c r="H50" s="61">
        <f t="shared" si="2"/>
        <v>115</v>
      </c>
      <c r="I50" s="61">
        <f t="shared" si="3"/>
        <v>117</v>
      </c>
      <c r="J50" s="48">
        <f t="shared" si="16"/>
        <v>12</v>
      </c>
      <c r="K50" s="48">
        <f t="shared" si="16"/>
        <v>40</v>
      </c>
      <c r="L50" s="48">
        <f t="shared" si="16"/>
        <v>67</v>
      </c>
      <c r="M50" s="48">
        <f t="shared" si="16"/>
        <v>94</v>
      </c>
      <c r="N50" s="48">
        <f t="shared" si="16"/>
        <v>121</v>
      </c>
      <c r="O50" s="48">
        <f t="shared" si="16"/>
        <v>149</v>
      </c>
      <c r="P50" s="48">
        <f t="shared" si="16"/>
        <v>176</v>
      </c>
      <c r="Q50" s="48">
        <f t="shared" si="16"/>
        <v>203</v>
      </c>
      <c r="R50" s="48">
        <f t="shared" si="16"/>
        <v>230</v>
      </c>
      <c r="S50" s="48">
        <f t="shared" si="16"/>
        <v>257</v>
      </c>
      <c r="T50" s="48">
        <f t="shared" si="17"/>
        <v>283</v>
      </c>
      <c r="U50" s="48">
        <f t="shared" si="17"/>
        <v>309</v>
      </c>
      <c r="V50" s="48">
        <f t="shared" si="17"/>
        <v>335</v>
      </c>
      <c r="W50" s="48">
        <f t="shared" si="17"/>
        <v>361</v>
      </c>
      <c r="X50" s="48">
        <f t="shared" si="17"/>
        <v>386</v>
      </c>
      <c r="Y50" s="48">
        <f t="shared" si="17"/>
        <v>412</v>
      </c>
      <c r="Z50" s="48">
        <f t="shared" si="17"/>
        <v>438</v>
      </c>
      <c r="AA50" s="48">
        <f t="shared" si="17"/>
        <v>464</v>
      </c>
      <c r="AB50" s="48">
        <f t="shared" si="17"/>
        <v>490</v>
      </c>
      <c r="AC50" s="48">
        <f t="shared" si="17"/>
        <v>515</v>
      </c>
      <c r="AD50" s="48">
        <f t="shared" si="18"/>
        <v>541</v>
      </c>
      <c r="AE50" s="48">
        <f t="shared" si="18"/>
        <v>567</v>
      </c>
      <c r="AF50" s="48">
        <f t="shared" si="18"/>
        <v>593</v>
      </c>
      <c r="AG50" s="48">
        <f t="shared" si="18"/>
        <v>619</v>
      </c>
      <c r="AH50" s="48">
        <f t="shared" si="18"/>
        <v>644</v>
      </c>
      <c r="AI50" s="48">
        <f t="shared" si="18"/>
        <v>670</v>
      </c>
      <c r="AJ50" s="48">
        <f t="shared" si="18"/>
        <v>696</v>
      </c>
      <c r="AK50" s="48">
        <f t="shared" si="18"/>
        <v>722</v>
      </c>
      <c r="AL50" s="48">
        <f t="shared" si="18"/>
        <v>747</v>
      </c>
      <c r="AM50" s="48">
        <f t="shared" si="1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1"/>
        <v>155</v>
      </c>
      <c r="H51" s="61">
        <f t="shared" si="2"/>
        <v>194</v>
      </c>
      <c r="I51" s="61">
        <f t="shared" si="3"/>
        <v>165</v>
      </c>
      <c r="J51" s="48">
        <f t="shared" si="16"/>
        <v>27</v>
      </c>
      <c r="K51" s="48">
        <f t="shared" si="16"/>
        <v>85</v>
      </c>
      <c r="L51" s="48">
        <f t="shared" si="16"/>
        <v>144</v>
      </c>
      <c r="M51" s="48">
        <f t="shared" si="16"/>
        <v>202</v>
      </c>
      <c r="N51" s="48">
        <f t="shared" si="16"/>
        <v>261</v>
      </c>
      <c r="O51" s="48">
        <f t="shared" si="16"/>
        <v>319</v>
      </c>
      <c r="P51" s="48">
        <f t="shared" si="16"/>
        <v>378</v>
      </c>
      <c r="Q51" s="48">
        <f t="shared" si="16"/>
        <v>436</v>
      </c>
      <c r="R51" s="48">
        <f t="shared" si="16"/>
        <v>495</v>
      </c>
      <c r="S51" s="48">
        <f t="shared" si="16"/>
        <v>553</v>
      </c>
      <c r="T51" s="48">
        <f t="shared" si="17"/>
        <v>609</v>
      </c>
      <c r="U51" s="48">
        <f t="shared" si="17"/>
        <v>664</v>
      </c>
      <c r="V51" s="48">
        <f t="shared" si="17"/>
        <v>719</v>
      </c>
      <c r="W51" s="48">
        <f t="shared" si="17"/>
        <v>775</v>
      </c>
      <c r="X51" s="48">
        <f t="shared" si="17"/>
        <v>830</v>
      </c>
      <c r="Y51" s="48">
        <f t="shared" si="17"/>
        <v>885</v>
      </c>
      <c r="Z51" s="48">
        <f t="shared" si="17"/>
        <v>941</v>
      </c>
      <c r="AA51" s="48">
        <f t="shared" si="17"/>
        <v>996</v>
      </c>
      <c r="AB51" s="48">
        <f t="shared" si="17"/>
        <v>1051</v>
      </c>
      <c r="AC51" s="48">
        <f t="shared" si="17"/>
        <v>1107</v>
      </c>
      <c r="AD51" s="48">
        <f t="shared" si="18"/>
        <v>1162</v>
      </c>
      <c r="AE51" s="48">
        <f t="shared" si="18"/>
        <v>1217</v>
      </c>
      <c r="AF51" s="48">
        <f t="shared" si="18"/>
        <v>1273</v>
      </c>
      <c r="AG51" s="48">
        <f t="shared" si="18"/>
        <v>1328</v>
      </c>
      <c r="AH51" s="48">
        <f t="shared" si="18"/>
        <v>1384</v>
      </c>
      <c r="AI51" s="48">
        <f t="shared" si="18"/>
        <v>1439</v>
      </c>
      <c r="AJ51" s="48">
        <f t="shared" si="18"/>
        <v>1494</v>
      </c>
      <c r="AK51" s="48">
        <f t="shared" si="18"/>
        <v>1550</v>
      </c>
      <c r="AL51" s="48">
        <f t="shared" si="18"/>
        <v>1605</v>
      </c>
      <c r="AM51" s="48">
        <f t="shared" si="1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1"/>
        <v>35</v>
      </c>
      <c r="H52" s="61">
        <f t="shared" si="2"/>
        <v>124</v>
      </c>
      <c r="I52" s="61">
        <f t="shared" si="3"/>
        <v>103</v>
      </c>
      <c r="J52" s="48">
        <f t="shared" si="16"/>
        <v>10</v>
      </c>
      <c r="K52" s="48">
        <f t="shared" si="16"/>
        <v>20</v>
      </c>
      <c r="L52" s="48">
        <f t="shared" si="16"/>
        <v>34</v>
      </c>
      <c r="M52" s="48">
        <f t="shared" si="16"/>
        <v>48</v>
      </c>
      <c r="N52" s="48">
        <f t="shared" si="16"/>
        <v>62</v>
      </c>
      <c r="O52" s="48">
        <f t="shared" si="16"/>
        <v>76</v>
      </c>
      <c r="P52" s="48">
        <f t="shared" si="16"/>
        <v>90</v>
      </c>
      <c r="Q52" s="48">
        <f t="shared" si="16"/>
        <v>104</v>
      </c>
      <c r="R52" s="48">
        <f t="shared" si="16"/>
        <v>118</v>
      </c>
      <c r="S52" s="48">
        <f t="shared" si="16"/>
        <v>132</v>
      </c>
      <c r="T52" s="48">
        <f t="shared" si="17"/>
        <v>146</v>
      </c>
      <c r="U52" s="48">
        <f t="shared" si="17"/>
        <v>159</v>
      </c>
      <c r="V52" s="48">
        <f t="shared" si="17"/>
        <v>172</v>
      </c>
      <c r="W52" s="48">
        <f t="shared" si="17"/>
        <v>186</v>
      </c>
      <c r="X52" s="48">
        <f t="shared" si="17"/>
        <v>199</v>
      </c>
      <c r="Y52" s="48">
        <f t="shared" si="17"/>
        <v>212</v>
      </c>
      <c r="Z52" s="48">
        <f t="shared" si="17"/>
        <v>225</v>
      </c>
      <c r="AA52" s="48">
        <f t="shared" si="17"/>
        <v>239</v>
      </c>
      <c r="AB52" s="48">
        <f t="shared" si="17"/>
        <v>252</v>
      </c>
      <c r="AC52" s="48">
        <f t="shared" si="17"/>
        <v>265</v>
      </c>
      <c r="AD52" s="48">
        <f t="shared" si="18"/>
        <v>278</v>
      </c>
      <c r="AE52" s="48">
        <f t="shared" si="18"/>
        <v>292</v>
      </c>
      <c r="AF52" s="48">
        <f t="shared" si="18"/>
        <v>305</v>
      </c>
      <c r="AG52" s="48">
        <f t="shared" si="18"/>
        <v>318</v>
      </c>
      <c r="AH52" s="48">
        <f t="shared" si="18"/>
        <v>332</v>
      </c>
      <c r="AI52" s="48">
        <f t="shared" si="18"/>
        <v>345</v>
      </c>
      <c r="AJ52" s="48">
        <f t="shared" si="18"/>
        <v>358</v>
      </c>
      <c r="AK52" s="48">
        <f t="shared" si="18"/>
        <v>372</v>
      </c>
      <c r="AL52" s="48">
        <f t="shared" si="18"/>
        <v>385</v>
      </c>
      <c r="AM52" s="48">
        <f t="shared" si="1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1"/>
        <v>85</v>
      </c>
      <c r="H53" s="61">
        <f t="shared" si="2"/>
        <v>182</v>
      </c>
      <c r="I53" s="61">
        <f t="shared" si="3"/>
        <v>162</v>
      </c>
      <c r="J53" s="48">
        <f t="shared" ref="J53:S62" si="19">MAX(10,INT(SQRT($G53*$I53)*$H53*J$1^2/10))</f>
        <v>18</v>
      </c>
      <c r="K53" s="48">
        <f t="shared" si="19"/>
        <v>59</v>
      </c>
      <c r="L53" s="48">
        <f t="shared" si="19"/>
        <v>99</v>
      </c>
      <c r="M53" s="48">
        <f t="shared" si="19"/>
        <v>139</v>
      </c>
      <c r="N53" s="48">
        <f t="shared" si="19"/>
        <v>179</v>
      </c>
      <c r="O53" s="48">
        <f t="shared" si="19"/>
        <v>220</v>
      </c>
      <c r="P53" s="48">
        <f t="shared" si="19"/>
        <v>260</v>
      </c>
      <c r="Q53" s="48">
        <f t="shared" si="19"/>
        <v>300</v>
      </c>
      <c r="R53" s="48">
        <f t="shared" si="19"/>
        <v>340</v>
      </c>
      <c r="S53" s="48">
        <f t="shared" si="19"/>
        <v>381</v>
      </c>
      <c r="T53" s="48">
        <f t="shared" ref="T53:AC62" si="20">MAX(10,INT(SQRT($G53*$I53)*$H53*T$1^2/10))</f>
        <v>419</v>
      </c>
      <c r="U53" s="48">
        <f t="shared" si="20"/>
        <v>457</v>
      </c>
      <c r="V53" s="48">
        <f t="shared" si="20"/>
        <v>495</v>
      </c>
      <c r="W53" s="48">
        <f t="shared" si="20"/>
        <v>533</v>
      </c>
      <c r="X53" s="48">
        <f t="shared" si="20"/>
        <v>571</v>
      </c>
      <c r="Y53" s="48">
        <f t="shared" si="20"/>
        <v>609</v>
      </c>
      <c r="Z53" s="48">
        <f t="shared" si="20"/>
        <v>647</v>
      </c>
      <c r="AA53" s="48">
        <f t="shared" si="20"/>
        <v>686</v>
      </c>
      <c r="AB53" s="48">
        <f t="shared" si="20"/>
        <v>724</v>
      </c>
      <c r="AC53" s="48">
        <f t="shared" si="20"/>
        <v>762</v>
      </c>
      <c r="AD53" s="48">
        <f t="shared" ref="AD53:AM62" si="21">MAX(10,INT(SQRT($G53*$I53)*$H53*AD$1^2/10))</f>
        <v>800</v>
      </c>
      <c r="AE53" s="48">
        <f t="shared" si="21"/>
        <v>838</v>
      </c>
      <c r="AF53" s="48">
        <f t="shared" si="21"/>
        <v>876</v>
      </c>
      <c r="AG53" s="48">
        <f t="shared" si="21"/>
        <v>914</v>
      </c>
      <c r="AH53" s="48">
        <f t="shared" si="21"/>
        <v>952</v>
      </c>
      <c r="AI53" s="48">
        <f t="shared" si="21"/>
        <v>990</v>
      </c>
      <c r="AJ53" s="48">
        <f t="shared" si="21"/>
        <v>1029</v>
      </c>
      <c r="AK53" s="48">
        <f t="shared" si="21"/>
        <v>1067</v>
      </c>
      <c r="AL53" s="48">
        <f t="shared" si="21"/>
        <v>1105</v>
      </c>
      <c r="AM53" s="48">
        <f t="shared" si="21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1"/>
        <v>95</v>
      </c>
      <c r="H54" s="61">
        <f t="shared" si="2"/>
        <v>107</v>
      </c>
      <c r="I54" s="61">
        <f t="shared" si="3"/>
        <v>96</v>
      </c>
      <c r="J54" s="48">
        <f t="shared" si="19"/>
        <v>10</v>
      </c>
      <c r="K54" s="48">
        <f t="shared" si="19"/>
        <v>28</v>
      </c>
      <c r="L54" s="48">
        <f t="shared" si="19"/>
        <v>47</v>
      </c>
      <c r="M54" s="48">
        <f t="shared" si="19"/>
        <v>66</v>
      </c>
      <c r="N54" s="48">
        <f t="shared" si="19"/>
        <v>86</v>
      </c>
      <c r="O54" s="48">
        <f t="shared" si="19"/>
        <v>105</v>
      </c>
      <c r="P54" s="48">
        <f t="shared" si="19"/>
        <v>124</v>
      </c>
      <c r="Q54" s="48">
        <f t="shared" si="19"/>
        <v>143</v>
      </c>
      <c r="R54" s="48">
        <f t="shared" si="19"/>
        <v>163</v>
      </c>
      <c r="S54" s="48">
        <f t="shared" si="19"/>
        <v>182</v>
      </c>
      <c r="T54" s="48">
        <f t="shared" si="20"/>
        <v>200</v>
      </c>
      <c r="U54" s="48">
        <f t="shared" si="20"/>
        <v>218</v>
      </c>
      <c r="V54" s="48">
        <f t="shared" si="20"/>
        <v>237</v>
      </c>
      <c r="W54" s="48">
        <f t="shared" si="20"/>
        <v>255</v>
      </c>
      <c r="X54" s="48">
        <f t="shared" si="20"/>
        <v>273</v>
      </c>
      <c r="Y54" s="48">
        <f t="shared" si="20"/>
        <v>291</v>
      </c>
      <c r="Z54" s="48">
        <f t="shared" si="20"/>
        <v>309</v>
      </c>
      <c r="AA54" s="48">
        <f t="shared" si="20"/>
        <v>328</v>
      </c>
      <c r="AB54" s="48">
        <f t="shared" si="20"/>
        <v>346</v>
      </c>
      <c r="AC54" s="48">
        <f t="shared" si="20"/>
        <v>364</v>
      </c>
      <c r="AD54" s="48">
        <f t="shared" si="21"/>
        <v>382</v>
      </c>
      <c r="AE54" s="48">
        <f t="shared" si="21"/>
        <v>401</v>
      </c>
      <c r="AF54" s="48">
        <f t="shared" si="21"/>
        <v>419</v>
      </c>
      <c r="AG54" s="48">
        <f t="shared" si="21"/>
        <v>437</v>
      </c>
      <c r="AH54" s="48">
        <f t="shared" si="21"/>
        <v>455</v>
      </c>
      <c r="AI54" s="48">
        <f t="shared" si="21"/>
        <v>474</v>
      </c>
      <c r="AJ54" s="48">
        <f t="shared" si="21"/>
        <v>492</v>
      </c>
      <c r="AK54" s="48">
        <f t="shared" si="21"/>
        <v>510</v>
      </c>
      <c r="AL54" s="48">
        <f t="shared" si="21"/>
        <v>528</v>
      </c>
      <c r="AM54" s="48">
        <f t="shared" si="21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1"/>
        <v>145</v>
      </c>
      <c r="H55" s="61">
        <f t="shared" si="2"/>
        <v>165</v>
      </c>
      <c r="I55" s="61">
        <f t="shared" si="3"/>
        <v>154</v>
      </c>
      <c r="J55" s="48">
        <f t="shared" si="19"/>
        <v>21</v>
      </c>
      <c r="K55" s="48">
        <f t="shared" si="19"/>
        <v>68</v>
      </c>
      <c r="L55" s="48">
        <f t="shared" si="19"/>
        <v>114</v>
      </c>
      <c r="M55" s="48">
        <f t="shared" si="19"/>
        <v>161</v>
      </c>
      <c r="N55" s="48">
        <f t="shared" si="19"/>
        <v>207</v>
      </c>
      <c r="O55" s="48">
        <f t="shared" si="19"/>
        <v>254</v>
      </c>
      <c r="P55" s="48">
        <f t="shared" si="19"/>
        <v>300</v>
      </c>
      <c r="Q55" s="48">
        <f t="shared" si="19"/>
        <v>347</v>
      </c>
      <c r="R55" s="48">
        <f t="shared" si="19"/>
        <v>393</v>
      </c>
      <c r="S55" s="48">
        <f t="shared" si="19"/>
        <v>440</v>
      </c>
      <c r="T55" s="48">
        <f t="shared" si="20"/>
        <v>484</v>
      </c>
      <c r="U55" s="48">
        <f t="shared" si="20"/>
        <v>528</v>
      </c>
      <c r="V55" s="48">
        <f t="shared" si="20"/>
        <v>572</v>
      </c>
      <c r="W55" s="48">
        <f t="shared" si="20"/>
        <v>616</v>
      </c>
      <c r="X55" s="48">
        <f t="shared" si="20"/>
        <v>660</v>
      </c>
      <c r="Y55" s="48">
        <f t="shared" si="20"/>
        <v>704</v>
      </c>
      <c r="Z55" s="48">
        <f t="shared" si="20"/>
        <v>748</v>
      </c>
      <c r="AA55" s="48">
        <f t="shared" si="20"/>
        <v>791</v>
      </c>
      <c r="AB55" s="48">
        <f t="shared" si="20"/>
        <v>835</v>
      </c>
      <c r="AC55" s="48">
        <f t="shared" si="20"/>
        <v>879</v>
      </c>
      <c r="AD55" s="48">
        <f t="shared" si="21"/>
        <v>923</v>
      </c>
      <c r="AE55" s="48">
        <f t="shared" si="21"/>
        <v>967</v>
      </c>
      <c r="AF55" s="48">
        <f t="shared" si="21"/>
        <v>1011</v>
      </c>
      <c r="AG55" s="48">
        <f t="shared" si="21"/>
        <v>1055</v>
      </c>
      <c r="AH55" s="48">
        <f t="shared" si="21"/>
        <v>1100</v>
      </c>
      <c r="AI55" s="48">
        <f t="shared" si="21"/>
        <v>1144</v>
      </c>
      <c r="AJ55" s="48">
        <f t="shared" si="21"/>
        <v>1188</v>
      </c>
      <c r="AK55" s="48">
        <f t="shared" si="21"/>
        <v>1232</v>
      </c>
      <c r="AL55" s="48">
        <f t="shared" si="21"/>
        <v>1276</v>
      </c>
      <c r="AM55" s="48">
        <f t="shared" si="21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1"/>
        <v>115</v>
      </c>
      <c r="H56" s="61">
        <f t="shared" si="2"/>
        <v>137</v>
      </c>
      <c r="I56" s="61">
        <f t="shared" si="3"/>
        <v>111</v>
      </c>
      <c r="J56" s="48">
        <f t="shared" si="19"/>
        <v>13</v>
      </c>
      <c r="K56" s="48">
        <f t="shared" si="19"/>
        <v>42</v>
      </c>
      <c r="L56" s="48">
        <f t="shared" si="19"/>
        <v>72</v>
      </c>
      <c r="M56" s="48">
        <f t="shared" si="19"/>
        <v>101</v>
      </c>
      <c r="N56" s="48">
        <f t="shared" si="19"/>
        <v>130</v>
      </c>
      <c r="O56" s="48">
        <f t="shared" si="19"/>
        <v>159</v>
      </c>
      <c r="P56" s="48">
        <f t="shared" si="19"/>
        <v>188</v>
      </c>
      <c r="Q56" s="48">
        <f t="shared" si="19"/>
        <v>217</v>
      </c>
      <c r="R56" s="48">
        <f t="shared" si="19"/>
        <v>247</v>
      </c>
      <c r="S56" s="48">
        <f t="shared" si="19"/>
        <v>276</v>
      </c>
      <c r="T56" s="48">
        <f t="shared" si="20"/>
        <v>303</v>
      </c>
      <c r="U56" s="48">
        <f t="shared" si="20"/>
        <v>331</v>
      </c>
      <c r="V56" s="48">
        <f t="shared" si="20"/>
        <v>359</v>
      </c>
      <c r="W56" s="48">
        <f t="shared" si="20"/>
        <v>386</v>
      </c>
      <c r="X56" s="48">
        <f t="shared" si="20"/>
        <v>414</v>
      </c>
      <c r="Y56" s="48">
        <f t="shared" si="20"/>
        <v>441</v>
      </c>
      <c r="Z56" s="48">
        <f t="shared" si="20"/>
        <v>469</v>
      </c>
      <c r="AA56" s="48">
        <f t="shared" si="20"/>
        <v>497</v>
      </c>
      <c r="AB56" s="48">
        <f t="shared" si="20"/>
        <v>524</v>
      </c>
      <c r="AC56" s="48">
        <f t="shared" si="20"/>
        <v>552</v>
      </c>
      <c r="AD56" s="48">
        <f t="shared" si="21"/>
        <v>580</v>
      </c>
      <c r="AE56" s="48">
        <f t="shared" si="21"/>
        <v>607</v>
      </c>
      <c r="AF56" s="48">
        <f t="shared" si="21"/>
        <v>635</v>
      </c>
      <c r="AG56" s="48">
        <f t="shared" si="21"/>
        <v>662</v>
      </c>
      <c r="AH56" s="48">
        <f t="shared" si="21"/>
        <v>690</v>
      </c>
      <c r="AI56" s="48">
        <f t="shared" si="21"/>
        <v>718</v>
      </c>
      <c r="AJ56" s="48">
        <f t="shared" si="21"/>
        <v>745</v>
      </c>
      <c r="AK56" s="48">
        <f t="shared" si="21"/>
        <v>773</v>
      </c>
      <c r="AL56" s="48">
        <f t="shared" si="21"/>
        <v>801</v>
      </c>
      <c r="AM56" s="48">
        <f t="shared" si="21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1"/>
        <v>175</v>
      </c>
      <c r="H57" s="61">
        <f t="shared" si="2"/>
        <v>206</v>
      </c>
      <c r="I57" s="61">
        <f t="shared" si="3"/>
        <v>178</v>
      </c>
      <c r="J57" s="48">
        <f t="shared" si="19"/>
        <v>32</v>
      </c>
      <c r="K57" s="48">
        <f t="shared" si="19"/>
        <v>100</v>
      </c>
      <c r="L57" s="48">
        <f t="shared" si="19"/>
        <v>169</v>
      </c>
      <c r="M57" s="48">
        <f t="shared" si="19"/>
        <v>237</v>
      </c>
      <c r="N57" s="48">
        <f t="shared" si="19"/>
        <v>306</v>
      </c>
      <c r="O57" s="48">
        <f t="shared" si="19"/>
        <v>374</v>
      </c>
      <c r="P57" s="48">
        <f t="shared" si="19"/>
        <v>443</v>
      </c>
      <c r="Q57" s="48">
        <f t="shared" si="19"/>
        <v>511</v>
      </c>
      <c r="R57" s="48">
        <f t="shared" si="19"/>
        <v>580</v>
      </c>
      <c r="S57" s="48">
        <f t="shared" si="19"/>
        <v>649</v>
      </c>
      <c r="T57" s="48">
        <f t="shared" si="20"/>
        <v>713</v>
      </c>
      <c r="U57" s="48">
        <f t="shared" si="20"/>
        <v>778</v>
      </c>
      <c r="V57" s="48">
        <f t="shared" si="20"/>
        <v>843</v>
      </c>
      <c r="W57" s="48">
        <f t="shared" si="20"/>
        <v>908</v>
      </c>
      <c r="X57" s="48">
        <f t="shared" si="20"/>
        <v>973</v>
      </c>
      <c r="Y57" s="48">
        <f t="shared" si="20"/>
        <v>1038</v>
      </c>
      <c r="Z57" s="48">
        <f t="shared" si="20"/>
        <v>1102</v>
      </c>
      <c r="AA57" s="48">
        <f t="shared" si="20"/>
        <v>1167</v>
      </c>
      <c r="AB57" s="48">
        <f t="shared" si="20"/>
        <v>1232</v>
      </c>
      <c r="AC57" s="48">
        <f t="shared" si="20"/>
        <v>1297</v>
      </c>
      <c r="AD57" s="48">
        <f t="shared" si="21"/>
        <v>1362</v>
      </c>
      <c r="AE57" s="48">
        <f t="shared" si="21"/>
        <v>1427</v>
      </c>
      <c r="AF57" s="48">
        <f t="shared" si="21"/>
        <v>1492</v>
      </c>
      <c r="AG57" s="48">
        <f t="shared" si="21"/>
        <v>1557</v>
      </c>
      <c r="AH57" s="48">
        <f t="shared" si="21"/>
        <v>1622</v>
      </c>
      <c r="AI57" s="48">
        <f t="shared" si="21"/>
        <v>1686</v>
      </c>
      <c r="AJ57" s="48">
        <f t="shared" si="21"/>
        <v>1751</v>
      </c>
      <c r="AK57" s="48">
        <f t="shared" si="21"/>
        <v>1816</v>
      </c>
      <c r="AL57" s="48">
        <f t="shared" si="21"/>
        <v>1881</v>
      </c>
      <c r="AM57" s="48">
        <f t="shared" si="21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1"/>
        <v>95</v>
      </c>
      <c r="H58" s="61">
        <f t="shared" si="2"/>
        <v>163</v>
      </c>
      <c r="I58" s="61">
        <f t="shared" si="3"/>
        <v>102</v>
      </c>
      <c r="J58" s="48">
        <f t="shared" si="19"/>
        <v>14</v>
      </c>
      <c r="K58" s="48">
        <f t="shared" si="19"/>
        <v>44</v>
      </c>
      <c r="L58" s="48">
        <f t="shared" si="19"/>
        <v>74</v>
      </c>
      <c r="M58" s="48">
        <f t="shared" si="19"/>
        <v>104</v>
      </c>
      <c r="N58" s="48">
        <f t="shared" si="19"/>
        <v>135</v>
      </c>
      <c r="O58" s="48">
        <f t="shared" si="19"/>
        <v>165</v>
      </c>
      <c r="P58" s="48">
        <f t="shared" si="19"/>
        <v>195</v>
      </c>
      <c r="Q58" s="48">
        <f t="shared" si="19"/>
        <v>225</v>
      </c>
      <c r="R58" s="48">
        <f t="shared" si="19"/>
        <v>256</v>
      </c>
      <c r="S58" s="48">
        <f t="shared" si="19"/>
        <v>286</v>
      </c>
      <c r="T58" s="48">
        <f t="shared" si="20"/>
        <v>315</v>
      </c>
      <c r="U58" s="48">
        <f t="shared" si="20"/>
        <v>343</v>
      </c>
      <c r="V58" s="48">
        <f t="shared" si="20"/>
        <v>372</v>
      </c>
      <c r="W58" s="48">
        <f t="shared" si="20"/>
        <v>400</v>
      </c>
      <c r="X58" s="48">
        <f t="shared" si="20"/>
        <v>429</v>
      </c>
      <c r="Y58" s="48">
        <f t="shared" si="20"/>
        <v>458</v>
      </c>
      <c r="Z58" s="48">
        <f t="shared" si="20"/>
        <v>486</v>
      </c>
      <c r="AA58" s="48">
        <f t="shared" si="20"/>
        <v>515</v>
      </c>
      <c r="AB58" s="48">
        <f t="shared" si="20"/>
        <v>544</v>
      </c>
      <c r="AC58" s="48">
        <f t="shared" si="20"/>
        <v>572</v>
      </c>
      <c r="AD58" s="48">
        <f t="shared" si="21"/>
        <v>601</v>
      </c>
      <c r="AE58" s="48">
        <f t="shared" si="21"/>
        <v>629</v>
      </c>
      <c r="AF58" s="48">
        <f t="shared" si="21"/>
        <v>658</v>
      </c>
      <c r="AG58" s="48">
        <f t="shared" si="21"/>
        <v>687</v>
      </c>
      <c r="AH58" s="48">
        <f t="shared" si="21"/>
        <v>715</v>
      </c>
      <c r="AI58" s="48">
        <f t="shared" si="21"/>
        <v>744</v>
      </c>
      <c r="AJ58" s="48">
        <f t="shared" si="21"/>
        <v>773</v>
      </c>
      <c r="AK58" s="48">
        <f t="shared" si="21"/>
        <v>801</v>
      </c>
      <c r="AL58" s="48">
        <f t="shared" si="21"/>
        <v>830</v>
      </c>
      <c r="AM58" s="48">
        <f t="shared" si="21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1"/>
        <v>145</v>
      </c>
      <c r="H59" s="61">
        <f t="shared" si="2"/>
        <v>222</v>
      </c>
      <c r="I59" s="61">
        <f t="shared" si="3"/>
        <v>159</v>
      </c>
      <c r="J59" s="48">
        <f t="shared" si="19"/>
        <v>29</v>
      </c>
      <c r="K59" s="48">
        <f t="shared" si="19"/>
        <v>93</v>
      </c>
      <c r="L59" s="48">
        <f t="shared" si="19"/>
        <v>156</v>
      </c>
      <c r="M59" s="48">
        <f t="shared" si="19"/>
        <v>220</v>
      </c>
      <c r="N59" s="48">
        <f t="shared" si="19"/>
        <v>283</v>
      </c>
      <c r="O59" s="48">
        <f t="shared" si="19"/>
        <v>347</v>
      </c>
      <c r="P59" s="48">
        <f t="shared" si="19"/>
        <v>411</v>
      </c>
      <c r="Q59" s="48">
        <f t="shared" si="19"/>
        <v>474</v>
      </c>
      <c r="R59" s="48">
        <f t="shared" si="19"/>
        <v>538</v>
      </c>
      <c r="S59" s="48">
        <f t="shared" si="19"/>
        <v>601</v>
      </c>
      <c r="T59" s="48">
        <f t="shared" si="20"/>
        <v>661</v>
      </c>
      <c r="U59" s="48">
        <f t="shared" si="20"/>
        <v>721</v>
      </c>
      <c r="V59" s="48">
        <f t="shared" si="20"/>
        <v>782</v>
      </c>
      <c r="W59" s="48">
        <f t="shared" si="20"/>
        <v>842</v>
      </c>
      <c r="X59" s="48">
        <f t="shared" si="20"/>
        <v>902</v>
      </c>
      <c r="Y59" s="48">
        <f t="shared" si="20"/>
        <v>962</v>
      </c>
      <c r="Z59" s="48">
        <f t="shared" si="20"/>
        <v>1022</v>
      </c>
      <c r="AA59" s="48">
        <f t="shared" si="20"/>
        <v>1082</v>
      </c>
      <c r="AB59" s="48">
        <f t="shared" si="20"/>
        <v>1142</v>
      </c>
      <c r="AC59" s="48">
        <f t="shared" si="20"/>
        <v>1203</v>
      </c>
      <c r="AD59" s="48">
        <f t="shared" si="21"/>
        <v>1263</v>
      </c>
      <c r="AE59" s="48">
        <f t="shared" si="21"/>
        <v>1323</v>
      </c>
      <c r="AF59" s="48">
        <f t="shared" si="21"/>
        <v>1383</v>
      </c>
      <c r="AG59" s="48">
        <f t="shared" si="21"/>
        <v>1443</v>
      </c>
      <c r="AH59" s="48">
        <f t="shared" si="21"/>
        <v>1503</v>
      </c>
      <c r="AI59" s="48">
        <f t="shared" si="21"/>
        <v>1564</v>
      </c>
      <c r="AJ59" s="48">
        <f t="shared" si="21"/>
        <v>1624</v>
      </c>
      <c r="AK59" s="48">
        <f t="shared" si="21"/>
        <v>1684</v>
      </c>
      <c r="AL59" s="48">
        <f t="shared" si="21"/>
        <v>1744</v>
      </c>
      <c r="AM59" s="48">
        <f t="shared" si="21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1"/>
        <v>125</v>
      </c>
      <c r="H60" s="61">
        <f t="shared" si="2"/>
        <v>151</v>
      </c>
      <c r="I60" s="61">
        <f t="shared" si="3"/>
        <v>111</v>
      </c>
      <c r="J60" s="48">
        <f t="shared" si="19"/>
        <v>15</v>
      </c>
      <c r="K60" s="48">
        <f t="shared" si="19"/>
        <v>49</v>
      </c>
      <c r="L60" s="48">
        <f t="shared" si="19"/>
        <v>82</v>
      </c>
      <c r="M60" s="48">
        <f t="shared" si="19"/>
        <v>116</v>
      </c>
      <c r="N60" s="48">
        <f t="shared" si="19"/>
        <v>149</v>
      </c>
      <c r="O60" s="48">
        <f t="shared" si="19"/>
        <v>183</v>
      </c>
      <c r="P60" s="48">
        <f t="shared" si="19"/>
        <v>216</v>
      </c>
      <c r="Q60" s="48">
        <f t="shared" si="19"/>
        <v>250</v>
      </c>
      <c r="R60" s="48">
        <f t="shared" si="19"/>
        <v>283</v>
      </c>
      <c r="S60" s="48">
        <f t="shared" si="19"/>
        <v>317</v>
      </c>
      <c r="T60" s="48">
        <f t="shared" si="20"/>
        <v>349</v>
      </c>
      <c r="U60" s="48">
        <f t="shared" si="20"/>
        <v>380</v>
      </c>
      <c r="V60" s="48">
        <f t="shared" si="20"/>
        <v>412</v>
      </c>
      <c r="W60" s="48">
        <f t="shared" si="20"/>
        <v>444</v>
      </c>
      <c r="X60" s="48">
        <f t="shared" si="20"/>
        <v>476</v>
      </c>
      <c r="Y60" s="48">
        <f t="shared" si="20"/>
        <v>507</v>
      </c>
      <c r="Z60" s="48">
        <f t="shared" si="20"/>
        <v>539</v>
      </c>
      <c r="AA60" s="48">
        <f t="shared" si="20"/>
        <v>571</v>
      </c>
      <c r="AB60" s="48">
        <f t="shared" si="20"/>
        <v>603</v>
      </c>
      <c r="AC60" s="48">
        <f t="shared" si="20"/>
        <v>634</v>
      </c>
      <c r="AD60" s="48">
        <f t="shared" si="21"/>
        <v>666</v>
      </c>
      <c r="AE60" s="48">
        <f t="shared" si="21"/>
        <v>698</v>
      </c>
      <c r="AF60" s="48">
        <f t="shared" si="21"/>
        <v>730</v>
      </c>
      <c r="AG60" s="48">
        <f t="shared" si="21"/>
        <v>761</v>
      </c>
      <c r="AH60" s="48">
        <f t="shared" si="21"/>
        <v>793</v>
      </c>
      <c r="AI60" s="48">
        <f t="shared" si="21"/>
        <v>825</v>
      </c>
      <c r="AJ60" s="48">
        <f t="shared" si="21"/>
        <v>857</v>
      </c>
      <c r="AK60" s="48">
        <f t="shared" si="21"/>
        <v>888</v>
      </c>
      <c r="AL60" s="48">
        <f t="shared" si="21"/>
        <v>920</v>
      </c>
      <c r="AM60" s="48">
        <f t="shared" si="21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1"/>
        <v>195</v>
      </c>
      <c r="H61" s="61">
        <f t="shared" si="2"/>
        <v>242</v>
      </c>
      <c r="I61" s="61">
        <f t="shared" si="3"/>
        <v>181</v>
      </c>
      <c r="J61" s="48">
        <f t="shared" si="19"/>
        <v>40</v>
      </c>
      <c r="K61" s="48">
        <f t="shared" si="19"/>
        <v>125</v>
      </c>
      <c r="L61" s="48">
        <f t="shared" si="19"/>
        <v>211</v>
      </c>
      <c r="M61" s="48">
        <f t="shared" si="19"/>
        <v>297</v>
      </c>
      <c r="N61" s="48">
        <f t="shared" si="19"/>
        <v>383</v>
      </c>
      <c r="O61" s="48">
        <f t="shared" si="19"/>
        <v>468</v>
      </c>
      <c r="P61" s="48">
        <f t="shared" si="19"/>
        <v>554</v>
      </c>
      <c r="Q61" s="48">
        <f t="shared" si="19"/>
        <v>640</v>
      </c>
      <c r="R61" s="48">
        <f t="shared" si="19"/>
        <v>725</v>
      </c>
      <c r="S61" s="48">
        <f t="shared" si="19"/>
        <v>811</v>
      </c>
      <c r="T61" s="48">
        <f t="shared" si="20"/>
        <v>892</v>
      </c>
      <c r="U61" s="48">
        <f t="shared" si="20"/>
        <v>973</v>
      </c>
      <c r="V61" s="48">
        <f t="shared" si="20"/>
        <v>1054</v>
      </c>
      <c r="W61" s="48">
        <f t="shared" si="20"/>
        <v>1135</v>
      </c>
      <c r="X61" s="48">
        <f t="shared" si="20"/>
        <v>1217</v>
      </c>
      <c r="Y61" s="48">
        <f t="shared" si="20"/>
        <v>1298</v>
      </c>
      <c r="Z61" s="48">
        <f t="shared" si="20"/>
        <v>1379</v>
      </c>
      <c r="AA61" s="48">
        <f t="shared" si="20"/>
        <v>1460</v>
      </c>
      <c r="AB61" s="48">
        <f t="shared" si="20"/>
        <v>1541</v>
      </c>
      <c r="AC61" s="48">
        <f t="shared" si="20"/>
        <v>1622</v>
      </c>
      <c r="AD61" s="48">
        <f t="shared" si="21"/>
        <v>1703</v>
      </c>
      <c r="AE61" s="48">
        <f t="shared" si="21"/>
        <v>1784</v>
      </c>
      <c r="AF61" s="48">
        <f t="shared" si="21"/>
        <v>1866</v>
      </c>
      <c r="AG61" s="48">
        <f t="shared" si="21"/>
        <v>1947</v>
      </c>
      <c r="AH61" s="48">
        <f t="shared" si="21"/>
        <v>2028</v>
      </c>
      <c r="AI61" s="48">
        <f t="shared" si="21"/>
        <v>2109</v>
      </c>
      <c r="AJ61" s="48">
        <f t="shared" si="21"/>
        <v>2190</v>
      </c>
      <c r="AK61" s="48">
        <f t="shared" si="21"/>
        <v>2271</v>
      </c>
      <c r="AL61" s="48">
        <f t="shared" si="21"/>
        <v>2352</v>
      </c>
      <c r="AM61" s="48">
        <f t="shared" si="21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1"/>
        <v>95</v>
      </c>
      <c r="H62" s="61">
        <f t="shared" si="2"/>
        <v>116</v>
      </c>
      <c r="I62" s="61">
        <f t="shared" si="3"/>
        <v>97</v>
      </c>
      <c r="J62" s="48">
        <f t="shared" si="19"/>
        <v>10</v>
      </c>
      <c r="K62" s="48">
        <f t="shared" si="19"/>
        <v>30</v>
      </c>
      <c r="L62" s="48">
        <f t="shared" si="19"/>
        <v>51</v>
      </c>
      <c r="M62" s="48">
        <f t="shared" si="19"/>
        <v>72</v>
      </c>
      <c r="N62" s="48">
        <f t="shared" si="19"/>
        <v>93</v>
      </c>
      <c r="O62" s="48">
        <f t="shared" si="19"/>
        <v>114</v>
      </c>
      <c r="P62" s="48">
        <f t="shared" si="19"/>
        <v>135</v>
      </c>
      <c r="Q62" s="48">
        <f t="shared" si="19"/>
        <v>156</v>
      </c>
      <c r="R62" s="48">
        <f t="shared" si="19"/>
        <v>177</v>
      </c>
      <c r="S62" s="48">
        <f t="shared" si="19"/>
        <v>198</v>
      </c>
      <c r="T62" s="48">
        <f t="shared" si="20"/>
        <v>218</v>
      </c>
      <c r="U62" s="48">
        <f t="shared" si="20"/>
        <v>238</v>
      </c>
      <c r="V62" s="48">
        <f t="shared" si="20"/>
        <v>258</v>
      </c>
      <c r="W62" s="48">
        <f t="shared" si="20"/>
        <v>278</v>
      </c>
      <c r="X62" s="48">
        <f t="shared" si="20"/>
        <v>298</v>
      </c>
      <c r="Y62" s="48">
        <f t="shared" si="20"/>
        <v>317</v>
      </c>
      <c r="Z62" s="48">
        <f t="shared" si="20"/>
        <v>337</v>
      </c>
      <c r="AA62" s="48">
        <f t="shared" si="20"/>
        <v>357</v>
      </c>
      <c r="AB62" s="48">
        <f t="shared" si="20"/>
        <v>377</v>
      </c>
      <c r="AC62" s="48">
        <f t="shared" si="20"/>
        <v>397</v>
      </c>
      <c r="AD62" s="48">
        <f t="shared" si="21"/>
        <v>417</v>
      </c>
      <c r="AE62" s="48">
        <f t="shared" si="21"/>
        <v>437</v>
      </c>
      <c r="AF62" s="48">
        <f t="shared" si="21"/>
        <v>457</v>
      </c>
      <c r="AG62" s="48">
        <f t="shared" si="21"/>
        <v>476</v>
      </c>
      <c r="AH62" s="48">
        <f t="shared" si="21"/>
        <v>496</v>
      </c>
      <c r="AI62" s="48">
        <f t="shared" si="21"/>
        <v>516</v>
      </c>
      <c r="AJ62" s="48">
        <f t="shared" si="21"/>
        <v>536</v>
      </c>
      <c r="AK62" s="48">
        <f t="shared" si="21"/>
        <v>556</v>
      </c>
      <c r="AL62" s="48">
        <f t="shared" si="21"/>
        <v>576</v>
      </c>
      <c r="AM62" s="48">
        <f t="shared" si="21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1"/>
        <v>145</v>
      </c>
      <c r="H63" s="61">
        <f t="shared" si="2"/>
        <v>145</v>
      </c>
      <c r="I63" s="61">
        <f t="shared" si="3"/>
        <v>145</v>
      </c>
      <c r="J63" s="48">
        <f t="shared" ref="J63:S72" si="22">MAX(10,INT(SQRT($G63*$I63)*$H63*J$1^2/10))</f>
        <v>18</v>
      </c>
      <c r="K63" s="48">
        <f t="shared" si="22"/>
        <v>58</v>
      </c>
      <c r="L63" s="48">
        <f t="shared" si="22"/>
        <v>97</v>
      </c>
      <c r="M63" s="48">
        <f t="shared" si="22"/>
        <v>137</v>
      </c>
      <c r="N63" s="48">
        <f t="shared" si="22"/>
        <v>177</v>
      </c>
      <c r="O63" s="48">
        <f t="shared" si="22"/>
        <v>216</v>
      </c>
      <c r="P63" s="48">
        <f t="shared" si="22"/>
        <v>256</v>
      </c>
      <c r="Q63" s="48">
        <f t="shared" si="22"/>
        <v>296</v>
      </c>
      <c r="R63" s="48">
        <f t="shared" si="22"/>
        <v>335</v>
      </c>
      <c r="S63" s="48">
        <f t="shared" si="22"/>
        <v>375</v>
      </c>
      <c r="T63" s="48">
        <f t="shared" ref="T63:AC72" si="23">MAX(10,INT(SQRT($G63*$I63)*$H63*T$1^2/10))</f>
        <v>412</v>
      </c>
      <c r="U63" s="48">
        <f t="shared" si="23"/>
        <v>450</v>
      </c>
      <c r="V63" s="48">
        <f t="shared" si="23"/>
        <v>487</v>
      </c>
      <c r="W63" s="48">
        <f t="shared" si="23"/>
        <v>525</v>
      </c>
      <c r="X63" s="48">
        <f t="shared" si="23"/>
        <v>562</v>
      </c>
      <c r="Y63" s="48">
        <f t="shared" si="23"/>
        <v>600</v>
      </c>
      <c r="Z63" s="48">
        <f t="shared" si="23"/>
        <v>637</v>
      </c>
      <c r="AA63" s="48">
        <f t="shared" si="23"/>
        <v>675</v>
      </c>
      <c r="AB63" s="48">
        <f t="shared" si="23"/>
        <v>712</v>
      </c>
      <c r="AC63" s="48">
        <f t="shared" si="23"/>
        <v>750</v>
      </c>
      <c r="AD63" s="48">
        <f t="shared" ref="AD63:AM72" si="24">MAX(10,INT(SQRT($G63*$I63)*$H63*AD$1^2/10))</f>
        <v>787</v>
      </c>
      <c r="AE63" s="48">
        <f t="shared" si="24"/>
        <v>825</v>
      </c>
      <c r="AF63" s="48">
        <f t="shared" si="24"/>
        <v>862</v>
      </c>
      <c r="AG63" s="48">
        <f t="shared" si="24"/>
        <v>900</v>
      </c>
      <c r="AH63" s="48">
        <f t="shared" si="24"/>
        <v>938</v>
      </c>
      <c r="AI63" s="48">
        <f t="shared" si="24"/>
        <v>975</v>
      </c>
      <c r="AJ63" s="48">
        <f t="shared" si="24"/>
        <v>1013</v>
      </c>
      <c r="AK63" s="48">
        <f t="shared" si="24"/>
        <v>1050</v>
      </c>
      <c r="AL63" s="48">
        <f t="shared" si="24"/>
        <v>1088</v>
      </c>
      <c r="AM63" s="48">
        <f t="shared" si="24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1"/>
        <v>195</v>
      </c>
      <c r="H64" s="61">
        <f t="shared" si="2"/>
        <v>197</v>
      </c>
      <c r="I64" s="61">
        <f t="shared" si="3"/>
        <v>202</v>
      </c>
      <c r="J64" s="48">
        <f t="shared" si="22"/>
        <v>34</v>
      </c>
      <c r="K64" s="48">
        <f t="shared" si="22"/>
        <v>108</v>
      </c>
      <c r="L64" s="48">
        <f t="shared" si="22"/>
        <v>181</v>
      </c>
      <c r="M64" s="48">
        <f t="shared" si="22"/>
        <v>255</v>
      </c>
      <c r="N64" s="48">
        <f t="shared" si="22"/>
        <v>329</v>
      </c>
      <c r="O64" s="48">
        <f t="shared" si="22"/>
        <v>403</v>
      </c>
      <c r="P64" s="48">
        <f t="shared" si="22"/>
        <v>476</v>
      </c>
      <c r="Q64" s="48">
        <f t="shared" si="22"/>
        <v>550</v>
      </c>
      <c r="R64" s="48">
        <f t="shared" si="22"/>
        <v>624</v>
      </c>
      <c r="S64" s="48">
        <f t="shared" si="22"/>
        <v>697</v>
      </c>
      <c r="T64" s="48">
        <f t="shared" si="23"/>
        <v>767</v>
      </c>
      <c r="U64" s="48">
        <f t="shared" si="23"/>
        <v>837</v>
      </c>
      <c r="V64" s="48">
        <f t="shared" si="23"/>
        <v>907</v>
      </c>
      <c r="W64" s="48">
        <f t="shared" si="23"/>
        <v>976</v>
      </c>
      <c r="X64" s="48">
        <f t="shared" si="23"/>
        <v>1046</v>
      </c>
      <c r="Y64" s="48">
        <f t="shared" si="23"/>
        <v>1116</v>
      </c>
      <c r="Z64" s="48">
        <f t="shared" si="23"/>
        <v>1186</v>
      </c>
      <c r="AA64" s="48">
        <f t="shared" si="23"/>
        <v>1255</v>
      </c>
      <c r="AB64" s="48">
        <f t="shared" si="23"/>
        <v>1325</v>
      </c>
      <c r="AC64" s="48">
        <f t="shared" si="23"/>
        <v>1395</v>
      </c>
      <c r="AD64" s="48">
        <f t="shared" si="24"/>
        <v>1465</v>
      </c>
      <c r="AE64" s="48">
        <f t="shared" si="24"/>
        <v>1534</v>
      </c>
      <c r="AF64" s="48">
        <f t="shared" si="24"/>
        <v>1604</v>
      </c>
      <c r="AG64" s="48">
        <f t="shared" si="24"/>
        <v>1674</v>
      </c>
      <c r="AH64" s="48">
        <f t="shared" si="24"/>
        <v>1744</v>
      </c>
      <c r="AI64" s="48">
        <f t="shared" si="24"/>
        <v>1814</v>
      </c>
      <c r="AJ64" s="48">
        <f t="shared" si="24"/>
        <v>1883</v>
      </c>
      <c r="AK64" s="48">
        <f t="shared" si="24"/>
        <v>1953</v>
      </c>
      <c r="AL64" s="48">
        <f t="shared" si="24"/>
        <v>2023</v>
      </c>
      <c r="AM64" s="48">
        <f t="shared" si="24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1"/>
        <v>65</v>
      </c>
      <c r="H65" s="61">
        <f t="shared" si="2"/>
        <v>210</v>
      </c>
      <c r="I65" s="61">
        <f t="shared" si="3"/>
        <v>118</v>
      </c>
      <c r="J65" s="48">
        <f t="shared" si="22"/>
        <v>16</v>
      </c>
      <c r="K65" s="48">
        <f t="shared" si="22"/>
        <v>50</v>
      </c>
      <c r="L65" s="48">
        <f t="shared" si="22"/>
        <v>85</v>
      </c>
      <c r="M65" s="48">
        <f t="shared" si="22"/>
        <v>120</v>
      </c>
      <c r="N65" s="48">
        <f t="shared" si="22"/>
        <v>154</v>
      </c>
      <c r="O65" s="48">
        <f t="shared" si="22"/>
        <v>189</v>
      </c>
      <c r="P65" s="48">
        <f t="shared" si="22"/>
        <v>224</v>
      </c>
      <c r="Q65" s="48">
        <f t="shared" si="22"/>
        <v>258</v>
      </c>
      <c r="R65" s="48">
        <f t="shared" si="22"/>
        <v>293</v>
      </c>
      <c r="S65" s="48">
        <f t="shared" si="22"/>
        <v>328</v>
      </c>
      <c r="T65" s="48">
        <f t="shared" si="23"/>
        <v>361</v>
      </c>
      <c r="U65" s="48">
        <f t="shared" si="23"/>
        <v>393</v>
      </c>
      <c r="V65" s="48">
        <f t="shared" si="23"/>
        <v>426</v>
      </c>
      <c r="W65" s="48">
        <f t="shared" si="23"/>
        <v>459</v>
      </c>
      <c r="X65" s="48">
        <f t="shared" si="23"/>
        <v>492</v>
      </c>
      <c r="Y65" s="48">
        <f t="shared" si="23"/>
        <v>525</v>
      </c>
      <c r="Z65" s="48">
        <f t="shared" si="23"/>
        <v>557</v>
      </c>
      <c r="AA65" s="48">
        <f t="shared" si="23"/>
        <v>590</v>
      </c>
      <c r="AB65" s="48">
        <f t="shared" si="23"/>
        <v>623</v>
      </c>
      <c r="AC65" s="48">
        <f t="shared" si="23"/>
        <v>656</v>
      </c>
      <c r="AD65" s="48">
        <f t="shared" si="24"/>
        <v>689</v>
      </c>
      <c r="AE65" s="48">
        <f t="shared" si="24"/>
        <v>722</v>
      </c>
      <c r="AF65" s="48">
        <f t="shared" si="24"/>
        <v>754</v>
      </c>
      <c r="AG65" s="48">
        <f t="shared" si="24"/>
        <v>787</v>
      </c>
      <c r="AH65" s="48">
        <f t="shared" si="24"/>
        <v>820</v>
      </c>
      <c r="AI65" s="48">
        <f t="shared" si="24"/>
        <v>853</v>
      </c>
      <c r="AJ65" s="48">
        <f t="shared" si="24"/>
        <v>886</v>
      </c>
      <c r="AK65" s="48">
        <f t="shared" si="24"/>
        <v>918</v>
      </c>
      <c r="AL65" s="48">
        <f t="shared" si="24"/>
        <v>951</v>
      </c>
      <c r="AM65" s="48">
        <f t="shared" si="24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1"/>
        <v>95</v>
      </c>
      <c r="H66" s="61">
        <f t="shared" si="2"/>
        <v>247</v>
      </c>
      <c r="I66" s="61">
        <f t="shared" si="3"/>
        <v>153</v>
      </c>
      <c r="J66" s="48">
        <f t="shared" si="22"/>
        <v>26</v>
      </c>
      <c r="K66" s="48">
        <f t="shared" si="22"/>
        <v>82</v>
      </c>
      <c r="L66" s="48">
        <f t="shared" si="22"/>
        <v>138</v>
      </c>
      <c r="M66" s="48">
        <f t="shared" si="22"/>
        <v>194</v>
      </c>
      <c r="N66" s="48">
        <f t="shared" si="22"/>
        <v>250</v>
      </c>
      <c r="O66" s="48">
        <f t="shared" si="22"/>
        <v>307</v>
      </c>
      <c r="P66" s="48">
        <f t="shared" si="22"/>
        <v>363</v>
      </c>
      <c r="Q66" s="48">
        <f t="shared" si="22"/>
        <v>419</v>
      </c>
      <c r="R66" s="48">
        <f t="shared" si="22"/>
        <v>475</v>
      </c>
      <c r="S66" s="48">
        <f t="shared" si="22"/>
        <v>531</v>
      </c>
      <c r="T66" s="48">
        <f t="shared" si="23"/>
        <v>584</v>
      </c>
      <c r="U66" s="48">
        <f t="shared" si="23"/>
        <v>637</v>
      </c>
      <c r="V66" s="48">
        <f t="shared" si="23"/>
        <v>690</v>
      </c>
      <c r="W66" s="48">
        <f t="shared" si="23"/>
        <v>744</v>
      </c>
      <c r="X66" s="48">
        <f t="shared" si="23"/>
        <v>797</v>
      </c>
      <c r="Y66" s="48">
        <f t="shared" si="23"/>
        <v>850</v>
      </c>
      <c r="Z66" s="48">
        <f t="shared" si="23"/>
        <v>903</v>
      </c>
      <c r="AA66" s="48">
        <f t="shared" si="23"/>
        <v>956</v>
      </c>
      <c r="AB66" s="48">
        <f t="shared" si="23"/>
        <v>1009</v>
      </c>
      <c r="AC66" s="48">
        <f t="shared" si="23"/>
        <v>1062</v>
      </c>
      <c r="AD66" s="48">
        <f t="shared" si="24"/>
        <v>1115</v>
      </c>
      <c r="AE66" s="48">
        <f t="shared" si="24"/>
        <v>1169</v>
      </c>
      <c r="AF66" s="48">
        <f t="shared" si="24"/>
        <v>1222</v>
      </c>
      <c r="AG66" s="48">
        <f t="shared" si="24"/>
        <v>1275</v>
      </c>
      <c r="AH66" s="48">
        <f t="shared" si="24"/>
        <v>1328</v>
      </c>
      <c r="AI66" s="48">
        <f t="shared" si="24"/>
        <v>1381</v>
      </c>
      <c r="AJ66" s="48">
        <f t="shared" si="24"/>
        <v>1434</v>
      </c>
      <c r="AK66" s="48">
        <f t="shared" si="24"/>
        <v>1487</v>
      </c>
      <c r="AL66" s="48">
        <f t="shared" si="24"/>
        <v>1541</v>
      </c>
      <c r="AM66" s="48">
        <f t="shared" si="24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ref="G67:G130" si="25">D67+15</f>
        <v>125</v>
      </c>
      <c r="H67" s="61">
        <f t="shared" ref="H67:H130" si="26">E67+15</f>
        <v>286</v>
      </c>
      <c r="I67" s="61">
        <f t="shared" ref="I67:I130" si="27">F67+15</f>
        <v>209</v>
      </c>
      <c r="J67" s="48">
        <f t="shared" si="22"/>
        <v>40</v>
      </c>
      <c r="K67" s="48">
        <f t="shared" si="22"/>
        <v>127</v>
      </c>
      <c r="L67" s="48">
        <f t="shared" si="22"/>
        <v>215</v>
      </c>
      <c r="M67" s="48">
        <f t="shared" si="22"/>
        <v>302</v>
      </c>
      <c r="N67" s="48">
        <f t="shared" si="22"/>
        <v>389</v>
      </c>
      <c r="O67" s="48">
        <f t="shared" si="22"/>
        <v>476</v>
      </c>
      <c r="P67" s="48">
        <f t="shared" si="22"/>
        <v>563</v>
      </c>
      <c r="Q67" s="48">
        <f t="shared" si="22"/>
        <v>650</v>
      </c>
      <c r="R67" s="48">
        <f t="shared" si="22"/>
        <v>738</v>
      </c>
      <c r="S67" s="48">
        <f t="shared" si="22"/>
        <v>825</v>
      </c>
      <c r="T67" s="48">
        <f t="shared" si="23"/>
        <v>907</v>
      </c>
      <c r="U67" s="48">
        <f t="shared" si="23"/>
        <v>990</v>
      </c>
      <c r="V67" s="48">
        <f t="shared" si="23"/>
        <v>1072</v>
      </c>
      <c r="W67" s="48">
        <f t="shared" si="23"/>
        <v>1155</v>
      </c>
      <c r="X67" s="48">
        <f t="shared" si="23"/>
        <v>1237</v>
      </c>
      <c r="Y67" s="48">
        <f t="shared" si="23"/>
        <v>1319</v>
      </c>
      <c r="Z67" s="48">
        <f t="shared" si="23"/>
        <v>1402</v>
      </c>
      <c r="AA67" s="48">
        <f t="shared" si="23"/>
        <v>1484</v>
      </c>
      <c r="AB67" s="48">
        <f t="shared" si="23"/>
        <v>1567</v>
      </c>
      <c r="AC67" s="48">
        <f t="shared" si="23"/>
        <v>1649</v>
      </c>
      <c r="AD67" s="48">
        <f t="shared" si="24"/>
        <v>1732</v>
      </c>
      <c r="AE67" s="48">
        <f t="shared" si="24"/>
        <v>1814</v>
      </c>
      <c r="AF67" s="48">
        <f t="shared" si="24"/>
        <v>1897</v>
      </c>
      <c r="AG67" s="48">
        <f t="shared" si="24"/>
        <v>1979</v>
      </c>
      <c r="AH67" s="48">
        <f t="shared" si="24"/>
        <v>2062</v>
      </c>
      <c r="AI67" s="48">
        <f t="shared" si="24"/>
        <v>2144</v>
      </c>
      <c r="AJ67" s="48">
        <f t="shared" si="24"/>
        <v>2227</v>
      </c>
      <c r="AK67" s="48">
        <f t="shared" si="24"/>
        <v>2309</v>
      </c>
      <c r="AL67" s="48">
        <f t="shared" si="24"/>
        <v>2392</v>
      </c>
      <c r="AM67" s="48">
        <f t="shared" si="24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si="25"/>
        <v>155</v>
      </c>
      <c r="H68" s="61">
        <f t="shared" si="26"/>
        <v>152</v>
      </c>
      <c r="I68" s="61">
        <f t="shared" si="27"/>
        <v>103</v>
      </c>
      <c r="J68" s="48">
        <f t="shared" si="22"/>
        <v>16</v>
      </c>
      <c r="K68" s="48">
        <f t="shared" si="22"/>
        <v>53</v>
      </c>
      <c r="L68" s="48">
        <f t="shared" si="22"/>
        <v>89</v>
      </c>
      <c r="M68" s="48">
        <f t="shared" si="22"/>
        <v>125</v>
      </c>
      <c r="N68" s="48">
        <f t="shared" si="22"/>
        <v>161</v>
      </c>
      <c r="O68" s="48">
        <f t="shared" si="22"/>
        <v>198</v>
      </c>
      <c r="P68" s="48">
        <f t="shared" si="22"/>
        <v>234</v>
      </c>
      <c r="Q68" s="48">
        <f t="shared" si="22"/>
        <v>270</v>
      </c>
      <c r="R68" s="48">
        <f t="shared" si="22"/>
        <v>306</v>
      </c>
      <c r="S68" s="48">
        <f t="shared" si="22"/>
        <v>342</v>
      </c>
      <c r="T68" s="48">
        <f t="shared" si="23"/>
        <v>377</v>
      </c>
      <c r="U68" s="48">
        <f t="shared" si="23"/>
        <v>411</v>
      </c>
      <c r="V68" s="48">
        <f t="shared" si="23"/>
        <v>445</v>
      </c>
      <c r="W68" s="48">
        <f t="shared" si="23"/>
        <v>479</v>
      </c>
      <c r="X68" s="48">
        <f t="shared" si="23"/>
        <v>514</v>
      </c>
      <c r="Y68" s="48">
        <f t="shared" si="23"/>
        <v>548</v>
      </c>
      <c r="Z68" s="48">
        <f t="shared" si="23"/>
        <v>582</v>
      </c>
      <c r="AA68" s="48">
        <f t="shared" si="23"/>
        <v>616</v>
      </c>
      <c r="AB68" s="48">
        <f t="shared" si="23"/>
        <v>651</v>
      </c>
      <c r="AC68" s="48">
        <f t="shared" si="23"/>
        <v>685</v>
      </c>
      <c r="AD68" s="48">
        <f t="shared" si="24"/>
        <v>719</v>
      </c>
      <c r="AE68" s="48">
        <f t="shared" si="24"/>
        <v>753</v>
      </c>
      <c r="AF68" s="48">
        <f t="shared" si="24"/>
        <v>788</v>
      </c>
      <c r="AG68" s="48">
        <f t="shared" si="24"/>
        <v>822</v>
      </c>
      <c r="AH68" s="48">
        <f t="shared" si="24"/>
        <v>856</v>
      </c>
      <c r="AI68" s="48">
        <f t="shared" si="24"/>
        <v>891</v>
      </c>
      <c r="AJ68" s="48">
        <f t="shared" si="24"/>
        <v>925</v>
      </c>
      <c r="AK68" s="48">
        <f t="shared" si="24"/>
        <v>959</v>
      </c>
      <c r="AL68" s="48">
        <f t="shared" si="24"/>
        <v>993</v>
      </c>
      <c r="AM68" s="48">
        <f t="shared" si="24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25"/>
        <v>175</v>
      </c>
      <c r="H69" s="61">
        <f t="shared" si="26"/>
        <v>192</v>
      </c>
      <c r="I69" s="61">
        <f t="shared" si="27"/>
        <v>145</v>
      </c>
      <c r="J69" s="48">
        <f t="shared" si="22"/>
        <v>27</v>
      </c>
      <c r="K69" s="48">
        <f t="shared" si="22"/>
        <v>84</v>
      </c>
      <c r="L69" s="48">
        <f t="shared" si="22"/>
        <v>142</v>
      </c>
      <c r="M69" s="48">
        <f t="shared" si="22"/>
        <v>200</v>
      </c>
      <c r="N69" s="48">
        <f t="shared" si="22"/>
        <v>257</v>
      </c>
      <c r="O69" s="48">
        <f t="shared" si="22"/>
        <v>315</v>
      </c>
      <c r="P69" s="48">
        <f t="shared" si="22"/>
        <v>372</v>
      </c>
      <c r="Q69" s="48">
        <f t="shared" si="22"/>
        <v>430</v>
      </c>
      <c r="R69" s="48">
        <f t="shared" si="22"/>
        <v>488</v>
      </c>
      <c r="S69" s="48">
        <f t="shared" si="22"/>
        <v>545</v>
      </c>
      <c r="T69" s="48">
        <f t="shared" si="23"/>
        <v>600</v>
      </c>
      <c r="U69" s="48">
        <f t="shared" si="23"/>
        <v>655</v>
      </c>
      <c r="V69" s="48">
        <f t="shared" si="23"/>
        <v>709</v>
      </c>
      <c r="W69" s="48">
        <f t="shared" si="23"/>
        <v>764</v>
      </c>
      <c r="X69" s="48">
        <f t="shared" si="23"/>
        <v>818</v>
      </c>
      <c r="Y69" s="48">
        <f t="shared" si="23"/>
        <v>873</v>
      </c>
      <c r="Z69" s="48">
        <f t="shared" si="23"/>
        <v>927</v>
      </c>
      <c r="AA69" s="48">
        <f t="shared" si="23"/>
        <v>982</v>
      </c>
      <c r="AB69" s="48">
        <f t="shared" si="23"/>
        <v>1036</v>
      </c>
      <c r="AC69" s="48">
        <f t="shared" si="23"/>
        <v>1091</v>
      </c>
      <c r="AD69" s="48">
        <f t="shared" si="24"/>
        <v>1146</v>
      </c>
      <c r="AE69" s="48">
        <f t="shared" si="24"/>
        <v>1200</v>
      </c>
      <c r="AF69" s="48">
        <f t="shared" si="24"/>
        <v>1255</v>
      </c>
      <c r="AG69" s="48">
        <f t="shared" si="24"/>
        <v>1309</v>
      </c>
      <c r="AH69" s="48">
        <f t="shared" si="24"/>
        <v>1364</v>
      </c>
      <c r="AI69" s="48">
        <f t="shared" si="24"/>
        <v>1419</v>
      </c>
      <c r="AJ69" s="48">
        <f t="shared" si="24"/>
        <v>1473</v>
      </c>
      <c r="AK69" s="48">
        <f t="shared" si="24"/>
        <v>1528</v>
      </c>
      <c r="AL69" s="48">
        <f t="shared" si="24"/>
        <v>1582</v>
      </c>
      <c r="AM69" s="48">
        <f t="shared" si="24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25"/>
        <v>195</v>
      </c>
      <c r="H70" s="61">
        <f t="shared" si="26"/>
        <v>249</v>
      </c>
      <c r="I70" s="61">
        <f t="shared" si="27"/>
        <v>177</v>
      </c>
      <c r="J70" s="48">
        <f t="shared" si="22"/>
        <v>40</v>
      </c>
      <c r="K70" s="48">
        <f t="shared" si="22"/>
        <v>128</v>
      </c>
      <c r="L70" s="48">
        <f t="shared" si="22"/>
        <v>215</v>
      </c>
      <c r="M70" s="48">
        <f t="shared" si="22"/>
        <v>302</v>
      </c>
      <c r="N70" s="48">
        <f t="shared" si="22"/>
        <v>389</v>
      </c>
      <c r="O70" s="48">
        <f t="shared" si="22"/>
        <v>476</v>
      </c>
      <c r="P70" s="48">
        <f t="shared" si="22"/>
        <v>564</v>
      </c>
      <c r="Q70" s="48">
        <f t="shared" si="22"/>
        <v>651</v>
      </c>
      <c r="R70" s="48">
        <f t="shared" si="22"/>
        <v>738</v>
      </c>
      <c r="S70" s="48">
        <f t="shared" si="22"/>
        <v>825</v>
      </c>
      <c r="T70" s="48">
        <f t="shared" si="23"/>
        <v>908</v>
      </c>
      <c r="U70" s="48">
        <f t="shared" si="23"/>
        <v>990</v>
      </c>
      <c r="V70" s="48">
        <f t="shared" si="23"/>
        <v>1073</v>
      </c>
      <c r="W70" s="48">
        <f t="shared" si="23"/>
        <v>1155</v>
      </c>
      <c r="X70" s="48">
        <f t="shared" si="23"/>
        <v>1238</v>
      </c>
      <c r="Y70" s="48">
        <f t="shared" si="23"/>
        <v>1320</v>
      </c>
      <c r="Z70" s="48">
        <f t="shared" si="23"/>
        <v>1403</v>
      </c>
      <c r="AA70" s="48">
        <f t="shared" si="23"/>
        <v>1485</v>
      </c>
      <c r="AB70" s="48">
        <f t="shared" si="23"/>
        <v>1568</v>
      </c>
      <c r="AC70" s="48">
        <f t="shared" si="23"/>
        <v>1650</v>
      </c>
      <c r="AD70" s="48">
        <f t="shared" si="24"/>
        <v>1733</v>
      </c>
      <c r="AE70" s="48">
        <f t="shared" si="24"/>
        <v>1816</v>
      </c>
      <c r="AF70" s="48">
        <f t="shared" si="24"/>
        <v>1898</v>
      </c>
      <c r="AG70" s="48">
        <f t="shared" si="24"/>
        <v>1981</v>
      </c>
      <c r="AH70" s="48">
        <f t="shared" si="24"/>
        <v>2063</v>
      </c>
      <c r="AI70" s="48">
        <f t="shared" si="24"/>
        <v>2146</v>
      </c>
      <c r="AJ70" s="48">
        <f t="shared" si="24"/>
        <v>2228</v>
      </c>
      <c r="AK70" s="48">
        <f t="shared" si="24"/>
        <v>2311</v>
      </c>
      <c r="AL70" s="48">
        <f t="shared" si="24"/>
        <v>2394</v>
      </c>
      <c r="AM70" s="48">
        <f t="shared" si="24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25"/>
        <v>115</v>
      </c>
      <c r="H71" s="61">
        <f t="shared" si="26"/>
        <v>154</v>
      </c>
      <c r="I71" s="61">
        <f t="shared" si="27"/>
        <v>79</v>
      </c>
      <c r="J71" s="48">
        <f t="shared" si="22"/>
        <v>12</v>
      </c>
      <c r="K71" s="48">
        <f t="shared" si="22"/>
        <v>40</v>
      </c>
      <c r="L71" s="48">
        <f t="shared" si="22"/>
        <v>68</v>
      </c>
      <c r="M71" s="48">
        <f t="shared" si="22"/>
        <v>95</v>
      </c>
      <c r="N71" s="48">
        <f t="shared" si="22"/>
        <v>123</v>
      </c>
      <c r="O71" s="48">
        <f t="shared" si="22"/>
        <v>151</v>
      </c>
      <c r="P71" s="48">
        <f t="shared" si="22"/>
        <v>179</v>
      </c>
      <c r="Q71" s="48">
        <f t="shared" si="22"/>
        <v>206</v>
      </c>
      <c r="R71" s="48">
        <f t="shared" si="22"/>
        <v>234</v>
      </c>
      <c r="S71" s="48">
        <f t="shared" si="22"/>
        <v>262</v>
      </c>
      <c r="T71" s="48">
        <f t="shared" si="23"/>
        <v>288</v>
      </c>
      <c r="U71" s="48">
        <f t="shared" si="23"/>
        <v>314</v>
      </c>
      <c r="V71" s="48">
        <f t="shared" si="23"/>
        <v>340</v>
      </c>
      <c r="W71" s="48">
        <f t="shared" si="23"/>
        <v>366</v>
      </c>
      <c r="X71" s="48">
        <f t="shared" si="23"/>
        <v>392</v>
      </c>
      <c r="Y71" s="48">
        <f t="shared" si="23"/>
        <v>419</v>
      </c>
      <c r="Z71" s="48">
        <f t="shared" si="23"/>
        <v>445</v>
      </c>
      <c r="AA71" s="48">
        <f t="shared" si="23"/>
        <v>471</v>
      </c>
      <c r="AB71" s="48">
        <f t="shared" si="23"/>
        <v>497</v>
      </c>
      <c r="AC71" s="48">
        <f t="shared" si="23"/>
        <v>523</v>
      </c>
      <c r="AD71" s="48">
        <f t="shared" si="24"/>
        <v>550</v>
      </c>
      <c r="AE71" s="48">
        <f t="shared" si="24"/>
        <v>576</v>
      </c>
      <c r="AF71" s="48">
        <f t="shared" si="24"/>
        <v>602</v>
      </c>
      <c r="AG71" s="48">
        <f t="shared" si="24"/>
        <v>628</v>
      </c>
      <c r="AH71" s="48">
        <f t="shared" si="24"/>
        <v>654</v>
      </c>
      <c r="AI71" s="48">
        <f t="shared" si="24"/>
        <v>681</v>
      </c>
      <c r="AJ71" s="48">
        <f t="shared" si="24"/>
        <v>707</v>
      </c>
      <c r="AK71" s="48">
        <f t="shared" si="24"/>
        <v>733</v>
      </c>
      <c r="AL71" s="48">
        <f t="shared" si="24"/>
        <v>759</v>
      </c>
      <c r="AM71" s="48">
        <f t="shared" si="24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25"/>
        <v>145</v>
      </c>
      <c r="H72" s="61">
        <f t="shared" si="26"/>
        <v>187</v>
      </c>
      <c r="I72" s="61">
        <f t="shared" si="27"/>
        <v>110</v>
      </c>
      <c r="J72" s="48">
        <f t="shared" si="22"/>
        <v>20</v>
      </c>
      <c r="K72" s="48">
        <f t="shared" si="22"/>
        <v>65</v>
      </c>
      <c r="L72" s="48">
        <f t="shared" si="22"/>
        <v>109</v>
      </c>
      <c r="M72" s="48">
        <f t="shared" si="22"/>
        <v>154</v>
      </c>
      <c r="N72" s="48">
        <f t="shared" si="22"/>
        <v>198</v>
      </c>
      <c r="O72" s="48">
        <f t="shared" si="22"/>
        <v>243</v>
      </c>
      <c r="P72" s="48">
        <f t="shared" si="22"/>
        <v>288</v>
      </c>
      <c r="Q72" s="48">
        <f t="shared" si="22"/>
        <v>332</v>
      </c>
      <c r="R72" s="48">
        <f t="shared" si="22"/>
        <v>377</v>
      </c>
      <c r="S72" s="48">
        <f t="shared" si="22"/>
        <v>421</v>
      </c>
      <c r="T72" s="48">
        <f t="shared" si="23"/>
        <v>463</v>
      </c>
      <c r="U72" s="48">
        <f t="shared" si="23"/>
        <v>505</v>
      </c>
      <c r="V72" s="48">
        <f t="shared" si="23"/>
        <v>547</v>
      </c>
      <c r="W72" s="48">
        <f t="shared" si="23"/>
        <v>590</v>
      </c>
      <c r="X72" s="48">
        <f t="shared" si="23"/>
        <v>632</v>
      </c>
      <c r="Y72" s="48">
        <f t="shared" si="23"/>
        <v>674</v>
      </c>
      <c r="Z72" s="48">
        <f t="shared" si="23"/>
        <v>716</v>
      </c>
      <c r="AA72" s="48">
        <f t="shared" si="23"/>
        <v>758</v>
      </c>
      <c r="AB72" s="48">
        <f t="shared" si="23"/>
        <v>800</v>
      </c>
      <c r="AC72" s="48">
        <f t="shared" si="23"/>
        <v>842</v>
      </c>
      <c r="AD72" s="48">
        <f t="shared" si="24"/>
        <v>885</v>
      </c>
      <c r="AE72" s="48">
        <f t="shared" si="24"/>
        <v>927</v>
      </c>
      <c r="AF72" s="48">
        <f t="shared" si="24"/>
        <v>969</v>
      </c>
      <c r="AG72" s="48">
        <f t="shared" si="24"/>
        <v>1011</v>
      </c>
      <c r="AH72" s="48">
        <f t="shared" si="24"/>
        <v>1053</v>
      </c>
      <c r="AI72" s="48">
        <f t="shared" si="24"/>
        <v>1095</v>
      </c>
      <c r="AJ72" s="48">
        <f t="shared" si="24"/>
        <v>1137</v>
      </c>
      <c r="AK72" s="48">
        <f t="shared" si="24"/>
        <v>1180</v>
      </c>
      <c r="AL72" s="48">
        <f t="shared" si="24"/>
        <v>1222</v>
      </c>
      <c r="AM72" s="48">
        <f t="shared" si="24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25"/>
        <v>175</v>
      </c>
      <c r="H73" s="61">
        <f t="shared" si="26"/>
        <v>222</v>
      </c>
      <c r="I73" s="61">
        <f t="shared" si="27"/>
        <v>153</v>
      </c>
      <c r="J73" s="48">
        <f t="shared" ref="J73:S82" si="28">MAX(10,INT(SQRT($G73*$I73)*$H73*J$1^2/10))</f>
        <v>32</v>
      </c>
      <c r="K73" s="48">
        <f t="shared" si="28"/>
        <v>100</v>
      </c>
      <c r="L73" s="48">
        <f t="shared" si="28"/>
        <v>169</v>
      </c>
      <c r="M73" s="48">
        <f t="shared" si="28"/>
        <v>237</v>
      </c>
      <c r="N73" s="48">
        <f t="shared" si="28"/>
        <v>306</v>
      </c>
      <c r="O73" s="48">
        <f t="shared" si="28"/>
        <v>374</v>
      </c>
      <c r="P73" s="48">
        <f t="shared" si="28"/>
        <v>442</v>
      </c>
      <c r="Q73" s="48">
        <f t="shared" si="28"/>
        <v>511</v>
      </c>
      <c r="R73" s="48">
        <f t="shared" si="28"/>
        <v>579</v>
      </c>
      <c r="S73" s="48">
        <f t="shared" si="28"/>
        <v>648</v>
      </c>
      <c r="T73" s="48">
        <f t="shared" ref="T73:AC82" si="29">MAX(10,INT(SQRT($G73*$I73)*$H73*T$1^2/10))</f>
        <v>713</v>
      </c>
      <c r="U73" s="48">
        <f t="shared" si="29"/>
        <v>778</v>
      </c>
      <c r="V73" s="48">
        <f t="shared" si="29"/>
        <v>842</v>
      </c>
      <c r="W73" s="48">
        <f t="shared" si="29"/>
        <v>907</v>
      </c>
      <c r="X73" s="48">
        <f t="shared" si="29"/>
        <v>972</v>
      </c>
      <c r="Y73" s="48">
        <f t="shared" si="29"/>
        <v>1037</v>
      </c>
      <c r="Z73" s="48">
        <f t="shared" si="29"/>
        <v>1102</v>
      </c>
      <c r="AA73" s="48">
        <f t="shared" si="29"/>
        <v>1166</v>
      </c>
      <c r="AB73" s="48">
        <f t="shared" si="29"/>
        <v>1231</v>
      </c>
      <c r="AC73" s="48">
        <f t="shared" si="29"/>
        <v>1296</v>
      </c>
      <c r="AD73" s="48">
        <f t="shared" ref="AD73:AM82" si="30">MAX(10,INT(SQRT($G73*$I73)*$H73*AD$1^2/10))</f>
        <v>1361</v>
      </c>
      <c r="AE73" s="48">
        <f t="shared" si="30"/>
        <v>1426</v>
      </c>
      <c r="AF73" s="48">
        <f t="shared" si="30"/>
        <v>1490</v>
      </c>
      <c r="AG73" s="48">
        <f t="shared" si="30"/>
        <v>1555</v>
      </c>
      <c r="AH73" s="48">
        <f t="shared" si="30"/>
        <v>1620</v>
      </c>
      <c r="AI73" s="48">
        <f t="shared" si="30"/>
        <v>1685</v>
      </c>
      <c r="AJ73" s="48">
        <f t="shared" si="30"/>
        <v>1750</v>
      </c>
      <c r="AK73" s="48">
        <f t="shared" si="30"/>
        <v>1815</v>
      </c>
      <c r="AL73" s="48">
        <f t="shared" si="30"/>
        <v>1879</v>
      </c>
      <c r="AM73" s="48">
        <f t="shared" si="3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25"/>
        <v>95</v>
      </c>
      <c r="H74" s="61">
        <f t="shared" si="26"/>
        <v>112</v>
      </c>
      <c r="I74" s="61">
        <f t="shared" si="27"/>
        <v>197</v>
      </c>
      <c r="J74" s="48">
        <f t="shared" si="28"/>
        <v>13</v>
      </c>
      <c r="K74" s="48">
        <f t="shared" si="28"/>
        <v>42</v>
      </c>
      <c r="L74" s="48">
        <f t="shared" si="28"/>
        <v>71</v>
      </c>
      <c r="M74" s="48">
        <f t="shared" si="28"/>
        <v>100</v>
      </c>
      <c r="N74" s="48">
        <f t="shared" si="28"/>
        <v>129</v>
      </c>
      <c r="O74" s="48">
        <f t="shared" si="28"/>
        <v>157</v>
      </c>
      <c r="P74" s="48">
        <f t="shared" si="28"/>
        <v>186</v>
      </c>
      <c r="Q74" s="48">
        <f t="shared" si="28"/>
        <v>215</v>
      </c>
      <c r="R74" s="48">
        <f t="shared" si="28"/>
        <v>244</v>
      </c>
      <c r="S74" s="48">
        <f t="shared" si="28"/>
        <v>273</v>
      </c>
      <c r="T74" s="48">
        <f t="shared" si="29"/>
        <v>300</v>
      </c>
      <c r="U74" s="48">
        <f t="shared" si="29"/>
        <v>328</v>
      </c>
      <c r="V74" s="48">
        <f t="shared" si="29"/>
        <v>355</v>
      </c>
      <c r="W74" s="48">
        <f t="shared" si="29"/>
        <v>382</v>
      </c>
      <c r="X74" s="48">
        <f t="shared" si="29"/>
        <v>410</v>
      </c>
      <c r="Y74" s="48">
        <f t="shared" si="29"/>
        <v>437</v>
      </c>
      <c r="Z74" s="48">
        <f t="shared" si="29"/>
        <v>464</v>
      </c>
      <c r="AA74" s="48">
        <f t="shared" si="29"/>
        <v>492</v>
      </c>
      <c r="AB74" s="48">
        <f t="shared" si="29"/>
        <v>519</v>
      </c>
      <c r="AC74" s="48">
        <f t="shared" si="29"/>
        <v>546</v>
      </c>
      <c r="AD74" s="48">
        <f t="shared" si="30"/>
        <v>574</v>
      </c>
      <c r="AE74" s="48">
        <f t="shared" si="30"/>
        <v>601</v>
      </c>
      <c r="AF74" s="48">
        <f t="shared" si="30"/>
        <v>628</v>
      </c>
      <c r="AG74" s="48">
        <f t="shared" si="30"/>
        <v>656</v>
      </c>
      <c r="AH74" s="48">
        <f t="shared" si="30"/>
        <v>683</v>
      </c>
      <c r="AI74" s="48">
        <f t="shared" si="30"/>
        <v>710</v>
      </c>
      <c r="AJ74" s="48">
        <f t="shared" si="30"/>
        <v>738</v>
      </c>
      <c r="AK74" s="48">
        <f t="shared" si="30"/>
        <v>765</v>
      </c>
      <c r="AL74" s="48">
        <f t="shared" si="30"/>
        <v>792</v>
      </c>
      <c r="AM74" s="48">
        <f t="shared" si="3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25"/>
        <v>175</v>
      </c>
      <c r="H75" s="61">
        <f t="shared" si="26"/>
        <v>181</v>
      </c>
      <c r="I75" s="61">
        <f t="shared" si="27"/>
        <v>252</v>
      </c>
      <c r="J75" s="48">
        <f t="shared" si="28"/>
        <v>33</v>
      </c>
      <c r="K75" s="48">
        <f t="shared" si="28"/>
        <v>105</v>
      </c>
      <c r="L75" s="48">
        <f t="shared" si="28"/>
        <v>176</v>
      </c>
      <c r="M75" s="48">
        <f t="shared" si="28"/>
        <v>248</v>
      </c>
      <c r="N75" s="48">
        <f t="shared" si="28"/>
        <v>320</v>
      </c>
      <c r="O75" s="48">
        <f t="shared" si="28"/>
        <v>391</v>
      </c>
      <c r="P75" s="48">
        <f t="shared" si="28"/>
        <v>463</v>
      </c>
      <c r="Q75" s="48">
        <f t="shared" si="28"/>
        <v>535</v>
      </c>
      <c r="R75" s="48">
        <f t="shared" si="28"/>
        <v>606</v>
      </c>
      <c r="S75" s="48">
        <f t="shared" si="28"/>
        <v>678</v>
      </c>
      <c r="T75" s="48">
        <f t="shared" si="29"/>
        <v>746</v>
      </c>
      <c r="U75" s="48">
        <f t="shared" si="29"/>
        <v>814</v>
      </c>
      <c r="V75" s="48">
        <f t="shared" si="29"/>
        <v>881</v>
      </c>
      <c r="W75" s="48">
        <f t="shared" si="29"/>
        <v>949</v>
      </c>
      <c r="X75" s="48">
        <f t="shared" si="29"/>
        <v>1017</v>
      </c>
      <c r="Y75" s="48">
        <f t="shared" si="29"/>
        <v>1085</v>
      </c>
      <c r="Z75" s="48">
        <f t="shared" si="29"/>
        <v>1153</v>
      </c>
      <c r="AA75" s="48">
        <f t="shared" si="29"/>
        <v>1220</v>
      </c>
      <c r="AB75" s="48">
        <f t="shared" si="29"/>
        <v>1288</v>
      </c>
      <c r="AC75" s="48">
        <f t="shared" si="29"/>
        <v>1356</v>
      </c>
      <c r="AD75" s="48">
        <f t="shared" si="30"/>
        <v>1424</v>
      </c>
      <c r="AE75" s="48">
        <f t="shared" si="30"/>
        <v>1492</v>
      </c>
      <c r="AF75" s="48">
        <f t="shared" si="30"/>
        <v>1560</v>
      </c>
      <c r="AG75" s="48">
        <f t="shared" si="30"/>
        <v>1627</v>
      </c>
      <c r="AH75" s="48">
        <f t="shared" si="30"/>
        <v>1695</v>
      </c>
      <c r="AI75" s="48">
        <f t="shared" si="30"/>
        <v>1763</v>
      </c>
      <c r="AJ75" s="48">
        <f t="shared" si="30"/>
        <v>1831</v>
      </c>
      <c r="AK75" s="48">
        <f t="shared" si="30"/>
        <v>1899</v>
      </c>
      <c r="AL75" s="48">
        <f t="shared" si="30"/>
        <v>1967</v>
      </c>
      <c r="AM75" s="48">
        <f t="shared" si="3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25"/>
        <v>95</v>
      </c>
      <c r="H76" s="61">
        <f t="shared" si="26"/>
        <v>147</v>
      </c>
      <c r="I76" s="61">
        <f t="shared" si="27"/>
        <v>178</v>
      </c>
      <c r="J76" s="48">
        <f t="shared" si="28"/>
        <v>16</v>
      </c>
      <c r="K76" s="48">
        <f t="shared" si="28"/>
        <v>52</v>
      </c>
      <c r="L76" s="48">
        <f t="shared" si="28"/>
        <v>88</v>
      </c>
      <c r="M76" s="48">
        <f t="shared" si="28"/>
        <v>125</v>
      </c>
      <c r="N76" s="48">
        <f t="shared" si="28"/>
        <v>161</v>
      </c>
      <c r="O76" s="48">
        <f t="shared" si="28"/>
        <v>197</v>
      </c>
      <c r="P76" s="48">
        <f t="shared" si="28"/>
        <v>233</v>
      </c>
      <c r="Q76" s="48">
        <f t="shared" si="28"/>
        <v>269</v>
      </c>
      <c r="R76" s="48">
        <f t="shared" si="28"/>
        <v>305</v>
      </c>
      <c r="S76" s="48">
        <f t="shared" si="28"/>
        <v>341</v>
      </c>
      <c r="T76" s="48">
        <f t="shared" si="29"/>
        <v>375</v>
      </c>
      <c r="U76" s="48">
        <f t="shared" si="29"/>
        <v>409</v>
      </c>
      <c r="V76" s="48">
        <f t="shared" si="29"/>
        <v>443</v>
      </c>
      <c r="W76" s="48">
        <f t="shared" si="29"/>
        <v>477</v>
      </c>
      <c r="X76" s="48">
        <f t="shared" si="29"/>
        <v>511</v>
      </c>
      <c r="Y76" s="48">
        <f t="shared" si="29"/>
        <v>545</v>
      </c>
      <c r="Z76" s="48">
        <f t="shared" si="29"/>
        <v>579</v>
      </c>
      <c r="AA76" s="48">
        <f t="shared" si="29"/>
        <v>614</v>
      </c>
      <c r="AB76" s="48">
        <f t="shared" si="29"/>
        <v>648</v>
      </c>
      <c r="AC76" s="48">
        <f t="shared" si="29"/>
        <v>682</v>
      </c>
      <c r="AD76" s="48">
        <f t="shared" si="30"/>
        <v>716</v>
      </c>
      <c r="AE76" s="48">
        <f t="shared" si="30"/>
        <v>750</v>
      </c>
      <c r="AF76" s="48">
        <f t="shared" si="30"/>
        <v>784</v>
      </c>
      <c r="AG76" s="48">
        <f t="shared" si="30"/>
        <v>818</v>
      </c>
      <c r="AH76" s="48">
        <f t="shared" si="30"/>
        <v>852</v>
      </c>
      <c r="AI76" s="48">
        <f t="shared" si="30"/>
        <v>886</v>
      </c>
      <c r="AJ76" s="48">
        <f t="shared" si="30"/>
        <v>921</v>
      </c>
      <c r="AK76" s="48">
        <f t="shared" si="30"/>
        <v>955</v>
      </c>
      <c r="AL76" s="48">
        <f t="shared" si="30"/>
        <v>989</v>
      </c>
      <c r="AM76" s="48">
        <f t="shared" si="3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25"/>
        <v>125</v>
      </c>
      <c r="H77" s="61">
        <f t="shared" si="26"/>
        <v>179</v>
      </c>
      <c r="I77" s="61">
        <f t="shared" si="27"/>
        <v>211</v>
      </c>
      <c r="J77" s="48">
        <f t="shared" si="28"/>
        <v>25</v>
      </c>
      <c r="K77" s="48">
        <f t="shared" si="28"/>
        <v>80</v>
      </c>
      <c r="L77" s="48">
        <f t="shared" si="28"/>
        <v>135</v>
      </c>
      <c r="M77" s="48">
        <f t="shared" si="28"/>
        <v>190</v>
      </c>
      <c r="N77" s="48">
        <f t="shared" si="28"/>
        <v>244</v>
      </c>
      <c r="O77" s="48">
        <f t="shared" si="28"/>
        <v>299</v>
      </c>
      <c r="P77" s="48">
        <f t="shared" si="28"/>
        <v>354</v>
      </c>
      <c r="Q77" s="48">
        <f t="shared" si="28"/>
        <v>409</v>
      </c>
      <c r="R77" s="48">
        <f t="shared" si="28"/>
        <v>464</v>
      </c>
      <c r="S77" s="48">
        <f t="shared" si="28"/>
        <v>518</v>
      </c>
      <c r="T77" s="48">
        <f t="shared" si="29"/>
        <v>570</v>
      </c>
      <c r="U77" s="48">
        <f t="shared" si="29"/>
        <v>622</v>
      </c>
      <c r="V77" s="48">
        <f t="shared" si="29"/>
        <v>674</v>
      </c>
      <c r="W77" s="48">
        <f t="shared" si="29"/>
        <v>726</v>
      </c>
      <c r="X77" s="48">
        <f t="shared" si="29"/>
        <v>778</v>
      </c>
      <c r="Y77" s="48">
        <f t="shared" si="29"/>
        <v>830</v>
      </c>
      <c r="Z77" s="48">
        <f t="shared" si="29"/>
        <v>881</v>
      </c>
      <c r="AA77" s="48">
        <f t="shared" si="29"/>
        <v>933</v>
      </c>
      <c r="AB77" s="48">
        <f t="shared" si="29"/>
        <v>985</v>
      </c>
      <c r="AC77" s="48">
        <f t="shared" si="29"/>
        <v>1037</v>
      </c>
      <c r="AD77" s="48">
        <f t="shared" si="30"/>
        <v>1089</v>
      </c>
      <c r="AE77" s="48">
        <f t="shared" si="30"/>
        <v>1141</v>
      </c>
      <c r="AF77" s="48">
        <f t="shared" si="30"/>
        <v>1193</v>
      </c>
      <c r="AG77" s="48">
        <f t="shared" si="30"/>
        <v>1245</v>
      </c>
      <c r="AH77" s="48">
        <f t="shared" si="30"/>
        <v>1296</v>
      </c>
      <c r="AI77" s="48">
        <f t="shared" si="30"/>
        <v>1348</v>
      </c>
      <c r="AJ77" s="48">
        <f t="shared" si="30"/>
        <v>1400</v>
      </c>
      <c r="AK77" s="48">
        <f t="shared" si="30"/>
        <v>1452</v>
      </c>
      <c r="AL77" s="48">
        <f t="shared" si="30"/>
        <v>1504</v>
      </c>
      <c r="AM77" s="48">
        <f t="shared" si="3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25"/>
        <v>175</v>
      </c>
      <c r="H78" s="61">
        <f t="shared" si="26"/>
        <v>226</v>
      </c>
      <c r="I78" s="61">
        <f t="shared" si="27"/>
        <v>244</v>
      </c>
      <c r="J78" s="48">
        <f t="shared" si="28"/>
        <v>41</v>
      </c>
      <c r="K78" s="48">
        <f t="shared" si="28"/>
        <v>129</v>
      </c>
      <c r="L78" s="48">
        <f t="shared" si="28"/>
        <v>217</v>
      </c>
      <c r="M78" s="48">
        <f t="shared" si="28"/>
        <v>305</v>
      </c>
      <c r="N78" s="48">
        <f t="shared" si="28"/>
        <v>393</v>
      </c>
      <c r="O78" s="48">
        <f t="shared" si="28"/>
        <v>481</v>
      </c>
      <c r="P78" s="48">
        <f t="shared" si="28"/>
        <v>569</v>
      </c>
      <c r="Q78" s="48">
        <f t="shared" si="28"/>
        <v>657</v>
      </c>
      <c r="R78" s="48">
        <f t="shared" si="28"/>
        <v>745</v>
      </c>
      <c r="S78" s="48">
        <f t="shared" si="28"/>
        <v>833</v>
      </c>
      <c r="T78" s="48">
        <f t="shared" si="29"/>
        <v>916</v>
      </c>
      <c r="U78" s="48">
        <f t="shared" si="29"/>
        <v>1000</v>
      </c>
      <c r="V78" s="48">
        <f t="shared" si="29"/>
        <v>1083</v>
      </c>
      <c r="W78" s="48">
        <f t="shared" si="29"/>
        <v>1166</v>
      </c>
      <c r="X78" s="48">
        <f t="shared" si="29"/>
        <v>1250</v>
      </c>
      <c r="Y78" s="48">
        <f t="shared" si="29"/>
        <v>1333</v>
      </c>
      <c r="Z78" s="48">
        <f t="shared" si="29"/>
        <v>1416</v>
      </c>
      <c r="AA78" s="48">
        <f t="shared" si="29"/>
        <v>1500</v>
      </c>
      <c r="AB78" s="48">
        <f t="shared" si="29"/>
        <v>1583</v>
      </c>
      <c r="AC78" s="48">
        <f t="shared" si="29"/>
        <v>1666</v>
      </c>
      <c r="AD78" s="48">
        <f t="shared" si="30"/>
        <v>1750</v>
      </c>
      <c r="AE78" s="48">
        <f t="shared" si="30"/>
        <v>1833</v>
      </c>
      <c r="AF78" s="48">
        <f t="shared" si="30"/>
        <v>1916</v>
      </c>
      <c r="AG78" s="48">
        <f t="shared" si="30"/>
        <v>2000</v>
      </c>
      <c r="AH78" s="48">
        <f t="shared" si="30"/>
        <v>2083</v>
      </c>
      <c r="AI78" s="48">
        <f t="shared" si="30"/>
        <v>2166</v>
      </c>
      <c r="AJ78" s="48">
        <f t="shared" si="30"/>
        <v>2250</v>
      </c>
      <c r="AK78" s="48">
        <f t="shared" si="30"/>
        <v>2333</v>
      </c>
      <c r="AL78" s="48">
        <f t="shared" si="30"/>
        <v>2416</v>
      </c>
      <c r="AM78" s="48">
        <f t="shared" si="3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25"/>
        <v>115</v>
      </c>
      <c r="H79" s="61">
        <f t="shared" si="26"/>
        <v>185</v>
      </c>
      <c r="I79" s="61">
        <f t="shared" si="27"/>
        <v>147</v>
      </c>
      <c r="J79" s="48">
        <f t="shared" si="28"/>
        <v>21</v>
      </c>
      <c r="K79" s="48">
        <f t="shared" si="28"/>
        <v>66</v>
      </c>
      <c r="L79" s="48">
        <f t="shared" si="28"/>
        <v>111</v>
      </c>
      <c r="M79" s="48">
        <f t="shared" si="28"/>
        <v>157</v>
      </c>
      <c r="N79" s="48">
        <f t="shared" si="28"/>
        <v>202</v>
      </c>
      <c r="O79" s="48">
        <f t="shared" si="28"/>
        <v>247</v>
      </c>
      <c r="P79" s="48">
        <f t="shared" si="28"/>
        <v>293</v>
      </c>
      <c r="Q79" s="48">
        <f t="shared" si="28"/>
        <v>338</v>
      </c>
      <c r="R79" s="48">
        <f t="shared" si="28"/>
        <v>384</v>
      </c>
      <c r="S79" s="48">
        <f t="shared" si="28"/>
        <v>429</v>
      </c>
      <c r="T79" s="48">
        <f t="shared" si="29"/>
        <v>472</v>
      </c>
      <c r="U79" s="48">
        <f t="shared" si="29"/>
        <v>515</v>
      </c>
      <c r="V79" s="48">
        <f t="shared" si="29"/>
        <v>558</v>
      </c>
      <c r="W79" s="48">
        <f t="shared" si="29"/>
        <v>600</v>
      </c>
      <c r="X79" s="48">
        <f t="shared" si="29"/>
        <v>643</v>
      </c>
      <c r="Y79" s="48">
        <f t="shared" si="29"/>
        <v>686</v>
      </c>
      <c r="Z79" s="48">
        <f t="shared" si="29"/>
        <v>729</v>
      </c>
      <c r="AA79" s="48">
        <f t="shared" si="29"/>
        <v>772</v>
      </c>
      <c r="AB79" s="48">
        <f t="shared" si="29"/>
        <v>815</v>
      </c>
      <c r="AC79" s="48">
        <f t="shared" si="29"/>
        <v>858</v>
      </c>
      <c r="AD79" s="48">
        <f t="shared" si="30"/>
        <v>901</v>
      </c>
      <c r="AE79" s="48">
        <f t="shared" si="30"/>
        <v>944</v>
      </c>
      <c r="AF79" s="48">
        <f t="shared" si="30"/>
        <v>987</v>
      </c>
      <c r="AG79" s="48">
        <f t="shared" si="30"/>
        <v>1030</v>
      </c>
      <c r="AH79" s="48">
        <f t="shared" si="30"/>
        <v>1073</v>
      </c>
      <c r="AI79" s="48">
        <f t="shared" si="30"/>
        <v>1116</v>
      </c>
      <c r="AJ79" s="48">
        <f t="shared" si="30"/>
        <v>1158</v>
      </c>
      <c r="AK79" s="48">
        <f t="shared" si="30"/>
        <v>1201</v>
      </c>
      <c r="AL79" s="48">
        <f t="shared" si="30"/>
        <v>1244</v>
      </c>
      <c r="AM79" s="48">
        <f t="shared" si="3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25"/>
        <v>145</v>
      </c>
      <c r="H80" s="61">
        <f t="shared" si="26"/>
        <v>222</v>
      </c>
      <c r="I80" s="61">
        <f t="shared" si="27"/>
        <v>182</v>
      </c>
      <c r="J80" s="48">
        <f t="shared" si="28"/>
        <v>31</v>
      </c>
      <c r="K80" s="48">
        <f t="shared" si="28"/>
        <v>99</v>
      </c>
      <c r="L80" s="48">
        <f t="shared" si="28"/>
        <v>167</v>
      </c>
      <c r="M80" s="48">
        <f t="shared" si="28"/>
        <v>235</v>
      </c>
      <c r="N80" s="48">
        <f t="shared" si="28"/>
        <v>303</v>
      </c>
      <c r="O80" s="48">
        <f t="shared" si="28"/>
        <v>371</v>
      </c>
      <c r="P80" s="48">
        <f t="shared" si="28"/>
        <v>439</v>
      </c>
      <c r="Q80" s="48">
        <f t="shared" si="28"/>
        <v>507</v>
      </c>
      <c r="R80" s="48">
        <f t="shared" si="28"/>
        <v>575</v>
      </c>
      <c r="S80" s="48">
        <f t="shared" si="28"/>
        <v>643</v>
      </c>
      <c r="T80" s="48">
        <f t="shared" si="29"/>
        <v>708</v>
      </c>
      <c r="U80" s="48">
        <f t="shared" si="29"/>
        <v>772</v>
      </c>
      <c r="V80" s="48">
        <f t="shared" si="29"/>
        <v>836</v>
      </c>
      <c r="W80" s="48">
        <f t="shared" si="29"/>
        <v>901</v>
      </c>
      <c r="X80" s="48">
        <f t="shared" si="29"/>
        <v>965</v>
      </c>
      <c r="Y80" s="48">
        <f t="shared" si="29"/>
        <v>1029</v>
      </c>
      <c r="Z80" s="48">
        <f t="shared" si="29"/>
        <v>1094</v>
      </c>
      <c r="AA80" s="48">
        <f t="shared" si="29"/>
        <v>1158</v>
      </c>
      <c r="AB80" s="48">
        <f t="shared" si="29"/>
        <v>1222</v>
      </c>
      <c r="AC80" s="48">
        <f t="shared" si="29"/>
        <v>1287</v>
      </c>
      <c r="AD80" s="48">
        <f t="shared" si="30"/>
        <v>1351</v>
      </c>
      <c r="AE80" s="48">
        <f t="shared" si="30"/>
        <v>1415</v>
      </c>
      <c r="AF80" s="48">
        <f t="shared" si="30"/>
        <v>1480</v>
      </c>
      <c r="AG80" s="48">
        <f t="shared" si="30"/>
        <v>1544</v>
      </c>
      <c r="AH80" s="48">
        <f t="shared" si="30"/>
        <v>1608</v>
      </c>
      <c r="AI80" s="48">
        <f t="shared" si="30"/>
        <v>1673</v>
      </c>
      <c r="AJ80" s="48">
        <f t="shared" si="30"/>
        <v>1737</v>
      </c>
      <c r="AK80" s="48">
        <f t="shared" si="30"/>
        <v>1802</v>
      </c>
      <c r="AL80" s="48">
        <f t="shared" si="30"/>
        <v>1866</v>
      </c>
      <c r="AM80" s="48">
        <f t="shared" si="3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25"/>
        <v>195</v>
      </c>
      <c r="H81" s="61">
        <f t="shared" si="26"/>
        <v>124</v>
      </c>
      <c r="I81" s="61">
        <f t="shared" si="27"/>
        <v>124</v>
      </c>
      <c r="J81" s="48">
        <f t="shared" si="28"/>
        <v>17</v>
      </c>
      <c r="K81" s="48">
        <f t="shared" si="28"/>
        <v>53</v>
      </c>
      <c r="L81" s="48">
        <f t="shared" si="28"/>
        <v>89</v>
      </c>
      <c r="M81" s="48">
        <f t="shared" si="28"/>
        <v>126</v>
      </c>
      <c r="N81" s="48">
        <f t="shared" si="28"/>
        <v>162</v>
      </c>
      <c r="O81" s="48">
        <f t="shared" si="28"/>
        <v>198</v>
      </c>
      <c r="P81" s="48">
        <f t="shared" si="28"/>
        <v>235</v>
      </c>
      <c r="Q81" s="48">
        <f t="shared" si="28"/>
        <v>271</v>
      </c>
      <c r="R81" s="48">
        <f t="shared" si="28"/>
        <v>307</v>
      </c>
      <c r="S81" s="48">
        <f t="shared" si="28"/>
        <v>344</v>
      </c>
      <c r="T81" s="48">
        <f t="shared" si="29"/>
        <v>378</v>
      </c>
      <c r="U81" s="48">
        <f t="shared" si="29"/>
        <v>412</v>
      </c>
      <c r="V81" s="48">
        <f t="shared" si="29"/>
        <v>447</v>
      </c>
      <c r="W81" s="48">
        <f t="shared" si="29"/>
        <v>481</v>
      </c>
      <c r="X81" s="48">
        <f t="shared" si="29"/>
        <v>516</v>
      </c>
      <c r="Y81" s="48">
        <f t="shared" si="29"/>
        <v>550</v>
      </c>
      <c r="Z81" s="48">
        <f t="shared" si="29"/>
        <v>584</v>
      </c>
      <c r="AA81" s="48">
        <f t="shared" si="29"/>
        <v>619</v>
      </c>
      <c r="AB81" s="48">
        <f t="shared" si="29"/>
        <v>653</v>
      </c>
      <c r="AC81" s="48">
        <f t="shared" si="29"/>
        <v>688</v>
      </c>
      <c r="AD81" s="48">
        <f t="shared" si="30"/>
        <v>722</v>
      </c>
      <c r="AE81" s="48">
        <f t="shared" si="30"/>
        <v>756</v>
      </c>
      <c r="AF81" s="48">
        <f t="shared" si="30"/>
        <v>791</v>
      </c>
      <c r="AG81" s="48">
        <f t="shared" si="30"/>
        <v>825</v>
      </c>
      <c r="AH81" s="48">
        <f t="shared" si="30"/>
        <v>860</v>
      </c>
      <c r="AI81" s="48">
        <f t="shared" si="30"/>
        <v>894</v>
      </c>
      <c r="AJ81" s="48">
        <f t="shared" si="30"/>
        <v>929</v>
      </c>
      <c r="AK81" s="48">
        <f t="shared" si="30"/>
        <v>963</v>
      </c>
      <c r="AL81" s="48">
        <f t="shared" si="30"/>
        <v>997</v>
      </c>
      <c r="AM81" s="48">
        <f t="shared" si="3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25"/>
        <v>205</v>
      </c>
      <c r="H82" s="61">
        <f t="shared" si="26"/>
        <v>192</v>
      </c>
      <c r="I82" s="61">
        <f t="shared" si="27"/>
        <v>209</v>
      </c>
      <c r="J82" s="48">
        <f t="shared" si="28"/>
        <v>35</v>
      </c>
      <c r="K82" s="48">
        <f t="shared" si="28"/>
        <v>110</v>
      </c>
      <c r="L82" s="48">
        <f t="shared" si="28"/>
        <v>184</v>
      </c>
      <c r="M82" s="48">
        <f t="shared" si="28"/>
        <v>259</v>
      </c>
      <c r="N82" s="48">
        <f t="shared" si="28"/>
        <v>334</v>
      </c>
      <c r="O82" s="48">
        <f t="shared" si="28"/>
        <v>409</v>
      </c>
      <c r="P82" s="48">
        <f t="shared" si="28"/>
        <v>484</v>
      </c>
      <c r="Q82" s="48">
        <f t="shared" si="28"/>
        <v>559</v>
      </c>
      <c r="R82" s="48">
        <f t="shared" si="28"/>
        <v>634</v>
      </c>
      <c r="S82" s="48">
        <f t="shared" si="28"/>
        <v>709</v>
      </c>
      <c r="T82" s="48">
        <f t="shared" si="29"/>
        <v>780</v>
      </c>
      <c r="U82" s="48">
        <f t="shared" si="29"/>
        <v>851</v>
      </c>
      <c r="V82" s="48">
        <f t="shared" si="29"/>
        <v>922</v>
      </c>
      <c r="W82" s="48">
        <f t="shared" si="29"/>
        <v>992</v>
      </c>
      <c r="X82" s="48">
        <f t="shared" si="29"/>
        <v>1063</v>
      </c>
      <c r="Y82" s="48">
        <f t="shared" si="29"/>
        <v>1134</v>
      </c>
      <c r="Z82" s="48">
        <f t="shared" si="29"/>
        <v>1205</v>
      </c>
      <c r="AA82" s="48">
        <f t="shared" si="29"/>
        <v>1276</v>
      </c>
      <c r="AB82" s="48">
        <f t="shared" si="29"/>
        <v>1347</v>
      </c>
      <c r="AC82" s="48">
        <f t="shared" si="29"/>
        <v>1418</v>
      </c>
      <c r="AD82" s="48">
        <f t="shared" si="30"/>
        <v>1489</v>
      </c>
      <c r="AE82" s="48">
        <f t="shared" si="30"/>
        <v>1560</v>
      </c>
      <c r="AF82" s="48">
        <f t="shared" si="30"/>
        <v>1631</v>
      </c>
      <c r="AG82" s="48">
        <f t="shared" si="30"/>
        <v>1702</v>
      </c>
      <c r="AH82" s="48">
        <f t="shared" si="30"/>
        <v>1773</v>
      </c>
      <c r="AI82" s="48">
        <f t="shared" si="30"/>
        <v>1843</v>
      </c>
      <c r="AJ82" s="48">
        <f t="shared" si="30"/>
        <v>1914</v>
      </c>
      <c r="AK82" s="48">
        <f t="shared" si="30"/>
        <v>1985</v>
      </c>
      <c r="AL82" s="48">
        <f t="shared" si="30"/>
        <v>2056</v>
      </c>
      <c r="AM82" s="48">
        <f t="shared" si="30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25"/>
        <v>65</v>
      </c>
      <c r="H83" s="61">
        <f t="shared" si="26"/>
        <v>180</v>
      </c>
      <c r="I83" s="61">
        <f t="shared" si="27"/>
        <v>143</v>
      </c>
      <c r="J83" s="48">
        <f t="shared" ref="J83:S92" si="31">MAX(10,INT(SQRT($G83*$I83)*$H83*J$1^2/10))</f>
        <v>15</v>
      </c>
      <c r="K83" s="48">
        <f t="shared" si="31"/>
        <v>48</v>
      </c>
      <c r="L83" s="48">
        <f t="shared" si="31"/>
        <v>80</v>
      </c>
      <c r="M83" s="48">
        <f t="shared" si="31"/>
        <v>113</v>
      </c>
      <c r="N83" s="48">
        <f t="shared" si="31"/>
        <v>146</v>
      </c>
      <c r="O83" s="48">
        <f t="shared" si="31"/>
        <v>178</v>
      </c>
      <c r="P83" s="48">
        <f t="shared" si="31"/>
        <v>211</v>
      </c>
      <c r="Q83" s="48">
        <f t="shared" si="31"/>
        <v>244</v>
      </c>
      <c r="R83" s="48">
        <f t="shared" si="31"/>
        <v>277</v>
      </c>
      <c r="S83" s="48">
        <f t="shared" si="31"/>
        <v>309</v>
      </c>
      <c r="T83" s="48">
        <f t="shared" ref="T83:AC92" si="32">MAX(10,INT(SQRT($G83*$I83)*$H83*T$1^2/10))</f>
        <v>340</v>
      </c>
      <c r="U83" s="48">
        <f t="shared" si="32"/>
        <v>371</v>
      </c>
      <c r="V83" s="48">
        <f t="shared" si="32"/>
        <v>402</v>
      </c>
      <c r="W83" s="48">
        <f t="shared" si="32"/>
        <v>433</v>
      </c>
      <c r="X83" s="48">
        <f t="shared" si="32"/>
        <v>464</v>
      </c>
      <c r="Y83" s="48">
        <f t="shared" si="32"/>
        <v>495</v>
      </c>
      <c r="Z83" s="48">
        <f t="shared" si="32"/>
        <v>526</v>
      </c>
      <c r="AA83" s="48">
        <f t="shared" si="32"/>
        <v>557</v>
      </c>
      <c r="AB83" s="48">
        <f t="shared" si="32"/>
        <v>588</v>
      </c>
      <c r="AC83" s="48">
        <f t="shared" si="32"/>
        <v>619</v>
      </c>
      <c r="AD83" s="48">
        <f t="shared" ref="AD83:AM92" si="33">MAX(10,INT(SQRT($G83*$I83)*$H83*AD$1^2/10))</f>
        <v>650</v>
      </c>
      <c r="AE83" s="48">
        <f t="shared" si="33"/>
        <v>681</v>
      </c>
      <c r="AF83" s="48">
        <f t="shared" si="33"/>
        <v>712</v>
      </c>
      <c r="AG83" s="48">
        <f t="shared" si="33"/>
        <v>743</v>
      </c>
      <c r="AH83" s="48">
        <f t="shared" si="33"/>
        <v>774</v>
      </c>
      <c r="AI83" s="48">
        <f t="shared" si="33"/>
        <v>805</v>
      </c>
      <c r="AJ83" s="48">
        <f t="shared" si="33"/>
        <v>836</v>
      </c>
      <c r="AK83" s="48">
        <f t="shared" si="33"/>
        <v>867</v>
      </c>
      <c r="AL83" s="48">
        <f t="shared" si="33"/>
        <v>898</v>
      </c>
      <c r="AM83" s="48">
        <f t="shared" si="3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25"/>
        <v>115</v>
      </c>
      <c r="H84" s="61">
        <f t="shared" si="26"/>
        <v>238</v>
      </c>
      <c r="I84" s="61">
        <f t="shared" si="27"/>
        <v>197</v>
      </c>
      <c r="J84" s="48">
        <f t="shared" si="31"/>
        <v>31</v>
      </c>
      <c r="K84" s="48">
        <f t="shared" si="31"/>
        <v>99</v>
      </c>
      <c r="L84" s="48">
        <f t="shared" si="31"/>
        <v>166</v>
      </c>
      <c r="M84" s="48">
        <f t="shared" si="31"/>
        <v>234</v>
      </c>
      <c r="N84" s="48">
        <f t="shared" si="31"/>
        <v>301</v>
      </c>
      <c r="O84" s="48">
        <f t="shared" si="31"/>
        <v>369</v>
      </c>
      <c r="P84" s="48">
        <f t="shared" si="31"/>
        <v>436</v>
      </c>
      <c r="Q84" s="48">
        <f t="shared" si="31"/>
        <v>504</v>
      </c>
      <c r="R84" s="48">
        <f t="shared" si="31"/>
        <v>571</v>
      </c>
      <c r="S84" s="48">
        <f t="shared" si="31"/>
        <v>639</v>
      </c>
      <c r="T84" s="48">
        <f t="shared" si="32"/>
        <v>703</v>
      </c>
      <c r="U84" s="48">
        <f t="shared" si="32"/>
        <v>767</v>
      </c>
      <c r="V84" s="48">
        <f t="shared" si="32"/>
        <v>831</v>
      </c>
      <c r="W84" s="48">
        <f t="shared" si="32"/>
        <v>895</v>
      </c>
      <c r="X84" s="48">
        <f t="shared" si="32"/>
        <v>958</v>
      </c>
      <c r="Y84" s="48">
        <f t="shared" si="32"/>
        <v>1022</v>
      </c>
      <c r="Z84" s="48">
        <f t="shared" si="32"/>
        <v>1086</v>
      </c>
      <c r="AA84" s="48">
        <f t="shared" si="32"/>
        <v>1150</v>
      </c>
      <c r="AB84" s="48">
        <f t="shared" si="32"/>
        <v>1214</v>
      </c>
      <c r="AC84" s="48">
        <f t="shared" si="32"/>
        <v>1278</v>
      </c>
      <c r="AD84" s="48">
        <f t="shared" si="33"/>
        <v>1342</v>
      </c>
      <c r="AE84" s="48">
        <f t="shared" si="33"/>
        <v>1406</v>
      </c>
      <c r="AF84" s="48">
        <f t="shared" si="33"/>
        <v>1470</v>
      </c>
      <c r="AG84" s="48">
        <f t="shared" si="33"/>
        <v>1534</v>
      </c>
      <c r="AH84" s="48">
        <f t="shared" si="33"/>
        <v>1598</v>
      </c>
      <c r="AI84" s="48">
        <f t="shared" si="33"/>
        <v>1662</v>
      </c>
      <c r="AJ84" s="48">
        <f t="shared" si="33"/>
        <v>1726</v>
      </c>
      <c r="AK84" s="48">
        <f t="shared" si="33"/>
        <v>1790</v>
      </c>
      <c r="AL84" s="48">
        <f t="shared" si="33"/>
        <v>1853</v>
      </c>
      <c r="AM84" s="48">
        <f t="shared" si="3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25"/>
        <v>119</v>
      </c>
      <c r="H85" s="61">
        <f t="shared" si="26"/>
        <v>139</v>
      </c>
      <c r="I85" s="61">
        <f t="shared" si="27"/>
        <v>133</v>
      </c>
      <c r="J85" s="48">
        <f t="shared" si="31"/>
        <v>15</v>
      </c>
      <c r="K85" s="48">
        <f t="shared" si="31"/>
        <v>48</v>
      </c>
      <c r="L85" s="48">
        <f t="shared" si="31"/>
        <v>81</v>
      </c>
      <c r="M85" s="48">
        <f t="shared" si="31"/>
        <v>114</v>
      </c>
      <c r="N85" s="48">
        <f t="shared" si="31"/>
        <v>147</v>
      </c>
      <c r="O85" s="48">
        <f t="shared" si="31"/>
        <v>180</v>
      </c>
      <c r="P85" s="48">
        <f t="shared" si="31"/>
        <v>213</v>
      </c>
      <c r="Q85" s="48">
        <f t="shared" si="31"/>
        <v>246</v>
      </c>
      <c r="R85" s="48">
        <f t="shared" si="31"/>
        <v>279</v>
      </c>
      <c r="S85" s="48">
        <f t="shared" si="31"/>
        <v>312</v>
      </c>
      <c r="T85" s="48">
        <f t="shared" si="32"/>
        <v>343</v>
      </c>
      <c r="U85" s="48">
        <f t="shared" si="32"/>
        <v>374</v>
      </c>
      <c r="V85" s="48">
        <f t="shared" si="32"/>
        <v>405</v>
      </c>
      <c r="W85" s="48">
        <f t="shared" si="32"/>
        <v>436</v>
      </c>
      <c r="X85" s="48">
        <f t="shared" si="32"/>
        <v>468</v>
      </c>
      <c r="Y85" s="48">
        <f t="shared" si="32"/>
        <v>499</v>
      </c>
      <c r="Z85" s="48">
        <f t="shared" si="32"/>
        <v>530</v>
      </c>
      <c r="AA85" s="48">
        <f t="shared" si="32"/>
        <v>561</v>
      </c>
      <c r="AB85" s="48">
        <f t="shared" si="32"/>
        <v>592</v>
      </c>
      <c r="AC85" s="48">
        <f t="shared" si="32"/>
        <v>624</v>
      </c>
      <c r="AD85" s="48">
        <f t="shared" si="33"/>
        <v>655</v>
      </c>
      <c r="AE85" s="48">
        <f t="shared" si="33"/>
        <v>686</v>
      </c>
      <c r="AF85" s="48">
        <f t="shared" si="33"/>
        <v>717</v>
      </c>
      <c r="AG85" s="48">
        <f t="shared" si="33"/>
        <v>748</v>
      </c>
      <c r="AH85" s="48">
        <f t="shared" si="33"/>
        <v>780</v>
      </c>
      <c r="AI85" s="48">
        <f t="shared" si="33"/>
        <v>811</v>
      </c>
      <c r="AJ85" s="48">
        <f t="shared" si="33"/>
        <v>842</v>
      </c>
      <c r="AK85" s="48">
        <f t="shared" si="33"/>
        <v>873</v>
      </c>
      <c r="AL85" s="48">
        <f t="shared" si="33"/>
        <v>905</v>
      </c>
      <c r="AM85" s="48">
        <f t="shared" si="3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25"/>
        <v>85</v>
      </c>
      <c r="H86" s="61">
        <f t="shared" si="26"/>
        <v>173</v>
      </c>
      <c r="I86" s="61">
        <f t="shared" si="27"/>
        <v>103</v>
      </c>
      <c r="J86" s="48">
        <f t="shared" si="31"/>
        <v>14</v>
      </c>
      <c r="K86" s="48">
        <f t="shared" si="31"/>
        <v>44</v>
      </c>
      <c r="L86" s="48">
        <f t="shared" si="31"/>
        <v>75</v>
      </c>
      <c r="M86" s="48">
        <f t="shared" si="31"/>
        <v>105</v>
      </c>
      <c r="N86" s="48">
        <f t="shared" si="31"/>
        <v>136</v>
      </c>
      <c r="O86" s="48">
        <f t="shared" si="31"/>
        <v>166</v>
      </c>
      <c r="P86" s="48">
        <f t="shared" si="31"/>
        <v>197</v>
      </c>
      <c r="Q86" s="48">
        <f t="shared" si="31"/>
        <v>227</v>
      </c>
      <c r="R86" s="48">
        <f t="shared" si="31"/>
        <v>258</v>
      </c>
      <c r="S86" s="48">
        <f t="shared" si="31"/>
        <v>288</v>
      </c>
      <c r="T86" s="48">
        <f t="shared" si="32"/>
        <v>317</v>
      </c>
      <c r="U86" s="48">
        <f t="shared" si="32"/>
        <v>346</v>
      </c>
      <c r="V86" s="48">
        <f t="shared" si="32"/>
        <v>375</v>
      </c>
      <c r="W86" s="48">
        <f t="shared" si="32"/>
        <v>404</v>
      </c>
      <c r="X86" s="48">
        <f t="shared" si="32"/>
        <v>433</v>
      </c>
      <c r="Y86" s="48">
        <f t="shared" si="32"/>
        <v>462</v>
      </c>
      <c r="Z86" s="48">
        <f t="shared" si="32"/>
        <v>491</v>
      </c>
      <c r="AA86" s="48">
        <f t="shared" si="32"/>
        <v>519</v>
      </c>
      <c r="AB86" s="48">
        <f t="shared" si="32"/>
        <v>548</v>
      </c>
      <c r="AC86" s="48">
        <f t="shared" si="32"/>
        <v>577</v>
      </c>
      <c r="AD86" s="48">
        <f t="shared" si="33"/>
        <v>606</v>
      </c>
      <c r="AE86" s="48">
        <f t="shared" si="33"/>
        <v>635</v>
      </c>
      <c r="AF86" s="48">
        <f t="shared" si="33"/>
        <v>664</v>
      </c>
      <c r="AG86" s="48">
        <f t="shared" si="33"/>
        <v>693</v>
      </c>
      <c r="AH86" s="48">
        <f t="shared" si="33"/>
        <v>722</v>
      </c>
      <c r="AI86" s="48">
        <f t="shared" si="33"/>
        <v>751</v>
      </c>
      <c r="AJ86" s="48">
        <f t="shared" si="33"/>
        <v>779</v>
      </c>
      <c r="AK86" s="48">
        <f t="shared" si="33"/>
        <v>808</v>
      </c>
      <c r="AL86" s="48">
        <f t="shared" si="33"/>
        <v>837</v>
      </c>
      <c r="AM86" s="48">
        <f t="shared" si="3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25"/>
        <v>135</v>
      </c>
      <c r="H87" s="61">
        <f t="shared" si="26"/>
        <v>233</v>
      </c>
      <c r="I87" s="61">
        <f t="shared" si="27"/>
        <v>160</v>
      </c>
      <c r="J87" s="48">
        <f t="shared" si="31"/>
        <v>30</v>
      </c>
      <c r="K87" s="48">
        <f t="shared" si="31"/>
        <v>94</v>
      </c>
      <c r="L87" s="48">
        <f t="shared" si="31"/>
        <v>159</v>
      </c>
      <c r="M87" s="48">
        <f t="shared" si="31"/>
        <v>223</v>
      </c>
      <c r="N87" s="48">
        <f t="shared" si="31"/>
        <v>288</v>
      </c>
      <c r="O87" s="48">
        <f t="shared" si="31"/>
        <v>353</v>
      </c>
      <c r="P87" s="48">
        <f t="shared" si="31"/>
        <v>417</v>
      </c>
      <c r="Q87" s="48">
        <f t="shared" si="31"/>
        <v>482</v>
      </c>
      <c r="R87" s="48">
        <f t="shared" si="31"/>
        <v>546</v>
      </c>
      <c r="S87" s="48">
        <f t="shared" si="31"/>
        <v>611</v>
      </c>
      <c r="T87" s="48">
        <f t="shared" si="32"/>
        <v>672</v>
      </c>
      <c r="U87" s="48">
        <f t="shared" si="32"/>
        <v>733</v>
      </c>
      <c r="V87" s="48">
        <f t="shared" si="32"/>
        <v>794</v>
      </c>
      <c r="W87" s="48">
        <f t="shared" si="32"/>
        <v>855</v>
      </c>
      <c r="X87" s="48">
        <f t="shared" si="32"/>
        <v>916</v>
      </c>
      <c r="Y87" s="48">
        <f t="shared" si="32"/>
        <v>977</v>
      </c>
      <c r="Z87" s="48">
        <f t="shared" si="32"/>
        <v>1038</v>
      </c>
      <c r="AA87" s="48">
        <f t="shared" si="32"/>
        <v>1099</v>
      </c>
      <c r="AB87" s="48">
        <f t="shared" si="32"/>
        <v>1161</v>
      </c>
      <c r="AC87" s="48">
        <f t="shared" si="32"/>
        <v>1222</v>
      </c>
      <c r="AD87" s="48">
        <f t="shared" si="33"/>
        <v>1283</v>
      </c>
      <c r="AE87" s="48">
        <f t="shared" si="33"/>
        <v>1344</v>
      </c>
      <c r="AF87" s="48">
        <f t="shared" si="33"/>
        <v>1405</v>
      </c>
      <c r="AG87" s="48">
        <f t="shared" si="33"/>
        <v>1466</v>
      </c>
      <c r="AH87" s="48">
        <f t="shared" si="33"/>
        <v>1527</v>
      </c>
      <c r="AI87" s="48">
        <f t="shared" si="33"/>
        <v>1588</v>
      </c>
      <c r="AJ87" s="48">
        <f t="shared" si="33"/>
        <v>1649</v>
      </c>
      <c r="AK87" s="48">
        <f t="shared" si="33"/>
        <v>1711</v>
      </c>
      <c r="AL87" s="48">
        <f t="shared" si="33"/>
        <v>1772</v>
      </c>
      <c r="AM87" s="48">
        <f t="shared" si="3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25"/>
        <v>145</v>
      </c>
      <c r="H88" s="61">
        <f t="shared" si="26"/>
        <v>100</v>
      </c>
      <c r="I88" s="61">
        <f t="shared" si="27"/>
        <v>143</v>
      </c>
      <c r="J88" s="48">
        <f t="shared" si="31"/>
        <v>12</v>
      </c>
      <c r="K88" s="48">
        <f t="shared" si="31"/>
        <v>39</v>
      </c>
      <c r="L88" s="48">
        <f t="shared" si="31"/>
        <v>67</v>
      </c>
      <c r="M88" s="48">
        <f t="shared" si="31"/>
        <v>94</v>
      </c>
      <c r="N88" s="48">
        <f t="shared" si="31"/>
        <v>121</v>
      </c>
      <c r="O88" s="48">
        <f t="shared" si="31"/>
        <v>148</v>
      </c>
      <c r="P88" s="48">
        <f t="shared" si="31"/>
        <v>175</v>
      </c>
      <c r="Q88" s="48">
        <f t="shared" si="31"/>
        <v>202</v>
      </c>
      <c r="R88" s="48">
        <f t="shared" si="31"/>
        <v>229</v>
      </c>
      <c r="S88" s="48">
        <f t="shared" si="31"/>
        <v>257</v>
      </c>
      <c r="T88" s="48">
        <f t="shared" si="32"/>
        <v>282</v>
      </c>
      <c r="U88" s="48">
        <f t="shared" si="32"/>
        <v>308</v>
      </c>
      <c r="V88" s="48">
        <f t="shared" si="32"/>
        <v>334</v>
      </c>
      <c r="W88" s="48">
        <f t="shared" si="32"/>
        <v>359</v>
      </c>
      <c r="X88" s="48">
        <f t="shared" si="32"/>
        <v>385</v>
      </c>
      <c r="Y88" s="48">
        <f t="shared" si="32"/>
        <v>411</v>
      </c>
      <c r="Z88" s="48">
        <f t="shared" si="32"/>
        <v>436</v>
      </c>
      <c r="AA88" s="48">
        <f t="shared" si="32"/>
        <v>462</v>
      </c>
      <c r="AB88" s="48">
        <f t="shared" si="32"/>
        <v>488</v>
      </c>
      <c r="AC88" s="48">
        <f t="shared" si="32"/>
        <v>513</v>
      </c>
      <c r="AD88" s="48">
        <f t="shared" si="33"/>
        <v>539</v>
      </c>
      <c r="AE88" s="48">
        <f t="shared" si="33"/>
        <v>565</v>
      </c>
      <c r="AF88" s="48">
        <f t="shared" si="33"/>
        <v>591</v>
      </c>
      <c r="AG88" s="48">
        <f t="shared" si="33"/>
        <v>616</v>
      </c>
      <c r="AH88" s="48">
        <f t="shared" si="33"/>
        <v>642</v>
      </c>
      <c r="AI88" s="48">
        <f t="shared" si="33"/>
        <v>668</v>
      </c>
      <c r="AJ88" s="48">
        <f t="shared" si="33"/>
        <v>693</v>
      </c>
      <c r="AK88" s="48">
        <f t="shared" si="33"/>
        <v>719</v>
      </c>
      <c r="AL88" s="48">
        <f t="shared" si="33"/>
        <v>745</v>
      </c>
      <c r="AM88" s="48">
        <f t="shared" si="3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25"/>
        <v>195</v>
      </c>
      <c r="H89" s="61">
        <f t="shared" si="26"/>
        <v>154</v>
      </c>
      <c r="I89" s="61">
        <f t="shared" si="27"/>
        <v>199</v>
      </c>
      <c r="J89" s="48">
        <f t="shared" si="31"/>
        <v>26</v>
      </c>
      <c r="K89" s="48">
        <f t="shared" si="31"/>
        <v>83</v>
      </c>
      <c r="L89" s="48">
        <f t="shared" si="31"/>
        <v>141</v>
      </c>
      <c r="M89" s="48">
        <f t="shared" si="31"/>
        <v>198</v>
      </c>
      <c r="N89" s="48">
        <f t="shared" si="31"/>
        <v>255</v>
      </c>
      <c r="O89" s="48">
        <f t="shared" si="31"/>
        <v>312</v>
      </c>
      <c r="P89" s="48">
        <f t="shared" si="31"/>
        <v>369</v>
      </c>
      <c r="Q89" s="48">
        <f t="shared" si="31"/>
        <v>427</v>
      </c>
      <c r="R89" s="48">
        <f t="shared" si="31"/>
        <v>484</v>
      </c>
      <c r="S89" s="48">
        <f t="shared" si="31"/>
        <v>541</v>
      </c>
      <c r="T89" s="48">
        <f t="shared" si="32"/>
        <v>595</v>
      </c>
      <c r="U89" s="48">
        <f t="shared" si="32"/>
        <v>649</v>
      </c>
      <c r="V89" s="48">
        <f t="shared" si="32"/>
        <v>703</v>
      </c>
      <c r="W89" s="48">
        <f t="shared" si="32"/>
        <v>757</v>
      </c>
      <c r="X89" s="48">
        <f t="shared" si="32"/>
        <v>812</v>
      </c>
      <c r="Y89" s="48">
        <f t="shared" si="32"/>
        <v>866</v>
      </c>
      <c r="Z89" s="48">
        <f t="shared" si="32"/>
        <v>920</v>
      </c>
      <c r="AA89" s="48">
        <f t="shared" si="32"/>
        <v>974</v>
      </c>
      <c r="AB89" s="48">
        <f t="shared" si="32"/>
        <v>1028</v>
      </c>
      <c r="AC89" s="48">
        <f t="shared" si="32"/>
        <v>1082</v>
      </c>
      <c r="AD89" s="48">
        <f t="shared" si="33"/>
        <v>1136</v>
      </c>
      <c r="AE89" s="48">
        <f t="shared" si="33"/>
        <v>1190</v>
      </c>
      <c r="AF89" s="48">
        <f t="shared" si="33"/>
        <v>1245</v>
      </c>
      <c r="AG89" s="48">
        <f t="shared" si="33"/>
        <v>1299</v>
      </c>
      <c r="AH89" s="48">
        <f t="shared" si="33"/>
        <v>1353</v>
      </c>
      <c r="AI89" s="48">
        <f t="shared" si="33"/>
        <v>1407</v>
      </c>
      <c r="AJ89" s="48">
        <f t="shared" si="33"/>
        <v>1461</v>
      </c>
      <c r="AK89" s="48">
        <f t="shared" si="33"/>
        <v>1515</v>
      </c>
      <c r="AL89" s="48">
        <f t="shared" si="33"/>
        <v>1570</v>
      </c>
      <c r="AM89" s="48">
        <f t="shared" si="3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25"/>
        <v>175</v>
      </c>
      <c r="H90" s="61">
        <f t="shared" si="26"/>
        <v>150</v>
      </c>
      <c r="I90" s="61">
        <f t="shared" si="27"/>
        <v>105</v>
      </c>
      <c r="J90" s="48">
        <f t="shared" si="31"/>
        <v>17</v>
      </c>
      <c r="K90" s="48">
        <f t="shared" si="31"/>
        <v>56</v>
      </c>
      <c r="L90" s="48">
        <f t="shared" si="31"/>
        <v>94</v>
      </c>
      <c r="M90" s="48">
        <f t="shared" si="31"/>
        <v>132</v>
      </c>
      <c r="N90" s="48">
        <f t="shared" si="31"/>
        <v>171</v>
      </c>
      <c r="O90" s="48">
        <f t="shared" si="31"/>
        <v>209</v>
      </c>
      <c r="P90" s="48">
        <f t="shared" si="31"/>
        <v>247</v>
      </c>
      <c r="Q90" s="48">
        <f t="shared" si="31"/>
        <v>286</v>
      </c>
      <c r="R90" s="48">
        <f t="shared" si="31"/>
        <v>324</v>
      </c>
      <c r="S90" s="48">
        <f t="shared" si="31"/>
        <v>362</v>
      </c>
      <c r="T90" s="48">
        <f t="shared" si="32"/>
        <v>399</v>
      </c>
      <c r="U90" s="48">
        <f t="shared" si="32"/>
        <v>435</v>
      </c>
      <c r="V90" s="48">
        <f t="shared" si="32"/>
        <v>471</v>
      </c>
      <c r="W90" s="48">
        <f t="shared" si="32"/>
        <v>508</v>
      </c>
      <c r="X90" s="48">
        <f t="shared" si="32"/>
        <v>544</v>
      </c>
      <c r="Y90" s="48">
        <f t="shared" si="32"/>
        <v>580</v>
      </c>
      <c r="Z90" s="48">
        <f t="shared" si="32"/>
        <v>616</v>
      </c>
      <c r="AA90" s="48">
        <f t="shared" si="32"/>
        <v>653</v>
      </c>
      <c r="AB90" s="48">
        <f t="shared" si="32"/>
        <v>689</v>
      </c>
      <c r="AC90" s="48">
        <f t="shared" si="32"/>
        <v>725</v>
      </c>
      <c r="AD90" s="48">
        <f t="shared" si="33"/>
        <v>761</v>
      </c>
      <c r="AE90" s="48">
        <f t="shared" si="33"/>
        <v>798</v>
      </c>
      <c r="AF90" s="48">
        <f t="shared" si="33"/>
        <v>834</v>
      </c>
      <c r="AG90" s="48">
        <f t="shared" si="33"/>
        <v>870</v>
      </c>
      <c r="AH90" s="48">
        <f t="shared" si="33"/>
        <v>907</v>
      </c>
      <c r="AI90" s="48">
        <f t="shared" si="33"/>
        <v>943</v>
      </c>
      <c r="AJ90" s="48">
        <f t="shared" si="33"/>
        <v>979</v>
      </c>
      <c r="AK90" s="48">
        <f t="shared" si="33"/>
        <v>1016</v>
      </c>
      <c r="AL90" s="48">
        <f t="shared" si="33"/>
        <v>1052</v>
      </c>
      <c r="AM90" s="48">
        <f t="shared" si="3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25"/>
        <v>225</v>
      </c>
      <c r="H91" s="61">
        <f t="shared" si="26"/>
        <v>205</v>
      </c>
      <c r="I91" s="61">
        <f t="shared" si="27"/>
        <v>199</v>
      </c>
      <c r="J91" s="48">
        <f t="shared" si="31"/>
        <v>38</v>
      </c>
      <c r="K91" s="48">
        <f t="shared" si="31"/>
        <v>120</v>
      </c>
      <c r="L91" s="48">
        <f t="shared" si="31"/>
        <v>201</v>
      </c>
      <c r="M91" s="48">
        <f t="shared" si="31"/>
        <v>283</v>
      </c>
      <c r="N91" s="48">
        <f t="shared" si="31"/>
        <v>365</v>
      </c>
      <c r="O91" s="48">
        <f t="shared" si="31"/>
        <v>447</v>
      </c>
      <c r="P91" s="48">
        <f t="shared" si="31"/>
        <v>528</v>
      </c>
      <c r="Q91" s="48">
        <f t="shared" si="31"/>
        <v>610</v>
      </c>
      <c r="R91" s="48">
        <f t="shared" si="31"/>
        <v>692</v>
      </c>
      <c r="S91" s="48">
        <f t="shared" si="31"/>
        <v>774</v>
      </c>
      <c r="T91" s="48">
        <f t="shared" si="32"/>
        <v>851</v>
      </c>
      <c r="U91" s="48">
        <f t="shared" si="32"/>
        <v>929</v>
      </c>
      <c r="V91" s="48">
        <f t="shared" si="32"/>
        <v>1006</v>
      </c>
      <c r="W91" s="48">
        <f t="shared" si="32"/>
        <v>1083</v>
      </c>
      <c r="X91" s="48">
        <f t="shared" si="32"/>
        <v>1161</v>
      </c>
      <c r="Y91" s="48">
        <f t="shared" si="32"/>
        <v>1238</v>
      </c>
      <c r="Z91" s="48">
        <f t="shared" si="32"/>
        <v>1315</v>
      </c>
      <c r="AA91" s="48">
        <f t="shared" si="32"/>
        <v>1393</v>
      </c>
      <c r="AB91" s="48">
        <f t="shared" si="32"/>
        <v>1470</v>
      </c>
      <c r="AC91" s="48">
        <f t="shared" si="32"/>
        <v>1548</v>
      </c>
      <c r="AD91" s="48">
        <f t="shared" si="33"/>
        <v>1625</v>
      </c>
      <c r="AE91" s="48">
        <f t="shared" si="33"/>
        <v>1702</v>
      </c>
      <c r="AF91" s="48">
        <f t="shared" si="33"/>
        <v>1780</v>
      </c>
      <c r="AG91" s="48">
        <f t="shared" si="33"/>
        <v>1857</v>
      </c>
      <c r="AH91" s="48">
        <f t="shared" si="33"/>
        <v>1935</v>
      </c>
      <c r="AI91" s="48">
        <f t="shared" si="33"/>
        <v>2012</v>
      </c>
      <c r="AJ91" s="48">
        <f t="shared" si="33"/>
        <v>2090</v>
      </c>
      <c r="AK91" s="48">
        <f t="shared" si="33"/>
        <v>2167</v>
      </c>
      <c r="AL91" s="48">
        <f t="shared" si="33"/>
        <v>2244</v>
      </c>
      <c r="AM91" s="48">
        <f t="shared" si="3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25"/>
        <v>75</v>
      </c>
      <c r="H92" s="61">
        <f t="shared" si="26"/>
        <v>131</v>
      </c>
      <c r="I92" s="61">
        <f t="shared" si="27"/>
        <v>183</v>
      </c>
      <c r="J92" s="48">
        <f t="shared" si="31"/>
        <v>13</v>
      </c>
      <c r="K92" s="48">
        <f t="shared" si="31"/>
        <v>42</v>
      </c>
      <c r="L92" s="48">
        <f t="shared" si="31"/>
        <v>71</v>
      </c>
      <c r="M92" s="48">
        <f t="shared" si="31"/>
        <v>100</v>
      </c>
      <c r="N92" s="48">
        <f t="shared" si="31"/>
        <v>129</v>
      </c>
      <c r="O92" s="48">
        <f t="shared" si="31"/>
        <v>158</v>
      </c>
      <c r="P92" s="48">
        <f t="shared" si="31"/>
        <v>187</v>
      </c>
      <c r="Q92" s="48">
        <f t="shared" si="31"/>
        <v>216</v>
      </c>
      <c r="R92" s="48">
        <f t="shared" si="31"/>
        <v>245</v>
      </c>
      <c r="S92" s="48">
        <f t="shared" si="31"/>
        <v>273</v>
      </c>
      <c r="T92" s="48">
        <f t="shared" si="32"/>
        <v>301</v>
      </c>
      <c r="U92" s="48">
        <f t="shared" si="32"/>
        <v>328</v>
      </c>
      <c r="V92" s="48">
        <f t="shared" si="32"/>
        <v>356</v>
      </c>
      <c r="W92" s="48">
        <f t="shared" si="32"/>
        <v>383</v>
      </c>
      <c r="X92" s="48">
        <f t="shared" si="32"/>
        <v>410</v>
      </c>
      <c r="Y92" s="48">
        <f t="shared" si="32"/>
        <v>438</v>
      </c>
      <c r="Z92" s="48">
        <f t="shared" si="32"/>
        <v>465</v>
      </c>
      <c r="AA92" s="48">
        <f t="shared" si="32"/>
        <v>492</v>
      </c>
      <c r="AB92" s="48">
        <f t="shared" si="32"/>
        <v>520</v>
      </c>
      <c r="AC92" s="48">
        <f t="shared" si="32"/>
        <v>547</v>
      </c>
      <c r="AD92" s="48">
        <f t="shared" si="33"/>
        <v>575</v>
      </c>
      <c r="AE92" s="48">
        <f t="shared" si="33"/>
        <v>602</v>
      </c>
      <c r="AF92" s="48">
        <f t="shared" si="33"/>
        <v>629</v>
      </c>
      <c r="AG92" s="48">
        <f t="shared" si="33"/>
        <v>657</v>
      </c>
      <c r="AH92" s="48">
        <f t="shared" si="33"/>
        <v>684</v>
      </c>
      <c r="AI92" s="48">
        <f t="shared" si="33"/>
        <v>712</v>
      </c>
      <c r="AJ92" s="48">
        <f t="shared" si="33"/>
        <v>739</v>
      </c>
      <c r="AK92" s="48">
        <f t="shared" si="33"/>
        <v>766</v>
      </c>
      <c r="AL92" s="48">
        <f t="shared" si="33"/>
        <v>794</v>
      </c>
      <c r="AM92" s="48">
        <f t="shared" si="3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25"/>
        <v>115</v>
      </c>
      <c r="H93" s="61">
        <f t="shared" si="26"/>
        <v>201</v>
      </c>
      <c r="I93" s="61">
        <f t="shared" si="27"/>
        <v>338</v>
      </c>
      <c r="J93" s="48">
        <f t="shared" ref="J93:S102" si="34">MAX(10,INT(SQRT($G93*$I93)*$H93*J$1^2/10))</f>
        <v>35</v>
      </c>
      <c r="K93" s="48">
        <f t="shared" si="34"/>
        <v>109</v>
      </c>
      <c r="L93" s="48">
        <f t="shared" si="34"/>
        <v>184</v>
      </c>
      <c r="M93" s="48">
        <f t="shared" si="34"/>
        <v>259</v>
      </c>
      <c r="N93" s="48">
        <f t="shared" si="34"/>
        <v>333</v>
      </c>
      <c r="O93" s="48">
        <f t="shared" si="34"/>
        <v>408</v>
      </c>
      <c r="P93" s="48">
        <f t="shared" si="34"/>
        <v>483</v>
      </c>
      <c r="Q93" s="48">
        <f t="shared" si="34"/>
        <v>557</v>
      </c>
      <c r="R93" s="48">
        <f t="shared" si="34"/>
        <v>632</v>
      </c>
      <c r="S93" s="48">
        <f t="shared" si="34"/>
        <v>707</v>
      </c>
      <c r="T93" s="48">
        <f t="shared" ref="T93:AC102" si="35">MAX(10,INT(SQRT($G93*$I93)*$H93*T$1^2/10))</f>
        <v>778</v>
      </c>
      <c r="U93" s="48">
        <f t="shared" si="35"/>
        <v>848</v>
      </c>
      <c r="V93" s="48">
        <f t="shared" si="35"/>
        <v>919</v>
      </c>
      <c r="W93" s="48">
        <f t="shared" si="35"/>
        <v>990</v>
      </c>
      <c r="X93" s="48">
        <f t="shared" si="35"/>
        <v>1060</v>
      </c>
      <c r="Y93" s="48">
        <f t="shared" si="35"/>
        <v>1131</v>
      </c>
      <c r="Z93" s="48">
        <f t="shared" si="35"/>
        <v>1202</v>
      </c>
      <c r="AA93" s="48">
        <f t="shared" si="35"/>
        <v>1272</v>
      </c>
      <c r="AB93" s="48">
        <f t="shared" si="35"/>
        <v>1343</v>
      </c>
      <c r="AC93" s="48">
        <f t="shared" si="35"/>
        <v>1414</v>
      </c>
      <c r="AD93" s="48">
        <f t="shared" ref="AD93:AM102" si="36">MAX(10,INT(SQRT($G93*$I93)*$H93*AD$1^2/10))</f>
        <v>1485</v>
      </c>
      <c r="AE93" s="48">
        <f t="shared" si="36"/>
        <v>1555</v>
      </c>
      <c r="AF93" s="48">
        <f t="shared" si="36"/>
        <v>1626</v>
      </c>
      <c r="AG93" s="48">
        <f t="shared" si="36"/>
        <v>1697</v>
      </c>
      <c r="AH93" s="48">
        <f t="shared" si="36"/>
        <v>1767</v>
      </c>
      <c r="AI93" s="48">
        <f t="shared" si="36"/>
        <v>1838</v>
      </c>
      <c r="AJ93" s="48">
        <f t="shared" si="36"/>
        <v>1909</v>
      </c>
      <c r="AK93" s="48">
        <f t="shared" si="36"/>
        <v>1980</v>
      </c>
      <c r="AL93" s="48">
        <f t="shared" si="36"/>
        <v>2050</v>
      </c>
      <c r="AM93" s="48">
        <f t="shared" si="36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25"/>
        <v>75</v>
      </c>
      <c r="H94" s="61">
        <f t="shared" si="26"/>
        <v>201</v>
      </c>
      <c r="I94" s="61">
        <f t="shared" si="27"/>
        <v>85</v>
      </c>
      <c r="J94" s="48">
        <f t="shared" si="34"/>
        <v>14</v>
      </c>
      <c r="K94" s="48">
        <f t="shared" si="34"/>
        <v>44</v>
      </c>
      <c r="L94" s="48">
        <f t="shared" si="34"/>
        <v>74</v>
      </c>
      <c r="M94" s="48">
        <f t="shared" si="34"/>
        <v>104</v>
      </c>
      <c r="N94" s="48">
        <f t="shared" si="34"/>
        <v>135</v>
      </c>
      <c r="O94" s="48">
        <f t="shared" si="34"/>
        <v>165</v>
      </c>
      <c r="P94" s="48">
        <f t="shared" si="34"/>
        <v>195</v>
      </c>
      <c r="Q94" s="48">
        <f t="shared" si="34"/>
        <v>225</v>
      </c>
      <c r="R94" s="48">
        <f t="shared" si="34"/>
        <v>256</v>
      </c>
      <c r="S94" s="48">
        <f t="shared" si="34"/>
        <v>286</v>
      </c>
      <c r="T94" s="48">
        <f t="shared" si="35"/>
        <v>315</v>
      </c>
      <c r="U94" s="48">
        <f t="shared" si="35"/>
        <v>343</v>
      </c>
      <c r="V94" s="48">
        <f t="shared" si="35"/>
        <v>372</v>
      </c>
      <c r="W94" s="48">
        <f t="shared" si="35"/>
        <v>400</v>
      </c>
      <c r="X94" s="48">
        <f t="shared" si="35"/>
        <v>429</v>
      </c>
      <c r="Y94" s="48">
        <f t="shared" si="35"/>
        <v>458</v>
      </c>
      <c r="Z94" s="48">
        <f t="shared" si="35"/>
        <v>486</v>
      </c>
      <c r="AA94" s="48">
        <f t="shared" si="35"/>
        <v>515</v>
      </c>
      <c r="AB94" s="48">
        <f t="shared" si="35"/>
        <v>544</v>
      </c>
      <c r="AC94" s="48">
        <f t="shared" si="35"/>
        <v>572</v>
      </c>
      <c r="AD94" s="48">
        <f t="shared" si="36"/>
        <v>601</v>
      </c>
      <c r="AE94" s="48">
        <f t="shared" si="36"/>
        <v>630</v>
      </c>
      <c r="AF94" s="48">
        <f t="shared" si="36"/>
        <v>658</v>
      </c>
      <c r="AG94" s="48">
        <f t="shared" si="36"/>
        <v>687</v>
      </c>
      <c r="AH94" s="48">
        <f t="shared" si="36"/>
        <v>715</v>
      </c>
      <c r="AI94" s="48">
        <f t="shared" si="36"/>
        <v>744</v>
      </c>
      <c r="AJ94" s="48">
        <f t="shared" si="36"/>
        <v>773</v>
      </c>
      <c r="AK94" s="48">
        <f t="shared" si="36"/>
        <v>801</v>
      </c>
      <c r="AL94" s="48">
        <f t="shared" si="36"/>
        <v>830</v>
      </c>
      <c r="AM94" s="48">
        <f t="shared" si="36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25"/>
        <v>105</v>
      </c>
      <c r="H95" s="61">
        <f t="shared" si="26"/>
        <v>238</v>
      </c>
      <c r="I95" s="61">
        <f t="shared" si="27"/>
        <v>127</v>
      </c>
      <c r="J95" s="48">
        <f t="shared" si="34"/>
        <v>24</v>
      </c>
      <c r="K95" s="48">
        <f t="shared" si="34"/>
        <v>76</v>
      </c>
      <c r="L95" s="48">
        <f t="shared" si="34"/>
        <v>127</v>
      </c>
      <c r="M95" s="48">
        <f t="shared" si="34"/>
        <v>179</v>
      </c>
      <c r="N95" s="48">
        <f t="shared" si="34"/>
        <v>231</v>
      </c>
      <c r="O95" s="48">
        <f t="shared" si="34"/>
        <v>283</v>
      </c>
      <c r="P95" s="48">
        <f t="shared" si="34"/>
        <v>335</v>
      </c>
      <c r="Q95" s="48">
        <f t="shared" si="34"/>
        <v>386</v>
      </c>
      <c r="R95" s="48">
        <f t="shared" si="34"/>
        <v>438</v>
      </c>
      <c r="S95" s="48">
        <f t="shared" si="34"/>
        <v>490</v>
      </c>
      <c r="T95" s="48">
        <f t="shared" si="35"/>
        <v>539</v>
      </c>
      <c r="U95" s="48">
        <f t="shared" si="35"/>
        <v>588</v>
      </c>
      <c r="V95" s="48">
        <f t="shared" si="35"/>
        <v>637</v>
      </c>
      <c r="W95" s="48">
        <f t="shared" si="35"/>
        <v>686</v>
      </c>
      <c r="X95" s="48">
        <f t="shared" si="35"/>
        <v>735</v>
      </c>
      <c r="Y95" s="48">
        <f t="shared" si="35"/>
        <v>784</v>
      </c>
      <c r="Z95" s="48">
        <f t="shared" si="35"/>
        <v>833</v>
      </c>
      <c r="AA95" s="48">
        <f t="shared" si="35"/>
        <v>882</v>
      </c>
      <c r="AB95" s="48">
        <f t="shared" si="35"/>
        <v>931</v>
      </c>
      <c r="AC95" s="48">
        <f t="shared" si="35"/>
        <v>980</v>
      </c>
      <c r="AD95" s="48">
        <f t="shared" si="36"/>
        <v>1029</v>
      </c>
      <c r="AE95" s="48">
        <f t="shared" si="36"/>
        <v>1078</v>
      </c>
      <c r="AF95" s="48">
        <f t="shared" si="36"/>
        <v>1128</v>
      </c>
      <c r="AG95" s="48">
        <f t="shared" si="36"/>
        <v>1177</v>
      </c>
      <c r="AH95" s="48">
        <f t="shared" si="36"/>
        <v>1226</v>
      </c>
      <c r="AI95" s="48">
        <f t="shared" si="36"/>
        <v>1275</v>
      </c>
      <c r="AJ95" s="48">
        <f t="shared" si="36"/>
        <v>1324</v>
      </c>
      <c r="AK95" s="48">
        <f t="shared" si="36"/>
        <v>1373</v>
      </c>
      <c r="AL95" s="48">
        <f t="shared" si="36"/>
        <v>1422</v>
      </c>
      <c r="AM95" s="48">
        <f t="shared" si="36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25"/>
        <v>135</v>
      </c>
      <c r="H96" s="61">
        <f t="shared" si="26"/>
        <v>276</v>
      </c>
      <c r="I96" s="61">
        <f t="shared" si="27"/>
        <v>171</v>
      </c>
      <c r="J96" s="48">
        <f t="shared" si="34"/>
        <v>37</v>
      </c>
      <c r="K96" s="48">
        <f t="shared" si="34"/>
        <v>116</v>
      </c>
      <c r="L96" s="48">
        <f t="shared" si="34"/>
        <v>195</v>
      </c>
      <c r="M96" s="48">
        <f t="shared" si="34"/>
        <v>274</v>
      </c>
      <c r="N96" s="48">
        <f t="shared" si="34"/>
        <v>353</v>
      </c>
      <c r="O96" s="48">
        <f t="shared" si="34"/>
        <v>432</v>
      </c>
      <c r="P96" s="48">
        <f t="shared" si="34"/>
        <v>511</v>
      </c>
      <c r="Q96" s="48">
        <f t="shared" si="34"/>
        <v>590</v>
      </c>
      <c r="R96" s="48">
        <f t="shared" si="34"/>
        <v>669</v>
      </c>
      <c r="S96" s="48">
        <f t="shared" si="34"/>
        <v>748</v>
      </c>
      <c r="T96" s="48">
        <f t="shared" si="35"/>
        <v>823</v>
      </c>
      <c r="U96" s="48">
        <f t="shared" si="35"/>
        <v>898</v>
      </c>
      <c r="V96" s="48">
        <f t="shared" si="35"/>
        <v>972</v>
      </c>
      <c r="W96" s="48">
        <f t="shared" si="35"/>
        <v>1047</v>
      </c>
      <c r="X96" s="48">
        <f t="shared" si="35"/>
        <v>1122</v>
      </c>
      <c r="Y96" s="48">
        <f t="shared" si="35"/>
        <v>1197</v>
      </c>
      <c r="Z96" s="48">
        <f t="shared" si="35"/>
        <v>1272</v>
      </c>
      <c r="AA96" s="48">
        <f t="shared" si="35"/>
        <v>1346</v>
      </c>
      <c r="AB96" s="48">
        <f t="shared" si="35"/>
        <v>1421</v>
      </c>
      <c r="AC96" s="48">
        <f t="shared" si="35"/>
        <v>1496</v>
      </c>
      <c r="AD96" s="48">
        <f t="shared" si="36"/>
        <v>1571</v>
      </c>
      <c r="AE96" s="48">
        <f t="shared" si="36"/>
        <v>1646</v>
      </c>
      <c r="AF96" s="48">
        <f t="shared" si="36"/>
        <v>1721</v>
      </c>
      <c r="AG96" s="48">
        <f t="shared" si="36"/>
        <v>1796</v>
      </c>
      <c r="AH96" s="48">
        <f t="shared" si="36"/>
        <v>1870</v>
      </c>
      <c r="AI96" s="48">
        <f t="shared" si="36"/>
        <v>1945</v>
      </c>
      <c r="AJ96" s="48">
        <f t="shared" si="36"/>
        <v>2020</v>
      </c>
      <c r="AK96" s="48">
        <f t="shared" si="36"/>
        <v>2095</v>
      </c>
      <c r="AL96" s="48">
        <f t="shared" si="36"/>
        <v>2170</v>
      </c>
      <c r="AM96" s="48">
        <f t="shared" si="36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25"/>
        <v>85</v>
      </c>
      <c r="H97" s="61">
        <f t="shared" si="26"/>
        <v>100</v>
      </c>
      <c r="I97" s="61">
        <f t="shared" si="27"/>
        <v>303</v>
      </c>
      <c r="J97" s="48">
        <f t="shared" si="34"/>
        <v>14</v>
      </c>
      <c r="K97" s="48">
        <f t="shared" si="34"/>
        <v>44</v>
      </c>
      <c r="L97" s="48">
        <f t="shared" si="34"/>
        <v>74</v>
      </c>
      <c r="M97" s="48">
        <f t="shared" si="34"/>
        <v>104</v>
      </c>
      <c r="N97" s="48">
        <f t="shared" si="34"/>
        <v>135</v>
      </c>
      <c r="O97" s="48">
        <f t="shared" si="34"/>
        <v>165</v>
      </c>
      <c r="P97" s="48">
        <f t="shared" si="34"/>
        <v>195</v>
      </c>
      <c r="Q97" s="48">
        <f t="shared" si="34"/>
        <v>225</v>
      </c>
      <c r="R97" s="48">
        <f t="shared" si="34"/>
        <v>256</v>
      </c>
      <c r="S97" s="48">
        <f t="shared" si="34"/>
        <v>286</v>
      </c>
      <c r="T97" s="48">
        <f t="shared" si="35"/>
        <v>315</v>
      </c>
      <c r="U97" s="48">
        <f t="shared" si="35"/>
        <v>343</v>
      </c>
      <c r="V97" s="48">
        <f t="shared" si="35"/>
        <v>372</v>
      </c>
      <c r="W97" s="48">
        <f t="shared" si="35"/>
        <v>400</v>
      </c>
      <c r="X97" s="48">
        <f t="shared" si="35"/>
        <v>429</v>
      </c>
      <c r="Y97" s="48">
        <f t="shared" si="35"/>
        <v>458</v>
      </c>
      <c r="Z97" s="48">
        <f t="shared" si="35"/>
        <v>486</v>
      </c>
      <c r="AA97" s="48">
        <f t="shared" si="35"/>
        <v>515</v>
      </c>
      <c r="AB97" s="48">
        <f t="shared" si="35"/>
        <v>544</v>
      </c>
      <c r="AC97" s="48">
        <f t="shared" si="35"/>
        <v>572</v>
      </c>
      <c r="AD97" s="48">
        <f t="shared" si="36"/>
        <v>601</v>
      </c>
      <c r="AE97" s="48">
        <f t="shared" si="36"/>
        <v>630</v>
      </c>
      <c r="AF97" s="48">
        <f t="shared" si="36"/>
        <v>658</v>
      </c>
      <c r="AG97" s="48">
        <f t="shared" si="36"/>
        <v>687</v>
      </c>
      <c r="AH97" s="48">
        <f t="shared" si="36"/>
        <v>715</v>
      </c>
      <c r="AI97" s="48">
        <f t="shared" si="36"/>
        <v>744</v>
      </c>
      <c r="AJ97" s="48">
        <f t="shared" si="36"/>
        <v>773</v>
      </c>
      <c r="AK97" s="48">
        <f t="shared" si="36"/>
        <v>801</v>
      </c>
      <c r="AL97" s="48">
        <f t="shared" si="36"/>
        <v>830</v>
      </c>
      <c r="AM97" s="48">
        <f t="shared" si="36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25"/>
        <v>135</v>
      </c>
      <c r="H98" s="61">
        <f t="shared" si="26"/>
        <v>104</v>
      </c>
      <c r="I98" s="61">
        <f t="shared" si="27"/>
        <v>173</v>
      </c>
      <c r="J98" s="48">
        <f t="shared" si="34"/>
        <v>14</v>
      </c>
      <c r="K98" s="48">
        <f t="shared" si="34"/>
        <v>44</v>
      </c>
      <c r="L98" s="48">
        <f t="shared" si="34"/>
        <v>73</v>
      </c>
      <c r="M98" s="48">
        <f t="shared" si="34"/>
        <v>103</v>
      </c>
      <c r="N98" s="48">
        <f t="shared" si="34"/>
        <v>133</v>
      </c>
      <c r="O98" s="48">
        <f t="shared" si="34"/>
        <v>163</v>
      </c>
      <c r="P98" s="48">
        <f t="shared" si="34"/>
        <v>193</v>
      </c>
      <c r="Q98" s="48">
        <f t="shared" si="34"/>
        <v>223</v>
      </c>
      <c r="R98" s="48">
        <f t="shared" si="34"/>
        <v>253</v>
      </c>
      <c r="S98" s="48">
        <f t="shared" si="34"/>
        <v>283</v>
      </c>
      <c r="T98" s="48">
        <f t="shared" si="35"/>
        <v>312</v>
      </c>
      <c r="U98" s="48">
        <f t="shared" si="35"/>
        <v>340</v>
      </c>
      <c r="V98" s="48">
        <f t="shared" si="35"/>
        <v>368</v>
      </c>
      <c r="W98" s="48">
        <f t="shared" si="35"/>
        <v>397</v>
      </c>
      <c r="X98" s="48">
        <f t="shared" si="35"/>
        <v>425</v>
      </c>
      <c r="Y98" s="48">
        <f t="shared" si="35"/>
        <v>453</v>
      </c>
      <c r="Z98" s="48">
        <f t="shared" si="35"/>
        <v>482</v>
      </c>
      <c r="AA98" s="48">
        <f t="shared" si="35"/>
        <v>510</v>
      </c>
      <c r="AB98" s="48">
        <f t="shared" si="35"/>
        <v>538</v>
      </c>
      <c r="AC98" s="48">
        <f t="shared" si="35"/>
        <v>567</v>
      </c>
      <c r="AD98" s="48">
        <f t="shared" si="36"/>
        <v>595</v>
      </c>
      <c r="AE98" s="48">
        <f t="shared" si="36"/>
        <v>623</v>
      </c>
      <c r="AF98" s="48">
        <f t="shared" si="36"/>
        <v>652</v>
      </c>
      <c r="AG98" s="48">
        <f t="shared" si="36"/>
        <v>680</v>
      </c>
      <c r="AH98" s="48">
        <f t="shared" si="36"/>
        <v>709</v>
      </c>
      <c r="AI98" s="48">
        <f t="shared" si="36"/>
        <v>737</v>
      </c>
      <c r="AJ98" s="48">
        <f t="shared" si="36"/>
        <v>765</v>
      </c>
      <c r="AK98" s="48">
        <f t="shared" si="36"/>
        <v>794</v>
      </c>
      <c r="AL98" s="48">
        <f t="shared" si="36"/>
        <v>822</v>
      </c>
      <c r="AM98" s="48">
        <f t="shared" si="36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25"/>
        <v>185</v>
      </c>
      <c r="H99" s="61">
        <f t="shared" si="26"/>
        <v>159</v>
      </c>
      <c r="I99" s="61">
        <f t="shared" si="27"/>
        <v>230</v>
      </c>
      <c r="J99" s="48">
        <f t="shared" si="34"/>
        <v>28</v>
      </c>
      <c r="K99" s="48">
        <f t="shared" si="34"/>
        <v>90</v>
      </c>
      <c r="L99" s="48">
        <f t="shared" si="34"/>
        <v>152</v>
      </c>
      <c r="M99" s="48">
        <f t="shared" si="34"/>
        <v>214</v>
      </c>
      <c r="N99" s="48">
        <f t="shared" si="34"/>
        <v>276</v>
      </c>
      <c r="O99" s="48">
        <f t="shared" si="34"/>
        <v>338</v>
      </c>
      <c r="P99" s="48">
        <f t="shared" si="34"/>
        <v>399</v>
      </c>
      <c r="Q99" s="48">
        <f t="shared" si="34"/>
        <v>461</v>
      </c>
      <c r="R99" s="48">
        <f t="shared" si="34"/>
        <v>523</v>
      </c>
      <c r="S99" s="48">
        <f t="shared" si="34"/>
        <v>585</v>
      </c>
      <c r="T99" s="48">
        <f t="shared" si="35"/>
        <v>643</v>
      </c>
      <c r="U99" s="48">
        <f t="shared" si="35"/>
        <v>702</v>
      </c>
      <c r="V99" s="48">
        <f t="shared" si="35"/>
        <v>760</v>
      </c>
      <c r="W99" s="48">
        <f t="shared" si="35"/>
        <v>819</v>
      </c>
      <c r="X99" s="48">
        <f t="shared" si="35"/>
        <v>877</v>
      </c>
      <c r="Y99" s="48">
        <f t="shared" si="35"/>
        <v>936</v>
      </c>
      <c r="Z99" s="48">
        <f t="shared" si="35"/>
        <v>995</v>
      </c>
      <c r="AA99" s="48">
        <f t="shared" si="35"/>
        <v>1053</v>
      </c>
      <c r="AB99" s="48">
        <f t="shared" si="35"/>
        <v>1112</v>
      </c>
      <c r="AC99" s="48">
        <f t="shared" si="35"/>
        <v>1170</v>
      </c>
      <c r="AD99" s="48">
        <f t="shared" si="36"/>
        <v>1229</v>
      </c>
      <c r="AE99" s="48">
        <f t="shared" si="36"/>
        <v>1287</v>
      </c>
      <c r="AF99" s="48">
        <f t="shared" si="36"/>
        <v>1346</v>
      </c>
      <c r="AG99" s="48">
        <f t="shared" si="36"/>
        <v>1404</v>
      </c>
      <c r="AH99" s="48">
        <f t="shared" si="36"/>
        <v>1463</v>
      </c>
      <c r="AI99" s="48">
        <f t="shared" si="36"/>
        <v>1521</v>
      </c>
      <c r="AJ99" s="48">
        <f t="shared" si="36"/>
        <v>1580</v>
      </c>
      <c r="AK99" s="48">
        <f t="shared" si="36"/>
        <v>1638</v>
      </c>
      <c r="AL99" s="48">
        <f t="shared" si="36"/>
        <v>1697</v>
      </c>
      <c r="AM99" s="48">
        <f t="shared" si="36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25"/>
        <v>75</v>
      </c>
      <c r="H100" s="61">
        <f t="shared" si="26"/>
        <v>196</v>
      </c>
      <c r="I100" s="61">
        <f t="shared" si="27"/>
        <v>171</v>
      </c>
      <c r="J100" s="48">
        <f t="shared" si="34"/>
        <v>19</v>
      </c>
      <c r="K100" s="48">
        <f t="shared" si="34"/>
        <v>61</v>
      </c>
      <c r="L100" s="48">
        <f t="shared" si="34"/>
        <v>103</v>
      </c>
      <c r="M100" s="48">
        <f t="shared" si="34"/>
        <v>145</v>
      </c>
      <c r="N100" s="48">
        <f t="shared" si="34"/>
        <v>186</v>
      </c>
      <c r="O100" s="48">
        <f t="shared" si="34"/>
        <v>228</v>
      </c>
      <c r="P100" s="48">
        <f t="shared" si="34"/>
        <v>270</v>
      </c>
      <c r="Q100" s="48">
        <f t="shared" si="34"/>
        <v>312</v>
      </c>
      <c r="R100" s="48">
        <f t="shared" si="34"/>
        <v>354</v>
      </c>
      <c r="S100" s="48">
        <f t="shared" si="34"/>
        <v>396</v>
      </c>
      <c r="T100" s="48">
        <f t="shared" si="35"/>
        <v>435</v>
      </c>
      <c r="U100" s="48">
        <f t="shared" si="35"/>
        <v>475</v>
      </c>
      <c r="V100" s="48">
        <f t="shared" si="35"/>
        <v>515</v>
      </c>
      <c r="W100" s="48">
        <f t="shared" si="35"/>
        <v>554</v>
      </c>
      <c r="X100" s="48">
        <f t="shared" si="35"/>
        <v>594</v>
      </c>
      <c r="Y100" s="48">
        <f t="shared" si="35"/>
        <v>633</v>
      </c>
      <c r="Z100" s="48">
        <f t="shared" si="35"/>
        <v>673</v>
      </c>
      <c r="AA100" s="48">
        <f t="shared" si="35"/>
        <v>712</v>
      </c>
      <c r="AB100" s="48">
        <f t="shared" si="35"/>
        <v>752</v>
      </c>
      <c r="AC100" s="48">
        <f t="shared" si="35"/>
        <v>792</v>
      </c>
      <c r="AD100" s="48">
        <f t="shared" si="36"/>
        <v>831</v>
      </c>
      <c r="AE100" s="48">
        <f t="shared" si="36"/>
        <v>871</v>
      </c>
      <c r="AF100" s="48">
        <f t="shared" si="36"/>
        <v>911</v>
      </c>
      <c r="AG100" s="48">
        <f t="shared" si="36"/>
        <v>950</v>
      </c>
      <c r="AH100" s="48">
        <f t="shared" si="36"/>
        <v>990</v>
      </c>
      <c r="AI100" s="48">
        <f t="shared" si="36"/>
        <v>1029</v>
      </c>
      <c r="AJ100" s="48">
        <f t="shared" si="36"/>
        <v>1069</v>
      </c>
      <c r="AK100" s="48">
        <f t="shared" si="36"/>
        <v>1109</v>
      </c>
      <c r="AL100" s="48">
        <f t="shared" si="36"/>
        <v>1148</v>
      </c>
      <c r="AM100" s="48">
        <f t="shared" si="36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25"/>
        <v>125</v>
      </c>
      <c r="H101" s="61">
        <f t="shared" si="26"/>
        <v>255</v>
      </c>
      <c r="I101" s="61">
        <f t="shared" si="27"/>
        <v>229</v>
      </c>
      <c r="J101" s="48">
        <f t="shared" si="34"/>
        <v>38</v>
      </c>
      <c r="K101" s="48">
        <f t="shared" si="34"/>
        <v>119</v>
      </c>
      <c r="L101" s="48">
        <f t="shared" si="34"/>
        <v>200</v>
      </c>
      <c r="M101" s="48">
        <f t="shared" si="34"/>
        <v>282</v>
      </c>
      <c r="N101" s="48">
        <f t="shared" si="34"/>
        <v>363</v>
      </c>
      <c r="O101" s="48">
        <f t="shared" si="34"/>
        <v>444</v>
      </c>
      <c r="P101" s="48">
        <f t="shared" si="34"/>
        <v>526</v>
      </c>
      <c r="Q101" s="48">
        <f t="shared" si="34"/>
        <v>607</v>
      </c>
      <c r="R101" s="48">
        <f t="shared" si="34"/>
        <v>688</v>
      </c>
      <c r="S101" s="48">
        <f t="shared" si="34"/>
        <v>770</v>
      </c>
      <c r="T101" s="48">
        <f t="shared" si="35"/>
        <v>847</v>
      </c>
      <c r="U101" s="48">
        <f t="shared" si="35"/>
        <v>924</v>
      </c>
      <c r="V101" s="48">
        <f t="shared" si="35"/>
        <v>1001</v>
      </c>
      <c r="W101" s="48">
        <f t="shared" si="35"/>
        <v>1077</v>
      </c>
      <c r="X101" s="48">
        <f t="shared" si="35"/>
        <v>1154</v>
      </c>
      <c r="Y101" s="48">
        <f t="shared" si="35"/>
        <v>1231</v>
      </c>
      <c r="Z101" s="48">
        <f t="shared" si="35"/>
        <v>1308</v>
      </c>
      <c r="AA101" s="48">
        <f t="shared" si="35"/>
        <v>1385</v>
      </c>
      <c r="AB101" s="48">
        <f t="shared" si="35"/>
        <v>1462</v>
      </c>
      <c r="AC101" s="48">
        <f t="shared" si="35"/>
        <v>1539</v>
      </c>
      <c r="AD101" s="48">
        <f t="shared" si="36"/>
        <v>1616</v>
      </c>
      <c r="AE101" s="48">
        <f t="shared" si="36"/>
        <v>1693</v>
      </c>
      <c r="AF101" s="48">
        <f t="shared" si="36"/>
        <v>1770</v>
      </c>
      <c r="AG101" s="48">
        <f t="shared" si="36"/>
        <v>1847</v>
      </c>
      <c r="AH101" s="48">
        <f t="shared" si="36"/>
        <v>1924</v>
      </c>
      <c r="AI101" s="48">
        <f t="shared" si="36"/>
        <v>2001</v>
      </c>
      <c r="AJ101" s="48">
        <f t="shared" si="36"/>
        <v>2078</v>
      </c>
      <c r="AK101" s="48">
        <f t="shared" si="36"/>
        <v>2155</v>
      </c>
      <c r="AL101" s="48">
        <f t="shared" si="36"/>
        <v>2232</v>
      </c>
      <c r="AM101" s="48">
        <f t="shared" si="36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25"/>
        <v>95</v>
      </c>
      <c r="H102" s="61">
        <f t="shared" si="26"/>
        <v>124</v>
      </c>
      <c r="I102" s="61">
        <f t="shared" si="27"/>
        <v>129</v>
      </c>
      <c r="J102" s="48">
        <f t="shared" si="34"/>
        <v>12</v>
      </c>
      <c r="K102" s="48">
        <f t="shared" si="34"/>
        <v>38</v>
      </c>
      <c r="L102" s="48">
        <f t="shared" si="34"/>
        <v>63</v>
      </c>
      <c r="M102" s="48">
        <f t="shared" si="34"/>
        <v>89</v>
      </c>
      <c r="N102" s="48">
        <f t="shared" si="34"/>
        <v>115</v>
      </c>
      <c r="O102" s="48">
        <f t="shared" si="34"/>
        <v>141</v>
      </c>
      <c r="P102" s="48">
        <f t="shared" si="34"/>
        <v>167</v>
      </c>
      <c r="Q102" s="48">
        <f t="shared" si="34"/>
        <v>193</v>
      </c>
      <c r="R102" s="48">
        <f t="shared" si="34"/>
        <v>219</v>
      </c>
      <c r="S102" s="48">
        <f t="shared" si="34"/>
        <v>245</v>
      </c>
      <c r="T102" s="48">
        <f t="shared" si="35"/>
        <v>269</v>
      </c>
      <c r="U102" s="48">
        <f t="shared" si="35"/>
        <v>294</v>
      </c>
      <c r="V102" s="48">
        <f t="shared" si="35"/>
        <v>318</v>
      </c>
      <c r="W102" s="48">
        <f t="shared" si="35"/>
        <v>342</v>
      </c>
      <c r="X102" s="48">
        <f t="shared" si="35"/>
        <v>367</v>
      </c>
      <c r="Y102" s="48">
        <f t="shared" si="35"/>
        <v>391</v>
      </c>
      <c r="Z102" s="48">
        <f t="shared" si="35"/>
        <v>416</v>
      </c>
      <c r="AA102" s="48">
        <f t="shared" si="35"/>
        <v>440</v>
      </c>
      <c r="AB102" s="48">
        <f t="shared" si="35"/>
        <v>465</v>
      </c>
      <c r="AC102" s="48">
        <f t="shared" si="35"/>
        <v>489</v>
      </c>
      <c r="AD102" s="48">
        <f t="shared" si="36"/>
        <v>514</v>
      </c>
      <c r="AE102" s="48">
        <f t="shared" si="36"/>
        <v>538</v>
      </c>
      <c r="AF102" s="48">
        <f t="shared" si="36"/>
        <v>563</v>
      </c>
      <c r="AG102" s="48">
        <f t="shared" si="36"/>
        <v>587</v>
      </c>
      <c r="AH102" s="48">
        <f t="shared" si="36"/>
        <v>612</v>
      </c>
      <c r="AI102" s="48">
        <f t="shared" si="36"/>
        <v>636</v>
      </c>
      <c r="AJ102" s="48">
        <f t="shared" si="36"/>
        <v>661</v>
      </c>
      <c r="AK102" s="48">
        <f t="shared" si="36"/>
        <v>685</v>
      </c>
      <c r="AL102" s="48">
        <f t="shared" si="36"/>
        <v>710</v>
      </c>
      <c r="AM102" s="48">
        <f t="shared" si="36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25"/>
        <v>135</v>
      </c>
      <c r="H103" s="61">
        <f t="shared" si="26"/>
        <v>188</v>
      </c>
      <c r="I103" s="61">
        <f t="shared" si="27"/>
        <v>194</v>
      </c>
      <c r="J103" s="48">
        <f t="shared" ref="J103:S112" si="37">MAX(10,INT(SQRT($G103*$I103)*$H103*J$1^2/10))</f>
        <v>26</v>
      </c>
      <c r="K103" s="48">
        <f t="shared" si="37"/>
        <v>84</v>
      </c>
      <c r="L103" s="48">
        <f t="shared" si="37"/>
        <v>141</v>
      </c>
      <c r="M103" s="48">
        <f t="shared" si="37"/>
        <v>198</v>
      </c>
      <c r="N103" s="48">
        <f t="shared" si="37"/>
        <v>256</v>
      </c>
      <c r="O103" s="48">
        <f t="shared" si="37"/>
        <v>313</v>
      </c>
      <c r="P103" s="48">
        <f t="shared" si="37"/>
        <v>371</v>
      </c>
      <c r="Q103" s="48">
        <f t="shared" si="37"/>
        <v>428</v>
      </c>
      <c r="R103" s="48">
        <f t="shared" si="37"/>
        <v>485</v>
      </c>
      <c r="S103" s="48">
        <f t="shared" si="37"/>
        <v>543</v>
      </c>
      <c r="T103" s="48">
        <f t="shared" ref="T103:AC112" si="38">MAX(10,INT(SQRT($G103*$I103)*$H103*T$1^2/10))</f>
        <v>597</v>
      </c>
      <c r="U103" s="48">
        <f t="shared" si="38"/>
        <v>651</v>
      </c>
      <c r="V103" s="48">
        <f t="shared" si="38"/>
        <v>705</v>
      </c>
      <c r="W103" s="48">
        <f t="shared" si="38"/>
        <v>760</v>
      </c>
      <c r="X103" s="48">
        <f t="shared" si="38"/>
        <v>814</v>
      </c>
      <c r="Y103" s="48">
        <f t="shared" si="38"/>
        <v>868</v>
      </c>
      <c r="Z103" s="48">
        <f t="shared" si="38"/>
        <v>923</v>
      </c>
      <c r="AA103" s="48">
        <f t="shared" si="38"/>
        <v>977</v>
      </c>
      <c r="AB103" s="48">
        <f t="shared" si="38"/>
        <v>1031</v>
      </c>
      <c r="AC103" s="48">
        <f t="shared" si="38"/>
        <v>1085</v>
      </c>
      <c r="AD103" s="48">
        <f t="shared" ref="AD103:AM112" si="39">MAX(10,INT(SQRT($G103*$I103)*$H103*AD$1^2/10))</f>
        <v>1140</v>
      </c>
      <c r="AE103" s="48">
        <f t="shared" si="39"/>
        <v>1194</v>
      </c>
      <c r="AF103" s="48">
        <f t="shared" si="39"/>
        <v>1248</v>
      </c>
      <c r="AG103" s="48">
        <f t="shared" si="39"/>
        <v>1303</v>
      </c>
      <c r="AH103" s="48">
        <f t="shared" si="39"/>
        <v>1357</v>
      </c>
      <c r="AI103" s="48">
        <f t="shared" si="39"/>
        <v>1411</v>
      </c>
      <c r="AJ103" s="48">
        <f t="shared" si="39"/>
        <v>1465</v>
      </c>
      <c r="AK103" s="48">
        <f t="shared" si="39"/>
        <v>1520</v>
      </c>
      <c r="AL103" s="48">
        <f t="shared" si="39"/>
        <v>1574</v>
      </c>
      <c r="AM103" s="48">
        <f t="shared" si="39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25"/>
        <v>135</v>
      </c>
      <c r="H104" s="61">
        <f t="shared" si="26"/>
        <v>122</v>
      </c>
      <c r="I104" s="61">
        <f t="shared" si="27"/>
        <v>155</v>
      </c>
      <c r="J104" s="48">
        <f t="shared" si="37"/>
        <v>15</v>
      </c>
      <c r="K104" s="48">
        <f t="shared" si="37"/>
        <v>48</v>
      </c>
      <c r="L104" s="48">
        <f t="shared" si="37"/>
        <v>82</v>
      </c>
      <c r="M104" s="48">
        <f t="shared" si="37"/>
        <v>115</v>
      </c>
      <c r="N104" s="48">
        <f t="shared" si="37"/>
        <v>148</v>
      </c>
      <c r="O104" s="48">
        <f t="shared" si="37"/>
        <v>181</v>
      </c>
      <c r="P104" s="48">
        <f t="shared" si="37"/>
        <v>215</v>
      </c>
      <c r="Q104" s="48">
        <f t="shared" si="37"/>
        <v>248</v>
      </c>
      <c r="R104" s="48">
        <f t="shared" si="37"/>
        <v>281</v>
      </c>
      <c r="S104" s="48">
        <f t="shared" si="37"/>
        <v>315</v>
      </c>
      <c r="T104" s="48">
        <f t="shared" si="38"/>
        <v>346</v>
      </c>
      <c r="U104" s="48">
        <f t="shared" si="38"/>
        <v>377</v>
      </c>
      <c r="V104" s="48">
        <f t="shared" si="38"/>
        <v>409</v>
      </c>
      <c r="W104" s="48">
        <f t="shared" si="38"/>
        <v>440</v>
      </c>
      <c r="X104" s="48">
        <f t="shared" si="38"/>
        <v>472</v>
      </c>
      <c r="Y104" s="48">
        <f t="shared" si="38"/>
        <v>503</v>
      </c>
      <c r="Z104" s="48">
        <f t="shared" si="38"/>
        <v>535</v>
      </c>
      <c r="AA104" s="48">
        <f t="shared" si="38"/>
        <v>566</v>
      </c>
      <c r="AB104" s="48">
        <f t="shared" si="38"/>
        <v>598</v>
      </c>
      <c r="AC104" s="48">
        <f t="shared" si="38"/>
        <v>629</v>
      </c>
      <c r="AD104" s="48">
        <f t="shared" si="39"/>
        <v>661</v>
      </c>
      <c r="AE104" s="48">
        <f t="shared" si="39"/>
        <v>692</v>
      </c>
      <c r="AF104" s="48">
        <f t="shared" si="39"/>
        <v>724</v>
      </c>
      <c r="AG104" s="48">
        <f t="shared" si="39"/>
        <v>755</v>
      </c>
      <c r="AH104" s="48">
        <f t="shared" si="39"/>
        <v>787</v>
      </c>
      <c r="AI104" s="48">
        <f t="shared" si="39"/>
        <v>818</v>
      </c>
      <c r="AJ104" s="48">
        <f t="shared" si="39"/>
        <v>850</v>
      </c>
      <c r="AK104" s="48">
        <f t="shared" si="39"/>
        <v>881</v>
      </c>
      <c r="AL104" s="48">
        <f t="shared" si="39"/>
        <v>913</v>
      </c>
      <c r="AM104" s="48">
        <f t="shared" si="39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25"/>
        <v>205</v>
      </c>
      <c r="H105" s="61">
        <f t="shared" si="26"/>
        <v>248</v>
      </c>
      <c r="I105" s="61">
        <f t="shared" si="27"/>
        <v>173</v>
      </c>
      <c r="J105" s="48">
        <f t="shared" si="37"/>
        <v>41</v>
      </c>
      <c r="K105" s="48">
        <f t="shared" si="37"/>
        <v>129</v>
      </c>
      <c r="L105" s="48">
        <f t="shared" si="37"/>
        <v>217</v>
      </c>
      <c r="M105" s="48">
        <f t="shared" si="37"/>
        <v>305</v>
      </c>
      <c r="N105" s="48">
        <f t="shared" si="37"/>
        <v>393</v>
      </c>
      <c r="O105" s="48">
        <f t="shared" si="37"/>
        <v>481</v>
      </c>
      <c r="P105" s="48">
        <f t="shared" si="37"/>
        <v>569</v>
      </c>
      <c r="Q105" s="48">
        <f t="shared" si="37"/>
        <v>657</v>
      </c>
      <c r="R105" s="48">
        <f t="shared" si="37"/>
        <v>745</v>
      </c>
      <c r="S105" s="48">
        <f t="shared" si="37"/>
        <v>833</v>
      </c>
      <c r="T105" s="48">
        <f t="shared" si="38"/>
        <v>917</v>
      </c>
      <c r="U105" s="48">
        <f t="shared" si="38"/>
        <v>1000</v>
      </c>
      <c r="V105" s="48">
        <f t="shared" si="38"/>
        <v>1083</v>
      </c>
      <c r="W105" s="48">
        <f t="shared" si="38"/>
        <v>1166</v>
      </c>
      <c r="X105" s="48">
        <f t="shared" si="38"/>
        <v>1250</v>
      </c>
      <c r="Y105" s="48">
        <f t="shared" si="38"/>
        <v>1333</v>
      </c>
      <c r="Z105" s="48">
        <f t="shared" si="38"/>
        <v>1416</v>
      </c>
      <c r="AA105" s="48">
        <f t="shared" si="38"/>
        <v>1500</v>
      </c>
      <c r="AB105" s="48">
        <f t="shared" si="38"/>
        <v>1583</v>
      </c>
      <c r="AC105" s="48">
        <f t="shared" si="38"/>
        <v>1666</v>
      </c>
      <c r="AD105" s="48">
        <f t="shared" si="39"/>
        <v>1750</v>
      </c>
      <c r="AE105" s="48">
        <f t="shared" si="39"/>
        <v>1833</v>
      </c>
      <c r="AF105" s="48">
        <f t="shared" si="39"/>
        <v>1916</v>
      </c>
      <c r="AG105" s="48">
        <f t="shared" si="39"/>
        <v>2000</v>
      </c>
      <c r="AH105" s="48">
        <f t="shared" si="39"/>
        <v>2083</v>
      </c>
      <c r="AI105" s="48">
        <f t="shared" si="39"/>
        <v>2166</v>
      </c>
      <c r="AJ105" s="48">
        <f t="shared" si="39"/>
        <v>2250</v>
      </c>
      <c r="AK105" s="48">
        <f t="shared" si="39"/>
        <v>2333</v>
      </c>
      <c r="AL105" s="48">
        <f t="shared" si="39"/>
        <v>2417</v>
      </c>
      <c r="AM105" s="48">
        <f t="shared" si="39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25"/>
        <v>115</v>
      </c>
      <c r="H106" s="61">
        <f t="shared" si="26"/>
        <v>105</v>
      </c>
      <c r="I106" s="61">
        <f t="shared" si="27"/>
        <v>180</v>
      </c>
      <c r="J106" s="48">
        <f t="shared" si="37"/>
        <v>13</v>
      </c>
      <c r="K106" s="48">
        <f t="shared" si="37"/>
        <v>41</v>
      </c>
      <c r="L106" s="48">
        <f t="shared" si="37"/>
        <v>70</v>
      </c>
      <c r="M106" s="48">
        <f t="shared" si="37"/>
        <v>98</v>
      </c>
      <c r="N106" s="48">
        <f t="shared" si="37"/>
        <v>127</v>
      </c>
      <c r="O106" s="48">
        <f t="shared" si="37"/>
        <v>155</v>
      </c>
      <c r="P106" s="48">
        <f t="shared" si="37"/>
        <v>184</v>
      </c>
      <c r="Q106" s="48">
        <f t="shared" si="37"/>
        <v>212</v>
      </c>
      <c r="R106" s="48">
        <f t="shared" si="37"/>
        <v>241</v>
      </c>
      <c r="S106" s="48">
        <f t="shared" si="37"/>
        <v>269</v>
      </c>
      <c r="T106" s="48">
        <f t="shared" si="38"/>
        <v>296</v>
      </c>
      <c r="U106" s="48">
        <f t="shared" si="38"/>
        <v>323</v>
      </c>
      <c r="V106" s="48">
        <f t="shared" si="38"/>
        <v>350</v>
      </c>
      <c r="W106" s="48">
        <f t="shared" si="38"/>
        <v>377</v>
      </c>
      <c r="X106" s="48">
        <f t="shared" si="38"/>
        <v>404</v>
      </c>
      <c r="Y106" s="48">
        <f t="shared" si="38"/>
        <v>431</v>
      </c>
      <c r="Z106" s="48">
        <f t="shared" si="38"/>
        <v>458</v>
      </c>
      <c r="AA106" s="48">
        <f t="shared" si="38"/>
        <v>485</v>
      </c>
      <c r="AB106" s="48">
        <f t="shared" si="38"/>
        <v>512</v>
      </c>
      <c r="AC106" s="48">
        <f t="shared" si="38"/>
        <v>539</v>
      </c>
      <c r="AD106" s="48">
        <f t="shared" si="39"/>
        <v>566</v>
      </c>
      <c r="AE106" s="48">
        <f t="shared" si="39"/>
        <v>593</v>
      </c>
      <c r="AF106" s="48">
        <f t="shared" si="39"/>
        <v>620</v>
      </c>
      <c r="AG106" s="48">
        <f t="shared" si="39"/>
        <v>647</v>
      </c>
      <c r="AH106" s="48">
        <f t="shared" si="39"/>
        <v>673</v>
      </c>
      <c r="AI106" s="48">
        <f t="shared" si="39"/>
        <v>700</v>
      </c>
      <c r="AJ106" s="48">
        <f t="shared" si="39"/>
        <v>727</v>
      </c>
      <c r="AK106" s="48">
        <f t="shared" si="39"/>
        <v>754</v>
      </c>
      <c r="AL106" s="48">
        <f t="shared" si="39"/>
        <v>781</v>
      </c>
      <c r="AM106" s="48">
        <f t="shared" si="39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25"/>
        <v>135</v>
      </c>
      <c r="H107" s="61">
        <f t="shared" si="26"/>
        <v>159</v>
      </c>
      <c r="I107" s="61">
        <f t="shared" si="27"/>
        <v>215</v>
      </c>
      <c r="J107" s="48">
        <f t="shared" si="37"/>
        <v>23</v>
      </c>
      <c r="K107" s="48">
        <f t="shared" si="37"/>
        <v>75</v>
      </c>
      <c r="L107" s="48">
        <f t="shared" si="37"/>
        <v>126</v>
      </c>
      <c r="M107" s="48">
        <f t="shared" si="37"/>
        <v>177</v>
      </c>
      <c r="N107" s="48">
        <f t="shared" si="37"/>
        <v>228</v>
      </c>
      <c r="O107" s="48">
        <f t="shared" si="37"/>
        <v>279</v>
      </c>
      <c r="P107" s="48">
        <f t="shared" si="37"/>
        <v>330</v>
      </c>
      <c r="Q107" s="48">
        <f t="shared" si="37"/>
        <v>381</v>
      </c>
      <c r="R107" s="48">
        <f t="shared" si="37"/>
        <v>432</v>
      </c>
      <c r="S107" s="48">
        <f t="shared" si="37"/>
        <v>483</v>
      </c>
      <c r="T107" s="48">
        <f t="shared" si="38"/>
        <v>531</v>
      </c>
      <c r="U107" s="48">
        <f t="shared" si="38"/>
        <v>580</v>
      </c>
      <c r="V107" s="48">
        <f t="shared" si="38"/>
        <v>628</v>
      </c>
      <c r="W107" s="48">
        <f t="shared" si="38"/>
        <v>676</v>
      </c>
      <c r="X107" s="48">
        <f t="shared" si="38"/>
        <v>725</v>
      </c>
      <c r="Y107" s="48">
        <f t="shared" si="38"/>
        <v>773</v>
      </c>
      <c r="Z107" s="48">
        <f t="shared" si="38"/>
        <v>821</v>
      </c>
      <c r="AA107" s="48">
        <f t="shared" si="38"/>
        <v>870</v>
      </c>
      <c r="AB107" s="48">
        <f t="shared" si="38"/>
        <v>918</v>
      </c>
      <c r="AC107" s="48">
        <f t="shared" si="38"/>
        <v>966</v>
      </c>
      <c r="AD107" s="48">
        <f t="shared" si="39"/>
        <v>1015</v>
      </c>
      <c r="AE107" s="48">
        <f t="shared" si="39"/>
        <v>1063</v>
      </c>
      <c r="AF107" s="48">
        <f t="shared" si="39"/>
        <v>1111</v>
      </c>
      <c r="AG107" s="48">
        <f t="shared" si="39"/>
        <v>1160</v>
      </c>
      <c r="AH107" s="48">
        <f t="shared" si="39"/>
        <v>1208</v>
      </c>
      <c r="AI107" s="48">
        <f t="shared" si="39"/>
        <v>1256</v>
      </c>
      <c r="AJ107" s="48">
        <f t="shared" si="39"/>
        <v>1305</v>
      </c>
      <c r="AK107" s="48">
        <f t="shared" si="39"/>
        <v>1353</v>
      </c>
      <c r="AL107" s="48">
        <f t="shared" si="39"/>
        <v>1401</v>
      </c>
      <c r="AM107" s="48">
        <f t="shared" si="39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121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25"/>
        <v>115</v>
      </c>
      <c r="H108" s="61">
        <f t="shared" si="26"/>
        <v>239</v>
      </c>
      <c r="I108" s="61">
        <f t="shared" si="27"/>
        <v>226</v>
      </c>
      <c r="J108" s="48">
        <f t="shared" si="37"/>
        <v>34</v>
      </c>
      <c r="K108" s="48">
        <f t="shared" si="37"/>
        <v>106</v>
      </c>
      <c r="L108" s="48">
        <f t="shared" si="37"/>
        <v>179</v>
      </c>
      <c r="M108" s="48">
        <f t="shared" si="37"/>
        <v>251</v>
      </c>
      <c r="N108" s="48">
        <f t="shared" si="37"/>
        <v>324</v>
      </c>
      <c r="O108" s="48">
        <f t="shared" si="37"/>
        <v>397</v>
      </c>
      <c r="P108" s="48">
        <f t="shared" si="37"/>
        <v>469</v>
      </c>
      <c r="Q108" s="48">
        <f t="shared" si="37"/>
        <v>542</v>
      </c>
      <c r="R108" s="48">
        <f t="shared" si="37"/>
        <v>615</v>
      </c>
      <c r="S108" s="48">
        <f t="shared" si="37"/>
        <v>687</v>
      </c>
      <c r="T108" s="48">
        <f t="shared" si="38"/>
        <v>756</v>
      </c>
      <c r="U108" s="48">
        <f t="shared" si="38"/>
        <v>825</v>
      </c>
      <c r="V108" s="48">
        <f t="shared" si="38"/>
        <v>893</v>
      </c>
      <c r="W108" s="48">
        <f t="shared" si="38"/>
        <v>962</v>
      </c>
      <c r="X108" s="48">
        <f t="shared" si="38"/>
        <v>1031</v>
      </c>
      <c r="Y108" s="48">
        <f t="shared" si="38"/>
        <v>1100</v>
      </c>
      <c r="Z108" s="48">
        <f t="shared" si="38"/>
        <v>1168</v>
      </c>
      <c r="AA108" s="48">
        <f t="shared" si="38"/>
        <v>1237</v>
      </c>
      <c r="AB108" s="48">
        <f t="shared" si="38"/>
        <v>1306</v>
      </c>
      <c r="AC108" s="48">
        <f t="shared" si="38"/>
        <v>1375</v>
      </c>
      <c r="AD108" s="48">
        <f t="shared" si="39"/>
        <v>1443</v>
      </c>
      <c r="AE108" s="48">
        <f t="shared" si="39"/>
        <v>1512</v>
      </c>
      <c r="AF108" s="48">
        <f t="shared" si="39"/>
        <v>1581</v>
      </c>
      <c r="AG108" s="48">
        <f t="shared" si="39"/>
        <v>1650</v>
      </c>
      <c r="AH108" s="48">
        <f t="shared" si="39"/>
        <v>1718</v>
      </c>
      <c r="AI108" s="48">
        <f t="shared" si="39"/>
        <v>1787</v>
      </c>
      <c r="AJ108" s="48">
        <f t="shared" si="39"/>
        <v>1856</v>
      </c>
      <c r="AK108" s="48">
        <f t="shared" si="39"/>
        <v>1925</v>
      </c>
      <c r="AL108" s="48">
        <f t="shared" si="39"/>
        <v>1994</v>
      </c>
      <c r="AM108" s="48">
        <f t="shared" si="39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121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25"/>
        <v>115</v>
      </c>
      <c r="H109" s="61">
        <f t="shared" si="26"/>
        <v>208</v>
      </c>
      <c r="I109" s="61">
        <f t="shared" si="27"/>
        <v>227</v>
      </c>
      <c r="J109" s="48">
        <f t="shared" si="37"/>
        <v>29</v>
      </c>
      <c r="K109" s="48">
        <f t="shared" si="37"/>
        <v>93</v>
      </c>
      <c r="L109" s="48">
        <f t="shared" si="37"/>
        <v>156</v>
      </c>
      <c r="M109" s="48">
        <f t="shared" si="37"/>
        <v>219</v>
      </c>
      <c r="N109" s="48">
        <f t="shared" si="37"/>
        <v>283</v>
      </c>
      <c r="O109" s="48">
        <f t="shared" si="37"/>
        <v>346</v>
      </c>
      <c r="P109" s="48">
        <f t="shared" si="37"/>
        <v>409</v>
      </c>
      <c r="Q109" s="48">
        <f t="shared" si="37"/>
        <v>473</v>
      </c>
      <c r="R109" s="48">
        <f t="shared" si="37"/>
        <v>536</v>
      </c>
      <c r="S109" s="48">
        <f t="shared" si="37"/>
        <v>599</v>
      </c>
      <c r="T109" s="48">
        <f t="shared" si="38"/>
        <v>659</v>
      </c>
      <c r="U109" s="48">
        <f t="shared" si="38"/>
        <v>719</v>
      </c>
      <c r="V109" s="48">
        <f t="shared" si="38"/>
        <v>779</v>
      </c>
      <c r="W109" s="48">
        <f t="shared" si="38"/>
        <v>839</v>
      </c>
      <c r="X109" s="48">
        <f t="shared" si="38"/>
        <v>899</v>
      </c>
      <c r="Y109" s="48">
        <f t="shared" si="38"/>
        <v>959</v>
      </c>
      <c r="Z109" s="48">
        <f t="shared" si="38"/>
        <v>1019</v>
      </c>
      <c r="AA109" s="48">
        <f t="shared" si="38"/>
        <v>1079</v>
      </c>
      <c r="AB109" s="48">
        <f t="shared" si="38"/>
        <v>1139</v>
      </c>
      <c r="AC109" s="48">
        <f t="shared" si="38"/>
        <v>1199</v>
      </c>
      <c r="AD109" s="48">
        <f t="shared" si="39"/>
        <v>1259</v>
      </c>
      <c r="AE109" s="48">
        <f t="shared" si="39"/>
        <v>1319</v>
      </c>
      <c r="AF109" s="48">
        <f t="shared" si="39"/>
        <v>1379</v>
      </c>
      <c r="AG109" s="48">
        <f t="shared" si="39"/>
        <v>1439</v>
      </c>
      <c r="AH109" s="48">
        <f t="shared" si="39"/>
        <v>1499</v>
      </c>
      <c r="AI109" s="48">
        <f t="shared" si="39"/>
        <v>1559</v>
      </c>
      <c r="AJ109" s="48">
        <f t="shared" si="39"/>
        <v>1619</v>
      </c>
      <c r="AK109" s="48">
        <f t="shared" si="39"/>
        <v>1679</v>
      </c>
      <c r="AL109" s="48">
        <f t="shared" si="39"/>
        <v>1739</v>
      </c>
      <c r="AM109" s="48">
        <f t="shared" si="39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47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25"/>
        <v>195</v>
      </c>
      <c r="H110" s="61">
        <f t="shared" si="26"/>
        <v>123</v>
      </c>
      <c r="I110" s="61">
        <f t="shared" si="27"/>
        <v>152</v>
      </c>
      <c r="J110" s="48">
        <f t="shared" si="37"/>
        <v>18</v>
      </c>
      <c r="K110" s="48">
        <f t="shared" si="37"/>
        <v>58</v>
      </c>
      <c r="L110" s="48">
        <f t="shared" si="37"/>
        <v>98</v>
      </c>
      <c r="M110" s="48">
        <f t="shared" si="37"/>
        <v>138</v>
      </c>
      <c r="N110" s="48">
        <f t="shared" si="37"/>
        <v>178</v>
      </c>
      <c r="O110" s="48">
        <f t="shared" si="37"/>
        <v>218</v>
      </c>
      <c r="P110" s="48">
        <f t="shared" si="37"/>
        <v>258</v>
      </c>
      <c r="Q110" s="48">
        <f t="shared" si="37"/>
        <v>298</v>
      </c>
      <c r="R110" s="48">
        <f t="shared" si="37"/>
        <v>338</v>
      </c>
      <c r="S110" s="48">
        <f t="shared" si="37"/>
        <v>378</v>
      </c>
      <c r="T110" s="48">
        <f t="shared" si="38"/>
        <v>415</v>
      </c>
      <c r="U110" s="48">
        <f t="shared" si="38"/>
        <v>453</v>
      </c>
      <c r="V110" s="48">
        <f t="shared" si="38"/>
        <v>491</v>
      </c>
      <c r="W110" s="48">
        <f t="shared" si="38"/>
        <v>529</v>
      </c>
      <c r="X110" s="48">
        <f t="shared" si="38"/>
        <v>566</v>
      </c>
      <c r="Y110" s="48">
        <f t="shared" si="38"/>
        <v>604</v>
      </c>
      <c r="Z110" s="48">
        <f t="shared" si="38"/>
        <v>642</v>
      </c>
      <c r="AA110" s="48">
        <f t="shared" si="38"/>
        <v>680</v>
      </c>
      <c r="AB110" s="48">
        <f t="shared" si="38"/>
        <v>717</v>
      </c>
      <c r="AC110" s="48">
        <f t="shared" si="38"/>
        <v>755</v>
      </c>
      <c r="AD110" s="48">
        <f t="shared" si="39"/>
        <v>793</v>
      </c>
      <c r="AE110" s="48">
        <f t="shared" si="39"/>
        <v>831</v>
      </c>
      <c r="AF110" s="48">
        <f t="shared" si="39"/>
        <v>869</v>
      </c>
      <c r="AG110" s="48">
        <f t="shared" si="39"/>
        <v>906</v>
      </c>
      <c r="AH110" s="48">
        <f t="shared" si="39"/>
        <v>944</v>
      </c>
      <c r="AI110" s="48">
        <f t="shared" si="39"/>
        <v>982</v>
      </c>
      <c r="AJ110" s="48">
        <f t="shared" si="39"/>
        <v>1020</v>
      </c>
      <c r="AK110" s="48">
        <f t="shared" si="39"/>
        <v>1058</v>
      </c>
      <c r="AL110" s="48">
        <f t="shared" si="39"/>
        <v>1095</v>
      </c>
      <c r="AM110" s="48">
        <f t="shared" si="39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48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25"/>
        <v>95</v>
      </c>
      <c r="H111" s="61">
        <f t="shared" si="26"/>
        <v>134</v>
      </c>
      <c r="I111" s="61">
        <f t="shared" si="27"/>
        <v>179</v>
      </c>
      <c r="J111" s="48">
        <f t="shared" si="37"/>
        <v>15</v>
      </c>
      <c r="K111" s="48">
        <f t="shared" si="37"/>
        <v>48</v>
      </c>
      <c r="L111" s="48">
        <f t="shared" si="37"/>
        <v>81</v>
      </c>
      <c r="M111" s="48">
        <f t="shared" si="37"/>
        <v>114</v>
      </c>
      <c r="N111" s="48">
        <f t="shared" si="37"/>
        <v>147</v>
      </c>
      <c r="O111" s="48">
        <f t="shared" si="37"/>
        <v>180</v>
      </c>
      <c r="P111" s="48">
        <f t="shared" si="37"/>
        <v>213</v>
      </c>
      <c r="Q111" s="48">
        <f t="shared" si="37"/>
        <v>246</v>
      </c>
      <c r="R111" s="48">
        <f t="shared" si="37"/>
        <v>278</v>
      </c>
      <c r="S111" s="48">
        <f t="shared" si="37"/>
        <v>311</v>
      </c>
      <c r="T111" s="48">
        <f t="shared" si="38"/>
        <v>343</v>
      </c>
      <c r="U111" s="48">
        <f t="shared" si="38"/>
        <v>374</v>
      </c>
      <c r="V111" s="48">
        <f t="shared" si="38"/>
        <v>405</v>
      </c>
      <c r="W111" s="48">
        <f t="shared" si="38"/>
        <v>436</v>
      </c>
      <c r="X111" s="48">
        <f t="shared" si="38"/>
        <v>467</v>
      </c>
      <c r="Y111" s="48">
        <f t="shared" si="38"/>
        <v>498</v>
      </c>
      <c r="Z111" s="48">
        <f t="shared" si="38"/>
        <v>530</v>
      </c>
      <c r="AA111" s="48">
        <f t="shared" si="38"/>
        <v>561</v>
      </c>
      <c r="AB111" s="48">
        <f t="shared" si="38"/>
        <v>592</v>
      </c>
      <c r="AC111" s="48">
        <f t="shared" si="38"/>
        <v>623</v>
      </c>
      <c r="AD111" s="48">
        <f t="shared" si="39"/>
        <v>654</v>
      </c>
      <c r="AE111" s="48">
        <f t="shared" si="39"/>
        <v>686</v>
      </c>
      <c r="AF111" s="48">
        <f t="shared" si="39"/>
        <v>717</v>
      </c>
      <c r="AG111" s="48">
        <f t="shared" si="39"/>
        <v>748</v>
      </c>
      <c r="AH111" s="48">
        <f t="shared" si="39"/>
        <v>779</v>
      </c>
      <c r="AI111" s="48">
        <f t="shared" si="39"/>
        <v>810</v>
      </c>
      <c r="AJ111" s="48">
        <f t="shared" si="39"/>
        <v>841</v>
      </c>
      <c r="AK111" s="48">
        <f t="shared" si="39"/>
        <v>873</v>
      </c>
      <c r="AL111" s="48">
        <f t="shared" si="39"/>
        <v>904</v>
      </c>
      <c r="AM111" s="48">
        <f t="shared" si="39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48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25"/>
        <v>145</v>
      </c>
      <c r="H112" s="61">
        <f t="shared" si="26"/>
        <v>189</v>
      </c>
      <c r="I112" s="61">
        <f t="shared" si="27"/>
        <v>236</v>
      </c>
      <c r="J112" s="48">
        <f t="shared" si="37"/>
        <v>30</v>
      </c>
      <c r="K112" s="48">
        <f t="shared" si="37"/>
        <v>96</v>
      </c>
      <c r="L112" s="48">
        <f t="shared" si="37"/>
        <v>162</v>
      </c>
      <c r="M112" s="48">
        <f t="shared" si="37"/>
        <v>228</v>
      </c>
      <c r="N112" s="48">
        <f t="shared" si="37"/>
        <v>294</v>
      </c>
      <c r="O112" s="48">
        <f t="shared" si="37"/>
        <v>360</v>
      </c>
      <c r="P112" s="48">
        <f t="shared" si="37"/>
        <v>426</v>
      </c>
      <c r="Q112" s="48">
        <f t="shared" si="37"/>
        <v>492</v>
      </c>
      <c r="R112" s="48">
        <f t="shared" si="37"/>
        <v>558</v>
      </c>
      <c r="S112" s="48">
        <f t="shared" si="37"/>
        <v>624</v>
      </c>
      <c r="T112" s="48">
        <f t="shared" si="38"/>
        <v>686</v>
      </c>
      <c r="U112" s="48">
        <f t="shared" si="38"/>
        <v>748</v>
      </c>
      <c r="V112" s="48">
        <f t="shared" si="38"/>
        <v>811</v>
      </c>
      <c r="W112" s="48">
        <f t="shared" si="38"/>
        <v>873</v>
      </c>
      <c r="X112" s="48">
        <f t="shared" si="38"/>
        <v>935</v>
      </c>
      <c r="Y112" s="48">
        <f t="shared" si="38"/>
        <v>998</v>
      </c>
      <c r="Z112" s="48">
        <f t="shared" si="38"/>
        <v>1060</v>
      </c>
      <c r="AA112" s="48">
        <f t="shared" si="38"/>
        <v>1123</v>
      </c>
      <c r="AB112" s="48">
        <f t="shared" si="38"/>
        <v>1185</v>
      </c>
      <c r="AC112" s="48">
        <f t="shared" si="38"/>
        <v>1247</v>
      </c>
      <c r="AD112" s="48">
        <f t="shared" si="39"/>
        <v>1310</v>
      </c>
      <c r="AE112" s="48">
        <f t="shared" si="39"/>
        <v>1372</v>
      </c>
      <c r="AF112" s="48">
        <f t="shared" si="39"/>
        <v>1434</v>
      </c>
      <c r="AG112" s="48">
        <f t="shared" si="39"/>
        <v>1497</v>
      </c>
      <c r="AH112" s="48">
        <f t="shared" si="39"/>
        <v>1559</v>
      </c>
      <c r="AI112" s="48">
        <f t="shared" si="39"/>
        <v>1622</v>
      </c>
      <c r="AJ112" s="48">
        <f t="shared" si="39"/>
        <v>1684</v>
      </c>
      <c r="AK112" s="48">
        <f t="shared" si="39"/>
        <v>1747</v>
      </c>
      <c r="AL112" s="48">
        <f t="shared" si="39"/>
        <v>1809</v>
      </c>
      <c r="AM112" s="48">
        <f t="shared" si="39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49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25"/>
        <v>175</v>
      </c>
      <c r="H113" s="61">
        <f t="shared" si="26"/>
        <v>155</v>
      </c>
      <c r="I113" s="61">
        <f t="shared" si="27"/>
        <v>172</v>
      </c>
      <c r="J113" s="48">
        <f t="shared" ref="J113:S122" si="40">MAX(10,INT(SQRT($G113*$I113)*$H113*J$1^2/10))</f>
        <v>23</v>
      </c>
      <c r="K113" s="48">
        <f t="shared" si="40"/>
        <v>74</v>
      </c>
      <c r="L113" s="48">
        <f t="shared" si="40"/>
        <v>125</v>
      </c>
      <c r="M113" s="48">
        <f t="shared" si="40"/>
        <v>175</v>
      </c>
      <c r="N113" s="48">
        <f t="shared" si="40"/>
        <v>226</v>
      </c>
      <c r="O113" s="48">
        <f t="shared" si="40"/>
        <v>277</v>
      </c>
      <c r="P113" s="48">
        <f t="shared" si="40"/>
        <v>327</v>
      </c>
      <c r="Q113" s="48">
        <f t="shared" si="40"/>
        <v>378</v>
      </c>
      <c r="R113" s="48">
        <f t="shared" si="40"/>
        <v>429</v>
      </c>
      <c r="S113" s="48">
        <f t="shared" si="40"/>
        <v>480</v>
      </c>
      <c r="T113" s="48">
        <f t="shared" ref="T113:AC122" si="41">MAX(10,INT(SQRT($G113*$I113)*$H113*T$1^2/10))</f>
        <v>527</v>
      </c>
      <c r="U113" s="48">
        <f t="shared" si="41"/>
        <v>575</v>
      </c>
      <c r="V113" s="48">
        <f t="shared" si="41"/>
        <v>623</v>
      </c>
      <c r="W113" s="48">
        <f t="shared" si="41"/>
        <v>671</v>
      </c>
      <c r="X113" s="48">
        <f t="shared" si="41"/>
        <v>719</v>
      </c>
      <c r="Y113" s="48">
        <f t="shared" si="41"/>
        <v>767</v>
      </c>
      <c r="Z113" s="48">
        <f t="shared" si="41"/>
        <v>815</v>
      </c>
      <c r="AA113" s="48">
        <f t="shared" si="41"/>
        <v>863</v>
      </c>
      <c r="AB113" s="48">
        <f t="shared" si="41"/>
        <v>911</v>
      </c>
      <c r="AC113" s="48">
        <f t="shared" si="41"/>
        <v>959</v>
      </c>
      <c r="AD113" s="48">
        <f t="shared" ref="AD113:AM122" si="42">MAX(10,INT(SQRT($G113*$I113)*$H113*AD$1^2/10))</f>
        <v>1007</v>
      </c>
      <c r="AE113" s="48">
        <f t="shared" si="42"/>
        <v>1055</v>
      </c>
      <c r="AF113" s="48">
        <f t="shared" si="42"/>
        <v>1103</v>
      </c>
      <c r="AG113" s="48">
        <f t="shared" si="42"/>
        <v>1151</v>
      </c>
      <c r="AH113" s="48">
        <f t="shared" si="42"/>
        <v>1199</v>
      </c>
      <c r="AI113" s="48">
        <f t="shared" si="42"/>
        <v>1247</v>
      </c>
      <c r="AJ113" s="48">
        <f t="shared" si="42"/>
        <v>1295</v>
      </c>
      <c r="AK113" s="48">
        <f t="shared" si="42"/>
        <v>1343</v>
      </c>
      <c r="AL113" s="48">
        <f t="shared" si="42"/>
        <v>1391</v>
      </c>
      <c r="AM113" s="48">
        <f t="shared" si="42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49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25"/>
        <v>225</v>
      </c>
      <c r="H114" s="61">
        <f t="shared" si="26"/>
        <v>237</v>
      </c>
      <c r="I114" s="61">
        <f t="shared" si="27"/>
        <v>221</v>
      </c>
      <c r="J114" s="48">
        <f t="shared" si="40"/>
        <v>46</v>
      </c>
      <c r="K114" s="48">
        <f t="shared" si="40"/>
        <v>146</v>
      </c>
      <c r="L114" s="48">
        <f t="shared" si="40"/>
        <v>245</v>
      </c>
      <c r="M114" s="48">
        <f t="shared" si="40"/>
        <v>345</v>
      </c>
      <c r="N114" s="48">
        <f t="shared" si="40"/>
        <v>445</v>
      </c>
      <c r="O114" s="48">
        <f t="shared" si="40"/>
        <v>544</v>
      </c>
      <c r="P114" s="48">
        <f t="shared" si="40"/>
        <v>644</v>
      </c>
      <c r="Q114" s="48">
        <f t="shared" si="40"/>
        <v>744</v>
      </c>
      <c r="R114" s="48">
        <f t="shared" si="40"/>
        <v>843</v>
      </c>
      <c r="S114" s="48">
        <f t="shared" si="40"/>
        <v>943</v>
      </c>
      <c r="T114" s="48">
        <f t="shared" si="41"/>
        <v>1037</v>
      </c>
      <c r="U114" s="48">
        <f t="shared" si="41"/>
        <v>1131</v>
      </c>
      <c r="V114" s="48">
        <f t="shared" si="41"/>
        <v>1226</v>
      </c>
      <c r="W114" s="48">
        <f t="shared" si="41"/>
        <v>1320</v>
      </c>
      <c r="X114" s="48">
        <f t="shared" si="41"/>
        <v>1414</v>
      </c>
      <c r="Y114" s="48">
        <f t="shared" si="41"/>
        <v>1509</v>
      </c>
      <c r="Z114" s="48">
        <f t="shared" si="41"/>
        <v>1603</v>
      </c>
      <c r="AA114" s="48">
        <f t="shared" si="41"/>
        <v>1697</v>
      </c>
      <c r="AB114" s="48">
        <f t="shared" si="41"/>
        <v>1791</v>
      </c>
      <c r="AC114" s="48">
        <f t="shared" si="41"/>
        <v>1886</v>
      </c>
      <c r="AD114" s="48">
        <f t="shared" si="42"/>
        <v>1980</v>
      </c>
      <c r="AE114" s="48">
        <f t="shared" si="42"/>
        <v>2074</v>
      </c>
      <c r="AF114" s="48">
        <f t="shared" si="42"/>
        <v>2169</v>
      </c>
      <c r="AG114" s="48">
        <f t="shared" si="42"/>
        <v>2263</v>
      </c>
      <c r="AH114" s="48">
        <f t="shared" si="42"/>
        <v>2357</v>
      </c>
      <c r="AI114" s="48">
        <f t="shared" si="42"/>
        <v>2452</v>
      </c>
      <c r="AJ114" s="48">
        <f t="shared" si="42"/>
        <v>2546</v>
      </c>
      <c r="AK114" s="48">
        <f t="shared" si="42"/>
        <v>2640</v>
      </c>
      <c r="AL114" s="48">
        <f t="shared" si="42"/>
        <v>2735</v>
      </c>
      <c r="AM114" s="48">
        <f t="shared" si="42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50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25"/>
        <v>515</v>
      </c>
      <c r="H115" s="61">
        <f t="shared" si="26"/>
        <v>75</v>
      </c>
      <c r="I115" s="61">
        <f t="shared" si="27"/>
        <v>191</v>
      </c>
      <c r="J115" s="48">
        <f t="shared" si="40"/>
        <v>20</v>
      </c>
      <c r="K115" s="48">
        <f t="shared" si="40"/>
        <v>65</v>
      </c>
      <c r="L115" s="48">
        <f t="shared" si="40"/>
        <v>109</v>
      </c>
      <c r="M115" s="48">
        <f t="shared" si="40"/>
        <v>153</v>
      </c>
      <c r="N115" s="48">
        <f t="shared" si="40"/>
        <v>198</v>
      </c>
      <c r="O115" s="48">
        <f t="shared" si="40"/>
        <v>242</v>
      </c>
      <c r="P115" s="48">
        <f t="shared" si="40"/>
        <v>286</v>
      </c>
      <c r="Q115" s="48">
        <f t="shared" si="40"/>
        <v>331</v>
      </c>
      <c r="R115" s="48">
        <f t="shared" si="40"/>
        <v>375</v>
      </c>
      <c r="S115" s="48">
        <f t="shared" si="40"/>
        <v>419</v>
      </c>
      <c r="T115" s="48">
        <f t="shared" si="41"/>
        <v>461</v>
      </c>
      <c r="U115" s="48">
        <f t="shared" si="41"/>
        <v>503</v>
      </c>
      <c r="V115" s="48">
        <f t="shared" si="41"/>
        <v>545</v>
      </c>
      <c r="W115" s="48">
        <f t="shared" si="41"/>
        <v>587</v>
      </c>
      <c r="X115" s="48">
        <f t="shared" si="41"/>
        <v>629</v>
      </c>
      <c r="Y115" s="48">
        <f t="shared" si="41"/>
        <v>671</v>
      </c>
      <c r="Z115" s="48">
        <f t="shared" si="41"/>
        <v>713</v>
      </c>
      <c r="AA115" s="48">
        <f t="shared" si="41"/>
        <v>755</v>
      </c>
      <c r="AB115" s="48">
        <f t="shared" si="41"/>
        <v>797</v>
      </c>
      <c r="AC115" s="48">
        <f t="shared" si="41"/>
        <v>839</v>
      </c>
      <c r="AD115" s="48">
        <f t="shared" si="42"/>
        <v>881</v>
      </c>
      <c r="AE115" s="48">
        <f t="shared" si="42"/>
        <v>923</v>
      </c>
      <c r="AF115" s="48">
        <f t="shared" si="42"/>
        <v>965</v>
      </c>
      <c r="AG115" s="48">
        <f t="shared" si="42"/>
        <v>1007</v>
      </c>
      <c r="AH115" s="48">
        <f t="shared" si="42"/>
        <v>1049</v>
      </c>
      <c r="AI115" s="48">
        <f t="shared" si="42"/>
        <v>1091</v>
      </c>
      <c r="AJ115" s="48">
        <f t="shared" si="42"/>
        <v>1133</v>
      </c>
      <c r="AK115" s="48">
        <f t="shared" si="42"/>
        <v>1175</v>
      </c>
      <c r="AL115" s="48">
        <f t="shared" si="42"/>
        <v>1217</v>
      </c>
      <c r="AM115" s="48">
        <f t="shared" si="42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51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25"/>
        <v>145</v>
      </c>
      <c r="H116" s="61">
        <f t="shared" si="26"/>
        <v>198</v>
      </c>
      <c r="I116" s="61">
        <f t="shared" si="27"/>
        <v>220</v>
      </c>
      <c r="J116" s="48">
        <f t="shared" si="40"/>
        <v>31</v>
      </c>
      <c r="K116" s="48">
        <f t="shared" si="40"/>
        <v>97</v>
      </c>
      <c r="L116" s="48">
        <f t="shared" si="40"/>
        <v>164</v>
      </c>
      <c r="M116" s="48">
        <f t="shared" si="40"/>
        <v>231</v>
      </c>
      <c r="N116" s="48">
        <f t="shared" si="40"/>
        <v>297</v>
      </c>
      <c r="O116" s="48">
        <f t="shared" si="40"/>
        <v>364</v>
      </c>
      <c r="P116" s="48">
        <f t="shared" si="40"/>
        <v>431</v>
      </c>
      <c r="Q116" s="48">
        <f t="shared" si="40"/>
        <v>497</v>
      </c>
      <c r="R116" s="48">
        <f t="shared" si="40"/>
        <v>564</v>
      </c>
      <c r="S116" s="48">
        <f t="shared" si="40"/>
        <v>631</v>
      </c>
      <c r="T116" s="48">
        <f t="shared" si="41"/>
        <v>694</v>
      </c>
      <c r="U116" s="48">
        <f t="shared" si="41"/>
        <v>757</v>
      </c>
      <c r="V116" s="48">
        <f t="shared" si="41"/>
        <v>820</v>
      </c>
      <c r="W116" s="48">
        <f t="shared" si="41"/>
        <v>883</v>
      </c>
      <c r="X116" s="48">
        <f t="shared" si="41"/>
        <v>946</v>
      </c>
      <c r="Y116" s="48">
        <f t="shared" si="41"/>
        <v>1009</v>
      </c>
      <c r="Z116" s="48">
        <f t="shared" si="41"/>
        <v>1072</v>
      </c>
      <c r="AA116" s="48">
        <f t="shared" si="41"/>
        <v>1135</v>
      </c>
      <c r="AB116" s="48">
        <f t="shared" si="41"/>
        <v>1199</v>
      </c>
      <c r="AC116" s="48">
        <f t="shared" si="41"/>
        <v>1262</v>
      </c>
      <c r="AD116" s="48">
        <f t="shared" si="42"/>
        <v>1325</v>
      </c>
      <c r="AE116" s="48">
        <f t="shared" si="42"/>
        <v>1388</v>
      </c>
      <c r="AF116" s="48">
        <f t="shared" si="42"/>
        <v>1451</v>
      </c>
      <c r="AG116" s="48">
        <f t="shared" si="42"/>
        <v>1514</v>
      </c>
      <c r="AH116" s="48">
        <f t="shared" si="42"/>
        <v>1577</v>
      </c>
      <c r="AI116" s="48">
        <f t="shared" si="42"/>
        <v>1640</v>
      </c>
      <c r="AJ116" s="48">
        <f t="shared" si="42"/>
        <v>1703</v>
      </c>
      <c r="AK116" s="48">
        <f t="shared" si="42"/>
        <v>1767</v>
      </c>
      <c r="AL116" s="48">
        <f t="shared" si="42"/>
        <v>1830</v>
      </c>
      <c r="AM116" s="48">
        <f t="shared" si="42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52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25"/>
        <v>225</v>
      </c>
      <c r="H117" s="61">
        <f t="shared" si="26"/>
        <v>196</v>
      </c>
      <c r="I117" s="61">
        <f t="shared" si="27"/>
        <v>180</v>
      </c>
      <c r="J117" s="48">
        <f t="shared" si="40"/>
        <v>34</v>
      </c>
      <c r="K117" s="48">
        <f t="shared" si="40"/>
        <v>109</v>
      </c>
      <c r="L117" s="48">
        <f t="shared" si="40"/>
        <v>183</v>
      </c>
      <c r="M117" s="48">
        <f t="shared" si="40"/>
        <v>257</v>
      </c>
      <c r="N117" s="48">
        <f t="shared" si="40"/>
        <v>332</v>
      </c>
      <c r="O117" s="48">
        <f t="shared" si="40"/>
        <v>406</v>
      </c>
      <c r="P117" s="48">
        <f t="shared" si="40"/>
        <v>481</v>
      </c>
      <c r="Q117" s="48">
        <f t="shared" si="40"/>
        <v>555</v>
      </c>
      <c r="R117" s="48">
        <f t="shared" si="40"/>
        <v>629</v>
      </c>
      <c r="S117" s="48">
        <f t="shared" si="40"/>
        <v>704</v>
      </c>
      <c r="T117" s="48">
        <f t="shared" si="41"/>
        <v>774</v>
      </c>
      <c r="U117" s="48">
        <f t="shared" si="41"/>
        <v>844</v>
      </c>
      <c r="V117" s="48">
        <f t="shared" si="41"/>
        <v>915</v>
      </c>
      <c r="W117" s="48">
        <f t="shared" si="41"/>
        <v>985</v>
      </c>
      <c r="X117" s="48">
        <f t="shared" si="41"/>
        <v>1055</v>
      </c>
      <c r="Y117" s="48">
        <f t="shared" si="41"/>
        <v>1126</v>
      </c>
      <c r="Z117" s="48">
        <f t="shared" si="41"/>
        <v>1196</v>
      </c>
      <c r="AA117" s="48">
        <f t="shared" si="41"/>
        <v>1266</v>
      </c>
      <c r="AB117" s="48">
        <f t="shared" si="41"/>
        <v>1337</v>
      </c>
      <c r="AC117" s="48">
        <f t="shared" si="41"/>
        <v>1407</v>
      </c>
      <c r="AD117" s="48">
        <f t="shared" si="42"/>
        <v>1478</v>
      </c>
      <c r="AE117" s="48">
        <f t="shared" si="42"/>
        <v>1548</v>
      </c>
      <c r="AF117" s="48">
        <f t="shared" si="42"/>
        <v>1618</v>
      </c>
      <c r="AG117" s="48">
        <f t="shared" si="42"/>
        <v>1689</v>
      </c>
      <c r="AH117" s="48">
        <f t="shared" si="42"/>
        <v>1759</v>
      </c>
      <c r="AI117" s="48">
        <f t="shared" si="42"/>
        <v>1830</v>
      </c>
      <c r="AJ117" s="48">
        <f t="shared" si="42"/>
        <v>1900</v>
      </c>
      <c r="AK117" s="48">
        <f t="shared" si="42"/>
        <v>1970</v>
      </c>
      <c r="AL117" s="48">
        <f t="shared" si="42"/>
        <v>2041</v>
      </c>
      <c r="AM117" s="48">
        <f t="shared" si="42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53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25"/>
        <v>75</v>
      </c>
      <c r="H118" s="61">
        <f t="shared" si="26"/>
        <v>144</v>
      </c>
      <c r="I118" s="61">
        <f t="shared" si="27"/>
        <v>140</v>
      </c>
      <c r="J118" s="48">
        <f t="shared" si="40"/>
        <v>13</v>
      </c>
      <c r="K118" s="48">
        <f t="shared" si="40"/>
        <v>40</v>
      </c>
      <c r="L118" s="48">
        <f t="shared" si="40"/>
        <v>68</v>
      </c>
      <c r="M118" s="48">
        <f t="shared" si="40"/>
        <v>96</v>
      </c>
      <c r="N118" s="48">
        <f t="shared" si="40"/>
        <v>124</v>
      </c>
      <c r="O118" s="48">
        <f t="shared" si="40"/>
        <v>152</v>
      </c>
      <c r="P118" s="48">
        <f t="shared" si="40"/>
        <v>179</v>
      </c>
      <c r="Q118" s="48">
        <f t="shared" si="40"/>
        <v>207</v>
      </c>
      <c r="R118" s="48">
        <f t="shared" si="40"/>
        <v>235</v>
      </c>
      <c r="S118" s="48">
        <f t="shared" si="40"/>
        <v>263</v>
      </c>
      <c r="T118" s="48">
        <f t="shared" si="41"/>
        <v>289</v>
      </c>
      <c r="U118" s="48">
        <f t="shared" si="41"/>
        <v>316</v>
      </c>
      <c r="V118" s="48">
        <f t="shared" si="41"/>
        <v>342</v>
      </c>
      <c r="W118" s="48">
        <f t="shared" si="41"/>
        <v>368</v>
      </c>
      <c r="X118" s="48">
        <f t="shared" si="41"/>
        <v>395</v>
      </c>
      <c r="Y118" s="48">
        <f t="shared" si="41"/>
        <v>421</v>
      </c>
      <c r="Z118" s="48">
        <f t="shared" si="41"/>
        <v>447</v>
      </c>
      <c r="AA118" s="48">
        <f t="shared" si="41"/>
        <v>473</v>
      </c>
      <c r="AB118" s="48">
        <f t="shared" si="41"/>
        <v>500</v>
      </c>
      <c r="AC118" s="48">
        <f t="shared" si="41"/>
        <v>526</v>
      </c>
      <c r="AD118" s="48">
        <f t="shared" si="42"/>
        <v>552</v>
      </c>
      <c r="AE118" s="48">
        <f t="shared" si="42"/>
        <v>579</v>
      </c>
      <c r="AF118" s="48">
        <f t="shared" si="42"/>
        <v>605</v>
      </c>
      <c r="AG118" s="48">
        <f t="shared" si="42"/>
        <v>631</v>
      </c>
      <c r="AH118" s="48">
        <f t="shared" si="42"/>
        <v>658</v>
      </c>
      <c r="AI118" s="48">
        <f t="shared" si="42"/>
        <v>684</v>
      </c>
      <c r="AJ118" s="48">
        <f t="shared" si="42"/>
        <v>710</v>
      </c>
      <c r="AK118" s="48">
        <f t="shared" si="42"/>
        <v>737</v>
      </c>
      <c r="AL118" s="48">
        <f t="shared" si="42"/>
        <v>763</v>
      </c>
      <c r="AM118" s="48">
        <f t="shared" si="42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53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25"/>
        <v>125</v>
      </c>
      <c r="H119" s="61">
        <f t="shared" si="26"/>
        <v>202</v>
      </c>
      <c r="I119" s="61">
        <f t="shared" si="27"/>
        <v>197</v>
      </c>
      <c r="J119" s="48">
        <f t="shared" si="40"/>
        <v>28</v>
      </c>
      <c r="K119" s="48">
        <f t="shared" si="40"/>
        <v>87</v>
      </c>
      <c r="L119" s="48">
        <f t="shared" si="40"/>
        <v>147</v>
      </c>
      <c r="M119" s="48">
        <f t="shared" si="40"/>
        <v>207</v>
      </c>
      <c r="N119" s="48">
        <f t="shared" si="40"/>
        <v>267</v>
      </c>
      <c r="O119" s="48">
        <f t="shared" si="40"/>
        <v>326</v>
      </c>
      <c r="P119" s="48">
        <f t="shared" si="40"/>
        <v>386</v>
      </c>
      <c r="Q119" s="48">
        <f t="shared" si="40"/>
        <v>446</v>
      </c>
      <c r="R119" s="48">
        <f t="shared" si="40"/>
        <v>506</v>
      </c>
      <c r="S119" s="48">
        <f t="shared" si="40"/>
        <v>565</v>
      </c>
      <c r="T119" s="48">
        <f t="shared" si="41"/>
        <v>622</v>
      </c>
      <c r="U119" s="48">
        <f t="shared" si="41"/>
        <v>678</v>
      </c>
      <c r="V119" s="48">
        <f t="shared" si="41"/>
        <v>735</v>
      </c>
      <c r="W119" s="48">
        <f t="shared" si="41"/>
        <v>792</v>
      </c>
      <c r="X119" s="48">
        <f t="shared" si="41"/>
        <v>848</v>
      </c>
      <c r="Y119" s="48">
        <f t="shared" si="41"/>
        <v>905</v>
      </c>
      <c r="Z119" s="48">
        <f t="shared" si="41"/>
        <v>961</v>
      </c>
      <c r="AA119" s="48">
        <f t="shared" si="41"/>
        <v>1018</v>
      </c>
      <c r="AB119" s="48">
        <f t="shared" si="41"/>
        <v>1074</v>
      </c>
      <c r="AC119" s="48">
        <f t="shared" si="41"/>
        <v>1131</v>
      </c>
      <c r="AD119" s="48">
        <f t="shared" si="42"/>
        <v>1187</v>
      </c>
      <c r="AE119" s="48">
        <f t="shared" si="42"/>
        <v>1244</v>
      </c>
      <c r="AF119" s="48">
        <f t="shared" si="42"/>
        <v>1301</v>
      </c>
      <c r="AG119" s="48">
        <f t="shared" si="42"/>
        <v>1357</v>
      </c>
      <c r="AH119" s="48">
        <f t="shared" si="42"/>
        <v>1414</v>
      </c>
      <c r="AI119" s="48">
        <f t="shared" si="42"/>
        <v>1470</v>
      </c>
      <c r="AJ119" s="48">
        <f t="shared" si="42"/>
        <v>1527</v>
      </c>
      <c r="AK119" s="48">
        <f t="shared" si="42"/>
        <v>1583</v>
      </c>
      <c r="AL119" s="48">
        <f t="shared" si="42"/>
        <v>1640</v>
      </c>
      <c r="AM119" s="48">
        <f t="shared" si="42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54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25"/>
        <v>105</v>
      </c>
      <c r="H120" s="61">
        <f t="shared" si="26"/>
        <v>138</v>
      </c>
      <c r="I120" s="61">
        <f t="shared" si="27"/>
        <v>130</v>
      </c>
      <c r="J120" s="48">
        <f t="shared" si="40"/>
        <v>14</v>
      </c>
      <c r="K120" s="48">
        <f t="shared" si="40"/>
        <v>44</v>
      </c>
      <c r="L120" s="48">
        <f t="shared" si="40"/>
        <v>75</v>
      </c>
      <c r="M120" s="48">
        <f t="shared" si="40"/>
        <v>105</v>
      </c>
      <c r="N120" s="48">
        <f t="shared" si="40"/>
        <v>135</v>
      </c>
      <c r="O120" s="48">
        <f t="shared" si="40"/>
        <v>166</v>
      </c>
      <c r="P120" s="48">
        <f t="shared" si="40"/>
        <v>196</v>
      </c>
      <c r="Q120" s="48">
        <f t="shared" si="40"/>
        <v>227</v>
      </c>
      <c r="R120" s="48">
        <f t="shared" si="40"/>
        <v>257</v>
      </c>
      <c r="S120" s="48">
        <f t="shared" si="40"/>
        <v>287</v>
      </c>
      <c r="T120" s="48">
        <f t="shared" si="41"/>
        <v>316</v>
      </c>
      <c r="U120" s="48">
        <f t="shared" si="41"/>
        <v>345</v>
      </c>
      <c r="V120" s="48">
        <f t="shared" si="41"/>
        <v>374</v>
      </c>
      <c r="W120" s="48">
        <f t="shared" si="41"/>
        <v>402</v>
      </c>
      <c r="X120" s="48">
        <f t="shared" si="41"/>
        <v>431</v>
      </c>
      <c r="Y120" s="48">
        <f t="shared" si="41"/>
        <v>460</v>
      </c>
      <c r="Z120" s="48">
        <f t="shared" si="41"/>
        <v>489</v>
      </c>
      <c r="AA120" s="48">
        <f t="shared" si="41"/>
        <v>517</v>
      </c>
      <c r="AB120" s="48">
        <f t="shared" si="41"/>
        <v>546</v>
      </c>
      <c r="AC120" s="48">
        <f t="shared" si="41"/>
        <v>575</v>
      </c>
      <c r="AD120" s="48">
        <f t="shared" si="42"/>
        <v>604</v>
      </c>
      <c r="AE120" s="48">
        <f t="shared" si="42"/>
        <v>632</v>
      </c>
      <c r="AF120" s="48">
        <f t="shared" si="42"/>
        <v>661</v>
      </c>
      <c r="AG120" s="48">
        <f t="shared" si="42"/>
        <v>690</v>
      </c>
      <c r="AH120" s="48">
        <f t="shared" si="42"/>
        <v>719</v>
      </c>
      <c r="AI120" s="48">
        <f t="shared" si="42"/>
        <v>748</v>
      </c>
      <c r="AJ120" s="48">
        <f t="shared" si="42"/>
        <v>776</v>
      </c>
      <c r="AK120" s="48">
        <f t="shared" si="42"/>
        <v>805</v>
      </c>
      <c r="AL120" s="48">
        <f t="shared" si="42"/>
        <v>834</v>
      </c>
      <c r="AM120" s="48">
        <f t="shared" si="42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54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25"/>
        <v>175</v>
      </c>
      <c r="H121" s="61">
        <f t="shared" si="26"/>
        <v>190</v>
      </c>
      <c r="I121" s="61">
        <f t="shared" si="27"/>
        <v>169</v>
      </c>
      <c r="J121" s="48">
        <f t="shared" si="40"/>
        <v>28</v>
      </c>
      <c r="K121" s="48">
        <f t="shared" si="40"/>
        <v>90</v>
      </c>
      <c r="L121" s="48">
        <f t="shared" si="40"/>
        <v>152</v>
      </c>
      <c r="M121" s="48">
        <f t="shared" si="40"/>
        <v>213</v>
      </c>
      <c r="N121" s="48">
        <f t="shared" si="40"/>
        <v>275</v>
      </c>
      <c r="O121" s="48">
        <f t="shared" si="40"/>
        <v>336</v>
      </c>
      <c r="P121" s="48">
        <f t="shared" si="40"/>
        <v>398</v>
      </c>
      <c r="Q121" s="48">
        <f t="shared" si="40"/>
        <v>460</v>
      </c>
      <c r="R121" s="48">
        <f t="shared" si="40"/>
        <v>521</v>
      </c>
      <c r="S121" s="48">
        <f t="shared" si="40"/>
        <v>583</v>
      </c>
      <c r="T121" s="48">
        <f t="shared" si="41"/>
        <v>641</v>
      </c>
      <c r="U121" s="48">
        <f t="shared" si="41"/>
        <v>699</v>
      </c>
      <c r="V121" s="48">
        <f t="shared" si="41"/>
        <v>758</v>
      </c>
      <c r="W121" s="48">
        <f t="shared" si="41"/>
        <v>816</v>
      </c>
      <c r="X121" s="48">
        <f t="shared" si="41"/>
        <v>874</v>
      </c>
      <c r="Y121" s="48">
        <f t="shared" si="41"/>
        <v>932</v>
      </c>
      <c r="Z121" s="48">
        <f t="shared" si="41"/>
        <v>991</v>
      </c>
      <c r="AA121" s="48">
        <f t="shared" si="41"/>
        <v>1049</v>
      </c>
      <c r="AB121" s="48">
        <f t="shared" si="41"/>
        <v>1107</v>
      </c>
      <c r="AC121" s="48">
        <f t="shared" si="41"/>
        <v>1166</v>
      </c>
      <c r="AD121" s="48">
        <f t="shared" si="42"/>
        <v>1224</v>
      </c>
      <c r="AE121" s="48">
        <f t="shared" si="42"/>
        <v>1282</v>
      </c>
      <c r="AF121" s="48">
        <f t="shared" si="42"/>
        <v>1341</v>
      </c>
      <c r="AG121" s="48">
        <f t="shared" si="42"/>
        <v>1399</v>
      </c>
      <c r="AH121" s="48">
        <f t="shared" si="42"/>
        <v>1457</v>
      </c>
      <c r="AI121" s="48">
        <f t="shared" si="42"/>
        <v>1516</v>
      </c>
      <c r="AJ121" s="48">
        <f t="shared" si="42"/>
        <v>1574</v>
      </c>
      <c r="AK121" s="48">
        <f t="shared" si="42"/>
        <v>1632</v>
      </c>
      <c r="AL121" s="48">
        <f t="shared" si="42"/>
        <v>1691</v>
      </c>
      <c r="AM121" s="48">
        <f t="shared" si="42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55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25"/>
        <v>75</v>
      </c>
      <c r="H122" s="61">
        <f t="shared" si="26"/>
        <v>152</v>
      </c>
      <c r="I122" s="61">
        <f t="shared" si="27"/>
        <v>127</v>
      </c>
      <c r="J122" s="48">
        <f t="shared" si="40"/>
        <v>13</v>
      </c>
      <c r="K122" s="48">
        <f t="shared" si="40"/>
        <v>41</v>
      </c>
      <c r="L122" s="48">
        <f t="shared" si="40"/>
        <v>69</v>
      </c>
      <c r="M122" s="48">
        <f t="shared" si="40"/>
        <v>97</v>
      </c>
      <c r="N122" s="48">
        <f t="shared" si="40"/>
        <v>124</v>
      </c>
      <c r="O122" s="48">
        <f t="shared" si="40"/>
        <v>152</v>
      </c>
      <c r="P122" s="48">
        <f t="shared" si="40"/>
        <v>180</v>
      </c>
      <c r="Q122" s="48">
        <f t="shared" si="40"/>
        <v>208</v>
      </c>
      <c r="R122" s="48">
        <f t="shared" si="40"/>
        <v>236</v>
      </c>
      <c r="S122" s="48">
        <f t="shared" si="40"/>
        <v>264</v>
      </c>
      <c r="T122" s="48">
        <f t="shared" si="41"/>
        <v>291</v>
      </c>
      <c r="U122" s="48">
        <f t="shared" si="41"/>
        <v>317</v>
      </c>
      <c r="V122" s="48">
        <f t="shared" si="41"/>
        <v>344</v>
      </c>
      <c r="W122" s="48">
        <f t="shared" si="41"/>
        <v>370</v>
      </c>
      <c r="X122" s="48">
        <f t="shared" si="41"/>
        <v>397</v>
      </c>
      <c r="Y122" s="48">
        <f t="shared" si="41"/>
        <v>423</v>
      </c>
      <c r="Z122" s="48">
        <f t="shared" si="41"/>
        <v>450</v>
      </c>
      <c r="AA122" s="48">
        <f t="shared" si="41"/>
        <v>476</v>
      </c>
      <c r="AB122" s="48">
        <f t="shared" si="41"/>
        <v>502</v>
      </c>
      <c r="AC122" s="48">
        <f t="shared" si="41"/>
        <v>529</v>
      </c>
      <c r="AD122" s="48">
        <f t="shared" si="42"/>
        <v>555</v>
      </c>
      <c r="AE122" s="48">
        <f t="shared" si="42"/>
        <v>582</v>
      </c>
      <c r="AF122" s="48">
        <f t="shared" si="42"/>
        <v>608</v>
      </c>
      <c r="AG122" s="48">
        <f t="shared" si="42"/>
        <v>635</v>
      </c>
      <c r="AH122" s="48">
        <f t="shared" si="42"/>
        <v>661</v>
      </c>
      <c r="AI122" s="48">
        <f t="shared" si="42"/>
        <v>688</v>
      </c>
      <c r="AJ122" s="48">
        <f t="shared" si="42"/>
        <v>714</v>
      </c>
      <c r="AK122" s="48">
        <f t="shared" si="42"/>
        <v>741</v>
      </c>
      <c r="AL122" s="48">
        <f t="shared" si="42"/>
        <v>767</v>
      </c>
      <c r="AM122" s="48">
        <f t="shared" si="42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55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25"/>
        <v>135</v>
      </c>
      <c r="H123" s="61">
        <f t="shared" si="26"/>
        <v>225</v>
      </c>
      <c r="I123" s="61">
        <f t="shared" si="27"/>
        <v>199</v>
      </c>
      <c r="J123" s="48">
        <f t="shared" ref="J123:S132" si="43">MAX(10,INT(SQRT($G123*$I123)*$H123*J$1^2/10))</f>
        <v>32</v>
      </c>
      <c r="K123" s="48">
        <f t="shared" si="43"/>
        <v>102</v>
      </c>
      <c r="L123" s="48">
        <f t="shared" si="43"/>
        <v>171</v>
      </c>
      <c r="M123" s="48">
        <f t="shared" si="43"/>
        <v>241</v>
      </c>
      <c r="N123" s="48">
        <f t="shared" si="43"/>
        <v>310</v>
      </c>
      <c r="O123" s="48">
        <f t="shared" si="43"/>
        <v>380</v>
      </c>
      <c r="P123" s="48">
        <f t="shared" si="43"/>
        <v>449</v>
      </c>
      <c r="Q123" s="48">
        <f t="shared" si="43"/>
        <v>519</v>
      </c>
      <c r="R123" s="48">
        <f t="shared" si="43"/>
        <v>588</v>
      </c>
      <c r="S123" s="48">
        <f t="shared" si="43"/>
        <v>658</v>
      </c>
      <c r="T123" s="48">
        <f t="shared" ref="T123:AC132" si="44">MAX(10,INT(SQRT($G123*$I123)*$H123*T$1^2/10))</f>
        <v>724</v>
      </c>
      <c r="U123" s="48">
        <f t="shared" si="44"/>
        <v>789</v>
      </c>
      <c r="V123" s="48">
        <f t="shared" si="44"/>
        <v>855</v>
      </c>
      <c r="W123" s="48">
        <f t="shared" si="44"/>
        <v>921</v>
      </c>
      <c r="X123" s="48">
        <f t="shared" si="44"/>
        <v>987</v>
      </c>
      <c r="Y123" s="48">
        <f t="shared" si="44"/>
        <v>1053</v>
      </c>
      <c r="Z123" s="48">
        <f t="shared" si="44"/>
        <v>1118</v>
      </c>
      <c r="AA123" s="48">
        <f t="shared" si="44"/>
        <v>1184</v>
      </c>
      <c r="AB123" s="48">
        <f t="shared" si="44"/>
        <v>1250</v>
      </c>
      <c r="AC123" s="48">
        <f t="shared" si="44"/>
        <v>1316</v>
      </c>
      <c r="AD123" s="48">
        <f t="shared" ref="AD123:AM132" si="45">MAX(10,INT(SQRT($G123*$I123)*$H123*AD$1^2/10))</f>
        <v>1381</v>
      </c>
      <c r="AE123" s="48">
        <f t="shared" si="45"/>
        <v>1447</v>
      </c>
      <c r="AF123" s="48">
        <f t="shared" si="45"/>
        <v>1513</v>
      </c>
      <c r="AG123" s="48">
        <f t="shared" si="45"/>
        <v>1579</v>
      </c>
      <c r="AH123" s="48">
        <f t="shared" si="45"/>
        <v>1645</v>
      </c>
      <c r="AI123" s="48">
        <f t="shared" si="45"/>
        <v>1711</v>
      </c>
      <c r="AJ123" s="48">
        <f t="shared" si="45"/>
        <v>1776</v>
      </c>
      <c r="AK123" s="48">
        <f t="shared" si="45"/>
        <v>1842</v>
      </c>
      <c r="AL123" s="48">
        <f t="shared" si="45"/>
        <v>1908</v>
      </c>
      <c r="AM123" s="48">
        <f t="shared" si="45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56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25"/>
        <v>95</v>
      </c>
      <c r="H124" s="61">
        <f t="shared" si="26"/>
        <v>207</v>
      </c>
      <c r="I124" s="61">
        <f t="shared" si="27"/>
        <v>248</v>
      </c>
      <c r="J124" s="48">
        <f t="shared" si="43"/>
        <v>28</v>
      </c>
      <c r="K124" s="48">
        <f t="shared" si="43"/>
        <v>87</v>
      </c>
      <c r="L124" s="48">
        <f t="shared" si="43"/>
        <v>147</v>
      </c>
      <c r="M124" s="48">
        <f t="shared" si="43"/>
        <v>207</v>
      </c>
      <c r="N124" s="48">
        <f t="shared" si="43"/>
        <v>267</v>
      </c>
      <c r="O124" s="48">
        <f t="shared" si="43"/>
        <v>327</v>
      </c>
      <c r="P124" s="48">
        <f t="shared" si="43"/>
        <v>387</v>
      </c>
      <c r="Q124" s="48">
        <f t="shared" si="43"/>
        <v>447</v>
      </c>
      <c r="R124" s="48">
        <f t="shared" si="43"/>
        <v>507</v>
      </c>
      <c r="S124" s="48">
        <f t="shared" si="43"/>
        <v>567</v>
      </c>
      <c r="T124" s="48">
        <f t="shared" si="44"/>
        <v>623</v>
      </c>
      <c r="U124" s="48">
        <f t="shared" si="44"/>
        <v>680</v>
      </c>
      <c r="V124" s="48">
        <f t="shared" si="44"/>
        <v>737</v>
      </c>
      <c r="W124" s="48">
        <f t="shared" si="44"/>
        <v>793</v>
      </c>
      <c r="X124" s="48">
        <f t="shared" si="44"/>
        <v>850</v>
      </c>
      <c r="Y124" s="48">
        <f t="shared" si="44"/>
        <v>907</v>
      </c>
      <c r="Z124" s="48">
        <f t="shared" si="44"/>
        <v>963</v>
      </c>
      <c r="AA124" s="48">
        <f t="shared" si="44"/>
        <v>1020</v>
      </c>
      <c r="AB124" s="48">
        <f t="shared" si="44"/>
        <v>1077</v>
      </c>
      <c r="AC124" s="48">
        <f t="shared" si="44"/>
        <v>1133</v>
      </c>
      <c r="AD124" s="48">
        <f t="shared" si="45"/>
        <v>1190</v>
      </c>
      <c r="AE124" s="48">
        <f t="shared" si="45"/>
        <v>1247</v>
      </c>
      <c r="AF124" s="48">
        <f t="shared" si="45"/>
        <v>1304</v>
      </c>
      <c r="AG124" s="48">
        <f t="shared" si="45"/>
        <v>1360</v>
      </c>
      <c r="AH124" s="48">
        <f t="shared" si="45"/>
        <v>1417</v>
      </c>
      <c r="AI124" s="48">
        <f t="shared" si="45"/>
        <v>1474</v>
      </c>
      <c r="AJ124" s="48">
        <f t="shared" si="45"/>
        <v>1530</v>
      </c>
      <c r="AK124" s="48">
        <f t="shared" si="45"/>
        <v>1587</v>
      </c>
      <c r="AL124" s="48">
        <f t="shared" si="45"/>
        <v>1644</v>
      </c>
      <c r="AM124" s="48">
        <f t="shared" si="45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57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25"/>
        <v>155</v>
      </c>
      <c r="H125" s="61">
        <f t="shared" si="26"/>
        <v>233</v>
      </c>
      <c r="I125" s="61">
        <f t="shared" si="27"/>
        <v>185</v>
      </c>
      <c r="J125" s="48">
        <f t="shared" si="43"/>
        <v>34</v>
      </c>
      <c r="K125" s="48">
        <f t="shared" si="43"/>
        <v>109</v>
      </c>
      <c r="L125" s="48">
        <f t="shared" si="43"/>
        <v>183</v>
      </c>
      <c r="M125" s="48">
        <f t="shared" si="43"/>
        <v>258</v>
      </c>
      <c r="N125" s="48">
        <f t="shared" si="43"/>
        <v>332</v>
      </c>
      <c r="O125" s="48">
        <f t="shared" si="43"/>
        <v>406</v>
      </c>
      <c r="P125" s="48">
        <f t="shared" si="43"/>
        <v>481</v>
      </c>
      <c r="Q125" s="48">
        <f t="shared" si="43"/>
        <v>555</v>
      </c>
      <c r="R125" s="48">
        <f t="shared" si="43"/>
        <v>629</v>
      </c>
      <c r="S125" s="48">
        <f t="shared" si="43"/>
        <v>704</v>
      </c>
      <c r="T125" s="48">
        <f t="shared" si="44"/>
        <v>774</v>
      </c>
      <c r="U125" s="48">
        <f t="shared" si="44"/>
        <v>845</v>
      </c>
      <c r="V125" s="48">
        <f t="shared" si="44"/>
        <v>915</v>
      </c>
      <c r="W125" s="48">
        <f t="shared" si="44"/>
        <v>985</v>
      </c>
      <c r="X125" s="48">
        <f t="shared" si="44"/>
        <v>1056</v>
      </c>
      <c r="Y125" s="48">
        <f t="shared" si="44"/>
        <v>1126</v>
      </c>
      <c r="Z125" s="48">
        <f t="shared" si="44"/>
        <v>1196</v>
      </c>
      <c r="AA125" s="48">
        <f t="shared" si="44"/>
        <v>1267</v>
      </c>
      <c r="AB125" s="48">
        <f t="shared" si="44"/>
        <v>1337</v>
      </c>
      <c r="AC125" s="48">
        <f t="shared" si="44"/>
        <v>1408</v>
      </c>
      <c r="AD125" s="48">
        <f t="shared" si="45"/>
        <v>1478</v>
      </c>
      <c r="AE125" s="48">
        <f t="shared" si="45"/>
        <v>1548</v>
      </c>
      <c r="AF125" s="48">
        <f t="shared" si="45"/>
        <v>1619</v>
      </c>
      <c r="AG125" s="48">
        <f t="shared" si="45"/>
        <v>1689</v>
      </c>
      <c r="AH125" s="48">
        <f t="shared" si="45"/>
        <v>1760</v>
      </c>
      <c r="AI125" s="48">
        <f t="shared" si="45"/>
        <v>1830</v>
      </c>
      <c r="AJ125" s="48">
        <f t="shared" si="45"/>
        <v>1901</v>
      </c>
      <c r="AK125" s="48">
        <f t="shared" si="45"/>
        <v>1971</v>
      </c>
      <c r="AL125" s="48">
        <f t="shared" si="45"/>
        <v>2041</v>
      </c>
      <c r="AM125" s="48">
        <f t="shared" si="45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58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25"/>
        <v>145</v>
      </c>
      <c r="H126" s="61">
        <f t="shared" si="26"/>
        <v>238</v>
      </c>
      <c r="I126" s="61">
        <f t="shared" si="27"/>
        <v>197</v>
      </c>
      <c r="J126" s="48">
        <f t="shared" si="43"/>
        <v>35</v>
      </c>
      <c r="K126" s="48">
        <f t="shared" si="43"/>
        <v>111</v>
      </c>
      <c r="L126" s="48">
        <f t="shared" si="43"/>
        <v>187</v>
      </c>
      <c r="M126" s="48">
        <f t="shared" si="43"/>
        <v>263</v>
      </c>
      <c r="N126" s="48">
        <f t="shared" si="43"/>
        <v>338</v>
      </c>
      <c r="O126" s="48">
        <f t="shared" si="43"/>
        <v>414</v>
      </c>
      <c r="P126" s="48">
        <f t="shared" si="43"/>
        <v>490</v>
      </c>
      <c r="Q126" s="48">
        <f t="shared" si="43"/>
        <v>566</v>
      </c>
      <c r="R126" s="48">
        <f t="shared" si="43"/>
        <v>642</v>
      </c>
      <c r="S126" s="48">
        <f t="shared" si="43"/>
        <v>718</v>
      </c>
      <c r="T126" s="48">
        <f t="shared" si="44"/>
        <v>789</v>
      </c>
      <c r="U126" s="48">
        <f t="shared" si="44"/>
        <v>861</v>
      </c>
      <c r="V126" s="48">
        <f t="shared" si="44"/>
        <v>933</v>
      </c>
      <c r="W126" s="48">
        <f t="shared" si="44"/>
        <v>1005</v>
      </c>
      <c r="X126" s="48">
        <f t="shared" si="44"/>
        <v>1076</v>
      </c>
      <c r="Y126" s="48">
        <f t="shared" si="44"/>
        <v>1148</v>
      </c>
      <c r="Z126" s="48">
        <f t="shared" si="44"/>
        <v>1220</v>
      </c>
      <c r="AA126" s="48">
        <f t="shared" si="44"/>
        <v>1292</v>
      </c>
      <c r="AB126" s="48">
        <f t="shared" si="44"/>
        <v>1363</v>
      </c>
      <c r="AC126" s="48">
        <f t="shared" si="44"/>
        <v>1435</v>
      </c>
      <c r="AD126" s="48">
        <f t="shared" si="45"/>
        <v>1507</v>
      </c>
      <c r="AE126" s="48">
        <f t="shared" si="45"/>
        <v>1579</v>
      </c>
      <c r="AF126" s="48">
        <f t="shared" si="45"/>
        <v>1650</v>
      </c>
      <c r="AG126" s="48">
        <f t="shared" si="45"/>
        <v>1722</v>
      </c>
      <c r="AH126" s="48">
        <f t="shared" si="45"/>
        <v>1794</v>
      </c>
      <c r="AI126" s="48">
        <f t="shared" si="45"/>
        <v>1866</v>
      </c>
      <c r="AJ126" s="48">
        <f t="shared" si="45"/>
        <v>1938</v>
      </c>
      <c r="AK126" s="48">
        <f t="shared" si="45"/>
        <v>2009</v>
      </c>
      <c r="AL126" s="48">
        <f t="shared" si="45"/>
        <v>2081</v>
      </c>
      <c r="AM126" s="48">
        <f t="shared" si="45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59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25"/>
        <v>145</v>
      </c>
      <c r="H127" s="61">
        <f t="shared" si="26"/>
        <v>213</v>
      </c>
      <c r="I127" s="61">
        <f t="shared" si="27"/>
        <v>188</v>
      </c>
      <c r="J127" s="48">
        <f t="shared" si="43"/>
        <v>31</v>
      </c>
      <c r="K127" s="48">
        <f t="shared" si="43"/>
        <v>97</v>
      </c>
      <c r="L127" s="48">
        <f t="shared" si="43"/>
        <v>163</v>
      </c>
      <c r="M127" s="48">
        <f t="shared" si="43"/>
        <v>229</v>
      </c>
      <c r="N127" s="48">
        <f t="shared" si="43"/>
        <v>296</v>
      </c>
      <c r="O127" s="48">
        <f t="shared" si="43"/>
        <v>362</v>
      </c>
      <c r="P127" s="48">
        <f t="shared" si="43"/>
        <v>428</v>
      </c>
      <c r="Q127" s="48">
        <f t="shared" si="43"/>
        <v>495</v>
      </c>
      <c r="R127" s="48">
        <f t="shared" si="43"/>
        <v>561</v>
      </c>
      <c r="S127" s="48">
        <f t="shared" si="43"/>
        <v>627</v>
      </c>
      <c r="T127" s="48">
        <f t="shared" si="44"/>
        <v>690</v>
      </c>
      <c r="U127" s="48">
        <f t="shared" si="44"/>
        <v>753</v>
      </c>
      <c r="V127" s="48">
        <f t="shared" si="44"/>
        <v>815</v>
      </c>
      <c r="W127" s="48">
        <f t="shared" si="44"/>
        <v>878</v>
      </c>
      <c r="X127" s="48">
        <f t="shared" si="44"/>
        <v>941</v>
      </c>
      <c r="Y127" s="48">
        <f t="shared" si="44"/>
        <v>1004</v>
      </c>
      <c r="Z127" s="48">
        <f t="shared" si="44"/>
        <v>1066</v>
      </c>
      <c r="AA127" s="48">
        <f t="shared" si="44"/>
        <v>1129</v>
      </c>
      <c r="AB127" s="48">
        <f t="shared" si="44"/>
        <v>1192</v>
      </c>
      <c r="AC127" s="48">
        <f t="shared" si="44"/>
        <v>1255</v>
      </c>
      <c r="AD127" s="48">
        <f t="shared" si="45"/>
        <v>1317</v>
      </c>
      <c r="AE127" s="48">
        <f t="shared" si="45"/>
        <v>1380</v>
      </c>
      <c r="AF127" s="48">
        <f t="shared" si="45"/>
        <v>1443</v>
      </c>
      <c r="AG127" s="48">
        <f t="shared" si="45"/>
        <v>1506</v>
      </c>
      <c r="AH127" s="48">
        <f t="shared" si="45"/>
        <v>1568</v>
      </c>
      <c r="AI127" s="48">
        <f t="shared" si="45"/>
        <v>1631</v>
      </c>
      <c r="AJ127" s="48">
        <f t="shared" si="45"/>
        <v>1694</v>
      </c>
      <c r="AK127" s="48">
        <f t="shared" si="45"/>
        <v>1757</v>
      </c>
      <c r="AL127" s="48">
        <f t="shared" si="45"/>
        <v>1820</v>
      </c>
      <c r="AM127" s="48">
        <f t="shared" si="45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60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25"/>
        <v>145</v>
      </c>
      <c r="H128" s="61">
        <f t="shared" si="26"/>
        <v>221</v>
      </c>
      <c r="I128" s="61">
        <f t="shared" si="27"/>
        <v>184</v>
      </c>
      <c r="J128" s="48">
        <f t="shared" si="43"/>
        <v>31</v>
      </c>
      <c r="K128" s="48">
        <f t="shared" si="43"/>
        <v>99</v>
      </c>
      <c r="L128" s="48">
        <f t="shared" si="43"/>
        <v>168</v>
      </c>
      <c r="M128" s="48">
        <f t="shared" si="43"/>
        <v>236</v>
      </c>
      <c r="N128" s="48">
        <f t="shared" si="43"/>
        <v>304</v>
      </c>
      <c r="O128" s="48">
        <f t="shared" si="43"/>
        <v>372</v>
      </c>
      <c r="P128" s="48">
        <f t="shared" si="43"/>
        <v>440</v>
      </c>
      <c r="Q128" s="48">
        <f t="shared" si="43"/>
        <v>508</v>
      </c>
      <c r="R128" s="48">
        <f t="shared" si="43"/>
        <v>576</v>
      </c>
      <c r="S128" s="48">
        <f t="shared" si="43"/>
        <v>644</v>
      </c>
      <c r="T128" s="48">
        <f t="shared" si="44"/>
        <v>708</v>
      </c>
      <c r="U128" s="48">
        <f t="shared" si="44"/>
        <v>773</v>
      </c>
      <c r="V128" s="48">
        <f t="shared" si="44"/>
        <v>837</v>
      </c>
      <c r="W128" s="48">
        <f t="shared" si="44"/>
        <v>901</v>
      </c>
      <c r="X128" s="48">
        <f t="shared" si="44"/>
        <v>966</v>
      </c>
      <c r="Y128" s="48">
        <f t="shared" si="44"/>
        <v>1030</v>
      </c>
      <c r="Z128" s="48">
        <f t="shared" si="44"/>
        <v>1095</v>
      </c>
      <c r="AA128" s="48">
        <f t="shared" si="44"/>
        <v>1159</v>
      </c>
      <c r="AB128" s="48">
        <f t="shared" si="44"/>
        <v>1223</v>
      </c>
      <c r="AC128" s="48">
        <f t="shared" si="44"/>
        <v>1288</v>
      </c>
      <c r="AD128" s="48">
        <f t="shared" si="45"/>
        <v>1352</v>
      </c>
      <c r="AE128" s="48">
        <f t="shared" si="45"/>
        <v>1417</v>
      </c>
      <c r="AF128" s="48">
        <f t="shared" si="45"/>
        <v>1481</v>
      </c>
      <c r="AG128" s="48">
        <f t="shared" si="45"/>
        <v>1546</v>
      </c>
      <c r="AH128" s="48">
        <f t="shared" si="45"/>
        <v>1610</v>
      </c>
      <c r="AI128" s="48">
        <f t="shared" si="45"/>
        <v>1674</v>
      </c>
      <c r="AJ128" s="48">
        <f t="shared" si="45"/>
        <v>1739</v>
      </c>
      <c r="AK128" s="48">
        <f t="shared" si="45"/>
        <v>1803</v>
      </c>
      <c r="AL128" s="48">
        <f t="shared" si="45"/>
        <v>1868</v>
      </c>
      <c r="AM128" s="48">
        <f t="shared" si="45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61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25"/>
        <v>145</v>
      </c>
      <c r="H129" s="61">
        <f t="shared" si="26"/>
        <v>253</v>
      </c>
      <c r="I129" s="61">
        <f t="shared" si="27"/>
        <v>212</v>
      </c>
      <c r="J129" s="48">
        <f t="shared" si="43"/>
        <v>39</v>
      </c>
      <c r="K129" s="48">
        <f t="shared" si="43"/>
        <v>122</v>
      </c>
      <c r="L129" s="48">
        <f t="shared" si="43"/>
        <v>206</v>
      </c>
      <c r="M129" s="48">
        <f t="shared" si="43"/>
        <v>290</v>
      </c>
      <c r="N129" s="48">
        <f t="shared" si="43"/>
        <v>373</v>
      </c>
      <c r="O129" s="48">
        <f t="shared" si="43"/>
        <v>457</v>
      </c>
      <c r="P129" s="48">
        <f t="shared" si="43"/>
        <v>540</v>
      </c>
      <c r="Q129" s="48">
        <f t="shared" si="43"/>
        <v>624</v>
      </c>
      <c r="R129" s="48">
        <f t="shared" si="43"/>
        <v>708</v>
      </c>
      <c r="S129" s="48">
        <f t="shared" si="43"/>
        <v>791</v>
      </c>
      <c r="T129" s="48">
        <f t="shared" si="44"/>
        <v>870</v>
      </c>
      <c r="U129" s="48">
        <f t="shared" si="44"/>
        <v>950</v>
      </c>
      <c r="V129" s="48">
        <f t="shared" si="44"/>
        <v>1029</v>
      </c>
      <c r="W129" s="48">
        <f t="shared" si="44"/>
        <v>1108</v>
      </c>
      <c r="X129" s="48">
        <f t="shared" si="44"/>
        <v>1187</v>
      </c>
      <c r="Y129" s="48">
        <f t="shared" si="44"/>
        <v>1266</v>
      </c>
      <c r="Z129" s="48">
        <f t="shared" si="44"/>
        <v>1345</v>
      </c>
      <c r="AA129" s="48">
        <f t="shared" si="44"/>
        <v>1424</v>
      </c>
      <c r="AB129" s="48">
        <f t="shared" si="44"/>
        <v>1503</v>
      </c>
      <c r="AC129" s="48">
        <f t="shared" si="44"/>
        <v>1583</v>
      </c>
      <c r="AD129" s="48">
        <f t="shared" si="45"/>
        <v>1662</v>
      </c>
      <c r="AE129" s="48">
        <f t="shared" si="45"/>
        <v>1741</v>
      </c>
      <c r="AF129" s="48">
        <f t="shared" si="45"/>
        <v>1820</v>
      </c>
      <c r="AG129" s="48">
        <f t="shared" si="45"/>
        <v>1899</v>
      </c>
      <c r="AH129" s="48">
        <f t="shared" si="45"/>
        <v>1978</v>
      </c>
      <c r="AI129" s="48">
        <f t="shared" si="45"/>
        <v>2058</v>
      </c>
      <c r="AJ129" s="48">
        <f t="shared" si="45"/>
        <v>2137</v>
      </c>
      <c r="AK129" s="48">
        <f t="shared" si="45"/>
        <v>2216</v>
      </c>
      <c r="AL129" s="48">
        <f t="shared" si="45"/>
        <v>2295</v>
      </c>
      <c r="AM129" s="48">
        <f t="shared" si="45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62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25"/>
        <v>165</v>
      </c>
      <c r="H130" s="61">
        <f t="shared" si="26"/>
        <v>213</v>
      </c>
      <c r="I130" s="61">
        <f t="shared" si="27"/>
        <v>212</v>
      </c>
      <c r="J130" s="48">
        <f t="shared" si="43"/>
        <v>35</v>
      </c>
      <c r="K130" s="48">
        <f t="shared" si="43"/>
        <v>110</v>
      </c>
      <c r="L130" s="48">
        <f t="shared" si="43"/>
        <v>185</v>
      </c>
      <c r="M130" s="48">
        <f t="shared" si="43"/>
        <v>260</v>
      </c>
      <c r="N130" s="48">
        <f t="shared" si="43"/>
        <v>335</v>
      </c>
      <c r="O130" s="48">
        <f t="shared" si="43"/>
        <v>410</v>
      </c>
      <c r="P130" s="48">
        <f t="shared" si="43"/>
        <v>485</v>
      </c>
      <c r="Q130" s="48">
        <f t="shared" si="43"/>
        <v>560</v>
      </c>
      <c r="R130" s="48">
        <f t="shared" si="43"/>
        <v>636</v>
      </c>
      <c r="S130" s="48">
        <f t="shared" si="43"/>
        <v>711</v>
      </c>
      <c r="T130" s="48">
        <f t="shared" si="44"/>
        <v>782</v>
      </c>
      <c r="U130" s="48">
        <f t="shared" si="44"/>
        <v>853</v>
      </c>
      <c r="V130" s="48">
        <f t="shared" si="44"/>
        <v>924</v>
      </c>
      <c r="W130" s="48">
        <f t="shared" si="44"/>
        <v>995</v>
      </c>
      <c r="X130" s="48">
        <f t="shared" si="44"/>
        <v>1066</v>
      </c>
      <c r="Y130" s="48">
        <f t="shared" si="44"/>
        <v>1137</v>
      </c>
      <c r="Z130" s="48">
        <f t="shared" si="44"/>
        <v>1208</v>
      </c>
      <c r="AA130" s="48">
        <f t="shared" si="44"/>
        <v>1279</v>
      </c>
      <c r="AB130" s="48">
        <f t="shared" si="44"/>
        <v>1350</v>
      </c>
      <c r="AC130" s="48">
        <f t="shared" si="44"/>
        <v>1421</v>
      </c>
      <c r="AD130" s="48">
        <f t="shared" si="45"/>
        <v>1492</v>
      </c>
      <c r="AE130" s="48">
        <f t="shared" si="45"/>
        <v>1563</v>
      </c>
      <c r="AF130" s="48">
        <f t="shared" si="45"/>
        <v>1635</v>
      </c>
      <c r="AG130" s="48">
        <f t="shared" si="45"/>
        <v>1706</v>
      </c>
      <c r="AH130" s="48">
        <f t="shared" si="45"/>
        <v>1777</v>
      </c>
      <c r="AI130" s="48">
        <f t="shared" si="45"/>
        <v>1848</v>
      </c>
      <c r="AJ130" s="48">
        <f t="shared" si="45"/>
        <v>1919</v>
      </c>
      <c r="AK130" s="48">
        <f t="shared" si="45"/>
        <v>1990</v>
      </c>
      <c r="AL130" s="48">
        <f t="shared" si="45"/>
        <v>2061</v>
      </c>
      <c r="AM130" s="48">
        <f t="shared" si="45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63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ref="G131:G194" si="46">D131+15</f>
        <v>55</v>
      </c>
      <c r="H131" s="61">
        <f t="shared" ref="H131:H194" si="47">E131+15</f>
        <v>44</v>
      </c>
      <c r="I131" s="61">
        <f t="shared" ref="I131:I194" si="48">F131+15</f>
        <v>117</v>
      </c>
      <c r="J131" s="48">
        <f t="shared" si="43"/>
        <v>10</v>
      </c>
      <c r="K131" s="48">
        <f t="shared" si="43"/>
        <v>10</v>
      </c>
      <c r="L131" s="48">
        <f t="shared" si="43"/>
        <v>16</v>
      </c>
      <c r="M131" s="48">
        <f t="shared" si="43"/>
        <v>23</v>
      </c>
      <c r="N131" s="48">
        <f t="shared" si="43"/>
        <v>29</v>
      </c>
      <c r="O131" s="48">
        <f t="shared" si="43"/>
        <v>36</v>
      </c>
      <c r="P131" s="48">
        <f t="shared" si="43"/>
        <v>43</v>
      </c>
      <c r="Q131" s="48">
        <f t="shared" si="43"/>
        <v>49</v>
      </c>
      <c r="R131" s="48">
        <f t="shared" si="43"/>
        <v>56</v>
      </c>
      <c r="S131" s="48">
        <f t="shared" si="43"/>
        <v>63</v>
      </c>
      <c r="T131" s="48">
        <f t="shared" si="44"/>
        <v>69</v>
      </c>
      <c r="U131" s="48">
        <f t="shared" si="44"/>
        <v>75</v>
      </c>
      <c r="V131" s="48">
        <f t="shared" si="44"/>
        <v>81</v>
      </c>
      <c r="W131" s="48">
        <f t="shared" si="44"/>
        <v>88</v>
      </c>
      <c r="X131" s="48">
        <f t="shared" si="44"/>
        <v>94</v>
      </c>
      <c r="Y131" s="48">
        <f t="shared" si="44"/>
        <v>100</v>
      </c>
      <c r="Z131" s="48">
        <f t="shared" si="44"/>
        <v>107</v>
      </c>
      <c r="AA131" s="48">
        <f t="shared" si="44"/>
        <v>113</v>
      </c>
      <c r="AB131" s="48">
        <f t="shared" si="44"/>
        <v>119</v>
      </c>
      <c r="AC131" s="48">
        <f t="shared" si="44"/>
        <v>125</v>
      </c>
      <c r="AD131" s="48">
        <f t="shared" si="45"/>
        <v>132</v>
      </c>
      <c r="AE131" s="48">
        <f t="shared" si="45"/>
        <v>138</v>
      </c>
      <c r="AF131" s="48">
        <f t="shared" si="45"/>
        <v>144</v>
      </c>
      <c r="AG131" s="48">
        <f t="shared" si="45"/>
        <v>151</v>
      </c>
      <c r="AH131" s="48">
        <f t="shared" si="45"/>
        <v>157</v>
      </c>
      <c r="AI131" s="48">
        <f t="shared" si="45"/>
        <v>163</v>
      </c>
      <c r="AJ131" s="48">
        <f t="shared" si="45"/>
        <v>170</v>
      </c>
      <c r="AK131" s="48">
        <f t="shared" si="45"/>
        <v>176</v>
      </c>
      <c r="AL131" s="48">
        <f t="shared" si="45"/>
        <v>182</v>
      </c>
      <c r="AM131" s="48">
        <f t="shared" si="45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63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si="46"/>
        <v>205</v>
      </c>
      <c r="H132" s="61">
        <f t="shared" si="47"/>
        <v>252</v>
      </c>
      <c r="I132" s="61">
        <f t="shared" si="48"/>
        <v>212</v>
      </c>
      <c r="J132" s="48">
        <f t="shared" si="43"/>
        <v>46</v>
      </c>
      <c r="K132" s="48">
        <f t="shared" si="43"/>
        <v>145</v>
      </c>
      <c r="L132" s="48">
        <f t="shared" si="43"/>
        <v>244</v>
      </c>
      <c r="M132" s="48">
        <f t="shared" si="43"/>
        <v>343</v>
      </c>
      <c r="N132" s="48">
        <f t="shared" si="43"/>
        <v>442</v>
      </c>
      <c r="O132" s="48">
        <f t="shared" si="43"/>
        <v>541</v>
      </c>
      <c r="P132" s="48">
        <f t="shared" si="43"/>
        <v>640</v>
      </c>
      <c r="Q132" s="48">
        <f t="shared" si="43"/>
        <v>739</v>
      </c>
      <c r="R132" s="48">
        <f t="shared" si="43"/>
        <v>838</v>
      </c>
      <c r="S132" s="48">
        <f t="shared" si="43"/>
        <v>937</v>
      </c>
      <c r="T132" s="48">
        <f t="shared" si="44"/>
        <v>1031</v>
      </c>
      <c r="U132" s="48">
        <f t="shared" si="44"/>
        <v>1125</v>
      </c>
      <c r="V132" s="48">
        <f t="shared" si="44"/>
        <v>1218</v>
      </c>
      <c r="W132" s="48">
        <f t="shared" si="44"/>
        <v>1312</v>
      </c>
      <c r="X132" s="48">
        <f t="shared" si="44"/>
        <v>1406</v>
      </c>
      <c r="Y132" s="48">
        <f t="shared" si="44"/>
        <v>1500</v>
      </c>
      <c r="Z132" s="48">
        <f t="shared" si="44"/>
        <v>1593</v>
      </c>
      <c r="AA132" s="48">
        <f t="shared" si="44"/>
        <v>1687</v>
      </c>
      <c r="AB132" s="48">
        <f t="shared" si="44"/>
        <v>1781</v>
      </c>
      <c r="AC132" s="48">
        <f t="shared" si="44"/>
        <v>1874</v>
      </c>
      <c r="AD132" s="48">
        <f t="shared" si="45"/>
        <v>1968</v>
      </c>
      <c r="AE132" s="48">
        <f t="shared" si="45"/>
        <v>2062</v>
      </c>
      <c r="AF132" s="48">
        <f t="shared" si="45"/>
        <v>2156</v>
      </c>
      <c r="AG132" s="48">
        <f t="shared" si="45"/>
        <v>2249</v>
      </c>
      <c r="AH132" s="48">
        <f t="shared" si="45"/>
        <v>2343</v>
      </c>
      <c r="AI132" s="48">
        <f t="shared" si="45"/>
        <v>2437</v>
      </c>
      <c r="AJ132" s="48">
        <f t="shared" si="45"/>
        <v>2531</v>
      </c>
      <c r="AK132" s="48">
        <f t="shared" si="45"/>
        <v>2625</v>
      </c>
      <c r="AL132" s="48">
        <f t="shared" si="45"/>
        <v>2718</v>
      </c>
      <c r="AM132" s="48">
        <f t="shared" si="45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64</v>
      </c>
      <c r="D133" s="61">
        <f>'Pokemon Data'!I132</f>
        <v>260</v>
      </c>
      <c r="E133" s="61">
        <f>'Pokemon Data'!J132</f>
        <v>165</v>
      </c>
      <c r="F133" s="61">
        <f>'Pokemon Data'!K132</f>
        <v>180</v>
      </c>
      <c r="G133" s="61">
        <f t="shared" si="46"/>
        <v>275</v>
      </c>
      <c r="H133" s="61">
        <f t="shared" si="47"/>
        <v>180</v>
      </c>
      <c r="I133" s="61">
        <f t="shared" si="48"/>
        <v>195</v>
      </c>
      <c r="J133" s="48">
        <f t="shared" ref="J133:S142" si="49">MAX(10,INT(SQRT($G133*$I133)*$H133*J$1^2/10))</f>
        <v>36</v>
      </c>
      <c r="K133" s="48">
        <f t="shared" si="49"/>
        <v>115</v>
      </c>
      <c r="L133" s="48">
        <f t="shared" si="49"/>
        <v>193</v>
      </c>
      <c r="M133" s="48">
        <f t="shared" si="49"/>
        <v>272</v>
      </c>
      <c r="N133" s="48">
        <f t="shared" si="49"/>
        <v>351</v>
      </c>
      <c r="O133" s="48">
        <f t="shared" si="49"/>
        <v>429</v>
      </c>
      <c r="P133" s="48">
        <f t="shared" si="49"/>
        <v>508</v>
      </c>
      <c r="Q133" s="48">
        <f t="shared" si="49"/>
        <v>586</v>
      </c>
      <c r="R133" s="48">
        <f t="shared" si="49"/>
        <v>665</v>
      </c>
      <c r="S133" s="48">
        <f t="shared" si="49"/>
        <v>744</v>
      </c>
      <c r="T133" s="48">
        <f t="shared" ref="T133:AC142" si="50">MAX(10,INT(SQRT($G133*$I133)*$H133*T$1^2/10))</f>
        <v>818</v>
      </c>
      <c r="U133" s="48">
        <f t="shared" si="50"/>
        <v>892</v>
      </c>
      <c r="V133" s="48">
        <f t="shared" si="50"/>
        <v>967</v>
      </c>
      <c r="W133" s="48">
        <f t="shared" si="50"/>
        <v>1041</v>
      </c>
      <c r="X133" s="48">
        <f t="shared" si="50"/>
        <v>1115</v>
      </c>
      <c r="Y133" s="48">
        <f t="shared" si="50"/>
        <v>1190</v>
      </c>
      <c r="Z133" s="48">
        <f t="shared" si="50"/>
        <v>1264</v>
      </c>
      <c r="AA133" s="48">
        <f t="shared" si="50"/>
        <v>1338</v>
      </c>
      <c r="AB133" s="48">
        <f t="shared" si="50"/>
        <v>1413</v>
      </c>
      <c r="AC133" s="48">
        <f t="shared" si="50"/>
        <v>1487</v>
      </c>
      <c r="AD133" s="48">
        <f t="shared" ref="AD133:AM142" si="51">MAX(10,INT(SQRT($G133*$I133)*$H133*AD$1^2/10))</f>
        <v>1562</v>
      </c>
      <c r="AE133" s="48">
        <f t="shared" si="51"/>
        <v>1636</v>
      </c>
      <c r="AF133" s="48">
        <f t="shared" si="51"/>
        <v>1710</v>
      </c>
      <c r="AG133" s="48">
        <f t="shared" si="51"/>
        <v>1785</v>
      </c>
      <c r="AH133" s="48">
        <f t="shared" si="51"/>
        <v>1859</v>
      </c>
      <c r="AI133" s="48">
        <f t="shared" si="51"/>
        <v>1934</v>
      </c>
      <c r="AJ133" s="48">
        <f t="shared" si="51"/>
        <v>2008</v>
      </c>
      <c r="AK133" s="48">
        <f t="shared" si="51"/>
        <v>2082</v>
      </c>
      <c r="AL133" s="48">
        <f t="shared" si="51"/>
        <v>2157</v>
      </c>
      <c r="AM133" s="48">
        <f t="shared" si="51"/>
        <v>2231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65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46"/>
        <v>111</v>
      </c>
      <c r="H134" s="61">
        <f t="shared" si="47"/>
        <v>106</v>
      </c>
      <c r="I134" s="61">
        <f t="shared" si="48"/>
        <v>106</v>
      </c>
      <c r="J134" s="48">
        <f t="shared" si="49"/>
        <v>10</v>
      </c>
      <c r="K134" s="48">
        <f t="shared" si="49"/>
        <v>31</v>
      </c>
      <c r="L134" s="48">
        <f t="shared" si="49"/>
        <v>53</v>
      </c>
      <c r="M134" s="48">
        <f t="shared" si="49"/>
        <v>75</v>
      </c>
      <c r="N134" s="48">
        <f t="shared" si="49"/>
        <v>96</v>
      </c>
      <c r="O134" s="48">
        <f t="shared" si="49"/>
        <v>118</v>
      </c>
      <c r="P134" s="48">
        <f t="shared" si="49"/>
        <v>140</v>
      </c>
      <c r="Q134" s="48">
        <f t="shared" si="49"/>
        <v>161</v>
      </c>
      <c r="R134" s="48">
        <f t="shared" si="49"/>
        <v>183</v>
      </c>
      <c r="S134" s="48">
        <f t="shared" si="49"/>
        <v>205</v>
      </c>
      <c r="T134" s="48">
        <f t="shared" si="50"/>
        <v>225</v>
      </c>
      <c r="U134" s="48">
        <f t="shared" si="50"/>
        <v>246</v>
      </c>
      <c r="V134" s="48">
        <f t="shared" si="50"/>
        <v>266</v>
      </c>
      <c r="W134" s="48">
        <f t="shared" si="50"/>
        <v>287</v>
      </c>
      <c r="X134" s="48">
        <f t="shared" si="50"/>
        <v>307</v>
      </c>
      <c r="Y134" s="48">
        <f t="shared" si="50"/>
        <v>328</v>
      </c>
      <c r="Z134" s="48">
        <f t="shared" si="50"/>
        <v>348</v>
      </c>
      <c r="AA134" s="48">
        <f t="shared" si="50"/>
        <v>369</v>
      </c>
      <c r="AB134" s="48">
        <f t="shared" si="50"/>
        <v>389</v>
      </c>
      <c r="AC134" s="48">
        <f t="shared" si="50"/>
        <v>410</v>
      </c>
      <c r="AD134" s="48">
        <f t="shared" si="51"/>
        <v>430</v>
      </c>
      <c r="AE134" s="48">
        <f t="shared" si="51"/>
        <v>451</v>
      </c>
      <c r="AF134" s="48">
        <f t="shared" si="51"/>
        <v>471</v>
      </c>
      <c r="AG134" s="48">
        <f t="shared" si="51"/>
        <v>492</v>
      </c>
      <c r="AH134" s="48">
        <f t="shared" si="51"/>
        <v>512</v>
      </c>
      <c r="AI134" s="48">
        <f t="shared" si="51"/>
        <v>533</v>
      </c>
      <c r="AJ134" s="48">
        <f t="shared" si="51"/>
        <v>554</v>
      </c>
      <c r="AK134" s="48">
        <f t="shared" si="51"/>
        <v>574</v>
      </c>
      <c r="AL134" s="48">
        <f t="shared" si="51"/>
        <v>595</v>
      </c>
      <c r="AM134" s="48">
        <f t="shared" si="51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66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46"/>
        <v>125</v>
      </c>
      <c r="H135" s="61">
        <f t="shared" si="47"/>
        <v>119</v>
      </c>
      <c r="I135" s="61">
        <f t="shared" si="48"/>
        <v>136</v>
      </c>
      <c r="J135" s="48">
        <f t="shared" si="49"/>
        <v>13</v>
      </c>
      <c r="K135" s="48">
        <f t="shared" si="49"/>
        <v>42</v>
      </c>
      <c r="L135" s="48">
        <f t="shared" si="49"/>
        <v>72</v>
      </c>
      <c r="M135" s="48">
        <f t="shared" si="49"/>
        <v>101</v>
      </c>
      <c r="N135" s="48">
        <f t="shared" si="49"/>
        <v>130</v>
      </c>
      <c r="O135" s="48">
        <f t="shared" si="49"/>
        <v>159</v>
      </c>
      <c r="P135" s="48">
        <f t="shared" si="49"/>
        <v>189</v>
      </c>
      <c r="Q135" s="48">
        <f t="shared" si="49"/>
        <v>218</v>
      </c>
      <c r="R135" s="48">
        <f t="shared" si="49"/>
        <v>247</v>
      </c>
      <c r="S135" s="48">
        <f t="shared" si="49"/>
        <v>276</v>
      </c>
      <c r="T135" s="48">
        <f t="shared" si="50"/>
        <v>304</v>
      </c>
      <c r="U135" s="48">
        <f t="shared" si="50"/>
        <v>332</v>
      </c>
      <c r="V135" s="48">
        <f t="shared" si="50"/>
        <v>359</v>
      </c>
      <c r="W135" s="48">
        <f t="shared" si="50"/>
        <v>387</v>
      </c>
      <c r="X135" s="48">
        <f t="shared" si="50"/>
        <v>415</v>
      </c>
      <c r="Y135" s="48">
        <f t="shared" si="50"/>
        <v>443</v>
      </c>
      <c r="Z135" s="48">
        <f t="shared" si="50"/>
        <v>470</v>
      </c>
      <c r="AA135" s="48">
        <f t="shared" si="50"/>
        <v>498</v>
      </c>
      <c r="AB135" s="48">
        <f t="shared" si="50"/>
        <v>526</v>
      </c>
      <c r="AC135" s="48">
        <f t="shared" si="50"/>
        <v>553</v>
      </c>
      <c r="AD135" s="48">
        <f t="shared" si="51"/>
        <v>581</v>
      </c>
      <c r="AE135" s="48">
        <f t="shared" si="51"/>
        <v>609</v>
      </c>
      <c r="AF135" s="48">
        <f t="shared" si="51"/>
        <v>636</v>
      </c>
      <c r="AG135" s="48">
        <f t="shared" si="51"/>
        <v>664</v>
      </c>
      <c r="AH135" s="48">
        <f t="shared" si="51"/>
        <v>692</v>
      </c>
      <c r="AI135" s="48">
        <f t="shared" si="51"/>
        <v>719</v>
      </c>
      <c r="AJ135" s="48">
        <f t="shared" si="51"/>
        <v>747</v>
      </c>
      <c r="AK135" s="48">
        <f t="shared" si="51"/>
        <v>775</v>
      </c>
      <c r="AL135" s="48">
        <f t="shared" si="51"/>
        <v>802</v>
      </c>
      <c r="AM135" s="48">
        <f t="shared" si="51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66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46"/>
        <v>275</v>
      </c>
      <c r="H136" s="61">
        <f t="shared" si="47"/>
        <v>220</v>
      </c>
      <c r="I136" s="61">
        <f t="shared" si="48"/>
        <v>192</v>
      </c>
      <c r="J136" s="48">
        <f t="shared" si="49"/>
        <v>44</v>
      </c>
      <c r="K136" s="48">
        <f t="shared" si="49"/>
        <v>139</v>
      </c>
      <c r="L136" s="48">
        <f t="shared" si="49"/>
        <v>235</v>
      </c>
      <c r="M136" s="48">
        <f t="shared" si="49"/>
        <v>330</v>
      </c>
      <c r="N136" s="48">
        <f t="shared" si="49"/>
        <v>425</v>
      </c>
      <c r="O136" s="48">
        <f t="shared" si="49"/>
        <v>521</v>
      </c>
      <c r="P136" s="48">
        <f t="shared" si="49"/>
        <v>616</v>
      </c>
      <c r="Q136" s="48">
        <f t="shared" si="49"/>
        <v>711</v>
      </c>
      <c r="R136" s="48">
        <f t="shared" si="49"/>
        <v>807</v>
      </c>
      <c r="S136" s="48">
        <f t="shared" si="49"/>
        <v>902</v>
      </c>
      <c r="T136" s="48">
        <f t="shared" si="50"/>
        <v>992</v>
      </c>
      <c r="U136" s="48">
        <f t="shared" si="50"/>
        <v>1082</v>
      </c>
      <c r="V136" s="48">
        <f t="shared" si="50"/>
        <v>1172</v>
      </c>
      <c r="W136" s="48">
        <f t="shared" si="50"/>
        <v>1263</v>
      </c>
      <c r="X136" s="48">
        <f t="shared" si="50"/>
        <v>1353</v>
      </c>
      <c r="Y136" s="48">
        <f t="shared" si="50"/>
        <v>1443</v>
      </c>
      <c r="Z136" s="48">
        <f t="shared" si="50"/>
        <v>1533</v>
      </c>
      <c r="AA136" s="48">
        <f t="shared" si="50"/>
        <v>1623</v>
      </c>
      <c r="AB136" s="48">
        <f t="shared" si="50"/>
        <v>1713</v>
      </c>
      <c r="AC136" s="48">
        <f t="shared" si="50"/>
        <v>1804</v>
      </c>
      <c r="AD136" s="48">
        <f t="shared" si="51"/>
        <v>1894</v>
      </c>
      <c r="AE136" s="48">
        <f t="shared" si="51"/>
        <v>1984</v>
      </c>
      <c r="AF136" s="48">
        <f t="shared" si="51"/>
        <v>2074</v>
      </c>
      <c r="AG136" s="48">
        <f t="shared" si="51"/>
        <v>2165</v>
      </c>
      <c r="AH136" s="48">
        <f t="shared" si="51"/>
        <v>2255</v>
      </c>
      <c r="AI136" s="48">
        <f t="shared" si="51"/>
        <v>2345</v>
      </c>
      <c r="AJ136" s="48">
        <f t="shared" si="51"/>
        <v>2435</v>
      </c>
      <c r="AK136" s="48">
        <f t="shared" si="51"/>
        <v>2526</v>
      </c>
      <c r="AL136" s="48">
        <f t="shared" si="51"/>
        <v>2616</v>
      </c>
      <c r="AM136" s="48">
        <f t="shared" si="51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66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46"/>
        <v>145</v>
      </c>
      <c r="H137" s="61">
        <f t="shared" si="47"/>
        <v>247</v>
      </c>
      <c r="I137" s="61">
        <f t="shared" si="48"/>
        <v>216</v>
      </c>
      <c r="J137" s="48">
        <f t="shared" si="49"/>
        <v>38</v>
      </c>
      <c r="K137" s="48">
        <f t="shared" si="49"/>
        <v>121</v>
      </c>
      <c r="L137" s="48">
        <f t="shared" si="49"/>
        <v>203</v>
      </c>
      <c r="M137" s="48">
        <f t="shared" si="49"/>
        <v>285</v>
      </c>
      <c r="N137" s="48">
        <f t="shared" si="49"/>
        <v>368</v>
      </c>
      <c r="O137" s="48">
        <f t="shared" si="49"/>
        <v>450</v>
      </c>
      <c r="P137" s="48">
        <f t="shared" si="49"/>
        <v>533</v>
      </c>
      <c r="Q137" s="48">
        <f t="shared" si="49"/>
        <v>615</v>
      </c>
      <c r="R137" s="48">
        <f t="shared" si="49"/>
        <v>697</v>
      </c>
      <c r="S137" s="48">
        <f t="shared" si="49"/>
        <v>780</v>
      </c>
      <c r="T137" s="48">
        <f t="shared" si="50"/>
        <v>858</v>
      </c>
      <c r="U137" s="48">
        <f t="shared" si="50"/>
        <v>936</v>
      </c>
      <c r="V137" s="48">
        <f t="shared" si="50"/>
        <v>1014</v>
      </c>
      <c r="W137" s="48">
        <f t="shared" si="50"/>
        <v>1092</v>
      </c>
      <c r="X137" s="48">
        <f t="shared" si="50"/>
        <v>1170</v>
      </c>
      <c r="Y137" s="48">
        <f t="shared" si="50"/>
        <v>1248</v>
      </c>
      <c r="Z137" s="48">
        <f t="shared" si="50"/>
        <v>1326</v>
      </c>
      <c r="AA137" s="48">
        <f t="shared" si="50"/>
        <v>1404</v>
      </c>
      <c r="AB137" s="48">
        <f t="shared" si="50"/>
        <v>1482</v>
      </c>
      <c r="AC137" s="48">
        <f t="shared" si="50"/>
        <v>1560</v>
      </c>
      <c r="AD137" s="48">
        <f t="shared" si="51"/>
        <v>1638</v>
      </c>
      <c r="AE137" s="48">
        <f t="shared" si="51"/>
        <v>1716</v>
      </c>
      <c r="AF137" s="48">
        <f t="shared" si="51"/>
        <v>1794</v>
      </c>
      <c r="AG137" s="48">
        <f t="shared" si="51"/>
        <v>1872</v>
      </c>
      <c r="AH137" s="48">
        <f t="shared" si="51"/>
        <v>1950</v>
      </c>
      <c r="AI137" s="48">
        <f t="shared" si="51"/>
        <v>2028</v>
      </c>
      <c r="AJ137" s="48">
        <f t="shared" si="51"/>
        <v>2106</v>
      </c>
      <c r="AK137" s="48">
        <f t="shared" si="51"/>
        <v>2184</v>
      </c>
      <c r="AL137" s="48">
        <f t="shared" si="51"/>
        <v>2262</v>
      </c>
      <c r="AM137" s="48">
        <f t="shared" si="51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66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46"/>
        <v>145</v>
      </c>
      <c r="H138" s="61">
        <f t="shared" si="47"/>
        <v>261</v>
      </c>
      <c r="I138" s="61">
        <f t="shared" si="48"/>
        <v>219</v>
      </c>
      <c r="J138" s="48">
        <f t="shared" si="49"/>
        <v>41</v>
      </c>
      <c r="K138" s="48">
        <f t="shared" si="49"/>
        <v>128</v>
      </c>
      <c r="L138" s="48">
        <f t="shared" si="49"/>
        <v>216</v>
      </c>
      <c r="M138" s="48">
        <f t="shared" si="49"/>
        <v>304</v>
      </c>
      <c r="N138" s="48">
        <f t="shared" si="49"/>
        <v>391</v>
      </c>
      <c r="O138" s="48">
        <f t="shared" si="49"/>
        <v>479</v>
      </c>
      <c r="P138" s="48">
        <f t="shared" si="49"/>
        <v>567</v>
      </c>
      <c r="Q138" s="48">
        <f t="shared" si="49"/>
        <v>654</v>
      </c>
      <c r="R138" s="48">
        <f t="shared" si="49"/>
        <v>742</v>
      </c>
      <c r="S138" s="48">
        <f t="shared" si="49"/>
        <v>830</v>
      </c>
      <c r="T138" s="48">
        <f t="shared" si="50"/>
        <v>913</v>
      </c>
      <c r="U138" s="48">
        <f t="shared" si="50"/>
        <v>996</v>
      </c>
      <c r="V138" s="48">
        <f t="shared" si="50"/>
        <v>1079</v>
      </c>
      <c r="W138" s="48">
        <f t="shared" si="50"/>
        <v>1162</v>
      </c>
      <c r="X138" s="48">
        <f t="shared" si="50"/>
        <v>1245</v>
      </c>
      <c r="Y138" s="48">
        <f t="shared" si="50"/>
        <v>1328</v>
      </c>
      <c r="Z138" s="48">
        <f t="shared" si="50"/>
        <v>1410</v>
      </c>
      <c r="AA138" s="48">
        <f t="shared" si="50"/>
        <v>1493</v>
      </c>
      <c r="AB138" s="48">
        <f t="shared" si="50"/>
        <v>1576</v>
      </c>
      <c r="AC138" s="48">
        <f t="shared" si="50"/>
        <v>1659</v>
      </c>
      <c r="AD138" s="48">
        <f t="shared" si="51"/>
        <v>1742</v>
      </c>
      <c r="AE138" s="48">
        <f t="shared" si="51"/>
        <v>1825</v>
      </c>
      <c r="AF138" s="48">
        <f t="shared" si="51"/>
        <v>1908</v>
      </c>
      <c r="AG138" s="48">
        <f t="shared" si="51"/>
        <v>1991</v>
      </c>
      <c r="AH138" s="48">
        <f t="shared" si="51"/>
        <v>2074</v>
      </c>
      <c r="AI138" s="48">
        <f t="shared" si="51"/>
        <v>2157</v>
      </c>
      <c r="AJ138" s="48">
        <f t="shared" si="51"/>
        <v>2241</v>
      </c>
      <c r="AK138" s="48">
        <f t="shared" si="51"/>
        <v>2324</v>
      </c>
      <c r="AL138" s="48">
        <f t="shared" si="51"/>
        <v>2407</v>
      </c>
      <c r="AM138" s="48">
        <f t="shared" si="51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67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46"/>
        <v>145</v>
      </c>
      <c r="H139" s="61">
        <f t="shared" si="47"/>
        <v>168</v>
      </c>
      <c r="I139" s="61">
        <f t="shared" si="48"/>
        <v>154</v>
      </c>
      <c r="J139" s="48">
        <f t="shared" si="49"/>
        <v>22</v>
      </c>
      <c r="K139" s="48">
        <f t="shared" si="49"/>
        <v>69</v>
      </c>
      <c r="L139" s="48">
        <f t="shared" si="49"/>
        <v>116</v>
      </c>
      <c r="M139" s="48">
        <f t="shared" si="49"/>
        <v>164</v>
      </c>
      <c r="N139" s="48">
        <f t="shared" si="49"/>
        <v>211</v>
      </c>
      <c r="O139" s="48">
        <f t="shared" si="49"/>
        <v>258</v>
      </c>
      <c r="P139" s="48">
        <f t="shared" si="49"/>
        <v>306</v>
      </c>
      <c r="Q139" s="48">
        <f t="shared" si="49"/>
        <v>353</v>
      </c>
      <c r="R139" s="48">
        <f t="shared" si="49"/>
        <v>400</v>
      </c>
      <c r="S139" s="48">
        <f t="shared" si="49"/>
        <v>448</v>
      </c>
      <c r="T139" s="48">
        <f t="shared" si="50"/>
        <v>492</v>
      </c>
      <c r="U139" s="48">
        <f t="shared" si="50"/>
        <v>537</v>
      </c>
      <c r="V139" s="48">
        <f t="shared" si="50"/>
        <v>582</v>
      </c>
      <c r="W139" s="48">
        <f t="shared" si="50"/>
        <v>627</v>
      </c>
      <c r="X139" s="48">
        <f t="shared" si="50"/>
        <v>672</v>
      </c>
      <c r="Y139" s="48">
        <f t="shared" si="50"/>
        <v>716</v>
      </c>
      <c r="Z139" s="48">
        <f t="shared" si="50"/>
        <v>761</v>
      </c>
      <c r="AA139" s="48">
        <f t="shared" si="50"/>
        <v>806</v>
      </c>
      <c r="AB139" s="48">
        <f t="shared" si="50"/>
        <v>851</v>
      </c>
      <c r="AC139" s="48">
        <f t="shared" si="50"/>
        <v>895</v>
      </c>
      <c r="AD139" s="48">
        <f t="shared" si="51"/>
        <v>940</v>
      </c>
      <c r="AE139" s="48">
        <f t="shared" si="51"/>
        <v>985</v>
      </c>
      <c r="AF139" s="48">
        <f t="shared" si="51"/>
        <v>1030</v>
      </c>
      <c r="AG139" s="48">
        <f t="shared" si="51"/>
        <v>1075</v>
      </c>
      <c r="AH139" s="48">
        <f t="shared" si="51"/>
        <v>1120</v>
      </c>
      <c r="AI139" s="48">
        <f t="shared" si="51"/>
        <v>1164</v>
      </c>
      <c r="AJ139" s="48">
        <f t="shared" si="51"/>
        <v>1209</v>
      </c>
      <c r="AK139" s="48">
        <f t="shared" si="51"/>
        <v>1254</v>
      </c>
      <c r="AL139" s="48">
        <f t="shared" si="51"/>
        <v>1299</v>
      </c>
      <c r="AM139" s="48">
        <f t="shared" si="51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68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46"/>
        <v>85</v>
      </c>
      <c r="H140" s="61">
        <f t="shared" si="47"/>
        <v>170</v>
      </c>
      <c r="I140" s="61">
        <f t="shared" si="48"/>
        <v>189</v>
      </c>
      <c r="J140" s="48">
        <f t="shared" si="49"/>
        <v>19</v>
      </c>
      <c r="K140" s="48">
        <f t="shared" si="49"/>
        <v>59</v>
      </c>
      <c r="L140" s="48">
        <f t="shared" si="49"/>
        <v>100</v>
      </c>
      <c r="M140" s="48">
        <f t="shared" si="49"/>
        <v>140</v>
      </c>
      <c r="N140" s="48">
        <f t="shared" si="49"/>
        <v>181</v>
      </c>
      <c r="O140" s="48">
        <f t="shared" si="49"/>
        <v>222</v>
      </c>
      <c r="P140" s="48">
        <f t="shared" si="49"/>
        <v>262</v>
      </c>
      <c r="Q140" s="48">
        <f t="shared" si="49"/>
        <v>303</v>
      </c>
      <c r="R140" s="48">
        <f t="shared" si="49"/>
        <v>344</v>
      </c>
      <c r="S140" s="48">
        <f t="shared" si="49"/>
        <v>384</v>
      </c>
      <c r="T140" s="48">
        <f t="shared" si="50"/>
        <v>423</v>
      </c>
      <c r="U140" s="48">
        <f t="shared" si="50"/>
        <v>461</v>
      </c>
      <c r="V140" s="48">
        <f t="shared" si="50"/>
        <v>499</v>
      </c>
      <c r="W140" s="48">
        <f t="shared" si="50"/>
        <v>538</v>
      </c>
      <c r="X140" s="48">
        <f t="shared" si="50"/>
        <v>576</v>
      </c>
      <c r="Y140" s="48">
        <f t="shared" si="50"/>
        <v>615</v>
      </c>
      <c r="Z140" s="48">
        <f t="shared" si="50"/>
        <v>653</v>
      </c>
      <c r="AA140" s="48">
        <f t="shared" si="50"/>
        <v>692</v>
      </c>
      <c r="AB140" s="48">
        <f t="shared" si="50"/>
        <v>730</v>
      </c>
      <c r="AC140" s="48">
        <f t="shared" si="50"/>
        <v>768</v>
      </c>
      <c r="AD140" s="48">
        <f t="shared" si="51"/>
        <v>807</v>
      </c>
      <c r="AE140" s="48">
        <f t="shared" si="51"/>
        <v>845</v>
      </c>
      <c r="AF140" s="48">
        <f t="shared" si="51"/>
        <v>884</v>
      </c>
      <c r="AG140" s="48">
        <f t="shared" si="51"/>
        <v>922</v>
      </c>
      <c r="AH140" s="48">
        <f t="shared" si="51"/>
        <v>961</v>
      </c>
      <c r="AI140" s="48">
        <f t="shared" si="51"/>
        <v>999</v>
      </c>
      <c r="AJ140" s="48">
        <f t="shared" si="51"/>
        <v>1038</v>
      </c>
      <c r="AK140" s="48">
        <f t="shared" si="51"/>
        <v>1076</v>
      </c>
      <c r="AL140" s="48">
        <f t="shared" si="51"/>
        <v>1115</v>
      </c>
      <c r="AM140" s="48">
        <f t="shared" si="51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68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46"/>
        <v>155</v>
      </c>
      <c r="H141" s="61">
        <f t="shared" si="47"/>
        <v>222</v>
      </c>
      <c r="I141" s="61">
        <f t="shared" si="48"/>
        <v>242</v>
      </c>
      <c r="J141" s="48">
        <f t="shared" si="49"/>
        <v>37</v>
      </c>
      <c r="K141" s="48">
        <f t="shared" si="49"/>
        <v>119</v>
      </c>
      <c r="L141" s="48">
        <f t="shared" si="49"/>
        <v>200</v>
      </c>
      <c r="M141" s="48">
        <f t="shared" si="49"/>
        <v>281</v>
      </c>
      <c r="N141" s="48">
        <f t="shared" si="49"/>
        <v>362</v>
      </c>
      <c r="O141" s="48">
        <f t="shared" si="49"/>
        <v>443</v>
      </c>
      <c r="P141" s="48">
        <f t="shared" si="49"/>
        <v>524</v>
      </c>
      <c r="Q141" s="48">
        <f t="shared" si="49"/>
        <v>605</v>
      </c>
      <c r="R141" s="48">
        <f t="shared" si="49"/>
        <v>686</v>
      </c>
      <c r="S141" s="48">
        <f t="shared" si="49"/>
        <v>767</v>
      </c>
      <c r="T141" s="48">
        <f t="shared" si="50"/>
        <v>844</v>
      </c>
      <c r="U141" s="48">
        <f t="shared" si="50"/>
        <v>920</v>
      </c>
      <c r="V141" s="48">
        <f t="shared" si="50"/>
        <v>997</v>
      </c>
      <c r="W141" s="48">
        <f t="shared" si="50"/>
        <v>1074</v>
      </c>
      <c r="X141" s="48">
        <f t="shared" si="50"/>
        <v>1150</v>
      </c>
      <c r="Y141" s="48">
        <f t="shared" si="50"/>
        <v>1227</v>
      </c>
      <c r="Z141" s="48">
        <f t="shared" si="50"/>
        <v>1304</v>
      </c>
      <c r="AA141" s="48">
        <f t="shared" si="50"/>
        <v>1381</v>
      </c>
      <c r="AB141" s="48">
        <f t="shared" si="50"/>
        <v>1457</v>
      </c>
      <c r="AC141" s="48">
        <f t="shared" si="50"/>
        <v>1534</v>
      </c>
      <c r="AD141" s="48">
        <f t="shared" si="51"/>
        <v>1611</v>
      </c>
      <c r="AE141" s="48">
        <f t="shared" si="51"/>
        <v>1687</v>
      </c>
      <c r="AF141" s="48">
        <f t="shared" si="51"/>
        <v>1764</v>
      </c>
      <c r="AG141" s="48">
        <f t="shared" si="51"/>
        <v>1841</v>
      </c>
      <c r="AH141" s="48">
        <f t="shared" si="51"/>
        <v>1918</v>
      </c>
      <c r="AI141" s="48">
        <f t="shared" si="51"/>
        <v>1994</v>
      </c>
      <c r="AJ141" s="48">
        <f t="shared" si="51"/>
        <v>2071</v>
      </c>
      <c r="AK141" s="48">
        <f t="shared" si="51"/>
        <v>2148</v>
      </c>
      <c r="AL141" s="48">
        <f t="shared" si="51"/>
        <v>2225</v>
      </c>
      <c r="AM141" s="48">
        <f t="shared" si="51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69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46"/>
        <v>75</v>
      </c>
      <c r="H142" s="61">
        <f t="shared" si="47"/>
        <v>163</v>
      </c>
      <c r="I142" s="61">
        <f t="shared" si="48"/>
        <v>177</v>
      </c>
      <c r="J142" s="48">
        <f t="shared" si="49"/>
        <v>16</v>
      </c>
      <c r="K142" s="48">
        <f t="shared" si="49"/>
        <v>51</v>
      </c>
      <c r="L142" s="48">
        <f t="shared" si="49"/>
        <v>87</v>
      </c>
      <c r="M142" s="48">
        <f t="shared" si="49"/>
        <v>122</v>
      </c>
      <c r="N142" s="48">
        <f t="shared" si="49"/>
        <v>158</v>
      </c>
      <c r="O142" s="48">
        <f t="shared" si="49"/>
        <v>193</v>
      </c>
      <c r="P142" s="48">
        <f t="shared" si="49"/>
        <v>229</v>
      </c>
      <c r="Q142" s="48">
        <f t="shared" si="49"/>
        <v>264</v>
      </c>
      <c r="R142" s="48">
        <f t="shared" si="49"/>
        <v>299</v>
      </c>
      <c r="S142" s="48">
        <f t="shared" si="49"/>
        <v>335</v>
      </c>
      <c r="T142" s="48">
        <f t="shared" si="50"/>
        <v>368</v>
      </c>
      <c r="U142" s="48">
        <f t="shared" si="50"/>
        <v>402</v>
      </c>
      <c r="V142" s="48">
        <f t="shared" si="50"/>
        <v>435</v>
      </c>
      <c r="W142" s="48">
        <f t="shared" si="50"/>
        <v>469</v>
      </c>
      <c r="X142" s="48">
        <f t="shared" si="50"/>
        <v>502</v>
      </c>
      <c r="Y142" s="48">
        <f t="shared" si="50"/>
        <v>536</v>
      </c>
      <c r="Z142" s="48">
        <f t="shared" si="50"/>
        <v>569</v>
      </c>
      <c r="AA142" s="48">
        <f t="shared" si="50"/>
        <v>603</v>
      </c>
      <c r="AB142" s="48">
        <f t="shared" si="50"/>
        <v>636</v>
      </c>
      <c r="AC142" s="48">
        <f t="shared" si="50"/>
        <v>670</v>
      </c>
      <c r="AD142" s="48">
        <f t="shared" si="51"/>
        <v>703</v>
      </c>
      <c r="AE142" s="48">
        <f t="shared" si="51"/>
        <v>737</v>
      </c>
      <c r="AF142" s="48">
        <f t="shared" si="51"/>
        <v>770</v>
      </c>
      <c r="AG142" s="48">
        <f t="shared" si="51"/>
        <v>804</v>
      </c>
      <c r="AH142" s="48">
        <f t="shared" si="51"/>
        <v>837</v>
      </c>
      <c r="AI142" s="48">
        <f t="shared" si="51"/>
        <v>871</v>
      </c>
      <c r="AJ142" s="48">
        <f t="shared" si="51"/>
        <v>904</v>
      </c>
      <c r="AK142" s="48">
        <f t="shared" si="51"/>
        <v>938</v>
      </c>
      <c r="AL142" s="48">
        <f t="shared" si="51"/>
        <v>971</v>
      </c>
      <c r="AM142" s="48">
        <f t="shared" si="51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69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46"/>
        <v>135</v>
      </c>
      <c r="H143" s="61">
        <f t="shared" si="47"/>
        <v>235</v>
      </c>
      <c r="I143" s="61">
        <f t="shared" si="48"/>
        <v>218</v>
      </c>
      <c r="J143" s="48">
        <f t="shared" ref="J143:S152" si="52">MAX(10,INT(SQRT($G143*$I143)*$H143*J$1^2/10))</f>
        <v>35</v>
      </c>
      <c r="K143" s="48">
        <f t="shared" si="52"/>
        <v>111</v>
      </c>
      <c r="L143" s="48">
        <f t="shared" si="52"/>
        <v>187</v>
      </c>
      <c r="M143" s="48">
        <f t="shared" si="52"/>
        <v>263</v>
      </c>
      <c r="N143" s="48">
        <f t="shared" si="52"/>
        <v>339</v>
      </c>
      <c r="O143" s="48">
        <f t="shared" si="52"/>
        <v>415</v>
      </c>
      <c r="P143" s="48">
        <f t="shared" si="52"/>
        <v>491</v>
      </c>
      <c r="Q143" s="48">
        <f t="shared" si="52"/>
        <v>567</v>
      </c>
      <c r="R143" s="48">
        <f t="shared" si="52"/>
        <v>643</v>
      </c>
      <c r="S143" s="48">
        <f t="shared" si="52"/>
        <v>719</v>
      </c>
      <c r="T143" s="48">
        <f t="shared" ref="T143:AC152" si="53">MAX(10,INT(SQRT($G143*$I143)*$H143*T$1^2/10))</f>
        <v>791</v>
      </c>
      <c r="U143" s="48">
        <f t="shared" si="53"/>
        <v>863</v>
      </c>
      <c r="V143" s="48">
        <f t="shared" si="53"/>
        <v>935</v>
      </c>
      <c r="W143" s="48">
        <f t="shared" si="53"/>
        <v>1007</v>
      </c>
      <c r="X143" s="48">
        <f t="shared" si="53"/>
        <v>1079</v>
      </c>
      <c r="Y143" s="48">
        <f t="shared" si="53"/>
        <v>1151</v>
      </c>
      <c r="Z143" s="48">
        <f t="shared" si="53"/>
        <v>1223</v>
      </c>
      <c r="AA143" s="48">
        <f t="shared" si="53"/>
        <v>1294</v>
      </c>
      <c r="AB143" s="48">
        <f t="shared" si="53"/>
        <v>1366</v>
      </c>
      <c r="AC143" s="48">
        <f t="shared" si="53"/>
        <v>1438</v>
      </c>
      <c r="AD143" s="48">
        <f t="shared" ref="AD143:AM152" si="54">MAX(10,INT(SQRT($G143*$I143)*$H143*AD$1^2/10))</f>
        <v>1510</v>
      </c>
      <c r="AE143" s="48">
        <f t="shared" si="54"/>
        <v>1582</v>
      </c>
      <c r="AF143" s="48">
        <f t="shared" si="54"/>
        <v>1654</v>
      </c>
      <c r="AG143" s="48">
        <f t="shared" si="54"/>
        <v>1726</v>
      </c>
      <c r="AH143" s="48">
        <f t="shared" si="54"/>
        <v>1798</v>
      </c>
      <c r="AI143" s="48">
        <f t="shared" si="54"/>
        <v>1870</v>
      </c>
      <c r="AJ143" s="48">
        <f t="shared" si="54"/>
        <v>1942</v>
      </c>
      <c r="AK143" s="48">
        <f t="shared" si="54"/>
        <v>2014</v>
      </c>
      <c r="AL143" s="48">
        <f t="shared" si="54"/>
        <v>2086</v>
      </c>
      <c r="AM143" s="48">
        <f t="shared" si="54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70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46"/>
        <v>175</v>
      </c>
      <c r="H144" s="61">
        <f t="shared" si="47"/>
        <v>236</v>
      </c>
      <c r="I144" s="61">
        <f t="shared" si="48"/>
        <v>179</v>
      </c>
      <c r="J144" s="48">
        <f t="shared" si="52"/>
        <v>36</v>
      </c>
      <c r="K144" s="48">
        <f t="shared" si="52"/>
        <v>115</v>
      </c>
      <c r="L144" s="48">
        <f t="shared" si="52"/>
        <v>194</v>
      </c>
      <c r="M144" s="48">
        <f t="shared" si="52"/>
        <v>273</v>
      </c>
      <c r="N144" s="48">
        <f t="shared" si="52"/>
        <v>351</v>
      </c>
      <c r="O144" s="48">
        <f t="shared" si="52"/>
        <v>430</v>
      </c>
      <c r="P144" s="48">
        <f t="shared" si="52"/>
        <v>509</v>
      </c>
      <c r="Q144" s="48">
        <f t="shared" si="52"/>
        <v>588</v>
      </c>
      <c r="R144" s="48">
        <f t="shared" si="52"/>
        <v>666</v>
      </c>
      <c r="S144" s="48">
        <f t="shared" si="52"/>
        <v>745</v>
      </c>
      <c r="T144" s="48">
        <f t="shared" si="53"/>
        <v>820</v>
      </c>
      <c r="U144" s="48">
        <f t="shared" si="53"/>
        <v>894</v>
      </c>
      <c r="V144" s="48">
        <f t="shared" si="53"/>
        <v>969</v>
      </c>
      <c r="W144" s="48">
        <f t="shared" si="53"/>
        <v>1043</v>
      </c>
      <c r="X144" s="48">
        <f t="shared" si="53"/>
        <v>1118</v>
      </c>
      <c r="Y144" s="48">
        <f t="shared" si="53"/>
        <v>1192</v>
      </c>
      <c r="Z144" s="48">
        <f t="shared" si="53"/>
        <v>1267</v>
      </c>
      <c r="AA144" s="48">
        <f t="shared" si="53"/>
        <v>1341</v>
      </c>
      <c r="AB144" s="48">
        <f t="shared" si="53"/>
        <v>1416</v>
      </c>
      <c r="AC144" s="48">
        <f t="shared" si="53"/>
        <v>1490</v>
      </c>
      <c r="AD144" s="48">
        <f t="shared" si="54"/>
        <v>1565</v>
      </c>
      <c r="AE144" s="48">
        <f t="shared" si="54"/>
        <v>1639</v>
      </c>
      <c r="AF144" s="48">
        <f t="shared" si="54"/>
        <v>1714</v>
      </c>
      <c r="AG144" s="48">
        <f t="shared" si="54"/>
        <v>1788</v>
      </c>
      <c r="AH144" s="48">
        <f t="shared" si="54"/>
        <v>1863</v>
      </c>
      <c r="AI144" s="48">
        <f t="shared" si="54"/>
        <v>1938</v>
      </c>
      <c r="AJ144" s="48">
        <f t="shared" si="54"/>
        <v>2012</v>
      </c>
      <c r="AK144" s="48">
        <f t="shared" si="54"/>
        <v>2087</v>
      </c>
      <c r="AL144" s="48">
        <f t="shared" si="54"/>
        <v>2161</v>
      </c>
      <c r="AM144" s="48">
        <f t="shared" si="54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71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46"/>
        <v>335</v>
      </c>
      <c r="H145" s="61">
        <f t="shared" si="47"/>
        <v>205</v>
      </c>
      <c r="I145" s="61">
        <f t="shared" si="48"/>
        <v>205</v>
      </c>
      <c r="J145" s="48">
        <f t="shared" si="52"/>
        <v>47</v>
      </c>
      <c r="K145" s="48">
        <f t="shared" si="52"/>
        <v>148</v>
      </c>
      <c r="L145" s="48">
        <f t="shared" si="52"/>
        <v>250</v>
      </c>
      <c r="M145" s="48">
        <f t="shared" si="52"/>
        <v>351</v>
      </c>
      <c r="N145" s="48">
        <f t="shared" si="52"/>
        <v>452</v>
      </c>
      <c r="O145" s="48">
        <f t="shared" si="52"/>
        <v>553</v>
      </c>
      <c r="P145" s="48">
        <f t="shared" si="52"/>
        <v>655</v>
      </c>
      <c r="Q145" s="48">
        <f t="shared" si="52"/>
        <v>756</v>
      </c>
      <c r="R145" s="48">
        <f t="shared" si="52"/>
        <v>857</v>
      </c>
      <c r="S145" s="48">
        <f t="shared" si="52"/>
        <v>958</v>
      </c>
      <c r="T145" s="48">
        <f t="shared" si="53"/>
        <v>1054</v>
      </c>
      <c r="U145" s="48">
        <f t="shared" si="53"/>
        <v>1150</v>
      </c>
      <c r="V145" s="48">
        <f t="shared" si="53"/>
        <v>1246</v>
      </c>
      <c r="W145" s="48">
        <f t="shared" si="53"/>
        <v>1342</v>
      </c>
      <c r="X145" s="48">
        <f t="shared" si="53"/>
        <v>1438</v>
      </c>
      <c r="Y145" s="48">
        <f t="shared" si="53"/>
        <v>1533</v>
      </c>
      <c r="Z145" s="48">
        <f t="shared" si="53"/>
        <v>1629</v>
      </c>
      <c r="AA145" s="48">
        <f t="shared" si="53"/>
        <v>1725</v>
      </c>
      <c r="AB145" s="48">
        <f t="shared" si="53"/>
        <v>1821</v>
      </c>
      <c r="AC145" s="48">
        <f t="shared" si="53"/>
        <v>1917</v>
      </c>
      <c r="AD145" s="48">
        <f t="shared" si="54"/>
        <v>2013</v>
      </c>
      <c r="AE145" s="48">
        <f t="shared" si="54"/>
        <v>2109</v>
      </c>
      <c r="AF145" s="48">
        <f t="shared" si="54"/>
        <v>2204</v>
      </c>
      <c r="AG145" s="48">
        <f t="shared" si="54"/>
        <v>2300</v>
      </c>
      <c r="AH145" s="48">
        <f t="shared" si="54"/>
        <v>2396</v>
      </c>
      <c r="AI145" s="48">
        <f t="shared" si="54"/>
        <v>2492</v>
      </c>
      <c r="AJ145" s="48">
        <f t="shared" si="54"/>
        <v>2588</v>
      </c>
      <c r="AK145" s="48">
        <f t="shared" si="54"/>
        <v>2684</v>
      </c>
      <c r="AL145" s="48">
        <f t="shared" si="54"/>
        <v>2780</v>
      </c>
      <c r="AM145" s="48">
        <f t="shared" si="54"/>
        <v>2876</v>
      </c>
    </row>
    <row r="146" spans="1:39" s="59" customFormat="1" hidden="1" outlineLevel="1" x14ac:dyDescent="0.25">
      <c r="A146" s="59">
        <f>'Pokemon Data'!A145</f>
        <v>144</v>
      </c>
      <c r="B146" s="59" t="str">
        <f>'Pokemon Data'!B145</f>
        <v>Articuno</v>
      </c>
      <c r="C146" s="59">
        <f>'Pokemon Data'!E145</f>
        <v>72</v>
      </c>
      <c r="D146" s="59">
        <f>'Pokemon Data'!I145</f>
        <v>180</v>
      </c>
      <c r="E146" s="59">
        <f>'Pokemon Data'!J145</f>
        <v>192</v>
      </c>
      <c r="F146" s="59">
        <f>'Pokemon Data'!K145</f>
        <v>249</v>
      </c>
      <c r="G146" s="59">
        <f t="shared" si="46"/>
        <v>195</v>
      </c>
      <c r="H146" s="59">
        <f t="shared" si="47"/>
        <v>207</v>
      </c>
      <c r="I146" s="59">
        <f t="shared" si="48"/>
        <v>264</v>
      </c>
      <c r="J146" s="59">
        <f t="shared" si="52"/>
        <v>41</v>
      </c>
      <c r="K146" s="59">
        <f t="shared" si="52"/>
        <v>130</v>
      </c>
      <c r="L146" s="59">
        <f t="shared" si="52"/>
        <v>218</v>
      </c>
      <c r="M146" s="59">
        <f t="shared" si="52"/>
        <v>307</v>
      </c>
      <c r="N146" s="59">
        <f t="shared" si="52"/>
        <v>395</v>
      </c>
      <c r="O146" s="59">
        <f t="shared" si="52"/>
        <v>484</v>
      </c>
      <c r="P146" s="59">
        <f t="shared" si="52"/>
        <v>572</v>
      </c>
      <c r="Q146" s="59">
        <f t="shared" si="52"/>
        <v>661</v>
      </c>
      <c r="R146" s="59">
        <f t="shared" si="52"/>
        <v>749</v>
      </c>
      <c r="S146" s="59">
        <f t="shared" si="52"/>
        <v>838</v>
      </c>
      <c r="T146" s="59">
        <f t="shared" si="53"/>
        <v>922</v>
      </c>
      <c r="U146" s="59">
        <f t="shared" si="53"/>
        <v>1005</v>
      </c>
      <c r="V146" s="59">
        <f t="shared" si="53"/>
        <v>1089</v>
      </c>
      <c r="W146" s="59">
        <f t="shared" si="53"/>
        <v>1173</v>
      </c>
      <c r="X146" s="59">
        <f t="shared" si="53"/>
        <v>1257</v>
      </c>
      <c r="Y146" s="59">
        <f t="shared" si="53"/>
        <v>1341</v>
      </c>
      <c r="Z146" s="59">
        <f t="shared" si="53"/>
        <v>1424</v>
      </c>
      <c r="AA146" s="59">
        <f t="shared" si="53"/>
        <v>1508</v>
      </c>
      <c r="AB146" s="59">
        <f t="shared" si="53"/>
        <v>1592</v>
      </c>
      <c r="AC146" s="59">
        <f t="shared" si="53"/>
        <v>1676</v>
      </c>
      <c r="AD146" s="59">
        <f t="shared" si="54"/>
        <v>1760</v>
      </c>
      <c r="AE146" s="59">
        <f t="shared" si="54"/>
        <v>1843</v>
      </c>
      <c r="AF146" s="59">
        <f t="shared" si="54"/>
        <v>1927</v>
      </c>
      <c r="AG146" s="59">
        <f t="shared" si="54"/>
        <v>2011</v>
      </c>
      <c r="AH146" s="59">
        <f t="shared" si="54"/>
        <v>2095</v>
      </c>
      <c r="AI146" s="59">
        <f t="shared" si="54"/>
        <v>2179</v>
      </c>
      <c r="AJ146" s="59">
        <f t="shared" si="54"/>
        <v>2263</v>
      </c>
      <c r="AK146" s="59">
        <f t="shared" si="54"/>
        <v>2346</v>
      </c>
      <c r="AL146" s="59">
        <f t="shared" si="54"/>
        <v>2430</v>
      </c>
      <c r="AM146" s="59">
        <f t="shared" si="54"/>
        <v>2514</v>
      </c>
    </row>
    <row r="147" spans="1:39" s="59" customFormat="1" hidden="1" outlineLevel="1" x14ac:dyDescent="0.25">
      <c r="A147" s="59">
        <f>'Pokemon Data'!A146</f>
        <v>145</v>
      </c>
      <c r="B147" s="59" t="str">
        <f>'Pokemon Data'!B146</f>
        <v>Zapdos</v>
      </c>
      <c r="C147" s="59">
        <f>'Pokemon Data'!E146</f>
        <v>73</v>
      </c>
      <c r="D147" s="59">
        <f>'Pokemon Data'!I146</f>
        <v>180</v>
      </c>
      <c r="E147" s="59">
        <f>'Pokemon Data'!J146</f>
        <v>253</v>
      </c>
      <c r="F147" s="59">
        <f>'Pokemon Data'!K146</f>
        <v>188</v>
      </c>
      <c r="G147" s="59">
        <f t="shared" si="46"/>
        <v>195</v>
      </c>
      <c r="H147" s="59">
        <f t="shared" si="47"/>
        <v>268</v>
      </c>
      <c r="I147" s="59">
        <f t="shared" si="48"/>
        <v>203</v>
      </c>
      <c r="J147" s="59">
        <f t="shared" si="52"/>
        <v>47</v>
      </c>
      <c r="K147" s="59">
        <f t="shared" si="52"/>
        <v>147</v>
      </c>
      <c r="L147" s="59">
        <f t="shared" si="52"/>
        <v>248</v>
      </c>
      <c r="M147" s="59">
        <f t="shared" si="52"/>
        <v>348</v>
      </c>
      <c r="N147" s="59">
        <f t="shared" si="52"/>
        <v>449</v>
      </c>
      <c r="O147" s="59">
        <f t="shared" si="52"/>
        <v>549</v>
      </c>
      <c r="P147" s="59">
        <f t="shared" si="52"/>
        <v>650</v>
      </c>
      <c r="Q147" s="59">
        <f t="shared" si="52"/>
        <v>750</v>
      </c>
      <c r="R147" s="59">
        <f t="shared" si="52"/>
        <v>851</v>
      </c>
      <c r="S147" s="59">
        <f t="shared" si="52"/>
        <v>951</v>
      </c>
      <c r="T147" s="59">
        <f t="shared" si="53"/>
        <v>1046</v>
      </c>
      <c r="U147" s="59">
        <f t="shared" si="53"/>
        <v>1142</v>
      </c>
      <c r="V147" s="59">
        <f t="shared" si="53"/>
        <v>1237</v>
      </c>
      <c r="W147" s="59">
        <f t="shared" si="53"/>
        <v>1332</v>
      </c>
      <c r="X147" s="59">
        <f t="shared" si="53"/>
        <v>1427</v>
      </c>
      <c r="Y147" s="59">
        <f t="shared" si="53"/>
        <v>1522</v>
      </c>
      <c r="Z147" s="59">
        <f t="shared" si="53"/>
        <v>1617</v>
      </c>
      <c r="AA147" s="59">
        <f t="shared" si="53"/>
        <v>1712</v>
      </c>
      <c r="AB147" s="59">
        <f t="shared" si="53"/>
        <v>1807</v>
      </c>
      <c r="AC147" s="59">
        <f t="shared" si="53"/>
        <v>1902</v>
      </c>
      <c r="AD147" s="59">
        <f t="shared" si="54"/>
        <v>1998</v>
      </c>
      <c r="AE147" s="59">
        <f t="shared" si="54"/>
        <v>2093</v>
      </c>
      <c r="AF147" s="59">
        <f t="shared" si="54"/>
        <v>2188</v>
      </c>
      <c r="AG147" s="59">
        <f t="shared" si="54"/>
        <v>2283</v>
      </c>
      <c r="AH147" s="59">
        <f t="shared" si="54"/>
        <v>2378</v>
      </c>
      <c r="AI147" s="59">
        <f t="shared" si="54"/>
        <v>2474</v>
      </c>
      <c r="AJ147" s="59">
        <f t="shared" si="54"/>
        <v>2569</v>
      </c>
      <c r="AK147" s="59">
        <f t="shared" si="54"/>
        <v>2664</v>
      </c>
      <c r="AL147" s="59">
        <f t="shared" si="54"/>
        <v>2759</v>
      </c>
      <c r="AM147" s="59">
        <f t="shared" si="54"/>
        <v>2854</v>
      </c>
    </row>
    <row r="148" spans="1:39" s="59" customFormat="1" hidden="1" outlineLevel="1" x14ac:dyDescent="0.25">
      <c r="A148" s="59">
        <f>'Pokemon Data'!A147</f>
        <v>146</v>
      </c>
      <c r="B148" s="59" t="str">
        <f>'Pokemon Data'!B147</f>
        <v>Moltres</v>
      </c>
      <c r="C148" s="59">
        <f>'Pokemon Data'!E147</f>
        <v>74</v>
      </c>
      <c r="D148" s="59">
        <f>'Pokemon Data'!I147</f>
        <v>180</v>
      </c>
      <c r="E148" s="59">
        <f>'Pokemon Data'!J147</f>
        <v>251</v>
      </c>
      <c r="F148" s="59">
        <f>'Pokemon Data'!K147</f>
        <v>184</v>
      </c>
      <c r="G148" s="59">
        <f t="shared" si="46"/>
        <v>195</v>
      </c>
      <c r="H148" s="59">
        <f t="shared" si="47"/>
        <v>266</v>
      </c>
      <c r="I148" s="59">
        <f t="shared" si="48"/>
        <v>199</v>
      </c>
      <c r="J148" s="59">
        <f t="shared" si="52"/>
        <v>46</v>
      </c>
      <c r="K148" s="59">
        <f t="shared" si="52"/>
        <v>145</v>
      </c>
      <c r="L148" s="59">
        <f t="shared" si="52"/>
        <v>243</v>
      </c>
      <c r="M148" s="59">
        <f t="shared" si="52"/>
        <v>342</v>
      </c>
      <c r="N148" s="59">
        <f t="shared" si="52"/>
        <v>441</v>
      </c>
      <c r="O148" s="59">
        <f t="shared" si="52"/>
        <v>540</v>
      </c>
      <c r="P148" s="59">
        <f t="shared" si="52"/>
        <v>639</v>
      </c>
      <c r="Q148" s="59">
        <f t="shared" si="52"/>
        <v>737</v>
      </c>
      <c r="R148" s="59">
        <f t="shared" si="52"/>
        <v>836</v>
      </c>
      <c r="S148" s="59">
        <f t="shared" si="52"/>
        <v>935</v>
      </c>
      <c r="T148" s="59">
        <f t="shared" si="53"/>
        <v>1028</v>
      </c>
      <c r="U148" s="59">
        <f t="shared" si="53"/>
        <v>1122</v>
      </c>
      <c r="V148" s="59">
        <f t="shared" si="53"/>
        <v>1215</v>
      </c>
      <c r="W148" s="59">
        <f t="shared" si="53"/>
        <v>1309</v>
      </c>
      <c r="X148" s="59">
        <f t="shared" si="53"/>
        <v>1402</v>
      </c>
      <c r="Y148" s="59">
        <f t="shared" si="53"/>
        <v>1496</v>
      </c>
      <c r="Z148" s="59">
        <f t="shared" si="53"/>
        <v>1589</v>
      </c>
      <c r="AA148" s="59">
        <f t="shared" si="53"/>
        <v>1683</v>
      </c>
      <c r="AB148" s="59">
        <f t="shared" si="53"/>
        <v>1776</v>
      </c>
      <c r="AC148" s="59">
        <f t="shared" si="53"/>
        <v>1870</v>
      </c>
      <c r="AD148" s="59">
        <f t="shared" si="54"/>
        <v>1963</v>
      </c>
      <c r="AE148" s="59">
        <f t="shared" si="54"/>
        <v>2057</v>
      </c>
      <c r="AF148" s="59">
        <f t="shared" si="54"/>
        <v>2150</v>
      </c>
      <c r="AG148" s="59">
        <f t="shared" si="54"/>
        <v>2244</v>
      </c>
      <c r="AH148" s="59">
        <f t="shared" si="54"/>
        <v>2337</v>
      </c>
      <c r="AI148" s="59">
        <f t="shared" si="54"/>
        <v>2431</v>
      </c>
      <c r="AJ148" s="59">
        <f t="shared" si="54"/>
        <v>2524</v>
      </c>
      <c r="AK148" s="59">
        <f t="shared" si="54"/>
        <v>2618</v>
      </c>
      <c r="AL148" s="59">
        <f t="shared" si="54"/>
        <v>2711</v>
      </c>
      <c r="AM148" s="59">
        <f t="shared" si="54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75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46"/>
        <v>97</v>
      </c>
      <c r="H149" s="61">
        <f t="shared" si="47"/>
        <v>134</v>
      </c>
      <c r="I149" s="61">
        <f t="shared" si="48"/>
        <v>109</v>
      </c>
      <c r="J149" s="48">
        <f t="shared" si="52"/>
        <v>12</v>
      </c>
      <c r="K149" s="48">
        <f t="shared" si="52"/>
        <v>38</v>
      </c>
      <c r="L149" s="48">
        <f t="shared" si="52"/>
        <v>64</v>
      </c>
      <c r="M149" s="48">
        <f t="shared" si="52"/>
        <v>90</v>
      </c>
      <c r="N149" s="48">
        <f t="shared" si="52"/>
        <v>116</v>
      </c>
      <c r="O149" s="48">
        <f t="shared" si="52"/>
        <v>142</v>
      </c>
      <c r="P149" s="48">
        <f t="shared" si="52"/>
        <v>168</v>
      </c>
      <c r="Q149" s="48">
        <f t="shared" si="52"/>
        <v>194</v>
      </c>
      <c r="R149" s="48">
        <f t="shared" si="52"/>
        <v>219</v>
      </c>
      <c r="S149" s="48">
        <f t="shared" si="52"/>
        <v>245</v>
      </c>
      <c r="T149" s="48">
        <f t="shared" si="53"/>
        <v>270</v>
      </c>
      <c r="U149" s="48">
        <f t="shared" si="53"/>
        <v>295</v>
      </c>
      <c r="V149" s="48">
        <f t="shared" si="53"/>
        <v>319</v>
      </c>
      <c r="W149" s="48">
        <f t="shared" si="53"/>
        <v>344</v>
      </c>
      <c r="X149" s="48">
        <f t="shared" si="53"/>
        <v>368</v>
      </c>
      <c r="Y149" s="48">
        <f t="shared" si="53"/>
        <v>393</v>
      </c>
      <c r="Z149" s="48">
        <f t="shared" si="53"/>
        <v>418</v>
      </c>
      <c r="AA149" s="48">
        <f t="shared" si="53"/>
        <v>442</v>
      </c>
      <c r="AB149" s="48">
        <f t="shared" si="53"/>
        <v>467</v>
      </c>
      <c r="AC149" s="48">
        <f t="shared" si="53"/>
        <v>491</v>
      </c>
      <c r="AD149" s="48">
        <f t="shared" si="54"/>
        <v>516</v>
      </c>
      <c r="AE149" s="48">
        <f t="shared" si="54"/>
        <v>540</v>
      </c>
      <c r="AF149" s="48">
        <f t="shared" si="54"/>
        <v>565</v>
      </c>
      <c r="AG149" s="48">
        <f t="shared" si="54"/>
        <v>590</v>
      </c>
      <c r="AH149" s="48">
        <f t="shared" si="54"/>
        <v>614</v>
      </c>
      <c r="AI149" s="48">
        <f t="shared" si="54"/>
        <v>639</v>
      </c>
      <c r="AJ149" s="48">
        <f t="shared" si="54"/>
        <v>663</v>
      </c>
      <c r="AK149" s="48">
        <f t="shared" si="54"/>
        <v>688</v>
      </c>
      <c r="AL149" s="48">
        <f t="shared" si="54"/>
        <v>713</v>
      </c>
      <c r="AM149" s="48">
        <f t="shared" si="54"/>
        <v>737</v>
      </c>
    </row>
    <row r="150" spans="1:39" x14ac:dyDescent="0.25">
      <c r="A150" s="53">
        <f>'Pokemon Data'!A149</f>
        <v>148</v>
      </c>
      <c r="B150" s="53" t="str">
        <f>'Pokemon Data'!B149</f>
        <v>Dragonair</v>
      </c>
      <c r="C150" s="61">
        <f>'Pokemon Data'!E149</f>
        <v>75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46"/>
        <v>137</v>
      </c>
      <c r="H150" s="61">
        <f t="shared" si="47"/>
        <v>178</v>
      </c>
      <c r="I150" s="61">
        <f t="shared" si="48"/>
        <v>153</v>
      </c>
      <c r="J150" s="53">
        <f t="shared" si="52"/>
        <v>22</v>
      </c>
      <c r="K150" s="48">
        <f t="shared" si="52"/>
        <v>71</v>
      </c>
      <c r="L150" s="48">
        <f t="shared" si="52"/>
        <v>119</v>
      </c>
      <c r="M150" s="48">
        <f t="shared" si="52"/>
        <v>168</v>
      </c>
      <c r="N150" s="53">
        <f t="shared" si="52"/>
        <v>217</v>
      </c>
      <c r="O150" s="48">
        <f t="shared" si="52"/>
        <v>265</v>
      </c>
      <c r="P150" s="48">
        <f t="shared" si="52"/>
        <v>314</v>
      </c>
      <c r="Q150" s="48">
        <f t="shared" si="52"/>
        <v>362</v>
      </c>
      <c r="R150" s="48">
        <f t="shared" si="52"/>
        <v>411</v>
      </c>
      <c r="S150" s="53">
        <f t="shared" si="52"/>
        <v>460</v>
      </c>
      <c r="T150" s="48">
        <f t="shared" si="53"/>
        <v>505</v>
      </c>
      <c r="U150" s="48">
        <f t="shared" si="53"/>
        <v>551</v>
      </c>
      <c r="V150" s="48">
        <f t="shared" si="53"/>
        <v>597</v>
      </c>
      <c r="W150" s="48">
        <f t="shared" si="53"/>
        <v>643</v>
      </c>
      <c r="X150" s="53">
        <f t="shared" si="53"/>
        <v>689</v>
      </c>
      <c r="Y150" s="48">
        <f t="shared" si="53"/>
        <v>735</v>
      </c>
      <c r="Z150" s="48">
        <f t="shared" si="53"/>
        <v>781</v>
      </c>
      <c r="AA150" s="48">
        <f t="shared" si="53"/>
        <v>827</v>
      </c>
      <c r="AB150" s="48">
        <f t="shared" si="53"/>
        <v>873</v>
      </c>
      <c r="AC150" s="53">
        <f t="shared" si="53"/>
        <v>919</v>
      </c>
      <c r="AD150" s="48">
        <f t="shared" si="54"/>
        <v>965</v>
      </c>
      <c r="AE150" s="48">
        <f t="shared" si="54"/>
        <v>1011</v>
      </c>
      <c r="AF150" s="48">
        <f t="shared" si="54"/>
        <v>1057</v>
      </c>
      <c r="AG150" s="48">
        <f t="shared" si="54"/>
        <v>1103</v>
      </c>
      <c r="AH150" s="53">
        <f t="shared" si="54"/>
        <v>1149</v>
      </c>
      <c r="AI150" s="48">
        <f t="shared" si="54"/>
        <v>1195</v>
      </c>
      <c r="AJ150" s="48">
        <f t="shared" si="54"/>
        <v>1241</v>
      </c>
      <c r="AK150" s="48">
        <f t="shared" si="54"/>
        <v>1287</v>
      </c>
      <c r="AL150" s="48">
        <f t="shared" si="54"/>
        <v>1333</v>
      </c>
      <c r="AM150" s="53">
        <f t="shared" si="54"/>
        <v>1379</v>
      </c>
    </row>
    <row r="151" spans="1:39" x14ac:dyDescent="0.25">
      <c r="A151" s="53">
        <f>'Pokemon Data'!A150</f>
        <v>149</v>
      </c>
      <c r="B151" s="53" t="str">
        <f>'Pokemon Data'!B150</f>
        <v>Dragonite</v>
      </c>
      <c r="C151" s="61">
        <f>'Pokemon Data'!E150</f>
        <v>75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46"/>
        <v>197</v>
      </c>
      <c r="H151" s="61">
        <f t="shared" si="47"/>
        <v>278</v>
      </c>
      <c r="I151" s="61">
        <f t="shared" si="48"/>
        <v>216</v>
      </c>
      <c r="J151" s="53">
        <f t="shared" si="52"/>
        <v>50</v>
      </c>
      <c r="K151" s="48">
        <f t="shared" si="52"/>
        <v>158</v>
      </c>
      <c r="L151" s="48">
        <f t="shared" si="52"/>
        <v>266</v>
      </c>
      <c r="M151" s="48">
        <f t="shared" si="52"/>
        <v>375</v>
      </c>
      <c r="N151" s="53">
        <f t="shared" si="52"/>
        <v>483</v>
      </c>
      <c r="O151" s="48">
        <f t="shared" si="52"/>
        <v>591</v>
      </c>
      <c r="P151" s="48">
        <f t="shared" si="52"/>
        <v>699</v>
      </c>
      <c r="Q151" s="48">
        <f t="shared" si="52"/>
        <v>807</v>
      </c>
      <c r="R151" s="48">
        <f t="shared" si="52"/>
        <v>915</v>
      </c>
      <c r="S151" s="53">
        <f t="shared" si="52"/>
        <v>1023</v>
      </c>
      <c r="T151" s="48">
        <f t="shared" si="53"/>
        <v>1125</v>
      </c>
      <c r="U151" s="48">
        <f t="shared" si="53"/>
        <v>1228</v>
      </c>
      <c r="V151" s="48">
        <f t="shared" si="53"/>
        <v>1330</v>
      </c>
      <c r="W151" s="48">
        <f t="shared" si="53"/>
        <v>1432</v>
      </c>
      <c r="X151" s="53">
        <f t="shared" si="53"/>
        <v>1535</v>
      </c>
      <c r="Y151" s="48">
        <f t="shared" si="53"/>
        <v>1637</v>
      </c>
      <c r="Z151" s="48">
        <f t="shared" si="53"/>
        <v>1739</v>
      </c>
      <c r="AA151" s="48">
        <f t="shared" si="53"/>
        <v>1842</v>
      </c>
      <c r="AB151" s="48">
        <f t="shared" si="53"/>
        <v>1944</v>
      </c>
      <c r="AC151" s="53">
        <f t="shared" si="53"/>
        <v>2046</v>
      </c>
      <c r="AD151" s="48">
        <f t="shared" si="54"/>
        <v>2148</v>
      </c>
      <c r="AE151" s="48">
        <f t="shared" si="54"/>
        <v>2251</v>
      </c>
      <c r="AF151" s="48">
        <f t="shared" si="54"/>
        <v>2353</v>
      </c>
      <c r="AG151" s="48">
        <f t="shared" si="54"/>
        <v>2456</v>
      </c>
      <c r="AH151" s="53">
        <f t="shared" si="54"/>
        <v>2558</v>
      </c>
      <c r="AI151" s="48">
        <f t="shared" si="54"/>
        <v>2660</v>
      </c>
      <c r="AJ151" s="48">
        <f t="shared" si="54"/>
        <v>2763</v>
      </c>
      <c r="AK151" s="48">
        <f t="shared" si="54"/>
        <v>2865</v>
      </c>
      <c r="AL151" s="48">
        <f t="shared" si="54"/>
        <v>2967</v>
      </c>
      <c r="AM151" s="53">
        <f t="shared" si="54"/>
        <v>3070</v>
      </c>
    </row>
    <row r="152" spans="1:39" s="59" customFormat="1" hidden="1" outlineLevel="1" x14ac:dyDescent="0.25">
      <c r="A152" s="59">
        <f>'Pokemon Data'!A151</f>
        <v>150</v>
      </c>
      <c r="B152" s="59" t="str">
        <f>'Pokemon Data'!B151</f>
        <v>Mewtwo</v>
      </c>
      <c r="C152" s="59">
        <f>'Pokemon Data'!E151</f>
        <v>76</v>
      </c>
      <c r="D152" s="59">
        <f>'Pokemon Data'!I151</f>
        <v>212</v>
      </c>
      <c r="E152" s="59">
        <f>'Pokemon Data'!J151</f>
        <v>330</v>
      </c>
      <c r="F152" s="59">
        <f>'Pokemon Data'!K151</f>
        <v>200</v>
      </c>
      <c r="G152" s="59">
        <f t="shared" si="46"/>
        <v>227</v>
      </c>
      <c r="H152" s="59">
        <f t="shared" si="47"/>
        <v>345</v>
      </c>
      <c r="I152" s="59">
        <f t="shared" si="48"/>
        <v>215</v>
      </c>
      <c r="J152" s="59">
        <f t="shared" si="52"/>
        <v>67</v>
      </c>
      <c r="K152" s="59">
        <f t="shared" si="52"/>
        <v>211</v>
      </c>
      <c r="L152" s="59">
        <f t="shared" si="52"/>
        <v>354</v>
      </c>
      <c r="M152" s="59">
        <f t="shared" si="52"/>
        <v>498</v>
      </c>
      <c r="N152" s="59">
        <f t="shared" si="52"/>
        <v>642</v>
      </c>
      <c r="O152" s="59">
        <f t="shared" si="52"/>
        <v>785</v>
      </c>
      <c r="P152" s="59">
        <f t="shared" si="52"/>
        <v>929</v>
      </c>
      <c r="Q152" s="59">
        <f t="shared" si="52"/>
        <v>1073</v>
      </c>
      <c r="R152" s="59">
        <f t="shared" si="52"/>
        <v>1216</v>
      </c>
      <c r="S152" s="59">
        <f t="shared" si="52"/>
        <v>1360</v>
      </c>
      <c r="T152" s="59">
        <f t="shared" si="53"/>
        <v>1496</v>
      </c>
      <c r="U152" s="59">
        <f t="shared" si="53"/>
        <v>1632</v>
      </c>
      <c r="V152" s="59">
        <f t="shared" si="53"/>
        <v>1768</v>
      </c>
      <c r="W152" s="59">
        <f t="shared" si="53"/>
        <v>1904</v>
      </c>
      <c r="X152" s="59">
        <f t="shared" si="53"/>
        <v>2040</v>
      </c>
      <c r="Y152" s="59">
        <f t="shared" si="53"/>
        <v>2176</v>
      </c>
      <c r="Z152" s="59">
        <f t="shared" si="53"/>
        <v>2312</v>
      </c>
      <c r="AA152" s="59">
        <f t="shared" si="53"/>
        <v>2448</v>
      </c>
      <c r="AB152" s="59">
        <f t="shared" si="53"/>
        <v>2584</v>
      </c>
      <c r="AC152" s="59">
        <f t="shared" si="53"/>
        <v>2720</v>
      </c>
      <c r="AD152" s="59">
        <f t="shared" si="54"/>
        <v>2856</v>
      </c>
      <c r="AE152" s="59">
        <f t="shared" si="54"/>
        <v>2992</v>
      </c>
      <c r="AF152" s="59">
        <f t="shared" si="54"/>
        <v>3128</v>
      </c>
      <c r="AG152" s="59">
        <f t="shared" si="54"/>
        <v>3264</v>
      </c>
      <c r="AH152" s="59">
        <f t="shared" si="54"/>
        <v>3400</v>
      </c>
      <c r="AI152" s="59">
        <f t="shared" si="54"/>
        <v>3536</v>
      </c>
      <c r="AJ152" s="59">
        <f t="shared" si="54"/>
        <v>3672</v>
      </c>
      <c r="AK152" s="59">
        <f t="shared" si="54"/>
        <v>3808</v>
      </c>
      <c r="AL152" s="59">
        <f t="shared" si="54"/>
        <v>3944</v>
      </c>
      <c r="AM152" s="59">
        <f t="shared" si="54"/>
        <v>4080</v>
      </c>
    </row>
    <row r="153" spans="1:39" s="59" customFormat="1" hidden="1" outlineLevel="1" x14ac:dyDescent="0.25">
      <c r="A153" s="59">
        <f>'Pokemon Data'!A152</f>
        <v>151</v>
      </c>
      <c r="B153" s="59" t="str">
        <f>'Pokemon Data'!B152</f>
        <v>Mew</v>
      </c>
      <c r="C153" s="59">
        <f>'Pokemon Data'!E152</f>
        <v>77</v>
      </c>
      <c r="D153" s="59">
        <f>'Pokemon Data'!I152</f>
        <v>200</v>
      </c>
      <c r="E153" s="59">
        <f>'Pokemon Data'!J152</f>
        <v>210</v>
      </c>
      <c r="F153" s="59">
        <f>'Pokemon Data'!K152</f>
        <v>210</v>
      </c>
      <c r="G153" s="59">
        <f t="shared" si="46"/>
        <v>215</v>
      </c>
      <c r="H153" s="59">
        <f t="shared" si="47"/>
        <v>225</v>
      </c>
      <c r="I153" s="59">
        <f t="shared" si="48"/>
        <v>225</v>
      </c>
      <c r="J153" s="59">
        <f t="shared" ref="J153:S162" si="55">MAX(10,INT(SQRT($G153*$I153)*$H153*J$1^2/10))</f>
        <v>43</v>
      </c>
      <c r="K153" s="59">
        <f t="shared" si="55"/>
        <v>137</v>
      </c>
      <c r="L153" s="59">
        <f t="shared" si="55"/>
        <v>230</v>
      </c>
      <c r="M153" s="59">
        <f t="shared" si="55"/>
        <v>323</v>
      </c>
      <c r="N153" s="59">
        <f t="shared" si="55"/>
        <v>416</v>
      </c>
      <c r="O153" s="59">
        <f t="shared" si="55"/>
        <v>510</v>
      </c>
      <c r="P153" s="59">
        <f t="shared" si="55"/>
        <v>603</v>
      </c>
      <c r="Q153" s="59">
        <f t="shared" si="55"/>
        <v>696</v>
      </c>
      <c r="R153" s="59">
        <f t="shared" si="55"/>
        <v>790</v>
      </c>
      <c r="S153" s="59">
        <f t="shared" si="55"/>
        <v>883</v>
      </c>
      <c r="T153" s="59">
        <f t="shared" ref="T153:AC162" si="56">MAX(10,INT(SQRT($G153*$I153)*$H153*T$1^2/10))</f>
        <v>971</v>
      </c>
      <c r="U153" s="59">
        <f t="shared" si="56"/>
        <v>1059</v>
      </c>
      <c r="V153" s="59">
        <f t="shared" si="56"/>
        <v>1148</v>
      </c>
      <c r="W153" s="59">
        <f t="shared" si="56"/>
        <v>1236</v>
      </c>
      <c r="X153" s="59">
        <f t="shared" si="56"/>
        <v>1324</v>
      </c>
      <c r="Y153" s="59">
        <f t="shared" si="56"/>
        <v>1413</v>
      </c>
      <c r="Z153" s="59">
        <f t="shared" si="56"/>
        <v>1501</v>
      </c>
      <c r="AA153" s="59">
        <f t="shared" si="56"/>
        <v>1589</v>
      </c>
      <c r="AB153" s="59">
        <f t="shared" si="56"/>
        <v>1677</v>
      </c>
      <c r="AC153" s="59">
        <f t="shared" si="56"/>
        <v>1766</v>
      </c>
      <c r="AD153" s="59">
        <f t="shared" ref="AD153:AM162" si="57">MAX(10,INT(SQRT($G153*$I153)*$H153*AD$1^2/10))</f>
        <v>1854</v>
      </c>
      <c r="AE153" s="59">
        <f t="shared" si="57"/>
        <v>1942</v>
      </c>
      <c r="AF153" s="59">
        <f t="shared" si="57"/>
        <v>2031</v>
      </c>
      <c r="AG153" s="59">
        <f t="shared" si="57"/>
        <v>2119</v>
      </c>
      <c r="AH153" s="59">
        <f t="shared" si="57"/>
        <v>2207</v>
      </c>
      <c r="AI153" s="59">
        <f t="shared" si="57"/>
        <v>2296</v>
      </c>
      <c r="AJ153" s="59">
        <f t="shared" si="57"/>
        <v>2384</v>
      </c>
      <c r="AK153" s="59">
        <f t="shared" si="57"/>
        <v>2472</v>
      </c>
      <c r="AL153" s="59">
        <f t="shared" si="57"/>
        <v>2561</v>
      </c>
      <c r="AM153" s="59">
        <f t="shared" si="57"/>
        <v>2649</v>
      </c>
    </row>
    <row r="154" spans="1:39" collapsed="1" x14ac:dyDescent="0.25">
      <c r="A154" s="53">
        <f>'Pokemon Data'!A153</f>
        <v>152</v>
      </c>
      <c r="B154" s="53" t="str">
        <f>'Pokemon Data'!B153</f>
        <v>Chikorita</v>
      </c>
      <c r="C154" s="61">
        <f>'Pokemon Data'!E153</f>
        <v>78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46"/>
        <v>105</v>
      </c>
      <c r="H154" s="61">
        <f t="shared" si="47"/>
        <v>107</v>
      </c>
      <c r="I154" s="61">
        <f t="shared" si="48"/>
        <v>137</v>
      </c>
      <c r="J154" s="53">
        <f t="shared" si="55"/>
        <v>11</v>
      </c>
      <c r="K154" s="64">
        <f t="shared" si="55"/>
        <v>35</v>
      </c>
      <c r="L154" s="64">
        <f t="shared" si="55"/>
        <v>59</v>
      </c>
      <c r="M154" s="64">
        <f t="shared" si="55"/>
        <v>83</v>
      </c>
      <c r="N154" s="53">
        <f t="shared" si="55"/>
        <v>108</v>
      </c>
      <c r="O154" s="64">
        <f t="shared" si="55"/>
        <v>132</v>
      </c>
      <c r="P154" s="64">
        <f t="shared" si="55"/>
        <v>156</v>
      </c>
      <c r="Q154" s="64">
        <f t="shared" si="55"/>
        <v>180</v>
      </c>
      <c r="R154" s="64">
        <f t="shared" si="55"/>
        <v>204</v>
      </c>
      <c r="S154" s="53">
        <f t="shared" si="55"/>
        <v>229</v>
      </c>
      <c r="T154" s="64">
        <f t="shared" si="56"/>
        <v>251</v>
      </c>
      <c r="U154" s="64">
        <f t="shared" si="56"/>
        <v>274</v>
      </c>
      <c r="V154" s="64">
        <f t="shared" si="56"/>
        <v>297</v>
      </c>
      <c r="W154" s="64">
        <f t="shared" si="56"/>
        <v>320</v>
      </c>
      <c r="X154" s="53">
        <f t="shared" si="56"/>
        <v>343</v>
      </c>
      <c r="Y154" s="64">
        <f t="shared" si="56"/>
        <v>366</v>
      </c>
      <c r="Z154" s="64">
        <f t="shared" si="56"/>
        <v>389</v>
      </c>
      <c r="AA154" s="64">
        <f t="shared" si="56"/>
        <v>412</v>
      </c>
      <c r="AB154" s="64">
        <f t="shared" si="56"/>
        <v>435</v>
      </c>
      <c r="AC154" s="53">
        <f t="shared" si="56"/>
        <v>458</v>
      </c>
      <c r="AD154" s="64">
        <f t="shared" si="57"/>
        <v>480</v>
      </c>
      <c r="AE154" s="64">
        <f t="shared" si="57"/>
        <v>503</v>
      </c>
      <c r="AF154" s="64">
        <f t="shared" si="57"/>
        <v>526</v>
      </c>
      <c r="AG154" s="64">
        <f t="shared" si="57"/>
        <v>549</v>
      </c>
      <c r="AH154" s="53">
        <f t="shared" si="57"/>
        <v>572</v>
      </c>
      <c r="AI154" s="64">
        <f t="shared" si="57"/>
        <v>595</v>
      </c>
      <c r="AJ154" s="64">
        <f t="shared" si="57"/>
        <v>618</v>
      </c>
      <c r="AK154" s="64">
        <f t="shared" si="57"/>
        <v>641</v>
      </c>
      <c r="AL154" s="64">
        <f t="shared" si="57"/>
        <v>664</v>
      </c>
      <c r="AM154" s="53">
        <f t="shared" si="57"/>
        <v>687</v>
      </c>
    </row>
    <row r="155" spans="1:39" x14ac:dyDescent="0.25">
      <c r="A155" s="53">
        <f>'Pokemon Data'!A154</f>
        <v>153</v>
      </c>
      <c r="B155" s="53" t="str">
        <f>'Pokemon Data'!B154</f>
        <v>Bayleef</v>
      </c>
      <c r="C155" s="61">
        <f>'Pokemon Data'!E154</f>
        <v>78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46"/>
        <v>135</v>
      </c>
      <c r="H155" s="61">
        <f t="shared" si="47"/>
        <v>137</v>
      </c>
      <c r="I155" s="61">
        <f t="shared" si="48"/>
        <v>170</v>
      </c>
      <c r="J155" s="53">
        <f t="shared" si="55"/>
        <v>18</v>
      </c>
      <c r="K155" s="64">
        <f t="shared" si="55"/>
        <v>57</v>
      </c>
      <c r="L155" s="64">
        <f t="shared" si="55"/>
        <v>96</v>
      </c>
      <c r="M155" s="64">
        <f t="shared" si="55"/>
        <v>135</v>
      </c>
      <c r="N155" s="53">
        <f t="shared" si="55"/>
        <v>174</v>
      </c>
      <c r="O155" s="64">
        <f t="shared" si="55"/>
        <v>213</v>
      </c>
      <c r="P155" s="64">
        <f t="shared" si="55"/>
        <v>253</v>
      </c>
      <c r="Q155" s="64">
        <f t="shared" si="55"/>
        <v>292</v>
      </c>
      <c r="R155" s="64">
        <f t="shared" si="55"/>
        <v>331</v>
      </c>
      <c r="S155" s="53">
        <f t="shared" si="55"/>
        <v>370</v>
      </c>
      <c r="T155" s="64">
        <f t="shared" si="56"/>
        <v>407</v>
      </c>
      <c r="U155" s="64">
        <f t="shared" si="56"/>
        <v>444</v>
      </c>
      <c r="V155" s="64">
        <f t="shared" si="56"/>
        <v>481</v>
      </c>
      <c r="W155" s="64">
        <f t="shared" si="56"/>
        <v>518</v>
      </c>
      <c r="X155" s="53">
        <f t="shared" si="56"/>
        <v>555</v>
      </c>
      <c r="Y155" s="64">
        <f t="shared" si="56"/>
        <v>592</v>
      </c>
      <c r="Z155" s="64">
        <f t="shared" si="56"/>
        <v>629</v>
      </c>
      <c r="AA155" s="64">
        <f t="shared" si="56"/>
        <v>666</v>
      </c>
      <c r="AB155" s="64">
        <f t="shared" si="56"/>
        <v>703</v>
      </c>
      <c r="AC155" s="53">
        <f t="shared" si="56"/>
        <v>740</v>
      </c>
      <c r="AD155" s="64">
        <f t="shared" si="57"/>
        <v>777</v>
      </c>
      <c r="AE155" s="64">
        <f t="shared" si="57"/>
        <v>814</v>
      </c>
      <c r="AF155" s="64">
        <f t="shared" si="57"/>
        <v>851</v>
      </c>
      <c r="AG155" s="64">
        <f t="shared" si="57"/>
        <v>888</v>
      </c>
      <c r="AH155" s="53">
        <f t="shared" si="57"/>
        <v>925</v>
      </c>
      <c r="AI155" s="64">
        <f t="shared" si="57"/>
        <v>962</v>
      </c>
      <c r="AJ155" s="64">
        <f t="shared" si="57"/>
        <v>1000</v>
      </c>
      <c r="AK155" s="64">
        <f t="shared" si="57"/>
        <v>1037</v>
      </c>
      <c r="AL155" s="64">
        <f t="shared" si="57"/>
        <v>1074</v>
      </c>
      <c r="AM155" s="53">
        <f t="shared" si="57"/>
        <v>1111</v>
      </c>
    </row>
    <row r="156" spans="1:39" x14ac:dyDescent="0.25">
      <c r="A156" s="53">
        <f>'Pokemon Data'!A155</f>
        <v>154</v>
      </c>
      <c r="B156" s="53" t="str">
        <f>'Pokemon Data'!B155</f>
        <v>Meganium</v>
      </c>
      <c r="C156" s="61">
        <f>'Pokemon Data'!E155</f>
        <v>78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46"/>
        <v>175</v>
      </c>
      <c r="H156" s="61">
        <f t="shared" si="47"/>
        <v>183</v>
      </c>
      <c r="I156" s="61">
        <f t="shared" si="48"/>
        <v>217</v>
      </c>
      <c r="J156" s="53">
        <f t="shared" si="55"/>
        <v>31</v>
      </c>
      <c r="K156" s="64">
        <f t="shared" si="55"/>
        <v>98</v>
      </c>
      <c r="L156" s="64">
        <f t="shared" si="55"/>
        <v>165</v>
      </c>
      <c r="M156" s="64">
        <f t="shared" si="55"/>
        <v>233</v>
      </c>
      <c r="N156" s="53">
        <f t="shared" si="55"/>
        <v>300</v>
      </c>
      <c r="O156" s="64">
        <f t="shared" si="55"/>
        <v>367</v>
      </c>
      <c r="P156" s="64">
        <f t="shared" si="55"/>
        <v>434</v>
      </c>
      <c r="Q156" s="64">
        <f t="shared" si="55"/>
        <v>502</v>
      </c>
      <c r="R156" s="64">
        <f t="shared" si="55"/>
        <v>569</v>
      </c>
      <c r="S156" s="53">
        <f t="shared" si="55"/>
        <v>636</v>
      </c>
      <c r="T156" s="64">
        <f t="shared" si="56"/>
        <v>700</v>
      </c>
      <c r="U156" s="64">
        <f t="shared" si="56"/>
        <v>763</v>
      </c>
      <c r="V156" s="64">
        <f t="shared" si="56"/>
        <v>827</v>
      </c>
      <c r="W156" s="64">
        <f t="shared" si="56"/>
        <v>891</v>
      </c>
      <c r="X156" s="53">
        <f t="shared" si="56"/>
        <v>954</v>
      </c>
      <c r="Y156" s="64">
        <f t="shared" si="56"/>
        <v>1018</v>
      </c>
      <c r="Z156" s="64">
        <f t="shared" si="56"/>
        <v>1081</v>
      </c>
      <c r="AA156" s="64">
        <f t="shared" si="56"/>
        <v>1145</v>
      </c>
      <c r="AB156" s="64">
        <f t="shared" si="56"/>
        <v>1209</v>
      </c>
      <c r="AC156" s="53">
        <f t="shared" si="56"/>
        <v>1272</v>
      </c>
      <c r="AD156" s="64">
        <f t="shared" si="57"/>
        <v>1336</v>
      </c>
      <c r="AE156" s="64">
        <f t="shared" si="57"/>
        <v>1400</v>
      </c>
      <c r="AF156" s="64">
        <f t="shared" si="57"/>
        <v>1463</v>
      </c>
      <c r="AG156" s="64">
        <f t="shared" si="57"/>
        <v>1527</v>
      </c>
      <c r="AH156" s="53">
        <f t="shared" si="57"/>
        <v>1590</v>
      </c>
      <c r="AI156" s="64">
        <f t="shared" si="57"/>
        <v>1654</v>
      </c>
      <c r="AJ156" s="64">
        <f t="shared" si="57"/>
        <v>1718</v>
      </c>
      <c r="AK156" s="64">
        <f t="shared" si="57"/>
        <v>1781</v>
      </c>
      <c r="AL156" s="64">
        <f t="shared" si="57"/>
        <v>1845</v>
      </c>
      <c r="AM156" s="53">
        <f t="shared" si="57"/>
        <v>1909</v>
      </c>
    </row>
    <row r="157" spans="1:39" x14ac:dyDescent="0.25">
      <c r="A157" s="53">
        <f>'Pokemon Data'!A156</f>
        <v>155</v>
      </c>
      <c r="B157" s="53" t="str">
        <f>'Pokemon Data'!B156</f>
        <v>Cyndaquil</v>
      </c>
      <c r="C157" s="61">
        <f>'Pokemon Data'!E156</f>
        <v>79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46"/>
        <v>93</v>
      </c>
      <c r="H157" s="61">
        <f t="shared" si="47"/>
        <v>131</v>
      </c>
      <c r="I157" s="61">
        <f t="shared" si="48"/>
        <v>111</v>
      </c>
      <c r="J157" s="53">
        <f t="shared" si="55"/>
        <v>11</v>
      </c>
      <c r="K157" s="64">
        <f t="shared" si="55"/>
        <v>36</v>
      </c>
      <c r="L157" s="64">
        <f t="shared" si="55"/>
        <v>61</v>
      </c>
      <c r="M157" s="64">
        <f t="shared" si="55"/>
        <v>87</v>
      </c>
      <c r="N157" s="53">
        <f t="shared" si="55"/>
        <v>112</v>
      </c>
      <c r="O157" s="64">
        <f t="shared" si="55"/>
        <v>137</v>
      </c>
      <c r="P157" s="64">
        <f t="shared" si="55"/>
        <v>162</v>
      </c>
      <c r="Q157" s="64">
        <f t="shared" si="55"/>
        <v>187</v>
      </c>
      <c r="R157" s="64">
        <f t="shared" si="55"/>
        <v>212</v>
      </c>
      <c r="S157" s="53">
        <f t="shared" si="55"/>
        <v>237</v>
      </c>
      <c r="T157" s="64">
        <f t="shared" si="56"/>
        <v>261</v>
      </c>
      <c r="U157" s="64">
        <f t="shared" si="56"/>
        <v>285</v>
      </c>
      <c r="V157" s="64">
        <f t="shared" si="56"/>
        <v>308</v>
      </c>
      <c r="W157" s="64">
        <f t="shared" si="56"/>
        <v>332</v>
      </c>
      <c r="X157" s="53">
        <f t="shared" si="56"/>
        <v>356</v>
      </c>
      <c r="Y157" s="64">
        <f t="shared" si="56"/>
        <v>380</v>
      </c>
      <c r="Z157" s="64">
        <f t="shared" si="56"/>
        <v>403</v>
      </c>
      <c r="AA157" s="64">
        <f t="shared" si="56"/>
        <v>427</v>
      </c>
      <c r="AB157" s="64">
        <f t="shared" si="56"/>
        <v>451</v>
      </c>
      <c r="AC157" s="53">
        <f t="shared" si="56"/>
        <v>475</v>
      </c>
      <c r="AD157" s="64">
        <f t="shared" si="57"/>
        <v>498</v>
      </c>
      <c r="AE157" s="64">
        <f t="shared" si="57"/>
        <v>522</v>
      </c>
      <c r="AF157" s="64">
        <f t="shared" si="57"/>
        <v>546</v>
      </c>
      <c r="AG157" s="64">
        <f t="shared" si="57"/>
        <v>570</v>
      </c>
      <c r="AH157" s="53">
        <f t="shared" si="57"/>
        <v>593</v>
      </c>
      <c r="AI157" s="64">
        <f t="shared" si="57"/>
        <v>617</v>
      </c>
      <c r="AJ157" s="64">
        <f t="shared" si="57"/>
        <v>641</v>
      </c>
      <c r="AK157" s="64">
        <f t="shared" si="57"/>
        <v>665</v>
      </c>
      <c r="AL157" s="64">
        <f t="shared" si="57"/>
        <v>688</v>
      </c>
      <c r="AM157" s="53">
        <f t="shared" si="57"/>
        <v>712</v>
      </c>
    </row>
    <row r="158" spans="1:39" x14ac:dyDescent="0.25">
      <c r="A158" s="53">
        <f>'Pokemon Data'!A157</f>
        <v>156</v>
      </c>
      <c r="B158" s="53" t="str">
        <f>'Pokemon Data'!B157</f>
        <v>Quilava</v>
      </c>
      <c r="C158" s="61">
        <f>'Pokemon Data'!E157</f>
        <v>79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46"/>
        <v>131</v>
      </c>
      <c r="H158" s="61">
        <f t="shared" si="47"/>
        <v>173</v>
      </c>
      <c r="I158" s="61">
        <f t="shared" si="48"/>
        <v>144</v>
      </c>
      <c r="J158" s="53">
        <f t="shared" si="55"/>
        <v>20</v>
      </c>
      <c r="K158" s="64">
        <f t="shared" si="55"/>
        <v>65</v>
      </c>
      <c r="L158" s="64">
        <f t="shared" si="55"/>
        <v>110</v>
      </c>
      <c r="M158" s="64">
        <f t="shared" si="55"/>
        <v>155</v>
      </c>
      <c r="N158" s="53">
        <f t="shared" si="55"/>
        <v>200</v>
      </c>
      <c r="O158" s="64">
        <f t="shared" si="55"/>
        <v>244</v>
      </c>
      <c r="P158" s="64">
        <f t="shared" si="55"/>
        <v>289</v>
      </c>
      <c r="Q158" s="64">
        <f t="shared" si="55"/>
        <v>334</v>
      </c>
      <c r="R158" s="64">
        <f t="shared" si="55"/>
        <v>379</v>
      </c>
      <c r="S158" s="53">
        <f t="shared" si="55"/>
        <v>424</v>
      </c>
      <c r="T158" s="64">
        <f t="shared" si="56"/>
        <v>466</v>
      </c>
      <c r="U158" s="64">
        <f t="shared" si="56"/>
        <v>508</v>
      </c>
      <c r="V158" s="64">
        <f t="shared" si="56"/>
        <v>551</v>
      </c>
      <c r="W158" s="64">
        <f t="shared" si="56"/>
        <v>593</v>
      </c>
      <c r="X158" s="53">
        <f t="shared" si="56"/>
        <v>636</v>
      </c>
      <c r="Y158" s="64">
        <f t="shared" si="56"/>
        <v>678</v>
      </c>
      <c r="Z158" s="64">
        <f t="shared" si="56"/>
        <v>720</v>
      </c>
      <c r="AA158" s="64">
        <f t="shared" si="56"/>
        <v>763</v>
      </c>
      <c r="AB158" s="64">
        <f t="shared" si="56"/>
        <v>805</v>
      </c>
      <c r="AC158" s="53">
        <f t="shared" si="56"/>
        <v>847</v>
      </c>
      <c r="AD158" s="64">
        <f t="shared" si="57"/>
        <v>890</v>
      </c>
      <c r="AE158" s="64">
        <f t="shared" si="57"/>
        <v>932</v>
      </c>
      <c r="AF158" s="64">
        <f t="shared" si="57"/>
        <v>975</v>
      </c>
      <c r="AG158" s="64">
        <f t="shared" si="57"/>
        <v>1017</v>
      </c>
      <c r="AH158" s="53">
        <f t="shared" si="57"/>
        <v>1060</v>
      </c>
      <c r="AI158" s="64">
        <f t="shared" si="57"/>
        <v>1102</v>
      </c>
      <c r="AJ158" s="64">
        <f t="shared" si="57"/>
        <v>1144</v>
      </c>
      <c r="AK158" s="64">
        <f t="shared" si="57"/>
        <v>1187</v>
      </c>
      <c r="AL158" s="64">
        <f t="shared" si="57"/>
        <v>1229</v>
      </c>
      <c r="AM158" s="53">
        <f t="shared" si="57"/>
        <v>1272</v>
      </c>
    </row>
    <row r="159" spans="1:39" x14ac:dyDescent="0.25">
      <c r="A159" s="53">
        <f>'Pokemon Data'!A158</f>
        <v>157</v>
      </c>
      <c r="B159" s="53" t="str">
        <f>'Pokemon Data'!B158</f>
        <v>Typhlosion</v>
      </c>
      <c r="C159" s="61">
        <f>'Pokemon Data'!E158</f>
        <v>79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46"/>
        <v>171</v>
      </c>
      <c r="H159" s="61">
        <f t="shared" si="47"/>
        <v>238</v>
      </c>
      <c r="I159" s="61">
        <f t="shared" si="48"/>
        <v>191</v>
      </c>
      <c r="J159" s="53">
        <f t="shared" si="55"/>
        <v>38</v>
      </c>
      <c r="K159" s="64">
        <f t="shared" si="55"/>
        <v>119</v>
      </c>
      <c r="L159" s="64">
        <f t="shared" si="55"/>
        <v>200</v>
      </c>
      <c r="M159" s="64">
        <f t="shared" si="55"/>
        <v>281</v>
      </c>
      <c r="N159" s="53">
        <f t="shared" si="55"/>
        <v>362</v>
      </c>
      <c r="O159" s="64">
        <f t="shared" si="55"/>
        <v>443</v>
      </c>
      <c r="P159" s="64">
        <f t="shared" si="55"/>
        <v>524</v>
      </c>
      <c r="Q159" s="64">
        <f t="shared" si="55"/>
        <v>605</v>
      </c>
      <c r="R159" s="64">
        <f t="shared" si="55"/>
        <v>686</v>
      </c>
      <c r="S159" s="53">
        <f t="shared" si="55"/>
        <v>767</v>
      </c>
      <c r="T159" s="64">
        <f t="shared" si="56"/>
        <v>844</v>
      </c>
      <c r="U159" s="64">
        <f t="shared" si="56"/>
        <v>921</v>
      </c>
      <c r="V159" s="64">
        <f t="shared" si="56"/>
        <v>997</v>
      </c>
      <c r="W159" s="64">
        <f t="shared" si="56"/>
        <v>1074</v>
      </c>
      <c r="X159" s="53">
        <f t="shared" si="56"/>
        <v>1151</v>
      </c>
      <c r="Y159" s="64">
        <f t="shared" si="56"/>
        <v>1228</v>
      </c>
      <c r="Z159" s="64">
        <f t="shared" si="56"/>
        <v>1304</v>
      </c>
      <c r="AA159" s="64">
        <f t="shared" si="56"/>
        <v>1381</v>
      </c>
      <c r="AB159" s="64">
        <f t="shared" si="56"/>
        <v>1458</v>
      </c>
      <c r="AC159" s="53">
        <f t="shared" si="56"/>
        <v>1535</v>
      </c>
      <c r="AD159" s="64">
        <f t="shared" si="57"/>
        <v>1611</v>
      </c>
      <c r="AE159" s="64">
        <f t="shared" si="57"/>
        <v>1688</v>
      </c>
      <c r="AF159" s="64">
        <f t="shared" si="57"/>
        <v>1765</v>
      </c>
      <c r="AG159" s="64">
        <f t="shared" si="57"/>
        <v>1842</v>
      </c>
      <c r="AH159" s="53">
        <f t="shared" si="57"/>
        <v>1918</v>
      </c>
      <c r="AI159" s="64">
        <f t="shared" si="57"/>
        <v>1995</v>
      </c>
      <c r="AJ159" s="64">
        <f t="shared" si="57"/>
        <v>2072</v>
      </c>
      <c r="AK159" s="64">
        <f t="shared" si="57"/>
        <v>2149</v>
      </c>
      <c r="AL159" s="64">
        <f t="shared" si="57"/>
        <v>2226</v>
      </c>
      <c r="AM159" s="53">
        <f t="shared" si="57"/>
        <v>2302</v>
      </c>
    </row>
    <row r="160" spans="1:39" x14ac:dyDescent="0.25">
      <c r="A160" s="53">
        <f>'Pokemon Data'!A159</f>
        <v>158</v>
      </c>
      <c r="B160" s="53" t="str">
        <f>'Pokemon Data'!B159</f>
        <v>Totodile</v>
      </c>
      <c r="C160" s="61">
        <f>'Pokemon Data'!E159</f>
        <v>80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46"/>
        <v>115</v>
      </c>
      <c r="H160" s="61">
        <f t="shared" si="47"/>
        <v>132</v>
      </c>
      <c r="I160" s="61">
        <f t="shared" si="48"/>
        <v>131</v>
      </c>
      <c r="J160" s="53">
        <f t="shared" si="55"/>
        <v>14</v>
      </c>
      <c r="K160" s="64">
        <f t="shared" si="55"/>
        <v>44</v>
      </c>
      <c r="L160" s="64">
        <f t="shared" si="55"/>
        <v>75</v>
      </c>
      <c r="M160" s="64">
        <f t="shared" si="55"/>
        <v>105</v>
      </c>
      <c r="N160" s="53">
        <f t="shared" si="55"/>
        <v>136</v>
      </c>
      <c r="O160" s="64">
        <f t="shared" si="55"/>
        <v>167</v>
      </c>
      <c r="P160" s="64">
        <f t="shared" si="55"/>
        <v>197</v>
      </c>
      <c r="Q160" s="64">
        <f t="shared" si="55"/>
        <v>228</v>
      </c>
      <c r="R160" s="64">
        <f t="shared" si="55"/>
        <v>258</v>
      </c>
      <c r="S160" s="53">
        <f t="shared" si="55"/>
        <v>289</v>
      </c>
      <c r="T160" s="64">
        <f t="shared" si="56"/>
        <v>318</v>
      </c>
      <c r="U160" s="64">
        <f t="shared" si="56"/>
        <v>347</v>
      </c>
      <c r="V160" s="64">
        <f t="shared" si="56"/>
        <v>375</v>
      </c>
      <c r="W160" s="64">
        <f t="shared" si="56"/>
        <v>404</v>
      </c>
      <c r="X160" s="53">
        <f t="shared" si="56"/>
        <v>433</v>
      </c>
      <c r="Y160" s="64">
        <f t="shared" si="56"/>
        <v>462</v>
      </c>
      <c r="Z160" s="64">
        <f t="shared" si="56"/>
        <v>491</v>
      </c>
      <c r="AA160" s="64">
        <f t="shared" si="56"/>
        <v>520</v>
      </c>
      <c r="AB160" s="64">
        <f t="shared" si="56"/>
        <v>549</v>
      </c>
      <c r="AC160" s="53">
        <f t="shared" si="56"/>
        <v>578</v>
      </c>
      <c r="AD160" s="64">
        <f t="shared" si="57"/>
        <v>607</v>
      </c>
      <c r="AE160" s="64">
        <f t="shared" si="57"/>
        <v>636</v>
      </c>
      <c r="AF160" s="64">
        <f t="shared" si="57"/>
        <v>664</v>
      </c>
      <c r="AG160" s="64">
        <f t="shared" si="57"/>
        <v>693</v>
      </c>
      <c r="AH160" s="53">
        <f t="shared" si="57"/>
        <v>722</v>
      </c>
      <c r="AI160" s="64">
        <f t="shared" si="57"/>
        <v>751</v>
      </c>
      <c r="AJ160" s="64">
        <f t="shared" si="57"/>
        <v>780</v>
      </c>
      <c r="AK160" s="64">
        <f t="shared" si="57"/>
        <v>809</v>
      </c>
      <c r="AL160" s="64">
        <f t="shared" si="57"/>
        <v>838</v>
      </c>
      <c r="AM160" s="53">
        <f t="shared" si="57"/>
        <v>867</v>
      </c>
    </row>
    <row r="161" spans="1:39" x14ac:dyDescent="0.25">
      <c r="A161" s="53">
        <f>'Pokemon Data'!A160</f>
        <v>159</v>
      </c>
      <c r="B161" s="53" t="str">
        <f>'Pokemon Data'!B160</f>
        <v>Croconaw</v>
      </c>
      <c r="C161" s="61">
        <f>'Pokemon Data'!E160</f>
        <v>80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46"/>
        <v>145</v>
      </c>
      <c r="H161" s="61">
        <f t="shared" si="47"/>
        <v>165</v>
      </c>
      <c r="I161" s="61">
        <f t="shared" si="48"/>
        <v>166</v>
      </c>
      <c r="J161" s="53">
        <f t="shared" si="55"/>
        <v>22</v>
      </c>
      <c r="K161" s="64">
        <f t="shared" si="55"/>
        <v>70</v>
      </c>
      <c r="L161" s="64">
        <f t="shared" si="55"/>
        <v>119</v>
      </c>
      <c r="M161" s="64">
        <f t="shared" si="55"/>
        <v>167</v>
      </c>
      <c r="N161" s="53">
        <f t="shared" si="55"/>
        <v>215</v>
      </c>
      <c r="O161" s="64">
        <f t="shared" si="55"/>
        <v>263</v>
      </c>
      <c r="P161" s="64">
        <f t="shared" si="55"/>
        <v>312</v>
      </c>
      <c r="Q161" s="64">
        <f t="shared" si="55"/>
        <v>360</v>
      </c>
      <c r="R161" s="64">
        <f t="shared" si="55"/>
        <v>408</v>
      </c>
      <c r="S161" s="53">
        <f t="shared" si="55"/>
        <v>456</v>
      </c>
      <c r="T161" s="64">
        <f t="shared" si="56"/>
        <v>502</v>
      </c>
      <c r="U161" s="64">
        <f t="shared" si="56"/>
        <v>548</v>
      </c>
      <c r="V161" s="64">
        <f t="shared" si="56"/>
        <v>593</v>
      </c>
      <c r="W161" s="64">
        <f t="shared" si="56"/>
        <v>639</v>
      </c>
      <c r="X161" s="53">
        <f t="shared" si="56"/>
        <v>685</v>
      </c>
      <c r="Y161" s="64">
        <f t="shared" si="56"/>
        <v>730</v>
      </c>
      <c r="Z161" s="64">
        <f t="shared" si="56"/>
        <v>776</v>
      </c>
      <c r="AA161" s="64">
        <f t="shared" si="56"/>
        <v>822</v>
      </c>
      <c r="AB161" s="64">
        <f t="shared" si="56"/>
        <v>867</v>
      </c>
      <c r="AC161" s="53">
        <f t="shared" si="56"/>
        <v>913</v>
      </c>
      <c r="AD161" s="64">
        <f t="shared" si="57"/>
        <v>959</v>
      </c>
      <c r="AE161" s="64">
        <f t="shared" si="57"/>
        <v>1004</v>
      </c>
      <c r="AF161" s="64">
        <f t="shared" si="57"/>
        <v>1050</v>
      </c>
      <c r="AG161" s="64">
        <f t="shared" si="57"/>
        <v>1096</v>
      </c>
      <c r="AH161" s="53">
        <f t="shared" si="57"/>
        <v>1142</v>
      </c>
      <c r="AI161" s="64">
        <f t="shared" si="57"/>
        <v>1187</v>
      </c>
      <c r="AJ161" s="64">
        <f t="shared" si="57"/>
        <v>1233</v>
      </c>
      <c r="AK161" s="64">
        <f t="shared" si="57"/>
        <v>1279</v>
      </c>
      <c r="AL161" s="64">
        <f t="shared" si="57"/>
        <v>1324</v>
      </c>
      <c r="AM161" s="53">
        <f t="shared" si="57"/>
        <v>1370</v>
      </c>
    </row>
    <row r="162" spans="1:39" x14ac:dyDescent="0.25">
      <c r="A162" s="53">
        <f>'Pokemon Data'!A161</f>
        <v>160</v>
      </c>
      <c r="B162" s="53" t="str">
        <f>'Pokemon Data'!B161</f>
        <v>Feraligatr</v>
      </c>
      <c r="C162" s="61">
        <f>'Pokemon Data'!E161</f>
        <v>80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46"/>
        <v>185</v>
      </c>
      <c r="H162" s="61">
        <f t="shared" si="47"/>
        <v>220</v>
      </c>
      <c r="I162" s="61">
        <f t="shared" si="48"/>
        <v>212</v>
      </c>
      <c r="J162" s="53">
        <f t="shared" si="55"/>
        <v>38</v>
      </c>
      <c r="K162" s="64">
        <f t="shared" si="55"/>
        <v>120</v>
      </c>
      <c r="L162" s="64">
        <f t="shared" si="55"/>
        <v>202</v>
      </c>
      <c r="M162" s="64">
        <f t="shared" si="55"/>
        <v>284</v>
      </c>
      <c r="N162" s="53">
        <f t="shared" si="55"/>
        <v>367</v>
      </c>
      <c r="O162" s="64">
        <f t="shared" si="55"/>
        <v>449</v>
      </c>
      <c r="P162" s="64">
        <f t="shared" si="55"/>
        <v>531</v>
      </c>
      <c r="Q162" s="64">
        <f t="shared" si="55"/>
        <v>613</v>
      </c>
      <c r="R162" s="64">
        <f t="shared" si="55"/>
        <v>695</v>
      </c>
      <c r="S162" s="53">
        <f t="shared" si="55"/>
        <v>777</v>
      </c>
      <c r="T162" s="64">
        <f t="shared" si="56"/>
        <v>855</v>
      </c>
      <c r="U162" s="64">
        <f t="shared" si="56"/>
        <v>933</v>
      </c>
      <c r="V162" s="64">
        <f t="shared" si="56"/>
        <v>1010</v>
      </c>
      <c r="W162" s="64">
        <f t="shared" si="56"/>
        <v>1088</v>
      </c>
      <c r="X162" s="53">
        <f t="shared" si="56"/>
        <v>1166</v>
      </c>
      <c r="Y162" s="64">
        <f t="shared" si="56"/>
        <v>1244</v>
      </c>
      <c r="Z162" s="64">
        <f t="shared" si="56"/>
        <v>1321</v>
      </c>
      <c r="AA162" s="64">
        <f t="shared" si="56"/>
        <v>1399</v>
      </c>
      <c r="AB162" s="64">
        <f t="shared" si="56"/>
        <v>1477</v>
      </c>
      <c r="AC162" s="53">
        <f t="shared" si="56"/>
        <v>1554</v>
      </c>
      <c r="AD162" s="64">
        <f t="shared" si="57"/>
        <v>1632</v>
      </c>
      <c r="AE162" s="64">
        <f t="shared" si="57"/>
        <v>1710</v>
      </c>
      <c r="AF162" s="64">
        <f t="shared" si="57"/>
        <v>1788</v>
      </c>
      <c r="AG162" s="64">
        <f t="shared" si="57"/>
        <v>1865</v>
      </c>
      <c r="AH162" s="53">
        <f t="shared" si="57"/>
        <v>1943</v>
      </c>
      <c r="AI162" s="64">
        <f t="shared" si="57"/>
        <v>2021</v>
      </c>
      <c r="AJ162" s="64">
        <f t="shared" si="57"/>
        <v>2099</v>
      </c>
      <c r="AK162" s="64">
        <f t="shared" si="57"/>
        <v>2177</v>
      </c>
      <c r="AL162" s="64">
        <f t="shared" si="57"/>
        <v>2254</v>
      </c>
      <c r="AM162" s="53">
        <f t="shared" si="57"/>
        <v>2332</v>
      </c>
    </row>
    <row r="163" spans="1:39" x14ac:dyDescent="0.25">
      <c r="A163" s="53">
        <f>'Pokemon Data'!A162</f>
        <v>161</v>
      </c>
      <c r="B163" s="53" t="str">
        <f>'Pokemon Data'!B162</f>
        <v>Sentret</v>
      </c>
      <c r="C163" s="61">
        <f>'Pokemon Data'!E162</f>
        <v>81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46"/>
        <v>85</v>
      </c>
      <c r="H163" s="61">
        <f t="shared" si="47"/>
        <v>94</v>
      </c>
      <c r="I163" s="61">
        <f t="shared" si="48"/>
        <v>92</v>
      </c>
      <c r="J163" s="53">
        <f t="shared" ref="J163:S172" si="58">MAX(10,INT(SQRT($G163*$I163)*$H163*J$1^2/10))</f>
        <v>10</v>
      </c>
      <c r="K163" s="64">
        <f t="shared" si="58"/>
        <v>23</v>
      </c>
      <c r="L163" s="64">
        <f t="shared" si="58"/>
        <v>38</v>
      </c>
      <c r="M163" s="64">
        <f t="shared" si="58"/>
        <v>54</v>
      </c>
      <c r="N163" s="53">
        <f t="shared" si="58"/>
        <v>70</v>
      </c>
      <c r="O163" s="64">
        <f t="shared" si="58"/>
        <v>85</v>
      </c>
      <c r="P163" s="64">
        <f t="shared" si="58"/>
        <v>101</v>
      </c>
      <c r="Q163" s="64">
        <f t="shared" si="58"/>
        <v>117</v>
      </c>
      <c r="R163" s="64">
        <f t="shared" si="58"/>
        <v>132</v>
      </c>
      <c r="S163" s="53">
        <f t="shared" si="58"/>
        <v>148</v>
      </c>
      <c r="T163" s="64">
        <f t="shared" ref="T163:AC172" si="59">MAX(10,INT(SQRT($G163*$I163)*$H163*T$1^2/10))</f>
        <v>163</v>
      </c>
      <c r="U163" s="64">
        <f t="shared" si="59"/>
        <v>178</v>
      </c>
      <c r="V163" s="64">
        <f t="shared" si="59"/>
        <v>192</v>
      </c>
      <c r="W163" s="64">
        <f t="shared" si="59"/>
        <v>207</v>
      </c>
      <c r="X163" s="53">
        <f t="shared" si="59"/>
        <v>222</v>
      </c>
      <c r="Y163" s="64">
        <f t="shared" si="59"/>
        <v>237</v>
      </c>
      <c r="Z163" s="64">
        <f t="shared" si="59"/>
        <v>252</v>
      </c>
      <c r="AA163" s="64">
        <f t="shared" si="59"/>
        <v>267</v>
      </c>
      <c r="AB163" s="64">
        <f t="shared" si="59"/>
        <v>281</v>
      </c>
      <c r="AC163" s="53">
        <f t="shared" si="59"/>
        <v>296</v>
      </c>
      <c r="AD163" s="64">
        <f t="shared" ref="AD163:AM172" si="60">MAX(10,INT(SQRT($G163*$I163)*$H163*AD$1^2/10))</f>
        <v>311</v>
      </c>
      <c r="AE163" s="64">
        <f t="shared" si="60"/>
        <v>326</v>
      </c>
      <c r="AF163" s="64">
        <f t="shared" si="60"/>
        <v>341</v>
      </c>
      <c r="AG163" s="64">
        <f t="shared" si="60"/>
        <v>356</v>
      </c>
      <c r="AH163" s="53">
        <f t="shared" si="60"/>
        <v>370</v>
      </c>
      <c r="AI163" s="64">
        <f t="shared" si="60"/>
        <v>385</v>
      </c>
      <c r="AJ163" s="64">
        <f t="shared" si="60"/>
        <v>400</v>
      </c>
      <c r="AK163" s="64">
        <f t="shared" si="60"/>
        <v>415</v>
      </c>
      <c r="AL163" s="64">
        <f t="shared" si="60"/>
        <v>430</v>
      </c>
      <c r="AM163" s="53">
        <f t="shared" si="60"/>
        <v>445</v>
      </c>
    </row>
    <row r="164" spans="1:39" x14ac:dyDescent="0.25">
      <c r="A164" s="53">
        <f>'Pokemon Data'!A163</f>
        <v>162</v>
      </c>
      <c r="B164" s="53" t="str">
        <f>'Pokemon Data'!B163</f>
        <v>Furret</v>
      </c>
      <c r="C164" s="61">
        <f>'Pokemon Data'!E163</f>
        <v>81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46"/>
        <v>185</v>
      </c>
      <c r="H164" s="61">
        <f t="shared" si="47"/>
        <v>163</v>
      </c>
      <c r="I164" s="61">
        <f t="shared" si="48"/>
        <v>145</v>
      </c>
      <c r="J164" s="53">
        <f t="shared" si="58"/>
        <v>23</v>
      </c>
      <c r="K164" s="64">
        <f t="shared" si="58"/>
        <v>73</v>
      </c>
      <c r="L164" s="64">
        <f t="shared" si="58"/>
        <v>124</v>
      </c>
      <c r="M164" s="64">
        <f t="shared" si="58"/>
        <v>174</v>
      </c>
      <c r="N164" s="53">
        <f t="shared" si="58"/>
        <v>224</v>
      </c>
      <c r="O164" s="64">
        <f t="shared" si="58"/>
        <v>275</v>
      </c>
      <c r="P164" s="64">
        <f t="shared" si="58"/>
        <v>325</v>
      </c>
      <c r="Q164" s="64">
        <f t="shared" si="58"/>
        <v>375</v>
      </c>
      <c r="R164" s="64">
        <f t="shared" si="58"/>
        <v>426</v>
      </c>
      <c r="S164" s="53">
        <f t="shared" si="58"/>
        <v>476</v>
      </c>
      <c r="T164" s="64">
        <f t="shared" si="59"/>
        <v>524</v>
      </c>
      <c r="U164" s="64">
        <f t="shared" si="59"/>
        <v>571</v>
      </c>
      <c r="V164" s="64">
        <f t="shared" si="59"/>
        <v>619</v>
      </c>
      <c r="W164" s="64">
        <f t="shared" si="59"/>
        <v>667</v>
      </c>
      <c r="X164" s="53">
        <f t="shared" si="59"/>
        <v>714</v>
      </c>
      <c r="Y164" s="64">
        <f t="shared" si="59"/>
        <v>762</v>
      </c>
      <c r="Z164" s="64">
        <f t="shared" si="59"/>
        <v>809</v>
      </c>
      <c r="AA164" s="64">
        <f t="shared" si="59"/>
        <v>857</v>
      </c>
      <c r="AB164" s="64">
        <f t="shared" si="59"/>
        <v>905</v>
      </c>
      <c r="AC164" s="53">
        <f t="shared" si="59"/>
        <v>952</v>
      </c>
      <c r="AD164" s="64">
        <f t="shared" si="60"/>
        <v>1000</v>
      </c>
      <c r="AE164" s="64">
        <f t="shared" si="60"/>
        <v>1048</v>
      </c>
      <c r="AF164" s="64">
        <f t="shared" si="60"/>
        <v>1095</v>
      </c>
      <c r="AG164" s="64">
        <f t="shared" si="60"/>
        <v>1143</v>
      </c>
      <c r="AH164" s="53">
        <f t="shared" si="60"/>
        <v>1191</v>
      </c>
      <c r="AI164" s="64">
        <f t="shared" si="60"/>
        <v>1238</v>
      </c>
      <c r="AJ164" s="64">
        <f t="shared" si="60"/>
        <v>1286</v>
      </c>
      <c r="AK164" s="64">
        <f t="shared" si="60"/>
        <v>1333</v>
      </c>
      <c r="AL164" s="64">
        <f t="shared" si="60"/>
        <v>1381</v>
      </c>
      <c r="AM164" s="53">
        <f t="shared" si="60"/>
        <v>1429</v>
      </c>
    </row>
    <row r="165" spans="1:39" x14ac:dyDescent="0.25">
      <c r="A165" s="53">
        <f>'Pokemon Data'!A164</f>
        <v>163</v>
      </c>
      <c r="B165" s="53" t="str">
        <f>'Pokemon Data'!B164</f>
        <v>Hoothoot</v>
      </c>
      <c r="C165" s="61">
        <f>'Pokemon Data'!E164</f>
        <v>82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46"/>
        <v>135</v>
      </c>
      <c r="H165" s="61">
        <f t="shared" si="47"/>
        <v>82</v>
      </c>
      <c r="I165" s="61">
        <f t="shared" si="48"/>
        <v>116</v>
      </c>
      <c r="J165" s="53">
        <f t="shared" si="58"/>
        <v>10</v>
      </c>
      <c r="K165" s="64">
        <f t="shared" si="58"/>
        <v>28</v>
      </c>
      <c r="L165" s="64">
        <f t="shared" si="58"/>
        <v>47</v>
      </c>
      <c r="M165" s="64">
        <f t="shared" si="58"/>
        <v>67</v>
      </c>
      <c r="N165" s="53">
        <f t="shared" si="58"/>
        <v>86</v>
      </c>
      <c r="O165" s="64">
        <f t="shared" si="58"/>
        <v>105</v>
      </c>
      <c r="P165" s="64">
        <f t="shared" si="58"/>
        <v>125</v>
      </c>
      <c r="Q165" s="64">
        <f t="shared" si="58"/>
        <v>144</v>
      </c>
      <c r="R165" s="64">
        <f t="shared" si="58"/>
        <v>163</v>
      </c>
      <c r="S165" s="53">
        <f t="shared" si="58"/>
        <v>183</v>
      </c>
      <c r="T165" s="64">
        <f t="shared" si="59"/>
        <v>201</v>
      </c>
      <c r="U165" s="64">
        <f t="shared" si="59"/>
        <v>219</v>
      </c>
      <c r="V165" s="64">
        <f t="shared" si="59"/>
        <v>238</v>
      </c>
      <c r="W165" s="64">
        <f t="shared" si="59"/>
        <v>256</v>
      </c>
      <c r="X165" s="53">
        <f t="shared" si="59"/>
        <v>274</v>
      </c>
      <c r="Y165" s="64">
        <f t="shared" si="59"/>
        <v>293</v>
      </c>
      <c r="Z165" s="64">
        <f t="shared" si="59"/>
        <v>311</v>
      </c>
      <c r="AA165" s="64">
        <f t="shared" si="59"/>
        <v>329</v>
      </c>
      <c r="AB165" s="64">
        <f t="shared" si="59"/>
        <v>347</v>
      </c>
      <c r="AC165" s="53">
        <f t="shared" si="59"/>
        <v>366</v>
      </c>
      <c r="AD165" s="64">
        <f t="shared" si="60"/>
        <v>384</v>
      </c>
      <c r="AE165" s="64">
        <f t="shared" si="60"/>
        <v>402</v>
      </c>
      <c r="AF165" s="64">
        <f t="shared" si="60"/>
        <v>421</v>
      </c>
      <c r="AG165" s="64">
        <f t="shared" si="60"/>
        <v>439</v>
      </c>
      <c r="AH165" s="53">
        <f t="shared" si="60"/>
        <v>457</v>
      </c>
      <c r="AI165" s="64">
        <f t="shared" si="60"/>
        <v>476</v>
      </c>
      <c r="AJ165" s="64">
        <f t="shared" si="60"/>
        <v>494</v>
      </c>
      <c r="AK165" s="64">
        <f t="shared" si="60"/>
        <v>512</v>
      </c>
      <c r="AL165" s="64">
        <f t="shared" si="60"/>
        <v>531</v>
      </c>
      <c r="AM165" s="53">
        <f t="shared" si="60"/>
        <v>549</v>
      </c>
    </row>
    <row r="166" spans="1:39" x14ac:dyDescent="0.25">
      <c r="A166" s="53">
        <f>'Pokemon Data'!A165</f>
        <v>164</v>
      </c>
      <c r="B166" s="53" t="str">
        <f>'Pokemon Data'!B165</f>
        <v>Noctowl</v>
      </c>
      <c r="C166" s="61">
        <f>'Pokemon Data'!E165</f>
        <v>82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46"/>
        <v>215</v>
      </c>
      <c r="H166" s="61">
        <f t="shared" si="47"/>
        <v>160</v>
      </c>
      <c r="I166" s="61">
        <f t="shared" si="48"/>
        <v>194</v>
      </c>
      <c r="J166" s="53">
        <f t="shared" si="58"/>
        <v>28</v>
      </c>
      <c r="K166" s="64">
        <f t="shared" si="58"/>
        <v>90</v>
      </c>
      <c r="L166" s="64">
        <f t="shared" si="58"/>
        <v>152</v>
      </c>
      <c r="M166" s="64">
        <f t="shared" si="58"/>
        <v>213</v>
      </c>
      <c r="N166" s="53">
        <f t="shared" si="58"/>
        <v>275</v>
      </c>
      <c r="O166" s="64">
        <f t="shared" si="58"/>
        <v>336</v>
      </c>
      <c r="P166" s="64">
        <f t="shared" si="58"/>
        <v>398</v>
      </c>
      <c r="Q166" s="64">
        <f t="shared" si="58"/>
        <v>460</v>
      </c>
      <c r="R166" s="64">
        <f t="shared" si="58"/>
        <v>521</v>
      </c>
      <c r="S166" s="53">
        <f t="shared" si="58"/>
        <v>583</v>
      </c>
      <c r="T166" s="64">
        <f t="shared" si="59"/>
        <v>641</v>
      </c>
      <c r="U166" s="64">
        <f t="shared" si="59"/>
        <v>699</v>
      </c>
      <c r="V166" s="64">
        <f t="shared" si="59"/>
        <v>758</v>
      </c>
      <c r="W166" s="64">
        <f t="shared" si="59"/>
        <v>816</v>
      </c>
      <c r="X166" s="53">
        <f t="shared" si="59"/>
        <v>874</v>
      </c>
      <c r="Y166" s="64">
        <f t="shared" si="59"/>
        <v>933</v>
      </c>
      <c r="Z166" s="64">
        <f t="shared" si="59"/>
        <v>991</v>
      </c>
      <c r="AA166" s="64">
        <f t="shared" si="59"/>
        <v>1049</v>
      </c>
      <c r="AB166" s="64">
        <f t="shared" si="59"/>
        <v>1107</v>
      </c>
      <c r="AC166" s="53">
        <f t="shared" si="59"/>
        <v>1166</v>
      </c>
      <c r="AD166" s="64">
        <f t="shared" si="60"/>
        <v>1224</v>
      </c>
      <c r="AE166" s="64">
        <f t="shared" si="60"/>
        <v>1282</v>
      </c>
      <c r="AF166" s="64">
        <f t="shared" si="60"/>
        <v>1341</v>
      </c>
      <c r="AG166" s="64">
        <f t="shared" si="60"/>
        <v>1399</v>
      </c>
      <c r="AH166" s="53">
        <f t="shared" si="60"/>
        <v>1457</v>
      </c>
      <c r="AI166" s="64">
        <f t="shared" si="60"/>
        <v>1516</v>
      </c>
      <c r="AJ166" s="64">
        <f t="shared" si="60"/>
        <v>1574</v>
      </c>
      <c r="AK166" s="64">
        <f t="shared" si="60"/>
        <v>1632</v>
      </c>
      <c r="AL166" s="64">
        <f t="shared" si="60"/>
        <v>1691</v>
      </c>
      <c r="AM166" s="53">
        <f t="shared" si="60"/>
        <v>1749</v>
      </c>
    </row>
    <row r="167" spans="1:39" x14ac:dyDescent="0.25">
      <c r="A167" s="53">
        <f>'Pokemon Data'!A166</f>
        <v>165</v>
      </c>
      <c r="B167" s="53" t="str">
        <f>'Pokemon Data'!B166</f>
        <v>Ledyba</v>
      </c>
      <c r="C167" s="61">
        <f>'Pokemon Data'!E166</f>
        <v>83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46"/>
        <v>95</v>
      </c>
      <c r="H167" s="61">
        <f t="shared" si="47"/>
        <v>87</v>
      </c>
      <c r="I167" s="61">
        <f t="shared" si="48"/>
        <v>157</v>
      </c>
      <c r="J167" s="53">
        <f t="shared" si="58"/>
        <v>10</v>
      </c>
      <c r="K167" s="64">
        <f t="shared" si="58"/>
        <v>29</v>
      </c>
      <c r="L167" s="64">
        <f t="shared" si="58"/>
        <v>49</v>
      </c>
      <c r="M167" s="64">
        <f t="shared" si="58"/>
        <v>69</v>
      </c>
      <c r="N167" s="53">
        <f t="shared" si="58"/>
        <v>89</v>
      </c>
      <c r="O167" s="64">
        <f t="shared" si="58"/>
        <v>109</v>
      </c>
      <c r="P167" s="64">
        <f t="shared" si="58"/>
        <v>129</v>
      </c>
      <c r="Q167" s="64">
        <f t="shared" si="58"/>
        <v>149</v>
      </c>
      <c r="R167" s="64">
        <f t="shared" si="58"/>
        <v>169</v>
      </c>
      <c r="S167" s="53">
        <f t="shared" si="58"/>
        <v>189</v>
      </c>
      <c r="T167" s="64">
        <f t="shared" si="59"/>
        <v>208</v>
      </c>
      <c r="U167" s="64">
        <f t="shared" si="59"/>
        <v>227</v>
      </c>
      <c r="V167" s="64">
        <f t="shared" si="59"/>
        <v>246</v>
      </c>
      <c r="W167" s="64">
        <f t="shared" si="59"/>
        <v>265</v>
      </c>
      <c r="X167" s="53">
        <f t="shared" si="59"/>
        <v>284</v>
      </c>
      <c r="Y167" s="64">
        <f t="shared" si="59"/>
        <v>303</v>
      </c>
      <c r="Z167" s="64">
        <f t="shared" si="59"/>
        <v>322</v>
      </c>
      <c r="AA167" s="64">
        <f t="shared" si="59"/>
        <v>341</v>
      </c>
      <c r="AB167" s="64">
        <f t="shared" si="59"/>
        <v>360</v>
      </c>
      <c r="AC167" s="53">
        <f t="shared" si="59"/>
        <v>379</v>
      </c>
      <c r="AD167" s="64">
        <f t="shared" si="60"/>
        <v>398</v>
      </c>
      <c r="AE167" s="64">
        <f t="shared" si="60"/>
        <v>417</v>
      </c>
      <c r="AF167" s="64">
        <f t="shared" si="60"/>
        <v>436</v>
      </c>
      <c r="AG167" s="64">
        <f t="shared" si="60"/>
        <v>455</v>
      </c>
      <c r="AH167" s="53">
        <f t="shared" si="60"/>
        <v>474</v>
      </c>
      <c r="AI167" s="64">
        <f t="shared" si="60"/>
        <v>492</v>
      </c>
      <c r="AJ167" s="64">
        <f t="shared" si="60"/>
        <v>511</v>
      </c>
      <c r="AK167" s="64">
        <f t="shared" si="60"/>
        <v>530</v>
      </c>
      <c r="AL167" s="64">
        <f t="shared" si="60"/>
        <v>549</v>
      </c>
      <c r="AM167" s="53">
        <f t="shared" si="60"/>
        <v>568</v>
      </c>
    </row>
    <row r="168" spans="1:39" x14ac:dyDescent="0.25">
      <c r="A168" s="53">
        <f>'Pokemon Data'!A167</f>
        <v>166</v>
      </c>
      <c r="B168" s="53" t="str">
        <f>'Pokemon Data'!B167</f>
        <v>Ledian</v>
      </c>
      <c r="C168" s="61">
        <f>'Pokemon Data'!E167</f>
        <v>83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46"/>
        <v>125</v>
      </c>
      <c r="H168" s="61">
        <f t="shared" si="47"/>
        <v>122</v>
      </c>
      <c r="I168" s="61">
        <f t="shared" si="48"/>
        <v>224</v>
      </c>
      <c r="J168" s="53">
        <f t="shared" si="58"/>
        <v>18</v>
      </c>
      <c r="K168" s="64">
        <f t="shared" si="58"/>
        <v>56</v>
      </c>
      <c r="L168" s="64">
        <f t="shared" si="58"/>
        <v>95</v>
      </c>
      <c r="M168" s="64">
        <f t="shared" si="58"/>
        <v>133</v>
      </c>
      <c r="N168" s="53">
        <f t="shared" si="58"/>
        <v>171</v>
      </c>
      <c r="O168" s="64">
        <f t="shared" si="58"/>
        <v>210</v>
      </c>
      <c r="P168" s="64">
        <f t="shared" si="58"/>
        <v>248</v>
      </c>
      <c r="Q168" s="64">
        <f t="shared" si="58"/>
        <v>287</v>
      </c>
      <c r="R168" s="64">
        <f t="shared" si="58"/>
        <v>325</v>
      </c>
      <c r="S168" s="53">
        <f t="shared" si="58"/>
        <v>364</v>
      </c>
      <c r="T168" s="64">
        <f t="shared" si="59"/>
        <v>400</v>
      </c>
      <c r="U168" s="64">
        <f t="shared" si="59"/>
        <v>437</v>
      </c>
      <c r="V168" s="64">
        <f t="shared" si="59"/>
        <v>473</v>
      </c>
      <c r="W168" s="64">
        <f t="shared" si="59"/>
        <v>510</v>
      </c>
      <c r="X168" s="53">
        <f t="shared" si="59"/>
        <v>546</v>
      </c>
      <c r="Y168" s="64">
        <f t="shared" si="59"/>
        <v>582</v>
      </c>
      <c r="Z168" s="64">
        <f t="shared" si="59"/>
        <v>619</v>
      </c>
      <c r="AA168" s="64">
        <f t="shared" si="59"/>
        <v>655</v>
      </c>
      <c r="AB168" s="64">
        <f t="shared" si="59"/>
        <v>692</v>
      </c>
      <c r="AC168" s="53">
        <f t="shared" si="59"/>
        <v>728</v>
      </c>
      <c r="AD168" s="64">
        <f t="shared" si="60"/>
        <v>765</v>
      </c>
      <c r="AE168" s="64">
        <f t="shared" si="60"/>
        <v>801</v>
      </c>
      <c r="AF168" s="64">
        <f t="shared" si="60"/>
        <v>837</v>
      </c>
      <c r="AG168" s="64">
        <f t="shared" si="60"/>
        <v>874</v>
      </c>
      <c r="AH168" s="53">
        <f t="shared" si="60"/>
        <v>910</v>
      </c>
      <c r="AI168" s="64">
        <f t="shared" si="60"/>
        <v>947</v>
      </c>
      <c r="AJ168" s="64">
        <f t="shared" si="60"/>
        <v>983</v>
      </c>
      <c r="AK168" s="64">
        <f t="shared" si="60"/>
        <v>1020</v>
      </c>
      <c r="AL168" s="64">
        <f t="shared" si="60"/>
        <v>1056</v>
      </c>
      <c r="AM168" s="53">
        <f t="shared" si="60"/>
        <v>1092</v>
      </c>
    </row>
    <row r="169" spans="1:39" x14ac:dyDescent="0.25">
      <c r="A169" s="53">
        <f>'Pokemon Data'!A168</f>
        <v>167</v>
      </c>
      <c r="B169" s="53" t="str">
        <f>'Pokemon Data'!B168</f>
        <v>Spinarak</v>
      </c>
      <c r="C169" s="61">
        <f>'Pokemon Data'!E168</f>
        <v>84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46"/>
        <v>95</v>
      </c>
      <c r="H169" s="61">
        <f t="shared" si="47"/>
        <v>120</v>
      </c>
      <c r="I169" s="61">
        <f t="shared" si="48"/>
        <v>88</v>
      </c>
      <c r="J169" s="53">
        <f t="shared" si="58"/>
        <v>10</v>
      </c>
      <c r="K169" s="64">
        <f t="shared" si="58"/>
        <v>30</v>
      </c>
      <c r="L169" s="64">
        <f t="shared" si="58"/>
        <v>51</v>
      </c>
      <c r="M169" s="64">
        <f t="shared" si="58"/>
        <v>71</v>
      </c>
      <c r="N169" s="53">
        <f t="shared" si="58"/>
        <v>92</v>
      </c>
      <c r="O169" s="64">
        <f t="shared" si="58"/>
        <v>113</v>
      </c>
      <c r="P169" s="64">
        <f t="shared" si="58"/>
        <v>133</v>
      </c>
      <c r="Q169" s="64">
        <f t="shared" si="58"/>
        <v>154</v>
      </c>
      <c r="R169" s="64">
        <f t="shared" si="58"/>
        <v>175</v>
      </c>
      <c r="S169" s="53">
        <f t="shared" si="58"/>
        <v>195</v>
      </c>
      <c r="T169" s="64">
        <f t="shared" si="59"/>
        <v>215</v>
      </c>
      <c r="U169" s="64">
        <f t="shared" si="59"/>
        <v>235</v>
      </c>
      <c r="V169" s="64">
        <f t="shared" si="59"/>
        <v>254</v>
      </c>
      <c r="W169" s="64">
        <f t="shared" si="59"/>
        <v>274</v>
      </c>
      <c r="X169" s="53">
        <f t="shared" si="59"/>
        <v>293</v>
      </c>
      <c r="Y169" s="64">
        <f t="shared" si="59"/>
        <v>313</v>
      </c>
      <c r="Z169" s="64">
        <f t="shared" si="59"/>
        <v>332</v>
      </c>
      <c r="AA169" s="64">
        <f t="shared" si="59"/>
        <v>352</v>
      </c>
      <c r="AB169" s="64">
        <f t="shared" si="59"/>
        <v>372</v>
      </c>
      <c r="AC169" s="53">
        <f t="shared" si="59"/>
        <v>391</v>
      </c>
      <c r="AD169" s="64">
        <f t="shared" si="60"/>
        <v>411</v>
      </c>
      <c r="AE169" s="64">
        <f t="shared" si="60"/>
        <v>430</v>
      </c>
      <c r="AF169" s="64">
        <f t="shared" si="60"/>
        <v>450</v>
      </c>
      <c r="AG169" s="64">
        <f t="shared" si="60"/>
        <v>469</v>
      </c>
      <c r="AH169" s="53">
        <f t="shared" si="60"/>
        <v>489</v>
      </c>
      <c r="AI169" s="64">
        <f t="shared" si="60"/>
        <v>509</v>
      </c>
      <c r="AJ169" s="64">
        <f t="shared" si="60"/>
        <v>528</v>
      </c>
      <c r="AK169" s="64">
        <f t="shared" si="60"/>
        <v>548</v>
      </c>
      <c r="AL169" s="64">
        <f t="shared" si="60"/>
        <v>567</v>
      </c>
      <c r="AM169" s="53">
        <f t="shared" si="60"/>
        <v>587</v>
      </c>
    </row>
    <row r="170" spans="1:39" x14ac:dyDescent="0.25">
      <c r="A170" s="53">
        <f>'Pokemon Data'!A169</f>
        <v>168</v>
      </c>
      <c r="B170" s="53" t="str">
        <f>'Pokemon Data'!B169</f>
        <v>Ariados</v>
      </c>
      <c r="C170" s="61">
        <f>'Pokemon Data'!E169</f>
        <v>84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46"/>
        <v>155</v>
      </c>
      <c r="H170" s="61">
        <f t="shared" si="47"/>
        <v>176</v>
      </c>
      <c r="I170" s="61">
        <f t="shared" si="48"/>
        <v>143</v>
      </c>
      <c r="J170" s="53">
        <f t="shared" si="58"/>
        <v>23</v>
      </c>
      <c r="K170" s="64">
        <f t="shared" si="58"/>
        <v>72</v>
      </c>
      <c r="L170" s="64">
        <f t="shared" si="58"/>
        <v>121</v>
      </c>
      <c r="M170" s="64">
        <f t="shared" si="58"/>
        <v>171</v>
      </c>
      <c r="N170" s="53">
        <f t="shared" si="58"/>
        <v>220</v>
      </c>
      <c r="O170" s="64">
        <f t="shared" si="58"/>
        <v>270</v>
      </c>
      <c r="P170" s="64">
        <f t="shared" si="58"/>
        <v>319</v>
      </c>
      <c r="Q170" s="64">
        <f t="shared" si="58"/>
        <v>368</v>
      </c>
      <c r="R170" s="64">
        <f t="shared" si="58"/>
        <v>418</v>
      </c>
      <c r="S170" s="53">
        <f t="shared" si="58"/>
        <v>467</v>
      </c>
      <c r="T170" s="64">
        <f t="shared" si="59"/>
        <v>514</v>
      </c>
      <c r="U170" s="64">
        <f t="shared" si="59"/>
        <v>561</v>
      </c>
      <c r="V170" s="64">
        <f t="shared" si="59"/>
        <v>607</v>
      </c>
      <c r="W170" s="64">
        <f t="shared" si="59"/>
        <v>654</v>
      </c>
      <c r="X170" s="53">
        <f t="shared" si="59"/>
        <v>701</v>
      </c>
      <c r="Y170" s="64">
        <f t="shared" si="59"/>
        <v>748</v>
      </c>
      <c r="Z170" s="64">
        <f t="shared" si="59"/>
        <v>794</v>
      </c>
      <c r="AA170" s="64">
        <f t="shared" si="59"/>
        <v>841</v>
      </c>
      <c r="AB170" s="64">
        <f t="shared" si="59"/>
        <v>888</v>
      </c>
      <c r="AC170" s="53">
        <f t="shared" si="59"/>
        <v>935</v>
      </c>
      <c r="AD170" s="64">
        <f t="shared" si="60"/>
        <v>981</v>
      </c>
      <c r="AE170" s="64">
        <f t="shared" si="60"/>
        <v>1028</v>
      </c>
      <c r="AF170" s="64">
        <f t="shared" si="60"/>
        <v>1075</v>
      </c>
      <c r="AG170" s="64">
        <f t="shared" si="60"/>
        <v>1122</v>
      </c>
      <c r="AH170" s="53">
        <f t="shared" si="60"/>
        <v>1168</v>
      </c>
      <c r="AI170" s="64">
        <f t="shared" si="60"/>
        <v>1215</v>
      </c>
      <c r="AJ170" s="64">
        <f t="shared" si="60"/>
        <v>1262</v>
      </c>
      <c r="AK170" s="64">
        <f t="shared" si="60"/>
        <v>1309</v>
      </c>
      <c r="AL170" s="64">
        <f t="shared" si="60"/>
        <v>1356</v>
      </c>
      <c r="AM170" s="53">
        <f t="shared" si="60"/>
        <v>1402</v>
      </c>
    </row>
    <row r="171" spans="1:39" x14ac:dyDescent="0.25">
      <c r="A171" s="53">
        <f>'Pokemon Data'!A170</f>
        <v>169</v>
      </c>
      <c r="B171" s="53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46"/>
        <v>185</v>
      </c>
      <c r="H171" s="61">
        <f t="shared" si="47"/>
        <v>209</v>
      </c>
      <c r="I171" s="61">
        <f t="shared" si="48"/>
        <v>193</v>
      </c>
      <c r="J171" s="53">
        <f t="shared" si="58"/>
        <v>34</v>
      </c>
      <c r="K171" s="64">
        <f t="shared" si="58"/>
        <v>109</v>
      </c>
      <c r="L171" s="64">
        <f t="shared" si="58"/>
        <v>183</v>
      </c>
      <c r="M171" s="64">
        <f t="shared" si="58"/>
        <v>258</v>
      </c>
      <c r="N171" s="53">
        <f t="shared" si="58"/>
        <v>332</v>
      </c>
      <c r="O171" s="64">
        <f t="shared" si="58"/>
        <v>407</v>
      </c>
      <c r="P171" s="64">
        <f t="shared" si="58"/>
        <v>481</v>
      </c>
      <c r="Q171" s="64">
        <f t="shared" si="58"/>
        <v>556</v>
      </c>
      <c r="R171" s="64">
        <f t="shared" si="58"/>
        <v>630</v>
      </c>
      <c r="S171" s="53">
        <f t="shared" si="58"/>
        <v>704</v>
      </c>
      <c r="T171" s="64">
        <f t="shared" si="59"/>
        <v>775</v>
      </c>
      <c r="U171" s="64">
        <f t="shared" si="59"/>
        <v>845</v>
      </c>
      <c r="V171" s="64">
        <f t="shared" si="59"/>
        <v>916</v>
      </c>
      <c r="W171" s="64">
        <f t="shared" si="59"/>
        <v>986</v>
      </c>
      <c r="X171" s="53">
        <f t="shared" si="59"/>
        <v>1057</v>
      </c>
      <c r="Y171" s="64">
        <f t="shared" si="59"/>
        <v>1127</v>
      </c>
      <c r="Z171" s="64">
        <f t="shared" si="59"/>
        <v>1198</v>
      </c>
      <c r="AA171" s="64">
        <f t="shared" si="59"/>
        <v>1268</v>
      </c>
      <c r="AB171" s="64">
        <f t="shared" si="59"/>
        <v>1338</v>
      </c>
      <c r="AC171" s="53">
        <f t="shared" si="59"/>
        <v>1409</v>
      </c>
      <c r="AD171" s="64">
        <f t="shared" si="60"/>
        <v>1479</v>
      </c>
      <c r="AE171" s="64">
        <f t="shared" si="60"/>
        <v>1550</v>
      </c>
      <c r="AF171" s="64">
        <f t="shared" si="60"/>
        <v>1620</v>
      </c>
      <c r="AG171" s="64">
        <f t="shared" si="60"/>
        <v>1691</v>
      </c>
      <c r="AH171" s="53">
        <f t="shared" si="60"/>
        <v>1761</v>
      </c>
      <c r="AI171" s="64">
        <f t="shared" si="60"/>
        <v>1832</v>
      </c>
      <c r="AJ171" s="64">
        <f t="shared" si="60"/>
        <v>1902</v>
      </c>
      <c r="AK171" s="64">
        <f t="shared" si="60"/>
        <v>1973</v>
      </c>
      <c r="AL171" s="64">
        <f t="shared" si="60"/>
        <v>2043</v>
      </c>
      <c r="AM171" s="53">
        <f t="shared" si="60"/>
        <v>2114</v>
      </c>
    </row>
    <row r="172" spans="1:39" x14ac:dyDescent="0.25">
      <c r="A172" s="53">
        <f>'Pokemon Data'!A171</f>
        <v>170</v>
      </c>
      <c r="B172" s="53" t="str">
        <f>'Pokemon Data'!B171</f>
        <v>Chinchou</v>
      </c>
      <c r="C172" s="61">
        <f>'Pokemon Data'!E171</f>
        <v>85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46"/>
        <v>165</v>
      </c>
      <c r="H172" s="61">
        <f t="shared" si="47"/>
        <v>121</v>
      </c>
      <c r="I172" s="61">
        <f t="shared" si="48"/>
        <v>121</v>
      </c>
      <c r="J172" s="53">
        <f t="shared" si="58"/>
        <v>15</v>
      </c>
      <c r="K172" s="64">
        <f t="shared" si="58"/>
        <v>47</v>
      </c>
      <c r="L172" s="64">
        <f t="shared" si="58"/>
        <v>79</v>
      </c>
      <c r="M172" s="64">
        <f t="shared" si="58"/>
        <v>111</v>
      </c>
      <c r="N172" s="53">
        <f t="shared" si="58"/>
        <v>144</v>
      </c>
      <c r="O172" s="64">
        <f t="shared" si="58"/>
        <v>176</v>
      </c>
      <c r="P172" s="64">
        <f t="shared" si="58"/>
        <v>208</v>
      </c>
      <c r="Q172" s="64">
        <f t="shared" si="58"/>
        <v>240</v>
      </c>
      <c r="R172" s="64">
        <f t="shared" si="58"/>
        <v>272</v>
      </c>
      <c r="S172" s="53">
        <f t="shared" si="58"/>
        <v>305</v>
      </c>
      <c r="T172" s="64">
        <f t="shared" si="59"/>
        <v>335</v>
      </c>
      <c r="U172" s="64">
        <f t="shared" si="59"/>
        <v>366</v>
      </c>
      <c r="V172" s="64">
        <f t="shared" si="59"/>
        <v>396</v>
      </c>
      <c r="W172" s="64">
        <f t="shared" si="59"/>
        <v>427</v>
      </c>
      <c r="X172" s="53">
        <f t="shared" si="59"/>
        <v>457</v>
      </c>
      <c r="Y172" s="64">
        <f t="shared" si="59"/>
        <v>488</v>
      </c>
      <c r="Z172" s="64">
        <f t="shared" si="59"/>
        <v>518</v>
      </c>
      <c r="AA172" s="64">
        <f t="shared" si="59"/>
        <v>549</v>
      </c>
      <c r="AB172" s="64">
        <f t="shared" si="59"/>
        <v>579</v>
      </c>
      <c r="AC172" s="53">
        <f t="shared" si="59"/>
        <v>610</v>
      </c>
      <c r="AD172" s="64">
        <f t="shared" si="60"/>
        <v>640</v>
      </c>
      <c r="AE172" s="64">
        <f t="shared" si="60"/>
        <v>671</v>
      </c>
      <c r="AF172" s="64">
        <f t="shared" si="60"/>
        <v>701</v>
      </c>
      <c r="AG172" s="64">
        <f t="shared" si="60"/>
        <v>732</v>
      </c>
      <c r="AH172" s="53">
        <f t="shared" si="60"/>
        <v>762</v>
      </c>
      <c r="AI172" s="64">
        <f t="shared" si="60"/>
        <v>793</v>
      </c>
      <c r="AJ172" s="64">
        <f t="shared" si="60"/>
        <v>823</v>
      </c>
      <c r="AK172" s="64">
        <f t="shared" si="60"/>
        <v>854</v>
      </c>
      <c r="AL172" s="64">
        <f t="shared" si="60"/>
        <v>884</v>
      </c>
      <c r="AM172" s="53">
        <f t="shared" si="60"/>
        <v>915</v>
      </c>
    </row>
    <row r="173" spans="1:39" x14ac:dyDescent="0.25">
      <c r="A173" s="53">
        <f>'Pokemon Data'!A172</f>
        <v>171</v>
      </c>
      <c r="B173" s="53" t="str">
        <f>'Pokemon Data'!B172</f>
        <v>Lanturn</v>
      </c>
      <c r="C173" s="61">
        <f>'Pokemon Data'!E172</f>
        <v>85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46"/>
        <v>265</v>
      </c>
      <c r="H173" s="61">
        <f t="shared" si="47"/>
        <v>161</v>
      </c>
      <c r="I173" s="61">
        <f t="shared" si="48"/>
        <v>161</v>
      </c>
      <c r="J173" s="53">
        <f t="shared" ref="J173:S182" si="61">MAX(10,INT(SQRT($G173*$I173)*$H173*J$1^2/10))</f>
        <v>29</v>
      </c>
      <c r="K173" s="64">
        <f t="shared" si="61"/>
        <v>92</v>
      </c>
      <c r="L173" s="64">
        <f t="shared" si="61"/>
        <v>154</v>
      </c>
      <c r="M173" s="64">
        <f t="shared" si="61"/>
        <v>217</v>
      </c>
      <c r="N173" s="53">
        <f t="shared" si="61"/>
        <v>280</v>
      </c>
      <c r="O173" s="64">
        <f t="shared" si="61"/>
        <v>342</v>
      </c>
      <c r="P173" s="64">
        <f t="shared" si="61"/>
        <v>405</v>
      </c>
      <c r="Q173" s="64">
        <f t="shared" si="61"/>
        <v>468</v>
      </c>
      <c r="R173" s="64">
        <f t="shared" si="61"/>
        <v>530</v>
      </c>
      <c r="S173" s="53">
        <f t="shared" si="61"/>
        <v>593</v>
      </c>
      <c r="T173" s="64">
        <f t="shared" ref="T173:AC182" si="62">MAX(10,INT(SQRT($G173*$I173)*$H173*T$1^2/10))</f>
        <v>652</v>
      </c>
      <c r="U173" s="64">
        <f t="shared" si="62"/>
        <v>712</v>
      </c>
      <c r="V173" s="64">
        <f t="shared" si="62"/>
        <v>771</v>
      </c>
      <c r="W173" s="64">
        <f t="shared" si="62"/>
        <v>830</v>
      </c>
      <c r="X173" s="53">
        <f t="shared" si="62"/>
        <v>890</v>
      </c>
      <c r="Y173" s="64">
        <f t="shared" si="62"/>
        <v>949</v>
      </c>
      <c r="Z173" s="64">
        <f t="shared" si="62"/>
        <v>1008</v>
      </c>
      <c r="AA173" s="64">
        <f t="shared" si="62"/>
        <v>1068</v>
      </c>
      <c r="AB173" s="64">
        <f t="shared" si="62"/>
        <v>1127</v>
      </c>
      <c r="AC173" s="53">
        <f t="shared" si="62"/>
        <v>1186</v>
      </c>
      <c r="AD173" s="64">
        <f t="shared" ref="AD173:AM182" si="63">MAX(10,INT(SQRT($G173*$I173)*$H173*AD$1^2/10))</f>
        <v>1246</v>
      </c>
      <c r="AE173" s="64">
        <f t="shared" si="63"/>
        <v>1305</v>
      </c>
      <c r="AF173" s="64">
        <f t="shared" si="63"/>
        <v>1364</v>
      </c>
      <c r="AG173" s="64">
        <f t="shared" si="63"/>
        <v>1424</v>
      </c>
      <c r="AH173" s="53">
        <f t="shared" si="63"/>
        <v>1483</v>
      </c>
      <c r="AI173" s="64">
        <f t="shared" si="63"/>
        <v>1543</v>
      </c>
      <c r="AJ173" s="64">
        <f t="shared" si="63"/>
        <v>1602</v>
      </c>
      <c r="AK173" s="64">
        <f t="shared" si="63"/>
        <v>1661</v>
      </c>
      <c r="AL173" s="64">
        <f t="shared" si="63"/>
        <v>1721</v>
      </c>
      <c r="AM173" s="53">
        <f t="shared" si="63"/>
        <v>1780</v>
      </c>
    </row>
    <row r="174" spans="1:39" x14ac:dyDescent="0.25">
      <c r="A174" s="53">
        <f>'Pokemon Data'!A173</f>
        <v>172</v>
      </c>
      <c r="B174" s="53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46"/>
        <v>55</v>
      </c>
      <c r="H174" s="61">
        <f t="shared" si="47"/>
        <v>92</v>
      </c>
      <c r="I174" s="61">
        <f t="shared" si="48"/>
        <v>78</v>
      </c>
      <c r="J174" s="53">
        <f t="shared" si="61"/>
        <v>10</v>
      </c>
      <c r="K174" s="48">
        <f t="shared" si="61"/>
        <v>16</v>
      </c>
      <c r="L174" s="48">
        <f t="shared" si="61"/>
        <v>28</v>
      </c>
      <c r="M174" s="48">
        <f t="shared" si="61"/>
        <v>39</v>
      </c>
      <c r="N174" s="53">
        <f t="shared" si="61"/>
        <v>50</v>
      </c>
      <c r="O174" s="48">
        <f t="shared" si="61"/>
        <v>62</v>
      </c>
      <c r="P174" s="48">
        <f t="shared" si="61"/>
        <v>73</v>
      </c>
      <c r="Q174" s="48">
        <f t="shared" si="61"/>
        <v>84</v>
      </c>
      <c r="R174" s="48">
        <f t="shared" si="61"/>
        <v>96</v>
      </c>
      <c r="S174" s="53">
        <f t="shared" si="61"/>
        <v>107</v>
      </c>
      <c r="T174" s="48">
        <f t="shared" si="62"/>
        <v>118</v>
      </c>
      <c r="U174" s="48">
        <f t="shared" si="62"/>
        <v>129</v>
      </c>
      <c r="V174" s="48">
        <f t="shared" si="62"/>
        <v>139</v>
      </c>
      <c r="W174" s="48">
        <f t="shared" si="62"/>
        <v>150</v>
      </c>
      <c r="X174" s="53">
        <f t="shared" si="62"/>
        <v>161</v>
      </c>
      <c r="Y174" s="48">
        <f t="shared" si="62"/>
        <v>172</v>
      </c>
      <c r="Z174" s="48">
        <f t="shared" si="62"/>
        <v>182</v>
      </c>
      <c r="AA174" s="48">
        <f t="shared" si="62"/>
        <v>193</v>
      </c>
      <c r="AB174" s="48">
        <f t="shared" si="62"/>
        <v>204</v>
      </c>
      <c r="AC174" s="53">
        <f t="shared" si="62"/>
        <v>215</v>
      </c>
      <c r="AD174" s="48">
        <f t="shared" si="63"/>
        <v>225</v>
      </c>
      <c r="AE174" s="48">
        <f t="shared" si="63"/>
        <v>236</v>
      </c>
      <c r="AF174" s="48">
        <f t="shared" si="63"/>
        <v>247</v>
      </c>
      <c r="AG174" s="48">
        <f t="shared" si="63"/>
        <v>258</v>
      </c>
      <c r="AH174" s="53">
        <f t="shared" si="63"/>
        <v>268</v>
      </c>
      <c r="AI174" s="48">
        <f t="shared" si="63"/>
        <v>279</v>
      </c>
      <c r="AJ174" s="48">
        <f t="shared" si="63"/>
        <v>290</v>
      </c>
      <c r="AK174" s="48">
        <f t="shared" si="63"/>
        <v>301</v>
      </c>
      <c r="AL174" s="48">
        <f t="shared" si="63"/>
        <v>311</v>
      </c>
      <c r="AM174" s="53">
        <f t="shared" si="63"/>
        <v>322</v>
      </c>
    </row>
    <row r="175" spans="1:39" x14ac:dyDescent="0.25">
      <c r="A175" s="53">
        <f>'Pokemon Data'!A174</f>
        <v>173</v>
      </c>
      <c r="B175" s="53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46"/>
        <v>115</v>
      </c>
      <c r="H175" s="61">
        <f t="shared" si="47"/>
        <v>90</v>
      </c>
      <c r="I175" s="61">
        <f t="shared" si="48"/>
        <v>106</v>
      </c>
      <c r="J175" s="53">
        <f t="shared" si="61"/>
        <v>10</v>
      </c>
      <c r="K175" s="48">
        <f t="shared" si="61"/>
        <v>27</v>
      </c>
      <c r="L175" s="48">
        <f t="shared" si="61"/>
        <v>46</v>
      </c>
      <c r="M175" s="48">
        <f t="shared" si="61"/>
        <v>64</v>
      </c>
      <c r="N175" s="53">
        <f t="shared" si="61"/>
        <v>83</v>
      </c>
      <c r="O175" s="48">
        <f t="shared" si="61"/>
        <v>102</v>
      </c>
      <c r="P175" s="48">
        <f t="shared" si="61"/>
        <v>121</v>
      </c>
      <c r="Q175" s="48">
        <f t="shared" si="61"/>
        <v>139</v>
      </c>
      <c r="R175" s="48">
        <f t="shared" si="61"/>
        <v>158</v>
      </c>
      <c r="S175" s="53">
        <f t="shared" si="61"/>
        <v>177</v>
      </c>
      <c r="T175" s="48">
        <f t="shared" si="62"/>
        <v>195</v>
      </c>
      <c r="U175" s="48">
        <f t="shared" si="62"/>
        <v>212</v>
      </c>
      <c r="V175" s="48">
        <f t="shared" si="62"/>
        <v>230</v>
      </c>
      <c r="W175" s="48">
        <f t="shared" si="62"/>
        <v>248</v>
      </c>
      <c r="X175" s="53">
        <f t="shared" si="62"/>
        <v>266</v>
      </c>
      <c r="Y175" s="48">
        <f t="shared" si="62"/>
        <v>283</v>
      </c>
      <c r="Z175" s="48">
        <f t="shared" si="62"/>
        <v>301</v>
      </c>
      <c r="AA175" s="48">
        <f t="shared" si="62"/>
        <v>319</v>
      </c>
      <c r="AB175" s="48">
        <f t="shared" si="62"/>
        <v>336</v>
      </c>
      <c r="AC175" s="53">
        <f t="shared" si="62"/>
        <v>354</v>
      </c>
      <c r="AD175" s="48">
        <f t="shared" si="63"/>
        <v>372</v>
      </c>
      <c r="AE175" s="48">
        <f t="shared" si="63"/>
        <v>390</v>
      </c>
      <c r="AF175" s="48">
        <f t="shared" si="63"/>
        <v>407</v>
      </c>
      <c r="AG175" s="48">
        <f t="shared" si="63"/>
        <v>425</v>
      </c>
      <c r="AH175" s="53">
        <f t="shared" si="63"/>
        <v>443</v>
      </c>
      <c r="AI175" s="48">
        <f t="shared" si="63"/>
        <v>461</v>
      </c>
      <c r="AJ175" s="48">
        <f t="shared" si="63"/>
        <v>478</v>
      </c>
      <c r="AK175" s="48">
        <f t="shared" si="63"/>
        <v>496</v>
      </c>
      <c r="AL175" s="48">
        <f t="shared" si="63"/>
        <v>514</v>
      </c>
      <c r="AM175" s="53">
        <f t="shared" si="63"/>
        <v>531</v>
      </c>
    </row>
    <row r="176" spans="1:39" x14ac:dyDescent="0.25">
      <c r="A176" s="53">
        <f>'Pokemon Data'!A175</f>
        <v>174</v>
      </c>
      <c r="B176" s="53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46"/>
        <v>195</v>
      </c>
      <c r="H176" s="61">
        <f t="shared" si="47"/>
        <v>84</v>
      </c>
      <c r="I176" s="61">
        <f t="shared" si="48"/>
        <v>49</v>
      </c>
      <c r="J176" s="53">
        <f t="shared" si="61"/>
        <v>10</v>
      </c>
      <c r="K176" s="48">
        <f t="shared" si="61"/>
        <v>22</v>
      </c>
      <c r="L176" s="48">
        <f t="shared" si="61"/>
        <v>38</v>
      </c>
      <c r="M176" s="48">
        <f t="shared" si="61"/>
        <v>53</v>
      </c>
      <c r="N176" s="53">
        <f t="shared" si="61"/>
        <v>69</v>
      </c>
      <c r="O176" s="48">
        <f t="shared" si="61"/>
        <v>84</v>
      </c>
      <c r="P176" s="48">
        <f t="shared" si="61"/>
        <v>100</v>
      </c>
      <c r="Q176" s="48">
        <f t="shared" si="61"/>
        <v>115</v>
      </c>
      <c r="R176" s="48">
        <f t="shared" si="61"/>
        <v>131</v>
      </c>
      <c r="S176" s="53">
        <f t="shared" si="61"/>
        <v>146</v>
      </c>
      <c r="T176" s="48">
        <f t="shared" si="62"/>
        <v>161</v>
      </c>
      <c r="U176" s="48">
        <f t="shared" si="62"/>
        <v>175</v>
      </c>
      <c r="V176" s="48">
        <f t="shared" si="62"/>
        <v>190</v>
      </c>
      <c r="W176" s="48">
        <f t="shared" si="62"/>
        <v>205</v>
      </c>
      <c r="X176" s="53">
        <f t="shared" si="62"/>
        <v>219</v>
      </c>
      <c r="Y176" s="48">
        <f t="shared" si="62"/>
        <v>234</v>
      </c>
      <c r="Z176" s="48">
        <f t="shared" si="62"/>
        <v>249</v>
      </c>
      <c r="AA176" s="48">
        <f t="shared" si="62"/>
        <v>263</v>
      </c>
      <c r="AB176" s="48">
        <f t="shared" si="62"/>
        <v>278</v>
      </c>
      <c r="AC176" s="53">
        <f t="shared" si="62"/>
        <v>293</v>
      </c>
      <c r="AD176" s="48">
        <f t="shared" si="63"/>
        <v>307</v>
      </c>
      <c r="AE176" s="48">
        <f t="shared" si="63"/>
        <v>322</v>
      </c>
      <c r="AF176" s="48">
        <f t="shared" si="63"/>
        <v>337</v>
      </c>
      <c r="AG176" s="48">
        <f t="shared" si="63"/>
        <v>351</v>
      </c>
      <c r="AH176" s="53">
        <f t="shared" si="63"/>
        <v>366</v>
      </c>
      <c r="AI176" s="48">
        <f t="shared" si="63"/>
        <v>380</v>
      </c>
      <c r="AJ176" s="48">
        <f t="shared" si="63"/>
        <v>395</v>
      </c>
      <c r="AK176" s="48">
        <f t="shared" si="63"/>
        <v>410</v>
      </c>
      <c r="AL176" s="48">
        <f t="shared" si="63"/>
        <v>424</v>
      </c>
      <c r="AM176" s="53">
        <f t="shared" si="63"/>
        <v>439</v>
      </c>
    </row>
    <row r="177" spans="1:39" x14ac:dyDescent="0.25">
      <c r="A177" s="53">
        <f>'Pokemon Data'!A176</f>
        <v>175</v>
      </c>
      <c r="B177" s="53" t="str">
        <f>'Pokemon Data'!B176</f>
        <v>Togepi</v>
      </c>
      <c r="C177" s="61">
        <f>'Pokemon Data'!E176</f>
        <v>86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46"/>
        <v>85</v>
      </c>
      <c r="H177" s="61">
        <f t="shared" si="47"/>
        <v>82</v>
      </c>
      <c r="I177" s="61">
        <f t="shared" si="48"/>
        <v>131</v>
      </c>
      <c r="J177" s="53">
        <f t="shared" si="61"/>
        <v>10</v>
      </c>
      <c r="K177" s="48">
        <f t="shared" si="61"/>
        <v>23</v>
      </c>
      <c r="L177" s="48">
        <f t="shared" si="61"/>
        <v>40</v>
      </c>
      <c r="M177" s="48">
        <f t="shared" si="61"/>
        <v>56</v>
      </c>
      <c r="N177" s="53">
        <f t="shared" si="61"/>
        <v>72</v>
      </c>
      <c r="O177" s="48">
        <f t="shared" si="61"/>
        <v>89</v>
      </c>
      <c r="P177" s="48">
        <f t="shared" si="61"/>
        <v>105</v>
      </c>
      <c r="Q177" s="48">
        <f t="shared" si="61"/>
        <v>121</v>
      </c>
      <c r="R177" s="48">
        <f t="shared" si="61"/>
        <v>138</v>
      </c>
      <c r="S177" s="53">
        <f t="shared" si="61"/>
        <v>154</v>
      </c>
      <c r="T177" s="48">
        <f t="shared" si="62"/>
        <v>169</v>
      </c>
      <c r="U177" s="48">
        <f t="shared" si="62"/>
        <v>185</v>
      </c>
      <c r="V177" s="48">
        <f t="shared" si="62"/>
        <v>200</v>
      </c>
      <c r="W177" s="48">
        <f t="shared" si="62"/>
        <v>216</v>
      </c>
      <c r="X177" s="53">
        <f t="shared" si="62"/>
        <v>231</v>
      </c>
      <c r="Y177" s="48">
        <f t="shared" si="62"/>
        <v>247</v>
      </c>
      <c r="Z177" s="48">
        <f t="shared" si="62"/>
        <v>262</v>
      </c>
      <c r="AA177" s="48">
        <f t="shared" si="62"/>
        <v>277</v>
      </c>
      <c r="AB177" s="48">
        <f t="shared" si="62"/>
        <v>293</v>
      </c>
      <c r="AC177" s="53">
        <f t="shared" si="62"/>
        <v>308</v>
      </c>
      <c r="AD177" s="48">
        <f t="shared" si="63"/>
        <v>324</v>
      </c>
      <c r="AE177" s="48">
        <f t="shared" si="63"/>
        <v>339</v>
      </c>
      <c r="AF177" s="48">
        <f t="shared" si="63"/>
        <v>355</v>
      </c>
      <c r="AG177" s="48">
        <f t="shared" si="63"/>
        <v>370</v>
      </c>
      <c r="AH177" s="53">
        <f t="shared" si="63"/>
        <v>386</v>
      </c>
      <c r="AI177" s="48">
        <f t="shared" si="63"/>
        <v>401</v>
      </c>
      <c r="AJ177" s="48">
        <f t="shared" si="63"/>
        <v>416</v>
      </c>
      <c r="AK177" s="48">
        <f t="shared" si="63"/>
        <v>432</v>
      </c>
      <c r="AL177" s="48">
        <f t="shared" si="63"/>
        <v>447</v>
      </c>
      <c r="AM177" s="53">
        <f t="shared" si="63"/>
        <v>463</v>
      </c>
    </row>
    <row r="178" spans="1:39" x14ac:dyDescent="0.25">
      <c r="A178" s="53">
        <f>'Pokemon Data'!A177</f>
        <v>176</v>
      </c>
      <c r="B178" s="53" t="str">
        <f>'Pokemon Data'!B177</f>
        <v>Togetic</v>
      </c>
      <c r="C178" s="61">
        <f>'Pokemon Data'!E177</f>
        <v>86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46"/>
        <v>125</v>
      </c>
      <c r="H178" s="61">
        <f t="shared" si="47"/>
        <v>154</v>
      </c>
      <c r="I178" s="61">
        <f t="shared" si="48"/>
        <v>206</v>
      </c>
      <c r="J178" s="53">
        <f t="shared" si="61"/>
        <v>21</v>
      </c>
      <c r="K178" s="48">
        <f t="shared" si="61"/>
        <v>68</v>
      </c>
      <c r="L178" s="48">
        <f t="shared" si="61"/>
        <v>115</v>
      </c>
      <c r="M178" s="48">
        <f t="shared" si="61"/>
        <v>161</v>
      </c>
      <c r="N178" s="53">
        <f t="shared" si="61"/>
        <v>208</v>
      </c>
      <c r="O178" s="48">
        <f t="shared" si="61"/>
        <v>254</v>
      </c>
      <c r="P178" s="48">
        <f t="shared" si="61"/>
        <v>301</v>
      </c>
      <c r="Q178" s="48">
        <f t="shared" si="61"/>
        <v>347</v>
      </c>
      <c r="R178" s="48">
        <f t="shared" si="61"/>
        <v>394</v>
      </c>
      <c r="S178" s="53">
        <f t="shared" si="61"/>
        <v>441</v>
      </c>
      <c r="T178" s="48">
        <f t="shared" si="62"/>
        <v>485</v>
      </c>
      <c r="U178" s="48">
        <f t="shared" si="62"/>
        <v>529</v>
      </c>
      <c r="V178" s="48">
        <f t="shared" si="62"/>
        <v>573</v>
      </c>
      <c r="W178" s="48">
        <f t="shared" si="62"/>
        <v>617</v>
      </c>
      <c r="X178" s="53">
        <f t="shared" si="62"/>
        <v>661</v>
      </c>
      <c r="Y178" s="48">
        <f t="shared" si="62"/>
        <v>705</v>
      </c>
      <c r="Z178" s="48">
        <f t="shared" si="62"/>
        <v>749</v>
      </c>
      <c r="AA178" s="48">
        <f t="shared" si="62"/>
        <v>793</v>
      </c>
      <c r="AB178" s="48">
        <f t="shared" si="62"/>
        <v>837</v>
      </c>
      <c r="AC178" s="53">
        <f t="shared" si="62"/>
        <v>881</v>
      </c>
      <c r="AD178" s="48">
        <f t="shared" si="63"/>
        <v>926</v>
      </c>
      <c r="AE178" s="48">
        <f t="shared" si="63"/>
        <v>970</v>
      </c>
      <c r="AF178" s="48">
        <f t="shared" si="63"/>
        <v>1014</v>
      </c>
      <c r="AG178" s="48">
        <f t="shared" si="63"/>
        <v>1058</v>
      </c>
      <c r="AH178" s="53">
        <f t="shared" si="63"/>
        <v>1102</v>
      </c>
      <c r="AI178" s="48">
        <f t="shared" si="63"/>
        <v>1146</v>
      </c>
      <c r="AJ178" s="48">
        <f t="shared" si="63"/>
        <v>1190</v>
      </c>
      <c r="AK178" s="48">
        <f t="shared" si="63"/>
        <v>1234</v>
      </c>
      <c r="AL178" s="48">
        <f t="shared" si="63"/>
        <v>1278</v>
      </c>
      <c r="AM178" s="53">
        <f t="shared" si="63"/>
        <v>1323</v>
      </c>
    </row>
    <row r="179" spans="1:39" x14ac:dyDescent="0.25">
      <c r="A179" s="53">
        <f>'Pokemon Data'!A178</f>
        <v>177</v>
      </c>
      <c r="B179" s="53" t="str">
        <f>'Pokemon Data'!B178</f>
        <v>Natu</v>
      </c>
      <c r="C179" s="61">
        <f>'Pokemon Data'!E178</f>
        <v>87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46"/>
        <v>95</v>
      </c>
      <c r="H179" s="61">
        <f t="shared" si="47"/>
        <v>149</v>
      </c>
      <c r="I179" s="61">
        <f t="shared" si="48"/>
        <v>104</v>
      </c>
      <c r="J179" s="53">
        <f t="shared" si="61"/>
        <v>13</v>
      </c>
      <c r="K179" s="64">
        <f t="shared" si="61"/>
        <v>41</v>
      </c>
      <c r="L179" s="64">
        <f t="shared" si="61"/>
        <v>68</v>
      </c>
      <c r="M179" s="64">
        <f t="shared" si="61"/>
        <v>96</v>
      </c>
      <c r="N179" s="53">
        <f t="shared" si="61"/>
        <v>124</v>
      </c>
      <c r="O179" s="64">
        <f t="shared" si="61"/>
        <v>152</v>
      </c>
      <c r="P179" s="64">
        <f t="shared" si="61"/>
        <v>180</v>
      </c>
      <c r="Q179" s="64">
        <f t="shared" si="61"/>
        <v>208</v>
      </c>
      <c r="R179" s="64">
        <f t="shared" si="61"/>
        <v>236</v>
      </c>
      <c r="S179" s="53">
        <f t="shared" si="61"/>
        <v>264</v>
      </c>
      <c r="T179" s="64">
        <f t="shared" si="62"/>
        <v>290</v>
      </c>
      <c r="U179" s="64">
        <f t="shared" si="62"/>
        <v>317</v>
      </c>
      <c r="V179" s="64">
        <f t="shared" si="62"/>
        <v>343</v>
      </c>
      <c r="W179" s="64">
        <f t="shared" si="62"/>
        <v>370</v>
      </c>
      <c r="X179" s="53">
        <f t="shared" si="62"/>
        <v>396</v>
      </c>
      <c r="Y179" s="64">
        <f t="shared" si="62"/>
        <v>422</v>
      </c>
      <c r="Z179" s="64">
        <f t="shared" si="62"/>
        <v>449</v>
      </c>
      <c r="AA179" s="64">
        <f t="shared" si="62"/>
        <v>475</v>
      </c>
      <c r="AB179" s="64">
        <f t="shared" si="62"/>
        <v>502</v>
      </c>
      <c r="AC179" s="53">
        <f t="shared" si="62"/>
        <v>528</v>
      </c>
      <c r="AD179" s="64">
        <f t="shared" si="63"/>
        <v>554</v>
      </c>
      <c r="AE179" s="64">
        <f t="shared" si="63"/>
        <v>581</v>
      </c>
      <c r="AF179" s="64">
        <f t="shared" si="63"/>
        <v>607</v>
      </c>
      <c r="AG179" s="64">
        <f t="shared" si="63"/>
        <v>634</v>
      </c>
      <c r="AH179" s="53">
        <f t="shared" si="63"/>
        <v>660</v>
      </c>
      <c r="AI179" s="64">
        <f t="shared" si="63"/>
        <v>687</v>
      </c>
      <c r="AJ179" s="64">
        <f t="shared" si="63"/>
        <v>713</v>
      </c>
      <c r="AK179" s="64">
        <f t="shared" si="63"/>
        <v>740</v>
      </c>
      <c r="AL179" s="64">
        <f t="shared" si="63"/>
        <v>766</v>
      </c>
      <c r="AM179" s="53">
        <f t="shared" si="63"/>
        <v>792</v>
      </c>
    </row>
    <row r="180" spans="1:39" x14ac:dyDescent="0.25">
      <c r="A180" s="53">
        <f>'Pokemon Data'!A179</f>
        <v>178</v>
      </c>
      <c r="B180" s="53" t="str">
        <f>'Pokemon Data'!B179</f>
        <v>Xatu</v>
      </c>
      <c r="C180" s="61">
        <f>'Pokemon Data'!E179</f>
        <v>87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46"/>
        <v>145</v>
      </c>
      <c r="H180" s="61">
        <f t="shared" si="47"/>
        <v>207</v>
      </c>
      <c r="I180" s="61">
        <f t="shared" si="48"/>
        <v>161</v>
      </c>
      <c r="J180" s="53">
        <f t="shared" si="61"/>
        <v>27</v>
      </c>
      <c r="K180" s="64">
        <f t="shared" si="61"/>
        <v>87</v>
      </c>
      <c r="L180" s="64">
        <f t="shared" si="61"/>
        <v>147</v>
      </c>
      <c r="M180" s="64">
        <f t="shared" si="61"/>
        <v>206</v>
      </c>
      <c r="N180" s="53">
        <f t="shared" si="61"/>
        <v>266</v>
      </c>
      <c r="O180" s="64">
        <f t="shared" si="61"/>
        <v>326</v>
      </c>
      <c r="P180" s="64">
        <f t="shared" si="61"/>
        <v>385</v>
      </c>
      <c r="Q180" s="64">
        <f t="shared" si="61"/>
        <v>445</v>
      </c>
      <c r="R180" s="64">
        <f t="shared" si="61"/>
        <v>504</v>
      </c>
      <c r="S180" s="53">
        <f t="shared" si="61"/>
        <v>564</v>
      </c>
      <c r="T180" s="64">
        <f t="shared" si="62"/>
        <v>620</v>
      </c>
      <c r="U180" s="64">
        <f t="shared" si="62"/>
        <v>677</v>
      </c>
      <c r="V180" s="64">
        <f t="shared" si="62"/>
        <v>733</v>
      </c>
      <c r="W180" s="64">
        <f t="shared" si="62"/>
        <v>790</v>
      </c>
      <c r="X180" s="53">
        <f t="shared" si="62"/>
        <v>846</v>
      </c>
      <c r="Y180" s="64">
        <f t="shared" si="62"/>
        <v>903</v>
      </c>
      <c r="Z180" s="64">
        <f t="shared" si="62"/>
        <v>959</v>
      </c>
      <c r="AA180" s="64">
        <f t="shared" si="62"/>
        <v>1015</v>
      </c>
      <c r="AB180" s="64">
        <f t="shared" si="62"/>
        <v>1072</v>
      </c>
      <c r="AC180" s="53">
        <f t="shared" si="62"/>
        <v>1128</v>
      </c>
      <c r="AD180" s="64">
        <f t="shared" si="63"/>
        <v>1185</v>
      </c>
      <c r="AE180" s="64">
        <f t="shared" si="63"/>
        <v>1241</v>
      </c>
      <c r="AF180" s="64">
        <f t="shared" si="63"/>
        <v>1298</v>
      </c>
      <c r="AG180" s="64">
        <f t="shared" si="63"/>
        <v>1354</v>
      </c>
      <c r="AH180" s="53">
        <f t="shared" si="63"/>
        <v>1411</v>
      </c>
      <c r="AI180" s="64">
        <f t="shared" si="63"/>
        <v>1467</v>
      </c>
      <c r="AJ180" s="64">
        <f t="shared" si="63"/>
        <v>1523</v>
      </c>
      <c r="AK180" s="64">
        <f t="shared" si="63"/>
        <v>1580</v>
      </c>
      <c r="AL180" s="64">
        <f t="shared" si="63"/>
        <v>1636</v>
      </c>
      <c r="AM180" s="53">
        <f t="shared" si="63"/>
        <v>1693</v>
      </c>
    </row>
    <row r="181" spans="1:39" x14ac:dyDescent="0.25">
      <c r="A181" s="53">
        <f>'Pokemon Data'!A180</f>
        <v>179</v>
      </c>
      <c r="B181" s="53" t="str">
        <f>'Pokemon Data'!B180</f>
        <v>Mareep</v>
      </c>
      <c r="C181" s="61">
        <f>'Pokemon Data'!E180</f>
        <v>88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46"/>
        <v>125</v>
      </c>
      <c r="H181" s="61">
        <f t="shared" si="47"/>
        <v>129</v>
      </c>
      <c r="I181" s="61">
        <f t="shared" si="48"/>
        <v>97</v>
      </c>
      <c r="J181" s="53">
        <f t="shared" si="61"/>
        <v>12</v>
      </c>
      <c r="K181" s="64">
        <f t="shared" si="61"/>
        <v>39</v>
      </c>
      <c r="L181" s="64">
        <f t="shared" si="61"/>
        <v>66</v>
      </c>
      <c r="M181" s="64">
        <f t="shared" si="61"/>
        <v>92</v>
      </c>
      <c r="N181" s="53">
        <f t="shared" si="61"/>
        <v>119</v>
      </c>
      <c r="O181" s="64">
        <f t="shared" si="61"/>
        <v>146</v>
      </c>
      <c r="P181" s="64">
        <f t="shared" si="61"/>
        <v>173</v>
      </c>
      <c r="Q181" s="64">
        <f t="shared" si="61"/>
        <v>200</v>
      </c>
      <c r="R181" s="64">
        <f t="shared" si="61"/>
        <v>226</v>
      </c>
      <c r="S181" s="53">
        <f t="shared" si="61"/>
        <v>253</v>
      </c>
      <c r="T181" s="64">
        <f t="shared" si="62"/>
        <v>278</v>
      </c>
      <c r="U181" s="64">
        <f t="shared" si="62"/>
        <v>304</v>
      </c>
      <c r="V181" s="64">
        <f t="shared" si="62"/>
        <v>329</v>
      </c>
      <c r="W181" s="64">
        <f t="shared" si="62"/>
        <v>354</v>
      </c>
      <c r="X181" s="53">
        <f t="shared" si="62"/>
        <v>380</v>
      </c>
      <c r="Y181" s="64">
        <f t="shared" si="62"/>
        <v>405</v>
      </c>
      <c r="Z181" s="64">
        <f t="shared" si="62"/>
        <v>430</v>
      </c>
      <c r="AA181" s="64">
        <f t="shared" si="62"/>
        <v>456</v>
      </c>
      <c r="AB181" s="64">
        <f t="shared" si="62"/>
        <v>481</v>
      </c>
      <c r="AC181" s="53">
        <f t="shared" si="62"/>
        <v>506</v>
      </c>
      <c r="AD181" s="64">
        <f t="shared" si="63"/>
        <v>532</v>
      </c>
      <c r="AE181" s="64">
        <f t="shared" si="63"/>
        <v>557</v>
      </c>
      <c r="AF181" s="64">
        <f t="shared" si="63"/>
        <v>583</v>
      </c>
      <c r="AG181" s="64">
        <f t="shared" si="63"/>
        <v>608</v>
      </c>
      <c r="AH181" s="53">
        <f t="shared" si="63"/>
        <v>633</v>
      </c>
      <c r="AI181" s="64">
        <f t="shared" si="63"/>
        <v>659</v>
      </c>
      <c r="AJ181" s="64">
        <f t="shared" si="63"/>
        <v>684</v>
      </c>
      <c r="AK181" s="64">
        <f t="shared" si="63"/>
        <v>709</v>
      </c>
      <c r="AL181" s="64">
        <f t="shared" si="63"/>
        <v>735</v>
      </c>
      <c r="AM181" s="53">
        <f t="shared" si="63"/>
        <v>760</v>
      </c>
    </row>
    <row r="182" spans="1:39" x14ac:dyDescent="0.25">
      <c r="A182" s="53">
        <f>'Pokemon Data'!A181</f>
        <v>180</v>
      </c>
      <c r="B182" s="53" t="str">
        <f>'Pokemon Data'!B181</f>
        <v>Flaaffy</v>
      </c>
      <c r="C182" s="61">
        <f>'Pokemon Data'!E181</f>
        <v>88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46"/>
        <v>155</v>
      </c>
      <c r="H182" s="61">
        <f t="shared" si="47"/>
        <v>160</v>
      </c>
      <c r="I182" s="61">
        <f t="shared" si="48"/>
        <v>127</v>
      </c>
      <c r="J182" s="53">
        <f t="shared" si="61"/>
        <v>19</v>
      </c>
      <c r="K182" s="64">
        <f t="shared" si="61"/>
        <v>62</v>
      </c>
      <c r="L182" s="64">
        <f t="shared" si="61"/>
        <v>104</v>
      </c>
      <c r="M182" s="64">
        <f t="shared" si="61"/>
        <v>146</v>
      </c>
      <c r="N182" s="53">
        <f t="shared" si="61"/>
        <v>189</v>
      </c>
      <c r="O182" s="64">
        <f t="shared" si="61"/>
        <v>231</v>
      </c>
      <c r="P182" s="64">
        <f t="shared" si="61"/>
        <v>273</v>
      </c>
      <c r="Q182" s="64">
        <f t="shared" si="61"/>
        <v>316</v>
      </c>
      <c r="R182" s="64">
        <f t="shared" si="61"/>
        <v>358</v>
      </c>
      <c r="S182" s="53">
        <f t="shared" si="61"/>
        <v>400</v>
      </c>
      <c r="T182" s="64">
        <f t="shared" si="62"/>
        <v>440</v>
      </c>
      <c r="U182" s="64">
        <f t="shared" si="62"/>
        <v>480</v>
      </c>
      <c r="V182" s="64">
        <f t="shared" si="62"/>
        <v>520</v>
      </c>
      <c r="W182" s="64">
        <f t="shared" si="62"/>
        <v>560</v>
      </c>
      <c r="X182" s="53">
        <f t="shared" si="62"/>
        <v>600</v>
      </c>
      <c r="Y182" s="64">
        <f t="shared" si="62"/>
        <v>640</v>
      </c>
      <c r="Z182" s="64">
        <f t="shared" si="62"/>
        <v>681</v>
      </c>
      <c r="AA182" s="64">
        <f t="shared" si="62"/>
        <v>721</v>
      </c>
      <c r="AB182" s="64">
        <f t="shared" si="62"/>
        <v>761</v>
      </c>
      <c r="AC182" s="53">
        <f t="shared" si="62"/>
        <v>801</v>
      </c>
      <c r="AD182" s="64">
        <f t="shared" si="63"/>
        <v>841</v>
      </c>
      <c r="AE182" s="64">
        <f t="shared" si="63"/>
        <v>881</v>
      </c>
      <c r="AF182" s="64">
        <f t="shared" si="63"/>
        <v>921</v>
      </c>
      <c r="AG182" s="64">
        <f t="shared" si="63"/>
        <v>961</v>
      </c>
      <c r="AH182" s="53">
        <f t="shared" si="63"/>
        <v>1001</v>
      </c>
      <c r="AI182" s="64">
        <f t="shared" si="63"/>
        <v>1041</v>
      </c>
      <c r="AJ182" s="64">
        <f t="shared" si="63"/>
        <v>1081</v>
      </c>
      <c r="AK182" s="64">
        <f t="shared" si="63"/>
        <v>1121</v>
      </c>
      <c r="AL182" s="64">
        <f t="shared" si="63"/>
        <v>1161</v>
      </c>
      <c r="AM182" s="53">
        <f t="shared" si="63"/>
        <v>1201</v>
      </c>
    </row>
    <row r="183" spans="1:39" x14ac:dyDescent="0.25">
      <c r="A183" s="53">
        <f>'Pokemon Data'!A182</f>
        <v>181</v>
      </c>
      <c r="B183" s="53" t="str">
        <f>'Pokemon Data'!B182</f>
        <v>Ampharos</v>
      </c>
      <c r="C183" s="61">
        <f>'Pokemon Data'!E182</f>
        <v>88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46"/>
        <v>195</v>
      </c>
      <c r="H183" s="61">
        <f t="shared" si="47"/>
        <v>226</v>
      </c>
      <c r="I183" s="61">
        <f t="shared" si="48"/>
        <v>187</v>
      </c>
      <c r="J183" s="53">
        <f t="shared" ref="J183:S192" si="64">MAX(10,INT(SQRT($G183*$I183)*$H183*J$1^2/10))</f>
        <v>38</v>
      </c>
      <c r="K183" s="64">
        <f t="shared" si="64"/>
        <v>119</v>
      </c>
      <c r="L183" s="64">
        <f t="shared" si="64"/>
        <v>200</v>
      </c>
      <c r="M183" s="64">
        <f t="shared" si="64"/>
        <v>282</v>
      </c>
      <c r="N183" s="53">
        <f t="shared" si="64"/>
        <v>363</v>
      </c>
      <c r="O183" s="64">
        <f t="shared" si="64"/>
        <v>444</v>
      </c>
      <c r="P183" s="64">
        <f t="shared" si="64"/>
        <v>526</v>
      </c>
      <c r="Q183" s="64">
        <f t="shared" si="64"/>
        <v>607</v>
      </c>
      <c r="R183" s="64">
        <f t="shared" si="64"/>
        <v>689</v>
      </c>
      <c r="S183" s="53">
        <f t="shared" si="64"/>
        <v>770</v>
      </c>
      <c r="T183" s="64">
        <f t="shared" ref="T183:AC192" si="65">MAX(10,INT(SQRT($G183*$I183)*$H183*T$1^2/10))</f>
        <v>847</v>
      </c>
      <c r="U183" s="64">
        <f t="shared" si="65"/>
        <v>924</v>
      </c>
      <c r="V183" s="64">
        <f t="shared" si="65"/>
        <v>1001</v>
      </c>
      <c r="W183" s="64">
        <f t="shared" si="65"/>
        <v>1078</v>
      </c>
      <c r="X183" s="53">
        <f t="shared" si="65"/>
        <v>1155</v>
      </c>
      <c r="Y183" s="64">
        <f t="shared" si="65"/>
        <v>1232</v>
      </c>
      <c r="Z183" s="64">
        <f t="shared" si="65"/>
        <v>1309</v>
      </c>
      <c r="AA183" s="64">
        <f t="shared" si="65"/>
        <v>1386</v>
      </c>
      <c r="AB183" s="64">
        <f t="shared" si="65"/>
        <v>1463</v>
      </c>
      <c r="AC183" s="53">
        <f t="shared" si="65"/>
        <v>1540</v>
      </c>
      <c r="AD183" s="64">
        <f t="shared" ref="AD183:AM192" si="66">MAX(10,INT(SQRT($G183*$I183)*$H183*AD$1^2/10))</f>
        <v>1617</v>
      </c>
      <c r="AE183" s="64">
        <f t="shared" si="66"/>
        <v>1694</v>
      </c>
      <c r="AF183" s="64">
        <f t="shared" si="66"/>
        <v>1771</v>
      </c>
      <c r="AG183" s="64">
        <f t="shared" si="66"/>
        <v>1848</v>
      </c>
      <c r="AH183" s="53">
        <f t="shared" si="66"/>
        <v>1925</v>
      </c>
      <c r="AI183" s="64">
        <f t="shared" si="66"/>
        <v>2002</v>
      </c>
      <c r="AJ183" s="64">
        <f t="shared" si="66"/>
        <v>2079</v>
      </c>
      <c r="AK183" s="64">
        <f t="shared" si="66"/>
        <v>2156</v>
      </c>
      <c r="AL183" s="64">
        <f t="shared" si="66"/>
        <v>2233</v>
      </c>
      <c r="AM183" s="53">
        <f t="shared" si="66"/>
        <v>2310</v>
      </c>
    </row>
    <row r="184" spans="1:39" x14ac:dyDescent="0.25">
      <c r="A184" s="53">
        <f>'Pokemon Data'!A183</f>
        <v>182</v>
      </c>
      <c r="B184" s="53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46"/>
        <v>165</v>
      </c>
      <c r="H184" s="61">
        <f t="shared" si="47"/>
        <v>184</v>
      </c>
      <c r="I184" s="61">
        <f t="shared" si="48"/>
        <v>204</v>
      </c>
      <c r="J184" s="53">
        <f t="shared" si="64"/>
        <v>29</v>
      </c>
      <c r="K184" s="64">
        <f t="shared" si="64"/>
        <v>93</v>
      </c>
      <c r="L184" s="64">
        <f t="shared" si="64"/>
        <v>157</v>
      </c>
      <c r="M184" s="64">
        <f t="shared" si="64"/>
        <v>220</v>
      </c>
      <c r="N184" s="53">
        <f t="shared" si="64"/>
        <v>284</v>
      </c>
      <c r="O184" s="64">
        <f t="shared" si="64"/>
        <v>348</v>
      </c>
      <c r="P184" s="64">
        <f t="shared" si="64"/>
        <v>411</v>
      </c>
      <c r="Q184" s="64">
        <f t="shared" si="64"/>
        <v>475</v>
      </c>
      <c r="R184" s="64">
        <f t="shared" si="64"/>
        <v>538</v>
      </c>
      <c r="S184" s="53">
        <f t="shared" si="64"/>
        <v>602</v>
      </c>
      <c r="T184" s="64">
        <f t="shared" si="65"/>
        <v>662</v>
      </c>
      <c r="U184" s="64">
        <f t="shared" si="65"/>
        <v>723</v>
      </c>
      <c r="V184" s="64">
        <f t="shared" si="65"/>
        <v>783</v>
      </c>
      <c r="W184" s="64">
        <f t="shared" si="65"/>
        <v>843</v>
      </c>
      <c r="X184" s="53">
        <f t="shared" si="65"/>
        <v>903</v>
      </c>
      <c r="Y184" s="64">
        <f t="shared" si="65"/>
        <v>963</v>
      </c>
      <c r="Z184" s="64">
        <f t="shared" si="65"/>
        <v>1024</v>
      </c>
      <c r="AA184" s="64">
        <f t="shared" si="65"/>
        <v>1084</v>
      </c>
      <c r="AB184" s="64">
        <f t="shared" si="65"/>
        <v>1144</v>
      </c>
      <c r="AC184" s="53">
        <f t="shared" si="65"/>
        <v>1204</v>
      </c>
      <c r="AD184" s="64">
        <f t="shared" si="66"/>
        <v>1265</v>
      </c>
      <c r="AE184" s="64">
        <f t="shared" si="66"/>
        <v>1325</v>
      </c>
      <c r="AF184" s="64">
        <f t="shared" si="66"/>
        <v>1385</v>
      </c>
      <c r="AG184" s="64">
        <f t="shared" si="66"/>
        <v>1445</v>
      </c>
      <c r="AH184" s="53">
        <f t="shared" si="66"/>
        <v>1506</v>
      </c>
      <c r="AI184" s="64">
        <f t="shared" si="66"/>
        <v>1566</v>
      </c>
      <c r="AJ184" s="64">
        <f t="shared" si="66"/>
        <v>1626</v>
      </c>
      <c r="AK184" s="64">
        <f t="shared" si="66"/>
        <v>1686</v>
      </c>
      <c r="AL184" s="64">
        <f t="shared" si="66"/>
        <v>1747</v>
      </c>
      <c r="AM184" s="53">
        <f t="shared" si="66"/>
        <v>1807</v>
      </c>
    </row>
    <row r="185" spans="1:39" x14ac:dyDescent="0.25">
      <c r="A185" s="53">
        <f>'Pokemon Data'!A184</f>
        <v>183</v>
      </c>
      <c r="B185" s="53" t="str">
        <f>'Pokemon Data'!B184</f>
        <v>Marill</v>
      </c>
      <c r="C185" s="61">
        <f>'Pokemon Data'!E184</f>
        <v>89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46"/>
        <v>155</v>
      </c>
      <c r="H185" s="61">
        <f t="shared" si="47"/>
        <v>52</v>
      </c>
      <c r="I185" s="61">
        <f t="shared" si="48"/>
        <v>108</v>
      </c>
      <c r="J185" s="53">
        <f t="shared" si="64"/>
        <v>10</v>
      </c>
      <c r="K185" s="64">
        <f t="shared" si="64"/>
        <v>18</v>
      </c>
      <c r="L185" s="64">
        <f t="shared" si="64"/>
        <v>31</v>
      </c>
      <c r="M185" s="64">
        <f t="shared" si="64"/>
        <v>43</v>
      </c>
      <c r="N185" s="53">
        <f t="shared" si="64"/>
        <v>56</v>
      </c>
      <c r="O185" s="64">
        <f t="shared" si="64"/>
        <v>69</v>
      </c>
      <c r="P185" s="64">
        <f t="shared" si="64"/>
        <v>82</v>
      </c>
      <c r="Q185" s="64">
        <f t="shared" si="64"/>
        <v>94</v>
      </c>
      <c r="R185" s="64">
        <f t="shared" si="64"/>
        <v>107</v>
      </c>
      <c r="S185" s="53">
        <f t="shared" si="64"/>
        <v>120</v>
      </c>
      <c r="T185" s="64">
        <f t="shared" si="65"/>
        <v>132</v>
      </c>
      <c r="U185" s="64">
        <f t="shared" si="65"/>
        <v>144</v>
      </c>
      <c r="V185" s="64">
        <f t="shared" si="65"/>
        <v>156</v>
      </c>
      <c r="W185" s="64">
        <f t="shared" si="65"/>
        <v>168</v>
      </c>
      <c r="X185" s="53">
        <f t="shared" si="65"/>
        <v>180</v>
      </c>
      <c r="Y185" s="64">
        <f t="shared" si="65"/>
        <v>192</v>
      </c>
      <c r="Z185" s="64">
        <f t="shared" si="65"/>
        <v>204</v>
      </c>
      <c r="AA185" s="64">
        <f t="shared" si="65"/>
        <v>216</v>
      </c>
      <c r="AB185" s="64">
        <f t="shared" si="65"/>
        <v>228</v>
      </c>
      <c r="AC185" s="53">
        <f t="shared" si="65"/>
        <v>240</v>
      </c>
      <c r="AD185" s="64">
        <f t="shared" si="66"/>
        <v>252</v>
      </c>
      <c r="AE185" s="64">
        <f t="shared" si="66"/>
        <v>264</v>
      </c>
      <c r="AF185" s="64">
        <f t="shared" si="66"/>
        <v>276</v>
      </c>
      <c r="AG185" s="64">
        <f t="shared" si="66"/>
        <v>288</v>
      </c>
      <c r="AH185" s="53">
        <f t="shared" si="66"/>
        <v>300</v>
      </c>
      <c r="AI185" s="64">
        <f t="shared" si="66"/>
        <v>312</v>
      </c>
      <c r="AJ185" s="64">
        <f t="shared" si="66"/>
        <v>324</v>
      </c>
      <c r="AK185" s="64">
        <f t="shared" si="66"/>
        <v>336</v>
      </c>
      <c r="AL185" s="64">
        <f t="shared" si="66"/>
        <v>348</v>
      </c>
      <c r="AM185" s="53">
        <f t="shared" si="66"/>
        <v>360</v>
      </c>
    </row>
    <row r="186" spans="1:39" x14ac:dyDescent="0.25">
      <c r="A186" s="53">
        <f>'Pokemon Data'!A185</f>
        <v>184</v>
      </c>
      <c r="B186" s="53" t="str">
        <f>'Pokemon Data'!B185</f>
        <v>Azumarill</v>
      </c>
      <c r="C186" s="61">
        <f>'Pokemon Data'!E185</f>
        <v>89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46"/>
        <v>215</v>
      </c>
      <c r="H186" s="61">
        <f t="shared" si="47"/>
        <v>127</v>
      </c>
      <c r="I186" s="61">
        <f t="shared" si="48"/>
        <v>167</v>
      </c>
      <c r="J186" s="53">
        <f t="shared" si="64"/>
        <v>21</v>
      </c>
      <c r="K186" s="64">
        <f t="shared" si="64"/>
        <v>66</v>
      </c>
      <c r="L186" s="64">
        <f t="shared" si="64"/>
        <v>111</v>
      </c>
      <c r="M186" s="64">
        <f t="shared" si="64"/>
        <v>157</v>
      </c>
      <c r="N186" s="53">
        <f t="shared" si="64"/>
        <v>202</v>
      </c>
      <c r="O186" s="64">
        <f t="shared" si="64"/>
        <v>248</v>
      </c>
      <c r="P186" s="64">
        <f t="shared" si="64"/>
        <v>293</v>
      </c>
      <c r="Q186" s="64">
        <f t="shared" si="64"/>
        <v>338</v>
      </c>
      <c r="R186" s="64">
        <f t="shared" si="64"/>
        <v>384</v>
      </c>
      <c r="S186" s="53">
        <f t="shared" si="64"/>
        <v>429</v>
      </c>
      <c r="T186" s="64">
        <f t="shared" si="65"/>
        <v>472</v>
      </c>
      <c r="U186" s="64">
        <f t="shared" si="65"/>
        <v>515</v>
      </c>
      <c r="V186" s="64">
        <f t="shared" si="65"/>
        <v>558</v>
      </c>
      <c r="W186" s="64">
        <f t="shared" si="65"/>
        <v>601</v>
      </c>
      <c r="X186" s="53">
        <f t="shared" si="65"/>
        <v>644</v>
      </c>
      <c r="Y186" s="64">
        <f t="shared" si="65"/>
        <v>687</v>
      </c>
      <c r="Z186" s="64">
        <f t="shared" si="65"/>
        <v>730</v>
      </c>
      <c r="AA186" s="64">
        <f t="shared" si="65"/>
        <v>772</v>
      </c>
      <c r="AB186" s="64">
        <f t="shared" si="65"/>
        <v>815</v>
      </c>
      <c r="AC186" s="53">
        <f t="shared" si="65"/>
        <v>858</v>
      </c>
      <c r="AD186" s="64">
        <f t="shared" si="66"/>
        <v>901</v>
      </c>
      <c r="AE186" s="64">
        <f t="shared" si="66"/>
        <v>944</v>
      </c>
      <c r="AF186" s="64">
        <f t="shared" si="66"/>
        <v>987</v>
      </c>
      <c r="AG186" s="64">
        <f t="shared" si="66"/>
        <v>1030</v>
      </c>
      <c r="AH186" s="53">
        <f t="shared" si="66"/>
        <v>1073</v>
      </c>
      <c r="AI186" s="64">
        <f t="shared" si="66"/>
        <v>1116</v>
      </c>
      <c r="AJ186" s="64">
        <f t="shared" si="66"/>
        <v>1159</v>
      </c>
      <c r="AK186" s="64">
        <f t="shared" si="66"/>
        <v>1202</v>
      </c>
      <c r="AL186" s="64">
        <f t="shared" si="66"/>
        <v>1245</v>
      </c>
      <c r="AM186" s="53">
        <f t="shared" si="66"/>
        <v>1288</v>
      </c>
    </row>
    <row r="187" spans="1:39" x14ac:dyDescent="0.25">
      <c r="A187" s="53">
        <f>'Pokemon Data'!A186</f>
        <v>185</v>
      </c>
      <c r="B187" s="53" t="str">
        <f>'Pokemon Data'!B186</f>
        <v>Sudowoodo</v>
      </c>
      <c r="C187" s="61">
        <f>'Pokemon Data'!E186</f>
        <v>90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46"/>
        <v>155</v>
      </c>
      <c r="H187" s="61">
        <f t="shared" si="47"/>
        <v>182</v>
      </c>
      <c r="I187" s="61">
        <f t="shared" si="48"/>
        <v>213</v>
      </c>
      <c r="J187" s="53">
        <f t="shared" si="64"/>
        <v>29</v>
      </c>
      <c r="K187" s="64">
        <f t="shared" si="64"/>
        <v>91</v>
      </c>
      <c r="L187" s="64">
        <f t="shared" si="64"/>
        <v>153</v>
      </c>
      <c r="M187" s="64">
        <f t="shared" si="64"/>
        <v>216</v>
      </c>
      <c r="N187" s="53">
        <f t="shared" si="64"/>
        <v>278</v>
      </c>
      <c r="O187" s="64">
        <f t="shared" si="64"/>
        <v>340</v>
      </c>
      <c r="P187" s="64">
        <f t="shared" si="64"/>
        <v>403</v>
      </c>
      <c r="Q187" s="64">
        <f t="shared" si="64"/>
        <v>465</v>
      </c>
      <c r="R187" s="64">
        <f t="shared" si="64"/>
        <v>527</v>
      </c>
      <c r="S187" s="53">
        <f t="shared" si="64"/>
        <v>590</v>
      </c>
      <c r="T187" s="64">
        <f t="shared" si="65"/>
        <v>649</v>
      </c>
      <c r="U187" s="64">
        <f t="shared" si="65"/>
        <v>708</v>
      </c>
      <c r="V187" s="64">
        <f t="shared" si="65"/>
        <v>767</v>
      </c>
      <c r="W187" s="64">
        <f t="shared" si="65"/>
        <v>826</v>
      </c>
      <c r="X187" s="53">
        <f t="shared" si="65"/>
        <v>885</v>
      </c>
      <c r="Y187" s="64">
        <f t="shared" si="65"/>
        <v>944</v>
      </c>
      <c r="Z187" s="64">
        <f t="shared" si="65"/>
        <v>1003</v>
      </c>
      <c r="AA187" s="64">
        <f t="shared" si="65"/>
        <v>1062</v>
      </c>
      <c r="AB187" s="64">
        <f t="shared" si="65"/>
        <v>1121</v>
      </c>
      <c r="AC187" s="53">
        <f t="shared" si="65"/>
        <v>1180</v>
      </c>
      <c r="AD187" s="64">
        <f t="shared" si="66"/>
        <v>1239</v>
      </c>
      <c r="AE187" s="64">
        <f t="shared" si="66"/>
        <v>1298</v>
      </c>
      <c r="AF187" s="64">
        <f t="shared" si="66"/>
        <v>1357</v>
      </c>
      <c r="AG187" s="64">
        <f t="shared" si="66"/>
        <v>1416</v>
      </c>
      <c r="AH187" s="53">
        <f t="shared" si="66"/>
        <v>1475</v>
      </c>
      <c r="AI187" s="64">
        <f t="shared" si="66"/>
        <v>1534</v>
      </c>
      <c r="AJ187" s="64">
        <f t="shared" si="66"/>
        <v>1593</v>
      </c>
      <c r="AK187" s="64">
        <f t="shared" si="66"/>
        <v>1652</v>
      </c>
      <c r="AL187" s="64">
        <f t="shared" si="66"/>
        <v>1711</v>
      </c>
      <c r="AM187" s="53">
        <f t="shared" si="66"/>
        <v>1770</v>
      </c>
    </row>
    <row r="188" spans="1:39" x14ac:dyDescent="0.25">
      <c r="A188" s="53">
        <f>'Pokemon Data'!A187</f>
        <v>186</v>
      </c>
      <c r="B188" s="53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46"/>
        <v>195</v>
      </c>
      <c r="H188" s="61">
        <f t="shared" si="47"/>
        <v>189</v>
      </c>
      <c r="I188" s="61">
        <f t="shared" si="48"/>
        <v>207</v>
      </c>
      <c r="J188" s="53">
        <f t="shared" si="64"/>
        <v>33</v>
      </c>
      <c r="K188" s="64">
        <f t="shared" si="64"/>
        <v>105</v>
      </c>
      <c r="L188" s="64">
        <f t="shared" si="64"/>
        <v>176</v>
      </c>
      <c r="M188" s="64">
        <f t="shared" si="64"/>
        <v>248</v>
      </c>
      <c r="N188" s="53">
        <f t="shared" si="64"/>
        <v>319</v>
      </c>
      <c r="O188" s="64">
        <f t="shared" si="64"/>
        <v>391</v>
      </c>
      <c r="P188" s="64">
        <f t="shared" si="64"/>
        <v>463</v>
      </c>
      <c r="Q188" s="64">
        <f t="shared" si="64"/>
        <v>534</v>
      </c>
      <c r="R188" s="64">
        <f t="shared" si="64"/>
        <v>606</v>
      </c>
      <c r="S188" s="53">
        <f t="shared" si="64"/>
        <v>677</v>
      </c>
      <c r="T188" s="64">
        <f t="shared" si="65"/>
        <v>745</v>
      </c>
      <c r="U188" s="64">
        <f t="shared" si="65"/>
        <v>813</v>
      </c>
      <c r="V188" s="64">
        <f t="shared" si="65"/>
        <v>881</v>
      </c>
      <c r="W188" s="64">
        <f t="shared" si="65"/>
        <v>948</v>
      </c>
      <c r="X188" s="53">
        <f t="shared" si="65"/>
        <v>1016</v>
      </c>
      <c r="Y188" s="64">
        <f t="shared" si="65"/>
        <v>1084</v>
      </c>
      <c r="Z188" s="64">
        <f t="shared" si="65"/>
        <v>1151</v>
      </c>
      <c r="AA188" s="64">
        <f t="shared" si="65"/>
        <v>1219</v>
      </c>
      <c r="AB188" s="64">
        <f t="shared" si="65"/>
        <v>1287</v>
      </c>
      <c r="AC188" s="53">
        <f t="shared" si="65"/>
        <v>1355</v>
      </c>
      <c r="AD188" s="64">
        <f t="shared" si="66"/>
        <v>1422</v>
      </c>
      <c r="AE188" s="64">
        <f t="shared" si="66"/>
        <v>1490</v>
      </c>
      <c r="AF188" s="64">
        <f t="shared" si="66"/>
        <v>1558</v>
      </c>
      <c r="AG188" s="64">
        <f t="shared" si="66"/>
        <v>1626</v>
      </c>
      <c r="AH188" s="53">
        <f t="shared" si="66"/>
        <v>1694</v>
      </c>
      <c r="AI188" s="64">
        <f t="shared" si="66"/>
        <v>1761</v>
      </c>
      <c r="AJ188" s="64">
        <f t="shared" si="66"/>
        <v>1829</v>
      </c>
      <c r="AK188" s="64">
        <f t="shared" si="66"/>
        <v>1897</v>
      </c>
      <c r="AL188" s="64">
        <f t="shared" si="66"/>
        <v>1965</v>
      </c>
      <c r="AM188" s="53">
        <f t="shared" si="66"/>
        <v>2032</v>
      </c>
    </row>
    <row r="189" spans="1:39" x14ac:dyDescent="0.25">
      <c r="A189" s="53">
        <f>'Pokemon Data'!A188</f>
        <v>187</v>
      </c>
      <c r="B189" s="53" t="str">
        <f>'Pokemon Data'!B188</f>
        <v>Hoppip</v>
      </c>
      <c r="C189" s="61">
        <f>'Pokemon Data'!E188</f>
        <v>91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46"/>
        <v>85</v>
      </c>
      <c r="H189" s="61">
        <f t="shared" si="47"/>
        <v>82</v>
      </c>
      <c r="I189" s="61">
        <f t="shared" si="48"/>
        <v>116</v>
      </c>
      <c r="J189" s="53">
        <f t="shared" si="64"/>
        <v>10</v>
      </c>
      <c r="K189" s="64">
        <f t="shared" si="64"/>
        <v>22</v>
      </c>
      <c r="L189" s="64">
        <f t="shared" si="64"/>
        <v>37</v>
      </c>
      <c r="M189" s="64">
        <f t="shared" si="64"/>
        <v>53</v>
      </c>
      <c r="N189" s="53">
        <f t="shared" si="64"/>
        <v>68</v>
      </c>
      <c r="O189" s="64">
        <f t="shared" si="64"/>
        <v>83</v>
      </c>
      <c r="P189" s="64">
        <f t="shared" si="64"/>
        <v>99</v>
      </c>
      <c r="Q189" s="64">
        <f t="shared" si="64"/>
        <v>114</v>
      </c>
      <c r="R189" s="64">
        <f t="shared" si="64"/>
        <v>129</v>
      </c>
      <c r="S189" s="53">
        <f t="shared" si="64"/>
        <v>145</v>
      </c>
      <c r="T189" s="64">
        <f t="shared" si="65"/>
        <v>159</v>
      </c>
      <c r="U189" s="64">
        <f t="shared" si="65"/>
        <v>174</v>
      </c>
      <c r="V189" s="64">
        <f t="shared" si="65"/>
        <v>188</v>
      </c>
      <c r="W189" s="64">
        <f t="shared" si="65"/>
        <v>203</v>
      </c>
      <c r="X189" s="53">
        <f t="shared" si="65"/>
        <v>217</v>
      </c>
      <c r="Y189" s="64">
        <f t="shared" si="65"/>
        <v>232</v>
      </c>
      <c r="Z189" s="64">
        <f t="shared" si="65"/>
        <v>247</v>
      </c>
      <c r="AA189" s="64">
        <f t="shared" si="65"/>
        <v>261</v>
      </c>
      <c r="AB189" s="64">
        <f t="shared" si="65"/>
        <v>276</v>
      </c>
      <c r="AC189" s="53">
        <f t="shared" si="65"/>
        <v>290</v>
      </c>
      <c r="AD189" s="64">
        <f t="shared" si="66"/>
        <v>305</v>
      </c>
      <c r="AE189" s="64">
        <f t="shared" si="66"/>
        <v>319</v>
      </c>
      <c r="AF189" s="64">
        <f t="shared" si="66"/>
        <v>334</v>
      </c>
      <c r="AG189" s="64">
        <f t="shared" si="66"/>
        <v>348</v>
      </c>
      <c r="AH189" s="53">
        <f t="shared" si="66"/>
        <v>363</v>
      </c>
      <c r="AI189" s="64">
        <f t="shared" si="66"/>
        <v>377</v>
      </c>
      <c r="AJ189" s="64">
        <f t="shared" si="66"/>
        <v>392</v>
      </c>
      <c r="AK189" s="64">
        <f t="shared" si="66"/>
        <v>406</v>
      </c>
      <c r="AL189" s="64">
        <f t="shared" si="66"/>
        <v>421</v>
      </c>
      <c r="AM189" s="53">
        <f t="shared" si="66"/>
        <v>435</v>
      </c>
    </row>
    <row r="190" spans="1:39" x14ac:dyDescent="0.25">
      <c r="A190" s="53">
        <f>'Pokemon Data'!A189</f>
        <v>188</v>
      </c>
      <c r="B190" s="53" t="str">
        <f>'Pokemon Data'!B189</f>
        <v>Skiploom</v>
      </c>
      <c r="C190" s="61">
        <f>'Pokemon Data'!E189</f>
        <v>91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46"/>
        <v>125</v>
      </c>
      <c r="H190" s="61">
        <f t="shared" si="47"/>
        <v>106</v>
      </c>
      <c r="I190" s="61">
        <f t="shared" si="48"/>
        <v>142</v>
      </c>
      <c r="J190" s="53">
        <f t="shared" si="64"/>
        <v>12</v>
      </c>
      <c r="K190" s="64">
        <f t="shared" si="64"/>
        <v>39</v>
      </c>
      <c r="L190" s="64">
        <f t="shared" si="64"/>
        <v>65</v>
      </c>
      <c r="M190" s="64">
        <f t="shared" si="64"/>
        <v>92</v>
      </c>
      <c r="N190" s="53">
        <f t="shared" si="64"/>
        <v>118</v>
      </c>
      <c r="O190" s="64">
        <f t="shared" si="64"/>
        <v>145</v>
      </c>
      <c r="P190" s="64">
        <f t="shared" si="64"/>
        <v>172</v>
      </c>
      <c r="Q190" s="64">
        <f t="shared" si="64"/>
        <v>198</v>
      </c>
      <c r="R190" s="64">
        <f t="shared" si="64"/>
        <v>225</v>
      </c>
      <c r="S190" s="53">
        <f t="shared" si="64"/>
        <v>252</v>
      </c>
      <c r="T190" s="64">
        <f t="shared" si="65"/>
        <v>277</v>
      </c>
      <c r="U190" s="64">
        <f t="shared" si="65"/>
        <v>302</v>
      </c>
      <c r="V190" s="64">
        <f t="shared" si="65"/>
        <v>327</v>
      </c>
      <c r="W190" s="64">
        <f t="shared" si="65"/>
        <v>352</v>
      </c>
      <c r="X190" s="53">
        <f t="shared" si="65"/>
        <v>378</v>
      </c>
      <c r="Y190" s="64">
        <f t="shared" si="65"/>
        <v>403</v>
      </c>
      <c r="Z190" s="64">
        <f t="shared" si="65"/>
        <v>428</v>
      </c>
      <c r="AA190" s="64">
        <f t="shared" si="65"/>
        <v>453</v>
      </c>
      <c r="AB190" s="64">
        <f t="shared" si="65"/>
        <v>478</v>
      </c>
      <c r="AC190" s="53">
        <f t="shared" si="65"/>
        <v>504</v>
      </c>
      <c r="AD190" s="64">
        <f t="shared" si="66"/>
        <v>529</v>
      </c>
      <c r="AE190" s="64">
        <f t="shared" si="66"/>
        <v>554</v>
      </c>
      <c r="AF190" s="64">
        <f t="shared" si="66"/>
        <v>579</v>
      </c>
      <c r="AG190" s="64">
        <f t="shared" si="66"/>
        <v>604</v>
      </c>
      <c r="AH190" s="53">
        <f t="shared" si="66"/>
        <v>630</v>
      </c>
      <c r="AI190" s="64">
        <f t="shared" si="66"/>
        <v>655</v>
      </c>
      <c r="AJ190" s="64">
        <f t="shared" si="66"/>
        <v>680</v>
      </c>
      <c r="AK190" s="64">
        <f t="shared" si="66"/>
        <v>705</v>
      </c>
      <c r="AL190" s="64">
        <f t="shared" si="66"/>
        <v>730</v>
      </c>
      <c r="AM190" s="53">
        <f t="shared" si="66"/>
        <v>756</v>
      </c>
    </row>
    <row r="191" spans="1:39" x14ac:dyDescent="0.25">
      <c r="A191" s="53">
        <f>'Pokemon Data'!A190</f>
        <v>189</v>
      </c>
      <c r="B191" s="53" t="str">
        <f>'Pokemon Data'!B190</f>
        <v>Jumpluff</v>
      </c>
      <c r="C191" s="61">
        <f>'Pokemon Data'!E190</f>
        <v>91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46"/>
        <v>165</v>
      </c>
      <c r="H191" s="61">
        <f t="shared" si="47"/>
        <v>133</v>
      </c>
      <c r="I191" s="61">
        <f t="shared" si="48"/>
        <v>212</v>
      </c>
      <c r="J191" s="53">
        <f t="shared" si="64"/>
        <v>21</v>
      </c>
      <c r="K191" s="64">
        <f t="shared" si="64"/>
        <v>68</v>
      </c>
      <c r="L191" s="64">
        <f t="shared" si="64"/>
        <v>115</v>
      </c>
      <c r="M191" s="64">
        <f t="shared" si="64"/>
        <v>162</v>
      </c>
      <c r="N191" s="53">
        <f t="shared" si="64"/>
        <v>209</v>
      </c>
      <c r="O191" s="64">
        <f t="shared" si="64"/>
        <v>256</v>
      </c>
      <c r="P191" s="64">
        <f t="shared" si="64"/>
        <v>303</v>
      </c>
      <c r="Q191" s="64">
        <f t="shared" si="64"/>
        <v>350</v>
      </c>
      <c r="R191" s="64">
        <f t="shared" si="64"/>
        <v>397</v>
      </c>
      <c r="S191" s="53">
        <f t="shared" si="64"/>
        <v>444</v>
      </c>
      <c r="T191" s="64">
        <f t="shared" si="65"/>
        <v>488</v>
      </c>
      <c r="U191" s="64">
        <f t="shared" si="65"/>
        <v>532</v>
      </c>
      <c r="V191" s="64">
        <f t="shared" si="65"/>
        <v>577</v>
      </c>
      <c r="W191" s="64">
        <f t="shared" si="65"/>
        <v>621</v>
      </c>
      <c r="X191" s="53">
        <f t="shared" si="65"/>
        <v>665</v>
      </c>
      <c r="Y191" s="64">
        <f t="shared" si="65"/>
        <v>710</v>
      </c>
      <c r="Z191" s="64">
        <f t="shared" si="65"/>
        <v>754</v>
      </c>
      <c r="AA191" s="64">
        <f t="shared" si="65"/>
        <v>799</v>
      </c>
      <c r="AB191" s="64">
        <f t="shared" si="65"/>
        <v>843</v>
      </c>
      <c r="AC191" s="53">
        <f t="shared" si="65"/>
        <v>887</v>
      </c>
      <c r="AD191" s="64">
        <f t="shared" si="66"/>
        <v>932</v>
      </c>
      <c r="AE191" s="64">
        <f t="shared" si="66"/>
        <v>976</v>
      </c>
      <c r="AF191" s="64">
        <f t="shared" si="66"/>
        <v>1020</v>
      </c>
      <c r="AG191" s="64">
        <f t="shared" si="66"/>
        <v>1065</v>
      </c>
      <c r="AH191" s="53">
        <f t="shared" si="66"/>
        <v>1109</v>
      </c>
      <c r="AI191" s="64">
        <f t="shared" si="66"/>
        <v>1154</v>
      </c>
      <c r="AJ191" s="64">
        <f t="shared" si="66"/>
        <v>1198</v>
      </c>
      <c r="AK191" s="64">
        <f t="shared" si="66"/>
        <v>1242</v>
      </c>
      <c r="AL191" s="64">
        <f t="shared" si="66"/>
        <v>1287</v>
      </c>
      <c r="AM191" s="53">
        <f t="shared" si="66"/>
        <v>1331</v>
      </c>
    </row>
    <row r="192" spans="1:39" x14ac:dyDescent="0.25">
      <c r="A192" s="53">
        <f>'Pokemon Data'!A191</f>
        <v>190</v>
      </c>
      <c r="B192" s="53" t="str">
        <f>'Pokemon Data'!B191</f>
        <v>Aipom</v>
      </c>
      <c r="C192" s="61">
        <f>'Pokemon Data'!E191</f>
        <v>92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46"/>
        <v>125</v>
      </c>
      <c r="H192" s="61">
        <f t="shared" si="47"/>
        <v>151</v>
      </c>
      <c r="I192" s="61">
        <f t="shared" si="48"/>
        <v>127</v>
      </c>
      <c r="J192" s="53">
        <f t="shared" si="64"/>
        <v>16</v>
      </c>
      <c r="K192" s="64">
        <f t="shared" si="64"/>
        <v>52</v>
      </c>
      <c r="L192" s="64">
        <f t="shared" si="64"/>
        <v>88</v>
      </c>
      <c r="M192" s="64">
        <f t="shared" si="64"/>
        <v>124</v>
      </c>
      <c r="N192" s="53">
        <f t="shared" si="64"/>
        <v>160</v>
      </c>
      <c r="O192" s="64">
        <f t="shared" si="64"/>
        <v>196</v>
      </c>
      <c r="P192" s="64">
        <f t="shared" si="64"/>
        <v>232</v>
      </c>
      <c r="Q192" s="64">
        <f t="shared" si="64"/>
        <v>267</v>
      </c>
      <c r="R192" s="64">
        <f t="shared" si="64"/>
        <v>303</v>
      </c>
      <c r="S192" s="53">
        <f t="shared" si="64"/>
        <v>339</v>
      </c>
      <c r="T192" s="64">
        <f t="shared" si="65"/>
        <v>373</v>
      </c>
      <c r="U192" s="64">
        <f t="shared" si="65"/>
        <v>407</v>
      </c>
      <c r="V192" s="64">
        <f t="shared" si="65"/>
        <v>441</v>
      </c>
      <c r="W192" s="64">
        <f t="shared" si="65"/>
        <v>475</v>
      </c>
      <c r="X192" s="53">
        <f t="shared" si="65"/>
        <v>509</v>
      </c>
      <c r="Y192" s="64">
        <f t="shared" si="65"/>
        <v>543</v>
      </c>
      <c r="Z192" s="64">
        <f t="shared" si="65"/>
        <v>577</v>
      </c>
      <c r="AA192" s="64">
        <f t="shared" si="65"/>
        <v>611</v>
      </c>
      <c r="AB192" s="64">
        <f t="shared" si="65"/>
        <v>645</v>
      </c>
      <c r="AC192" s="53">
        <f t="shared" si="65"/>
        <v>678</v>
      </c>
      <c r="AD192" s="64">
        <f t="shared" si="66"/>
        <v>712</v>
      </c>
      <c r="AE192" s="64">
        <f t="shared" si="66"/>
        <v>746</v>
      </c>
      <c r="AF192" s="64">
        <f t="shared" si="66"/>
        <v>780</v>
      </c>
      <c r="AG192" s="64">
        <f t="shared" si="66"/>
        <v>814</v>
      </c>
      <c r="AH192" s="53">
        <f t="shared" si="66"/>
        <v>848</v>
      </c>
      <c r="AI192" s="64">
        <f t="shared" si="66"/>
        <v>882</v>
      </c>
      <c r="AJ192" s="64">
        <f t="shared" si="66"/>
        <v>916</v>
      </c>
      <c r="AK192" s="64">
        <f t="shared" si="66"/>
        <v>950</v>
      </c>
      <c r="AL192" s="64">
        <f t="shared" si="66"/>
        <v>984</v>
      </c>
      <c r="AM192" s="53">
        <f t="shared" si="66"/>
        <v>1018</v>
      </c>
    </row>
    <row r="193" spans="1:39" x14ac:dyDescent="0.25">
      <c r="A193" s="53">
        <f>'Pokemon Data'!A192</f>
        <v>191</v>
      </c>
      <c r="B193" s="53" t="str">
        <f>'Pokemon Data'!B192</f>
        <v>Sunkern</v>
      </c>
      <c r="C193" s="61">
        <f>'Pokemon Data'!E192</f>
        <v>93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46"/>
        <v>75</v>
      </c>
      <c r="H193" s="61">
        <f t="shared" si="47"/>
        <v>70</v>
      </c>
      <c r="I193" s="61">
        <f t="shared" si="48"/>
        <v>70</v>
      </c>
      <c r="J193" s="53">
        <f t="shared" ref="J193:S202" si="67">MAX(10,INT(SQRT($G193*$I193)*$H193*J$1^2/10))</f>
        <v>10</v>
      </c>
      <c r="K193" s="64">
        <f t="shared" si="67"/>
        <v>14</v>
      </c>
      <c r="L193" s="64">
        <f t="shared" si="67"/>
        <v>23</v>
      </c>
      <c r="M193" s="64">
        <f t="shared" si="67"/>
        <v>33</v>
      </c>
      <c r="N193" s="53">
        <f t="shared" si="67"/>
        <v>42</v>
      </c>
      <c r="O193" s="64">
        <f t="shared" si="67"/>
        <v>52</v>
      </c>
      <c r="P193" s="64">
        <f t="shared" si="67"/>
        <v>61</v>
      </c>
      <c r="Q193" s="64">
        <f t="shared" si="67"/>
        <v>71</v>
      </c>
      <c r="R193" s="64">
        <f t="shared" si="67"/>
        <v>80</v>
      </c>
      <c r="S193" s="53">
        <f t="shared" si="67"/>
        <v>90</v>
      </c>
      <c r="T193" s="64">
        <f t="shared" ref="T193:AC202" si="68">MAX(10,INT(SQRT($G193*$I193)*$H193*T$1^2/10))</f>
        <v>99</v>
      </c>
      <c r="U193" s="64">
        <f t="shared" si="68"/>
        <v>108</v>
      </c>
      <c r="V193" s="64">
        <f t="shared" si="68"/>
        <v>117</v>
      </c>
      <c r="W193" s="64">
        <f t="shared" si="68"/>
        <v>126</v>
      </c>
      <c r="X193" s="53">
        <f t="shared" si="68"/>
        <v>135</v>
      </c>
      <c r="Y193" s="64">
        <f t="shared" si="68"/>
        <v>144</v>
      </c>
      <c r="Z193" s="64">
        <f t="shared" si="68"/>
        <v>153</v>
      </c>
      <c r="AA193" s="64">
        <f t="shared" si="68"/>
        <v>162</v>
      </c>
      <c r="AB193" s="64">
        <f t="shared" si="68"/>
        <v>171</v>
      </c>
      <c r="AC193" s="53">
        <f t="shared" si="68"/>
        <v>181</v>
      </c>
      <c r="AD193" s="64">
        <f t="shared" ref="AD193:AM202" si="69">MAX(10,INT(SQRT($G193*$I193)*$H193*AD$1^2/10))</f>
        <v>190</v>
      </c>
      <c r="AE193" s="64">
        <f t="shared" si="69"/>
        <v>199</v>
      </c>
      <c r="AF193" s="64">
        <f t="shared" si="69"/>
        <v>208</v>
      </c>
      <c r="AG193" s="64">
        <f t="shared" si="69"/>
        <v>217</v>
      </c>
      <c r="AH193" s="53">
        <f t="shared" si="69"/>
        <v>226</v>
      </c>
      <c r="AI193" s="64">
        <f t="shared" si="69"/>
        <v>235</v>
      </c>
      <c r="AJ193" s="64">
        <f t="shared" si="69"/>
        <v>244</v>
      </c>
      <c r="AK193" s="64">
        <f t="shared" si="69"/>
        <v>253</v>
      </c>
      <c r="AL193" s="64">
        <f t="shared" si="69"/>
        <v>262</v>
      </c>
      <c r="AM193" s="53">
        <f t="shared" si="69"/>
        <v>271</v>
      </c>
    </row>
    <row r="194" spans="1:39" x14ac:dyDescent="0.25">
      <c r="A194" s="53">
        <f>'Pokemon Data'!A193</f>
        <v>192</v>
      </c>
      <c r="B194" s="53" t="str">
        <f>'Pokemon Data'!B193</f>
        <v>Sunflora</v>
      </c>
      <c r="C194" s="61">
        <f>'Pokemon Data'!E193</f>
        <v>93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46"/>
        <v>165</v>
      </c>
      <c r="H194" s="61">
        <f t="shared" si="47"/>
        <v>200</v>
      </c>
      <c r="I194" s="61">
        <f t="shared" si="48"/>
        <v>163</v>
      </c>
      <c r="J194" s="53">
        <f t="shared" si="67"/>
        <v>28</v>
      </c>
      <c r="K194" s="64">
        <f t="shared" si="67"/>
        <v>90</v>
      </c>
      <c r="L194" s="64">
        <f t="shared" si="67"/>
        <v>152</v>
      </c>
      <c r="M194" s="64">
        <f t="shared" si="67"/>
        <v>214</v>
      </c>
      <c r="N194" s="53">
        <f t="shared" si="67"/>
        <v>276</v>
      </c>
      <c r="O194" s="64">
        <f t="shared" si="67"/>
        <v>338</v>
      </c>
      <c r="P194" s="64">
        <f t="shared" si="67"/>
        <v>399</v>
      </c>
      <c r="Q194" s="64">
        <f t="shared" si="67"/>
        <v>461</v>
      </c>
      <c r="R194" s="64">
        <f t="shared" si="67"/>
        <v>523</v>
      </c>
      <c r="S194" s="53">
        <f t="shared" si="67"/>
        <v>585</v>
      </c>
      <c r="T194" s="64">
        <f t="shared" si="68"/>
        <v>643</v>
      </c>
      <c r="U194" s="64">
        <f t="shared" si="68"/>
        <v>702</v>
      </c>
      <c r="V194" s="64">
        <f t="shared" si="68"/>
        <v>761</v>
      </c>
      <c r="W194" s="64">
        <f t="shared" si="68"/>
        <v>819</v>
      </c>
      <c r="X194" s="53">
        <f t="shared" si="68"/>
        <v>878</v>
      </c>
      <c r="Y194" s="64">
        <f t="shared" si="68"/>
        <v>936</v>
      </c>
      <c r="Z194" s="64">
        <f t="shared" si="68"/>
        <v>995</v>
      </c>
      <c r="AA194" s="64">
        <f t="shared" si="68"/>
        <v>1053</v>
      </c>
      <c r="AB194" s="64">
        <f t="shared" si="68"/>
        <v>1112</v>
      </c>
      <c r="AC194" s="53">
        <f t="shared" si="68"/>
        <v>1170</v>
      </c>
      <c r="AD194" s="64">
        <f t="shared" si="69"/>
        <v>1229</v>
      </c>
      <c r="AE194" s="64">
        <f t="shared" si="69"/>
        <v>1287</v>
      </c>
      <c r="AF194" s="64">
        <f t="shared" si="69"/>
        <v>1346</v>
      </c>
      <c r="AG194" s="64">
        <f t="shared" si="69"/>
        <v>1404</v>
      </c>
      <c r="AH194" s="53">
        <f t="shared" si="69"/>
        <v>1463</v>
      </c>
      <c r="AI194" s="64">
        <f t="shared" si="69"/>
        <v>1521</v>
      </c>
      <c r="AJ194" s="64">
        <f t="shared" si="69"/>
        <v>1580</v>
      </c>
      <c r="AK194" s="64">
        <f t="shared" si="69"/>
        <v>1638</v>
      </c>
      <c r="AL194" s="64">
        <f t="shared" si="69"/>
        <v>1697</v>
      </c>
      <c r="AM194" s="53">
        <f t="shared" si="69"/>
        <v>1756</v>
      </c>
    </row>
    <row r="195" spans="1:39" x14ac:dyDescent="0.25">
      <c r="A195" s="53">
        <f>'Pokemon Data'!A194</f>
        <v>193</v>
      </c>
      <c r="B195" s="53" t="str">
        <f>'Pokemon Data'!B194</f>
        <v>Yanma</v>
      </c>
      <c r="C195" s="61">
        <f>'Pokemon Data'!E194</f>
        <v>94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ref="G195:G253" si="70">D195+15</f>
        <v>145</v>
      </c>
      <c r="H195" s="61">
        <f t="shared" ref="H195:H253" si="71">E195+15</f>
        <v>169</v>
      </c>
      <c r="I195" s="61">
        <f t="shared" ref="I195:I253" si="72">F195+15</f>
        <v>109</v>
      </c>
      <c r="J195" s="53">
        <f t="shared" si="67"/>
        <v>18</v>
      </c>
      <c r="K195" s="64">
        <f t="shared" si="67"/>
        <v>58</v>
      </c>
      <c r="L195" s="64">
        <f t="shared" si="67"/>
        <v>98</v>
      </c>
      <c r="M195" s="64">
        <f t="shared" si="67"/>
        <v>138</v>
      </c>
      <c r="N195" s="53">
        <f t="shared" si="67"/>
        <v>178</v>
      </c>
      <c r="O195" s="64">
        <f t="shared" si="67"/>
        <v>219</v>
      </c>
      <c r="P195" s="64">
        <f t="shared" si="67"/>
        <v>259</v>
      </c>
      <c r="Q195" s="64">
        <f t="shared" si="67"/>
        <v>299</v>
      </c>
      <c r="R195" s="64">
        <f t="shared" si="67"/>
        <v>339</v>
      </c>
      <c r="S195" s="53">
        <f t="shared" si="67"/>
        <v>379</v>
      </c>
      <c r="T195" s="64">
        <f t="shared" si="68"/>
        <v>417</v>
      </c>
      <c r="U195" s="64">
        <f t="shared" si="68"/>
        <v>455</v>
      </c>
      <c r="V195" s="64">
        <f t="shared" si="68"/>
        <v>492</v>
      </c>
      <c r="W195" s="64">
        <f t="shared" si="68"/>
        <v>530</v>
      </c>
      <c r="X195" s="53">
        <f t="shared" si="68"/>
        <v>568</v>
      </c>
      <c r="Y195" s="64">
        <f t="shared" si="68"/>
        <v>606</v>
      </c>
      <c r="Z195" s="64">
        <f t="shared" si="68"/>
        <v>644</v>
      </c>
      <c r="AA195" s="64">
        <f t="shared" si="68"/>
        <v>682</v>
      </c>
      <c r="AB195" s="64">
        <f t="shared" si="68"/>
        <v>720</v>
      </c>
      <c r="AC195" s="53">
        <f t="shared" si="68"/>
        <v>758</v>
      </c>
      <c r="AD195" s="64">
        <f t="shared" si="69"/>
        <v>796</v>
      </c>
      <c r="AE195" s="64">
        <f t="shared" si="69"/>
        <v>834</v>
      </c>
      <c r="AF195" s="64">
        <f t="shared" si="69"/>
        <v>872</v>
      </c>
      <c r="AG195" s="64">
        <f t="shared" si="69"/>
        <v>909</v>
      </c>
      <c r="AH195" s="53">
        <f t="shared" si="69"/>
        <v>947</v>
      </c>
      <c r="AI195" s="64">
        <f t="shared" si="69"/>
        <v>985</v>
      </c>
      <c r="AJ195" s="64">
        <f t="shared" si="69"/>
        <v>1023</v>
      </c>
      <c r="AK195" s="64">
        <f t="shared" si="69"/>
        <v>1061</v>
      </c>
      <c r="AL195" s="64">
        <f t="shared" si="69"/>
        <v>1099</v>
      </c>
      <c r="AM195" s="53">
        <f t="shared" si="69"/>
        <v>1137</v>
      </c>
    </row>
    <row r="196" spans="1:39" x14ac:dyDescent="0.25">
      <c r="A196" s="53">
        <f>'Pokemon Data'!A195</f>
        <v>194</v>
      </c>
      <c r="B196" s="53" t="str">
        <f>'Pokemon Data'!B195</f>
        <v>Wooper</v>
      </c>
      <c r="C196" s="61">
        <f>'Pokemon Data'!E195</f>
        <v>95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si="70"/>
        <v>125</v>
      </c>
      <c r="H196" s="61">
        <f t="shared" si="71"/>
        <v>90</v>
      </c>
      <c r="I196" s="61">
        <f t="shared" si="72"/>
        <v>90</v>
      </c>
      <c r="J196" s="53">
        <f t="shared" si="67"/>
        <v>10</v>
      </c>
      <c r="K196" s="64">
        <f t="shared" si="67"/>
        <v>26</v>
      </c>
      <c r="L196" s="64">
        <f t="shared" si="67"/>
        <v>44</v>
      </c>
      <c r="M196" s="64">
        <f t="shared" si="67"/>
        <v>62</v>
      </c>
      <c r="N196" s="53">
        <f t="shared" si="67"/>
        <v>80</v>
      </c>
      <c r="O196" s="64">
        <f t="shared" si="67"/>
        <v>98</v>
      </c>
      <c r="P196" s="64">
        <f t="shared" si="67"/>
        <v>116</v>
      </c>
      <c r="Q196" s="64">
        <f t="shared" si="67"/>
        <v>134</v>
      </c>
      <c r="R196" s="64">
        <f t="shared" si="67"/>
        <v>152</v>
      </c>
      <c r="S196" s="53">
        <f t="shared" si="67"/>
        <v>170</v>
      </c>
      <c r="T196" s="64">
        <f t="shared" si="68"/>
        <v>187</v>
      </c>
      <c r="U196" s="64">
        <f t="shared" si="68"/>
        <v>204</v>
      </c>
      <c r="V196" s="64">
        <f t="shared" si="68"/>
        <v>221</v>
      </c>
      <c r="W196" s="64">
        <f t="shared" si="68"/>
        <v>238</v>
      </c>
      <c r="X196" s="53">
        <f t="shared" si="68"/>
        <v>255</v>
      </c>
      <c r="Y196" s="64">
        <f t="shared" si="68"/>
        <v>272</v>
      </c>
      <c r="Z196" s="64">
        <f t="shared" si="68"/>
        <v>289</v>
      </c>
      <c r="AA196" s="64">
        <f t="shared" si="68"/>
        <v>306</v>
      </c>
      <c r="AB196" s="64">
        <f t="shared" si="68"/>
        <v>323</v>
      </c>
      <c r="AC196" s="53">
        <f t="shared" si="68"/>
        <v>340</v>
      </c>
      <c r="AD196" s="64">
        <f t="shared" si="69"/>
        <v>357</v>
      </c>
      <c r="AE196" s="64">
        <f t="shared" si="69"/>
        <v>374</v>
      </c>
      <c r="AF196" s="64">
        <f t="shared" si="69"/>
        <v>391</v>
      </c>
      <c r="AG196" s="64">
        <f t="shared" si="69"/>
        <v>408</v>
      </c>
      <c r="AH196" s="53">
        <f t="shared" si="69"/>
        <v>425</v>
      </c>
      <c r="AI196" s="64">
        <f t="shared" si="69"/>
        <v>442</v>
      </c>
      <c r="AJ196" s="64">
        <f t="shared" si="69"/>
        <v>459</v>
      </c>
      <c r="AK196" s="64">
        <f t="shared" si="69"/>
        <v>476</v>
      </c>
      <c r="AL196" s="64">
        <f t="shared" si="69"/>
        <v>494</v>
      </c>
      <c r="AM196" s="53">
        <f t="shared" si="69"/>
        <v>511</v>
      </c>
    </row>
    <row r="197" spans="1:39" x14ac:dyDescent="0.25">
      <c r="A197" s="53">
        <f>'Pokemon Data'!A196</f>
        <v>195</v>
      </c>
      <c r="B197" s="53" t="str">
        <f>'Pokemon Data'!B196</f>
        <v>Quagsire</v>
      </c>
      <c r="C197" s="61">
        <f>'Pokemon Data'!E196</f>
        <v>95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70"/>
        <v>205</v>
      </c>
      <c r="H197" s="61">
        <f t="shared" si="71"/>
        <v>167</v>
      </c>
      <c r="I197" s="61">
        <f t="shared" si="72"/>
        <v>167</v>
      </c>
      <c r="J197" s="53">
        <f t="shared" si="67"/>
        <v>27</v>
      </c>
      <c r="K197" s="64">
        <f t="shared" si="67"/>
        <v>85</v>
      </c>
      <c r="L197" s="64">
        <f t="shared" si="67"/>
        <v>143</v>
      </c>
      <c r="M197" s="64">
        <f t="shared" si="67"/>
        <v>202</v>
      </c>
      <c r="N197" s="53">
        <f t="shared" si="67"/>
        <v>260</v>
      </c>
      <c r="O197" s="64">
        <f t="shared" si="67"/>
        <v>318</v>
      </c>
      <c r="P197" s="64">
        <f t="shared" si="67"/>
        <v>376</v>
      </c>
      <c r="Q197" s="64">
        <f t="shared" si="67"/>
        <v>435</v>
      </c>
      <c r="R197" s="64">
        <f t="shared" si="67"/>
        <v>493</v>
      </c>
      <c r="S197" s="53">
        <f t="shared" si="67"/>
        <v>551</v>
      </c>
      <c r="T197" s="64">
        <f t="shared" si="68"/>
        <v>606</v>
      </c>
      <c r="U197" s="64">
        <f t="shared" si="68"/>
        <v>661</v>
      </c>
      <c r="V197" s="64">
        <f t="shared" si="68"/>
        <v>716</v>
      </c>
      <c r="W197" s="64">
        <f t="shared" si="68"/>
        <v>772</v>
      </c>
      <c r="X197" s="53">
        <f t="shared" si="68"/>
        <v>827</v>
      </c>
      <c r="Y197" s="64">
        <f t="shared" si="68"/>
        <v>882</v>
      </c>
      <c r="Z197" s="64">
        <f t="shared" si="68"/>
        <v>937</v>
      </c>
      <c r="AA197" s="64">
        <f t="shared" si="68"/>
        <v>992</v>
      </c>
      <c r="AB197" s="64">
        <f t="shared" si="68"/>
        <v>1047</v>
      </c>
      <c r="AC197" s="53">
        <f t="shared" si="68"/>
        <v>1102</v>
      </c>
      <c r="AD197" s="64">
        <f t="shared" si="69"/>
        <v>1157</v>
      </c>
      <c r="AE197" s="64">
        <f t="shared" si="69"/>
        <v>1213</v>
      </c>
      <c r="AF197" s="64">
        <f t="shared" si="69"/>
        <v>1268</v>
      </c>
      <c r="AG197" s="64">
        <f t="shared" si="69"/>
        <v>1323</v>
      </c>
      <c r="AH197" s="53">
        <f t="shared" si="69"/>
        <v>1378</v>
      </c>
      <c r="AI197" s="64">
        <f t="shared" si="69"/>
        <v>1433</v>
      </c>
      <c r="AJ197" s="64">
        <f t="shared" si="69"/>
        <v>1488</v>
      </c>
      <c r="AK197" s="64">
        <f t="shared" si="69"/>
        <v>1544</v>
      </c>
      <c r="AL197" s="64">
        <f t="shared" si="69"/>
        <v>1599</v>
      </c>
      <c r="AM197" s="53">
        <f t="shared" si="69"/>
        <v>1654</v>
      </c>
    </row>
    <row r="198" spans="1:39" x14ac:dyDescent="0.25">
      <c r="A198" s="53">
        <f>'Pokemon Data'!A197</f>
        <v>196</v>
      </c>
      <c r="B198" s="53" t="str">
        <f>'Pokemon Data'!B197</f>
        <v>Espeon</v>
      </c>
      <c r="C198" s="61">
        <f>'Pokemon Data'!E197</f>
        <v>66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70"/>
        <v>145</v>
      </c>
      <c r="H198" s="61">
        <f t="shared" si="71"/>
        <v>276</v>
      </c>
      <c r="I198" s="61">
        <f t="shared" si="72"/>
        <v>209</v>
      </c>
      <c r="J198" s="53">
        <f t="shared" si="67"/>
        <v>42</v>
      </c>
      <c r="K198" s="64">
        <f t="shared" si="67"/>
        <v>133</v>
      </c>
      <c r="L198" s="64">
        <f t="shared" si="67"/>
        <v>223</v>
      </c>
      <c r="M198" s="64">
        <f t="shared" si="67"/>
        <v>314</v>
      </c>
      <c r="N198" s="53">
        <f t="shared" si="67"/>
        <v>404</v>
      </c>
      <c r="O198" s="64">
        <f t="shared" si="67"/>
        <v>495</v>
      </c>
      <c r="P198" s="64">
        <f t="shared" si="67"/>
        <v>585</v>
      </c>
      <c r="Q198" s="64">
        <f t="shared" si="67"/>
        <v>676</v>
      </c>
      <c r="R198" s="64">
        <f t="shared" si="67"/>
        <v>767</v>
      </c>
      <c r="S198" s="53">
        <f t="shared" si="67"/>
        <v>857</v>
      </c>
      <c r="T198" s="64">
        <f t="shared" si="68"/>
        <v>943</v>
      </c>
      <c r="U198" s="64">
        <f t="shared" si="68"/>
        <v>1029</v>
      </c>
      <c r="V198" s="64">
        <f t="shared" si="68"/>
        <v>1114</v>
      </c>
      <c r="W198" s="64">
        <f t="shared" si="68"/>
        <v>1200</v>
      </c>
      <c r="X198" s="53">
        <f t="shared" si="68"/>
        <v>1286</v>
      </c>
      <c r="Y198" s="64">
        <f t="shared" si="68"/>
        <v>1371</v>
      </c>
      <c r="Z198" s="64">
        <f t="shared" si="68"/>
        <v>1457</v>
      </c>
      <c r="AA198" s="64">
        <f t="shared" si="68"/>
        <v>1543</v>
      </c>
      <c r="AB198" s="64">
        <f t="shared" si="68"/>
        <v>1629</v>
      </c>
      <c r="AC198" s="53">
        <f t="shared" si="68"/>
        <v>1714</v>
      </c>
      <c r="AD198" s="64">
        <f t="shared" si="69"/>
        <v>1800</v>
      </c>
      <c r="AE198" s="64">
        <f t="shared" si="69"/>
        <v>1886</v>
      </c>
      <c r="AF198" s="64">
        <f t="shared" si="69"/>
        <v>1972</v>
      </c>
      <c r="AG198" s="64">
        <f t="shared" si="69"/>
        <v>2057</v>
      </c>
      <c r="AH198" s="53">
        <f t="shared" si="69"/>
        <v>2143</v>
      </c>
      <c r="AI198" s="64">
        <f t="shared" si="69"/>
        <v>2229</v>
      </c>
      <c r="AJ198" s="64">
        <f t="shared" si="69"/>
        <v>2315</v>
      </c>
      <c r="AK198" s="64">
        <f t="shared" si="69"/>
        <v>2400</v>
      </c>
      <c r="AL198" s="64">
        <f t="shared" si="69"/>
        <v>2486</v>
      </c>
      <c r="AM198" s="53">
        <f t="shared" si="69"/>
        <v>2572</v>
      </c>
    </row>
    <row r="199" spans="1:39" x14ac:dyDescent="0.25">
      <c r="A199" s="53">
        <f>'Pokemon Data'!A198</f>
        <v>197</v>
      </c>
      <c r="B199" s="53" t="str">
        <f>'Pokemon Data'!B198</f>
        <v>Umbreon</v>
      </c>
      <c r="C199" s="61">
        <f>'Pokemon Data'!E198</f>
        <v>66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70"/>
        <v>205</v>
      </c>
      <c r="H199" s="61">
        <f t="shared" si="71"/>
        <v>141</v>
      </c>
      <c r="I199" s="61">
        <f t="shared" si="72"/>
        <v>265</v>
      </c>
      <c r="J199" s="53">
        <f t="shared" si="67"/>
        <v>29</v>
      </c>
      <c r="K199" s="64">
        <f t="shared" si="67"/>
        <v>90</v>
      </c>
      <c r="L199" s="64">
        <f t="shared" si="67"/>
        <v>152</v>
      </c>
      <c r="M199" s="64">
        <f t="shared" si="67"/>
        <v>214</v>
      </c>
      <c r="N199" s="53">
        <f t="shared" si="67"/>
        <v>276</v>
      </c>
      <c r="O199" s="64">
        <f t="shared" si="67"/>
        <v>338</v>
      </c>
      <c r="P199" s="64">
        <f t="shared" si="67"/>
        <v>400</v>
      </c>
      <c r="Q199" s="64">
        <f t="shared" si="67"/>
        <v>462</v>
      </c>
      <c r="R199" s="64">
        <f t="shared" si="67"/>
        <v>524</v>
      </c>
      <c r="S199" s="53">
        <f t="shared" si="67"/>
        <v>586</v>
      </c>
      <c r="T199" s="64">
        <f t="shared" si="68"/>
        <v>645</v>
      </c>
      <c r="U199" s="64">
        <f t="shared" si="68"/>
        <v>703</v>
      </c>
      <c r="V199" s="64">
        <f t="shared" si="68"/>
        <v>762</v>
      </c>
      <c r="W199" s="64">
        <f t="shared" si="68"/>
        <v>821</v>
      </c>
      <c r="X199" s="53">
        <f t="shared" si="68"/>
        <v>879</v>
      </c>
      <c r="Y199" s="64">
        <f t="shared" si="68"/>
        <v>938</v>
      </c>
      <c r="Z199" s="64">
        <f t="shared" si="68"/>
        <v>997</v>
      </c>
      <c r="AA199" s="64">
        <f t="shared" si="68"/>
        <v>1055</v>
      </c>
      <c r="AB199" s="64">
        <f t="shared" si="68"/>
        <v>1114</v>
      </c>
      <c r="AC199" s="53">
        <f t="shared" si="68"/>
        <v>1172</v>
      </c>
      <c r="AD199" s="64">
        <f t="shared" si="69"/>
        <v>1231</v>
      </c>
      <c r="AE199" s="64">
        <f t="shared" si="69"/>
        <v>1290</v>
      </c>
      <c r="AF199" s="64">
        <f t="shared" si="69"/>
        <v>1348</v>
      </c>
      <c r="AG199" s="64">
        <f t="shared" si="69"/>
        <v>1407</v>
      </c>
      <c r="AH199" s="53">
        <f t="shared" si="69"/>
        <v>1466</v>
      </c>
      <c r="AI199" s="64">
        <f t="shared" si="69"/>
        <v>1524</v>
      </c>
      <c r="AJ199" s="64">
        <f t="shared" si="69"/>
        <v>1583</v>
      </c>
      <c r="AK199" s="64">
        <f t="shared" si="69"/>
        <v>1642</v>
      </c>
      <c r="AL199" s="64">
        <f t="shared" si="69"/>
        <v>1700</v>
      </c>
      <c r="AM199" s="53">
        <f t="shared" si="69"/>
        <v>1759</v>
      </c>
    </row>
    <row r="200" spans="1:39" x14ac:dyDescent="0.25">
      <c r="A200" s="53">
        <f>'Pokemon Data'!A199</f>
        <v>198</v>
      </c>
      <c r="B200" s="53" t="str">
        <f>'Pokemon Data'!B199</f>
        <v>Murkrow</v>
      </c>
      <c r="C200" s="61">
        <f>'Pokemon Data'!E199</f>
        <v>96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70"/>
        <v>135</v>
      </c>
      <c r="H200" s="61">
        <f t="shared" si="71"/>
        <v>190</v>
      </c>
      <c r="I200" s="61">
        <f t="shared" si="72"/>
        <v>102</v>
      </c>
      <c r="J200" s="53">
        <f t="shared" si="67"/>
        <v>19</v>
      </c>
      <c r="K200" s="64">
        <f t="shared" si="67"/>
        <v>61</v>
      </c>
      <c r="L200" s="64">
        <f t="shared" si="67"/>
        <v>103</v>
      </c>
      <c r="M200" s="64">
        <f t="shared" si="67"/>
        <v>145</v>
      </c>
      <c r="N200" s="53">
        <f t="shared" si="67"/>
        <v>187</v>
      </c>
      <c r="O200" s="64">
        <f t="shared" si="67"/>
        <v>229</v>
      </c>
      <c r="P200" s="64">
        <f t="shared" si="67"/>
        <v>271</v>
      </c>
      <c r="Q200" s="64">
        <f t="shared" si="67"/>
        <v>313</v>
      </c>
      <c r="R200" s="64">
        <f t="shared" si="67"/>
        <v>355</v>
      </c>
      <c r="S200" s="53">
        <f t="shared" si="67"/>
        <v>397</v>
      </c>
      <c r="T200" s="64">
        <f t="shared" si="68"/>
        <v>437</v>
      </c>
      <c r="U200" s="64">
        <f t="shared" si="68"/>
        <v>477</v>
      </c>
      <c r="V200" s="64">
        <f t="shared" si="68"/>
        <v>517</v>
      </c>
      <c r="W200" s="64">
        <f t="shared" si="68"/>
        <v>557</v>
      </c>
      <c r="X200" s="53">
        <f t="shared" si="68"/>
        <v>596</v>
      </c>
      <c r="Y200" s="64">
        <f t="shared" si="68"/>
        <v>636</v>
      </c>
      <c r="Z200" s="64">
        <f t="shared" si="68"/>
        <v>676</v>
      </c>
      <c r="AA200" s="64">
        <f t="shared" si="68"/>
        <v>716</v>
      </c>
      <c r="AB200" s="64">
        <f t="shared" si="68"/>
        <v>755</v>
      </c>
      <c r="AC200" s="53">
        <f t="shared" si="68"/>
        <v>795</v>
      </c>
      <c r="AD200" s="64">
        <f t="shared" si="69"/>
        <v>835</v>
      </c>
      <c r="AE200" s="64">
        <f t="shared" si="69"/>
        <v>875</v>
      </c>
      <c r="AF200" s="64">
        <f t="shared" si="69"/>
        <v>915</v>
      </c>
      <c r="AG200" s="64">
        <f t="shared" si="69"/>
        <v>954</v>
      </c>
      <c r="AH200" s="53">
        <f t="shared" si="69"/>
        <v>994</v>
      </c>
      <c r="AI200" s="64">
        <f t="shared" si="69"/>
        <v>1034</v>
      </c>
      <c r="AJ200" s="64">
        <f t="shared" si="69"/>
        <v>1074</v>
      </c>
      <c r="AK200" s="64">
        <f t="shared" si="69"/>
        <v>1114</v>
      </c>
      <c r="AL200" s="64">
        <f t="shared" si="69"/>
        <v>1153</v>
      </c>
      <c r="AM200" s="53">
        <f t="shared" si="69"/>
        <v>1193</v>
      </c>
    </row>
    <row r="201" spans="1:39" x14ac:dyDescent="0.25">
      <c r="A201" s="53">
        <f>'Pokemon Data'!A200</f>
        <v>199</v>
      </c>
      <c r="B201" s="53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70"/>
        <v>205</v>
      </c>
      <c r="H201" s="61">
        <f t="shared" si="71"/>
        <v>192</v>
      </c>
      <c r="I201" s="61">
        <f t="shared" si="72"/>
        <v>209</v>
      </c>
      <c r="J201" s="53">
        <f t="shared" si="67"/>
        <v>35</v>
      </c>
      <c r="K201" s="64">
        <f t="shared" si="67"/>
        <v>110</v>
      </c>
      <c r="L201" s="64">
        <f t="shared" si="67"/>
        <v>184</v>
      </c>
      <c r="M201" s="64">
        <f t="shared" si="67"/>
        <v>259</v>
      </c>
      <c r="N201" s="53">
        <f t="shared" si="67"/>
        <v>334</v>
      </c>
      <c r="O201" s="64">
        <f t="shared" si="67"/>
        <v>409</v>
      </c>
      <c r="P201" s="64">
        <f t="shared" si="67"/>
        <v>484</v>
      </c>
      <c r="Q201" s="64">
        <f t="shared" si="67"/>
        <v>559</v>
      </c>
      <c r="R201" s="64">
        <f t="shared" si="67"/>
        <v>634</v>
      </c>
      <c r="S201" s="53">
        <f t="shared" si="67"/>
        <v>709</v>
      </c>
      <c r="T201" s="64">
        <f t="shared" si="68"/>
        <v>780</v>
      </c>
      <c r="U201" s="64">
        <f t="shared" si="68"/>
        <v>851</v>
      </c>
      <c r="V201" s="64">
        <f t="shared" si="68"/>
        <v>922</v>
      </c>
      <c r="W201" s="64">
        <f t="shared" si="68"/>
        <v>992</v>
      </c>
      <c r="X201" s="53">
        <f t="shared" si="68"/>
        <v>1063</v>
      </c>
      <c r="Y201" s="64">
        <f t="shared" si="68"/>
        <v>1134</v>
      </c>
      <c r="Z201" s="64">
        <f t="shared" si="68"/>
        <v>1205</v>
      </c>
      <c r="AA201" s="64">
        <f t="shared" si="68"/>
        <v>1276</v>
      </c>
      <c r="AB201" s="64">
        <f t="shared" si="68"/>
        <v>1347</v>
      </c>
      <c r="AC201" s="53">
        <f t="shared" si="68"/>
        <v>1418</v>
      </c>
      <c r="AD201" s="64">
        <f t="shared" si="69"/>
        <v>1489</v>
      </c>
      <c r="AE201" s="64">
        <f t="shared" si="69"/>
        <v>1560</v>
      </c>
      <c r="AF201" s="64">
        <f t="shared" si="69"/>
        <v>1631</v>
      </c>
      <c r="AG201" s="64">
        <f t="shared" si="69"/>
        <v>1702</v>
      </c>
      <c r="AH201" s="53">
        <f t="shared" si="69"/>
        <v>1773</v>
      </c>
      <c r="AI201" s="64">
        <f t="shared" si="69"/>
        <v>1843</v>
      </c>
      <c r="AJ201" s="64">
        <f t="shared" si="69"/>
        <v>1914</v>
      </c>
      <c r="AK201" s="64">
        <f t="shared" si="69"/>
        <v>1985</v>
      </c>
      <c r="AL201" s="64">
        <f t="shared" si="69"/>
        <v>2056</v>
      </c>
      <c r="AM201" s="53">
        <f t="shared" si="69"/>
        <v>2127</v>
      </c>
    </row>
    <row r="202" spans="1:39" x14ac:dyDescent="0.25">
      <c r="A202" s="53">
        <f>'Pokemon Data'!A201</f>
        <v>200</v>
      </c>
      <c r="B202" s="53" t="str">
        <f>'Pokemon Data'!B201</f>
        <v>Misdreavus</v>
      </c>
      <c r="C202" s="61">
        <f>'Pokemon Data'!E201</f>
        <v>97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70"/>
        <v>135</v>
      </c>
      <c r="H202" s="61">
        <f t="shared" si="71"/>
        <v>182</v>
      </c>
      <c r="I202" s="61">
        <f t="shared" si="72"/>
        <v>182</v>
      </c>
      <c r="J202" s="53">
        <f t="shared" si="67"/>
        <v>25</v>
      </c>
      <c r="K202" s="64">
        <f t="shared" si="67"/>
        <v>78</v>
      </c>
      <c r="L202" s="64">
        <f t="shared" si="67"/>
        <v>132</v>
      </c>
      <c r="M202" s="64">
        <f t="shared" si="67"/>
        <v>186</v>
      </c>
      <c r="N202" s="53">
        <f t="shared" si="67"/>
        <v>240</v>
      </c>
      <c r="O202" s="64">
        <f t="shared" si="67"/>
        <v>294</v>
      </c>
      <c r="P202" s="64">
        <f t="shared" si="67"/>
        <v>347</v>
      </c>
      <c r="Q202" s="64">
        <f t="shared" si="67"/>
        <v>401</v>
      </c>
      <c r="R202" s="64">
        <f t="shared" si="67"/>
        <v>455</v>
      </c>
      <c r="S202" s="53">
        <f t="shared" si="67"/>
        <v>509</v>
      </c>
      <c r="T202" s="64">
        <f t="shared" si="68"/>
        <v>560</v>
      </c>
      <c r="U202" s="64">
        <f t="shared" si="68"/>
        <v>611</v>
      </c>
      <c r="V202" s="64">
        <f t="shared" si="68"/>
        <v>661</v>
      </c>
      <c r="W202" s="64">
        <f t="shared" si="68"/>
        <v>712</v>
      </c>
      <c r="X202" s="53">
        <f t="shared" si="68"/>
        <v>763</v>
      </c>
      <c r="Y202" s="64">
        <f t="shared" si="68"/>
        <v>814</v>
      </c>
      <c r="Z202" s="64">
        <f t="shared" si="68"/>
        <v>865</v>
      </c>
      <c r="AA202" s="64">
        <f t="shared" si="68"/>
        <v>916</v>
      </c>
      <c r="AB202" s="64">
        <f t="shared" si="68"/>
        <v>967</v>
      </c>
      <c r="AC202" s="53">
        <f t="shared" si="68"/>
        <v>1018</v>
      </c>
      <c r="AD202" s="64">
        <f t="shared" si="69"/>
        <v>1069</v>
      </c>
      <c r="AE202" s="64">
        <f t="shared" si="69"/>
        <v>1119</v>
      </c>
      <c r="AF202" s="64">
        <f t="shared" si="69"/>
        <v>1170</v>
      </c>
      <c r="AG202" s="64">
        <f t="shared" si="69"/>
        <v>1221</v>
      </c>
      <c r="AH202" s="53">
        <f t="shared" si="69"/>
        <v>1272</v>
      </c>
      <c r="AI202" s="64">
        <f t="shared" si="69"/>
        <v>1323</v>
      </c>
      <c r="AJ202" s="64">
        <f t="shared" si="69"/>
        <v>1374</v>
      </c>
      <c r="AK202" s="64">
        <f t="shared" si="69"/>
        <v>1425</v>
      </c>
      <c r="AL202" s="64">
        <f t="shared" si="69"/>
        <v>1476</v>
      </c>
      <c r="AM202" s="53">
        <f t="shared" si="69"/>
        <v>1527</v>
      </c>
    </row>
    <row r="203" spans="1:39" x14ac:dyDescent="0.25">
      <c r="A203" s="53">
        <f>'Pokemon Data'!A202</f>
        <v>201</v>
      </c>
      <c r="B203" s="53" t="str">
        <f>'Pokemon Data'!B202</f>
        <v>Unown</v>
      </c>
      <c r="C203" s="61">
        <f>'Pokemon Data'!E202</f>
        <v>98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70"/>
        <v>111</v>
      </c>
      <c r="H203" s="61">
        <f t="shared" si="71"/>
        <v>151</v>
      </c>
      <c r="I203" s="61">
        <f t="shared" si="72"/>
        <v>106</v>
      </c>
      <c r="J203" s="53">
        <f t="shared" ref="J203:S212" si="73">MAX(10,INT(SQRT($G203*$I203)*$H203*J$1^2/10))</f>
        <v>14</v>
      </c>
      <c r="K203" s="64">
        <f t="shared" si="73"/>
        <v>45</v>
      </c>
      <c r="L203" s="64">
        <f t="shared" si="73"/>
        <v>76</v>
      </c>
      <c r="M203" s="64">
        <f t="shared" si="73"/>
        <v>107</v>
      </c>
      <c r="N203" s="53">
        <f t="shared" si="73"/>
        <v>137</v>
      </c>
      <c r="O203" s="64">
        <f t="shared" si="73"/>
        <v>168</v>
      </c>
      <c r="P203" s="64">
        <f t="shared" si="73"/>
        <v>199</v>
      </c>
      <c r="Q203" s="64">
        <f t="shared" si="73"/>
        <v>230</v>
      </c>
      <c r="R203" s="64">
        <f t="shared" si="73"/>
        <v>261</v>
      </c>
      <c r="S203" s="53">
        <f t="shared" si="73"/>
        <v>292</v>
      </c>
      <c r="T203" s="64">
        <f t="shared" ref="T203:AC212" si="74">MAX(10,INT(SQRT($G203*$I203)*$H203*T$1^2/10))</f>
        <v>321</v>
      </c>
      <c r="U203" s="64">
        <f t="shared" si="74"/>
        <v>350</v>
      </c>
      <c r="V203" s="64">
        <f t="shared" si="74"/>
        <v>380</v>
      </c>
      <c r="W203" s="64">
        <f t="shared" si="74"/>
        <v>409</v>
      </c>
      <c r="X203" s="53">
        <f t="shared" si="74"/>
        <v>438</v>
      </c>
      <c r="Y203" s="64">
        <f t="shared" si="74"/>
        <v>467</v>
      </c>
      <c r="Z203" s="64">
        <f t="shared" si="74"/>
        <v>496</v>
      </c>
      <c r="AA203" s="64">
        <f t="shared" si="74"/>
        <v>526</v>
      </c>
      <c r="AB203" s="64">
        <f t="shared" si="74"/>
        <v>555</v>
      </c>
      <c r="AC203" s="53">
        <f t="shared" si="74"/>
        <v>584</v>
      </c>
      <c r="AD203" s="64">
        <f t="shared" ref="AD203:AM212" si="75">MAX(10,INT(SQRT($G203*$I203)*$H203*AD$1^2/10))</f>
        <v>613</v>
      </c>
      <c r="AE203" s="64">
        <f t="shared" si="75"/>
        <v>643</v>
      </c>
      <c r="AF203" s="64">
        <f t="shared" si="75"/>
        <v>672</v>
      </c>
      <c r="AG203" s="64">
        <f t="shared" si="75"/>
        <v>701</v>
      </c>
      <c r="AH203" s="53">
        <f t="shared" si="75"/>
        <v>730</v>
      </c>
      <c r="AI203" s="64">
        <f t="shared" si="75"/>
        <v>759</v>
      </c>
      <c r="AJ203" s="64">
        <f t="shared" si="75"/>
        <v>789</v>
      </c>
      <c r="AK203" s="64">
        <f t="shared" si="75"/>
        <v>818</v>
      </c>
      <c r="AL203" s="64">
        <f t="shared" si="75"/>
        <v>847</v>
      </c>
      <c r="AM203" s="53">
        <f t="shared" si="75"/>
        <v>876</v>
      </c>
    </row>
    <row r="204" spans="1:39" x14ac:dyDescent="0.25">
      <c r="A204" s="53">
        <f>'Pokemon Data'!A203</f>
        <v>202</v>
      </c>
      <c r="B204" s="53" t="str">
        <f>'Pokemon Data'!B203</f>
        <v>Wobbuffet</v>
      </c>
      <c r="C204" s="61">
        <f>'Pokemon Data'!E203</f>
        <v>99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70"/>
        <v>395</v>
      </c>
      <c r="H204" s="61">
        <f t="shared" si="71"/>
        <v>75</v>
      </c>
      <c r="I204" s="61">
        <f t="shared" si="72"/>
        <v>121</v>
      </c>
      <c r="J204" s="53">
        <f t="shared" si="73"/>
        <v>14</v>
      </c>
      <c r="K204" s="64">
        <f t="shared" si="73"/>
        <v>45</v>
      </c>
      <c r="L204" s="64">
        <f t="shared" si="73"/>
        <v>76</v>
      </c>
      <c r="M204" s="64">
        <f t="shared" si="73"/>
        <v>107</v>
      </c>
      <c r="N204" s="53">
        <f t="shared" si="73"/>
        <v>138</v>
      </c>
      <c r="O204" s="64">
        <f t="shared" si="73"/>
        <v>169</v>
      </c>
      <c r="P204" s="64">
        <f t="shared" si="73"/>
        <v>199</v>
      </c>
      <c r="Q204" s="64">
        <f t="shared" si="73"/>
        <v>230</v>
      </c>
      <c r="R204" s="64">
        <f t="shared" si="73"/>
        <v>261</v>
      </c>
      <c r="S204" s="53">
        <f t="shared" si="73"/>
        <v>292</v>
      </c>
      <c r="T204" s="64">
        <f t="shared" si="74"/>
        <v>321</v>
      </c>
      <c r="U204" s="64">
        <f t="shared" si="74"/>
        <v>351</v>
      </c>
      <c r="V204" s="64">
        <f t="shared" si="74"/>
        <v>380</v>
      </c>
      <c r="W204" s="64">
        <f t="shared" si="74"/>
        <v>409</v>
      </c>
      <c r="X204" s="53">
        <f t="shared" si="74"/>
        <v>438</v>
      </c>
      <c r="Y204" s="64">
        <f t="shared" si="74"/>
        <v>468</v>
      </c>
      <c r="Z204" s="64">
        <f t="shared" si="74"/>
        <v>497</v>
      </c>
      <c r="AA204" s="64">
        <f t="shared" si="74"/>
        <v>526</v>
      </c>
      <c r="AB204" s="64">
        <f t="shared" si="74"/>
        <v>555</v>
      </c>
      <c r="AC204" s="53">
        <f t="shared" si="74"/>
        <v>585</v>
      </c>
      <c r="AD204" s="64">
        <f t="shared" si="75"/>
        <v>614</v>
      </c>
      <c r="AE204" s="64">
        <f t="shared" si="75"/>
        <v>643</v>
      </c>
      <c r="AF204" s="64">
        <f t="shared" si="75"/>
        <v>672</v>
      </c>
      <c r="AG204" s="64">
        <f t="shared" si="75"/>
        <v>702</v>
      </c>
      <c r="AH204" s="53">
        <f t="shared" si="75"/>
        <v>731</v>
      </c>
      <c r="AI204" s="64">
        <f t="shared" si="75"/>
        <v>760</v>
      </c>
      <c r="AJ204" s="64">
        <f t="shared" si="75"/>
        <v>790</v>
      </c>
      <c r="AK204" s="64">
        <f t="shared" si="75"/>
        <v>819</v>
      </c>
      <c r="AL204" s="64">
        <f t="shared" si="75"/>
        <v>848</v>
      </c>
      <c r="AM204" s="53">
        <f t="shared" si="75"/>
        <v>877</v>
      </c>
    </row>
    <row r="205" spans="1:39" x14ac:dyDescent="0.25">
      <c r="A205" s="53">
        <f>'Pokemon Data'!A204</f>
        <v>203</v>
      </c>
      <c r="B205" s="53" t="str">
        <f>'Pokemon Data'!B204</f>
        <v>Girafarig</v>
      </c>
      <c r="C205" s="61">
        <f>'Pokemon Data'!E204</f>
        <v>100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70"/>
        <v>155</v>
      </c>
      <c r="H205" s="61">
        <f t="shared" si="71"/>
        <v>197</v>
      </c>
      <c r="I205" s="61">
        <f t="shared" si="72"/>
        <v>148</v>
      </c>
      <c r="J205" s="53">
        <f t="shared" si="73"/>
        <v>26</v>
      </c>
      <c r="K205" s="64">
        <f t="shared" si="73"/>
        <v>82</v>
      </c>
      <c r="L205" s="64">
        <f t="shared" si="73"/>
        <v>138</v>
      </c>
      <c r="M205" s="64">
        <f t="shared" si="73"/>
        <v>195</v>
      </c>
      <c r="N205" s="53">
        <f t="shared" si="73"/>
        <v>251</v>
      </c>
      <c r="O205" s="64">
        <f t="shared" si="73"/>
        <v>307</v>
      </c>
      <c r="P205" s="64">
        <f t="shared" si="73"/>
        <v>363</v>
      </c>
      <c r="Q205" s="64">
        <f t="shared" si="73"/>
        <v>420</v>
      </c>
      <c r="R205" s="64">
        <f t="shared" si="73"/>
        <v>476</v>
      </c>
      <c r="S205" s="53">
        <f t="shared" si="73"/>
        <v>532</v>
      </c>
      <c r="T205" s="64">
        <f t="shared" si="74"/>
        <v>585</v>
      </c>
      <c r="U205" s="64">
        <f t="shared" si="74"/>
        <v>639</v>
      </c>
      <c r="V205" s="64">
        <f t="shared" si="74"/>
        <v>692</v>
      </c>
      <c r="W205" s="64">
        <f t="shared" si="74"/>
        <v>745</v>
      </c>
      <c r="X205" s="53">
        <f t="shared" si="74"/>
        <v>798</v>
      </c>
      <c r="Y205" s="64">
        <f t="shared" si="74"/>
        <v>851</v>
      </c>
      <c r="Z205" s="64">
        <f t="shared" si="74"/>
        <v>905</v>
      </c>
      <c r="AA205" s="64">
        <f t="shared" si="74"/>
        <v>958</v>
      </c>
      <c r="AB205" s="64">
        <f t="shared" si="74"/>
        <v>1011</v>
      </c>
      <c r="AC205" s="53">
        <f t="shared" si="74"/>
        <v>1064</v>
      </c>
      <c r="AD205" s="64">
        <f t="shared" si="75"/>
        <v>1118</v>
      </c>
      <c r="AE205" s="64">
        <f t="shared" si="75"/>
        <v>1171</v>
      </c>
      <c r="AF205" s="64">
        <f t="shared" si="75"/>
        <v>1224</v>
      </c>
      <c r="AG205" s="64">
        <f t="shared" si="75"/>
        <v>1277</v>
      </c>
      <c r="AH205" s="53">
        <f t="shared" si="75"/>
        <v>1331</v>
      </c>
      <c r="AI205" s="64">
        <f t="shared" si="75"/>
        <v>1384</v>
      </c>
      <c r="AJ205" s="64">
        <f t="shared" si="75"/>
        <v>1437</v>
      </c>
      <c r="AK205" s="64">
        <f t="shared" si="75"/>
        <v>1490</v>
      </c>
      <c r="AL205" s="64">
        <f t="shared" si="75"/>
        <v>1544</v>
      </c>
      <c r="AM205" s="53">
        <f t="shared" si="75"/>
        <v>1597</v>
      </c>
    </row>
    <row r="206" spans="1:39" x14ac:dyDescent="0.25">
      <c r="A206" s="53">
        <f>'Pokemon Data'!A205</f>
        <v>204</v>
      </c>
      <c r="B206" s="53" t="str">
        <f>'Pokemon Data'!B205</f>
        <v>Pineco</v>
      </c>
      <c r="C206" s="61">
        <f>'Pokemon Data'!E205</f>
        <v>101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70"/>
        <v>115</v>
      </c>
      <c r="H206" s="61">
        <f t="shared" si="71"/>
        <v>123</v>
      </c>
      <c r="I206" s="61">
        <f t="shared" si="72"/>
        <v>161</v>
      </c>
      <c r="J206" s="53">
        <f t="shared" si="73"/>
        <v>14</v>
      </c>
      <c r="K206" s="64">
        <f t="shared" si="73"/>
        <v>46</v>
      </c>
      <c r="L206" s="64">
        <f t="shared" si="73"/>
        <v>77</v>
      </c>
      <c r="M206" s="64">
        <f t="shared" si="73"/>
        <v>109</v>
      </c>
      <c r="N206" s="53">
        <f t="shared" si="73"/>
        <v>140</v>
      </c>
      <c r="O206" s="64">
        <f t="shared" si="73"/>
        <v>172</v>
      </c>
      <c r="P206" s="64">
        <f t="shared" si="73"/>
        <v>204</v>
      </c>
      <c r="Q206" s="64">
        <f t="shared" si="73"/>
        <v>235</v>
      </c>
      <c r="R206" s="64">
        <f t="shared" si="73"/>
        <v>267</v>
      </c>
      <c r="S206" s="53">
        <f t="shared" si="73"/>
        <v>298</v>
      </c>
      <c r="T206" s="64">
        <f t="shared" si="74"/>
        <v>328</v>
      </c>
      <c r="U206" s="64">
        <f t="shared" si="74"/>
        <v>358</v>
      </c>
      <c r="V206" s="64">
        <f t="shared" si="74"/>
        <v>388</v>
      </c>
      <c r="W206" s="64">
        <f t="shared" si="74"/>
        <v>418</v>
      </c>
      <c r="X206" s="53">
        <f t="shared" si="74"/>
        <v>448</v>
      </c>
      <c r="Y206" s="64">
        <f t="shared" si="74"/>
        <v>477</v>
      </c>
      <c r="Z206" s="64">
        <f t="shared" si="74"/>
        <v>507</v>
      </c>
      <c r="AA206" s="64">
        <f t="shared" si="74"/>
        <v>537</v>
      </c>
      <c r="AB206" s="64">
        <f t="shared" si="74"/>
        <v>567</v>
      </c>
      <c r="AC206" s="53">
        <f t="shared" si="74"/>
        <v>597</v>
      </c>
      <c r="AD206" s="64">
        <f t="shared" si="75"/>
        <v>627</v>
      </c>
      <c r="AE206" s="64">
        <f t="shared" si="75"/>
        <v>657</v>
      </c>
      <c r="AF206" s="64">
        <f t="shared" si="75"/>
        <v>686</v>
      </c>
      <c r="AG206" s="64">
        <f t="shared" si="75"/>
        <v>716</v>
      </c>
      <c r="AH206" s="53">
        <f t="shared" si="75"/>
        <v>746</v>
      </c>
      <c r="AI206" s="64">
        <f t="shared" si="75"/>
        <v>776</v>
      </c>
      <c r="AJ206" s="64">
        <f t="shared" si="75"/>
        <v>806</v>
      </c>
      <c r="AK206" s="64">
        <f t="shared" si="75"/>
        <v>836</v>
      </c>
      <c r="AL206" s="64">
        <f t="shared" si="75"/>
        <v>866</v>
      </c>
      <c r="AM206" s="53">
        <f t="shared" si="75"/>
        <v>896</v>
      </c>
    </row>
    <row r="207" spans="1:39" x14ac:dyDescent="0.25">
      <c r="A207" s="53">
        <f>'Pokemon Data'!A206</f>
        <v>205</v>
      </c>
      <c r="B207" s="53" t="str">
        <f>'Pokemon Data'!B206</f>
        <v>Forretress</v>
      </c>
      <c r="C207" s="61">
        <f>'Pokemon Data'!E206</f>
        <v>101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70"/>
        <v>165</v>
      </c>
      <c r="H207" s="61">
        <f t="shared" si="71"/>
        <v>176</v>
      </c>
      <c r="I207" s="61">
        <f t="shared" si="72"/>
        <v>257</v>
      </c>
      <c r="J207" s="53">
        <f t="shared" si="73"/>
        <v>32</v>
      </c>
      <c r="K207" s="64">
        <f t="shared" si="73"/>
        <v>100</v>
      </c>
      <c r="L207" s="64">
        <f t="shared" si="73"/>
        <v>168</v>
      </c>
      <c r="M207" s="64">
        <f t="shared" si="73"/>
        <v>237</v>
      </c>
      <c r="N207" s="53">
        <f t="shared" si="73"/>
        <v>305</v>
      </c>
      <c r="O207" s="64">
        <f t="shared" si="73"/>
        <v>373</v>
      </c>
      <c r="P207" s="64">
        <f t="shared" si="73"/>
        <v>441</v>
      </c>
      <c r="Q207" s="64">
        <f t="shared" si="73"/>
        <v>510</v>
      </c>
      <c r="R207" s="64">
        <f t="shared" si="73"/>
        <v>578</v>
      </c>
      <c r="S207" s="53">
        <f t="shared" si="73"/>
        <v>646</v>
      </c>
      <c r="T207" s="64">
        <f t="shared" si="74"/>
        <v>711</v>
      </c>
      <c r="U207" s="64">
        <f t="shared" si="74"/>
        <v>776</v>
      </c>
      <c r="V207" s="64">
        <f t="shared" si="74"/>
        <v>840</v>
      </c>
      <c r="W207" s="64">
        <f t="shared" si="74"/>
        <v>905</v>
      </c>
      <c r="X207" s="53">
        <f t="shared" si="74"/>
        <v>970</v>
      </c>
      <c r="Y207" s="64">
        <f t="shared" si="74"/>
        <v>1034</v>
      </c>
      <c r="Z207" s="64">
        <f t="shared" si="74"/>
        <v>1099</v>
      </c>
      <c r="AA207" s="64">
        <f t="shared" si="74"/>
        <v>1164</v>
      </c>
      <c r="AB207" s="64">
        <f t="shared" si="74"/>
        <v>1228</v>
      </c>
      <c r="AC207" s="53">
        <f t="shared" si="74"/>
        <v>1293</v>
      </c>
      <c r="AD207" s="64">
        <f t="shared" si="75"/>
        <v>1358</v>
      </c>
      <c r="AE207" s="64">
        <f t="shared" si="75"/>
        <v>1422</v>
      </c>
      <c r="AF207" s="64">
        <f t="shared" si="75"/>
        <v>1487</v>
      </c>
      <c r="AG207" s="64">
        <f t="shared" si="75"/>
        <v>1552</v>
      </c>
      <c r="AH207" s="53">
        <f t="shared" si="75"/>
        <v>1616</v>
      </c>
      <c r="AI207" s="64">
        <f t="shared" si="75"/>
        <v>1681</v>
      </c>
      <c r="AJ207" s="64">
        <f t="shared" si="75"/>
        <v>1746</v>
      </c>
      <c r="AK207" s="64">
        <f t="shared" si="75"/>
        <v>1810</v>
      </c>
      <c r="AL207" s="64">
        <f t="shared" si="75"/>
        <v>1875</v>
      </c>
      <c r="AM207" s="53">
        <f t="shared" si="75"/>
        <v>1940</v>
      </c>
    </row>
    <row r="208" spans="1:39" x14ac:dyDescent="0.25">
      <c r="A208" s="53">
        <f>'Pokemon Data'!A207</f>
        <v>206</v>
      </c>
      <c r="B208" s="53" t="str">
        <f>'Pokemon Data'!B207</f>
        <v>Dunsparce</v>
      </c>
      <c r="C208" s="61">
        <f>'Pokemon Data'!E207</f>
        <v>102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70"/>
        <v>215</v>
      </c>
      <c r="H208" s="61">
        <f t="shared" si="71"/>
        <v>146</v>
      </c>
      <c r="I208" s="61">
        <f t="shared" si="72"/>
        <v>146</v>
      </c>
      <c r="J208" s="53">
        <f t="shared" si="73"/>
        <v>22</v>
      </c>
      <c r="K208" s="64">
        <f t="shared" si="73"/>
        <v>71</v>
      </c>
      <c r="L208" s="64">
        <f t="shared" si="73"/>
        <v>120</v>
      </c>
      <c r="M208" s="64">
        <f t="shared" si="73"/>
        <v>169</v>
      </c>
      <c r="N208" s="53">
        <f t="shared" si="73"/>
        <v>217</v>
      </c>
      <c r="O208" s="64">
        <f t="shared" si="73"/>
        <v>266</v>
      </c>
      <c r="P208" s="64">
        <f t="shared" si="73"/>
        <v>315</v>
      </c>
      <c r="Q208" s="64">
        <f t="shared" si="73"/>
        <v>364</v>
      </c>
      <c r="R208" s="64">
        <f t="shared" si="73"/>
        <v>412</v>
      </c>
      <c r="S208" s="53">
        <f t="shared" si="73"/>
        <v>461</v>
      </c>
      <c r="T208" s="64">
        <f t="shared" si="74"/>
        <v>507</v>
      </c>
      <c r="U208" s="64">
        <f t="shared" si="74"/>
        <v>554</v>
      </c>
      <c r="V208" s="64">
        <f t="shared" si="74"/>
        <v>600</v>
      </c>
      <c r="W208" s="64">
        <f t="shared" si="74"/>
        <v>646</v>
      </c>
      <c r="X208" s="53">
        <f t="shared" si="74"/>
        <v>692</v>
      </c>
      <c r="Y208" s="64">
        <f t="shared" si="74"/>
        <v>738</v>
      </c>
      <c r="Z208" s="64">
        <f t="shared" si="74"/>
        <v>784</v>
      </c>
      <c r="AA208" s="64">
        <f t="shared" si="74"/>
        <v>830</v>
      </c>
      <c r="AB208" s="64">
        <f t="shared" si="74"/>
        <v>877</v>
      </c>
      <c r="AC208" s="53">
        <f t="shared" si="74"/>
        <v>923</v>
      </c>
      <c r="AD208" s="64">
        <f t="shared" si="75"/>
        <v>969</v>
      </c>
      <c r="AE208" s="64">
        <f t="shared" si="75"/>
        <v>1015</v>
      </c>
      <c r="AF208" s="64">
        <f t="shared" si="75"/>
        <v>1061</v>
      </c>
      <c r="AG208" s="64">
        <f t="shared" si="75"/>
        <v>1107</v>
      </c>
      <c r="AH208" s="53">
        <f t="shared" si="75"/>
        <v>1154</v>
      </c>
      <c r="AI208" s="64">
        <f t="shared" si="75"/>
        <v>1200</v>
      </c>
      <c r="AJ208" s="64">
        <f t="shared" si="75"/>
        <v>1246</v>
      </c>
      <c r="AK208" s="64">
        <f t="shared" si="75"/>
        <v>1292</v>
      </c>
      <c r="AL208" s="64">
        <f t="shared" si="75"/>
        <v>1338</v>
      </c>
      <c r="AM208" s="53">
        <f t="shared" si="75"/>
        <v>1384</v>
      </c>
    </row>
    <row r="209" spans="1:39" x14ac:dyDescent="0.25">
      <c r="A209" s="53">
        <f>'Pokemon Data'!A208</f>
        <v>207</v>
      </c>
      <c r="B209" s="53" t="str">
        <f>'Pokemon Data'!B208</f>
        <v>Gligar</v>
      </c>
      <c r="C209" s="61">
        <f>'Pokemon Data'!E208</f>
        <v>103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70"/>
        <v>145</v>
      </c>
      <c r="H209" s="61">
        <f t="shared" si="71"/>
        <v>158</v>
      </c>
      <c r="I209" s="61">
        <f t="shared" si="72"/>
        <v>219</v>
      </c>
      <c r="J209" s="53">
        <f t="shared" si="73"/>
        <v>24</v>
      </c>
      <c r="K209" s="64">
        <f t="shared" si="73"/>
        <v>77</v>
      </c>
      <c r="L209" s="64">
        <f t="shared" si="73"/>
        <v>131</v>
      </c>
      <c r="M209" s="64">
        <f t="shared" si="73"/>
        <v>184</v>
      </c>
      <c r="N209" s="53">
        <f t="shared" si="73"/>
        <v>237</v>
      </c>
      <c r="O209" s="64">
        <f t="shared" si="73"/>
        <v>290</v>
      </c>
      <c r="P209" s="64">
        <f t="shared" si="73"/>
        <v>343</v>
      </c>
      <c r="Q209" s="64">
        <f t="shared" si="73"/>
        <v>396</v>
      </c>
      <c r="R209" s="64">
        <f t="shared" si="73"/>
        <v>449</v>
      </c>
      <c r="S209" s="53">
        <f t="shared" si="73"/>
        <v>502</v>
      </c>
      <c r="T209" s="64">
        <f t="shared" si="74"/>
        <v>552</v>
      </c>
      <c r="U209" s="64">
        <f t="shared" si="74"/>
        <v>603</v>
      </c>
      <c r="V209" s="64">
        <f t="shared" si="74"/>
        <v>653</v>
      </c>
      <c r="W209" s="64">
        <f t="shared" si="74"/>
        <v>703</v>
      </c>
      <c r="X209" s="53">
        <f t="shared" si="74"/>
        <v>753</v>
      </c>
      <c r="Y209" s="64">
        <f t="shared" si="74"/>
        <v>803</v>
      </c>
      <c r="Z209" s="64">
        <f t="shared" si="74"/>
        <v>854</v>
      </c>
      <c r="AA209" s="64">
        <f t="shared" si="74"/>
        <v>904</v>
      </c>
      <c r="AB209" s="64">
        <f t="shared" si="74"/>
        <v>954</v>
      </c>
      <c r="AC209" s="53">
        <f t="shared" si="74"/>
        <v>1004</v>
      </c>
      <c r="AD209" s="64">
        <f t="shared" si="75"/>
        <v>1055</v>
      </c>
      <c r="AE209" s="64">
        <f t="shared" si="75"/>
        <v>1105</v>
      </c>
      <c r="AF209" s="64">
        <f t="shared" si="75"/>
        <v>1155</v>
      </c>
      <c r="AG209" s="64">
        <f t="shared" si="75"/>
        <v>1205</v>
      </c>
      <c r="AH209" s="53">
        <f t="shared" si="75"/>
        <v>1256</v>
      </c>
      <c r="AI209" s="64">
        <f t="shared" si="75"/>
        <v>1306</v>
      </c>
      <c r="AJ209" s="64">
        <f t="shared" si="75"/>
        <v>1356</v>
      </c>
      <c r="AK209" s="64">
        <f t="shared" si="75"/>
        <v>1406</v>
      </c>
      <c r="AL209" s="64">
        <f t="shared" si="75"/>
        <v>1457</v>
      </c>
      <c r="AM209" s="53">
        <f t="shared" si="75"/>
        <v>1507</v>
      </c>
    </row>
    <row r="210" spans="1:39" x14ac:dyDescent="0.25">
      <c r="A210" s="53">
        <f>'Pokemon Data'!A209</f>
        <v>208</v>
      </c>
      <c r="B210" s="53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70"/>
        <v>165</v>
      </c>
      <c r="H210" s="61">
        <f t="shared" si="71"/>
        <v>163</v>
      </c>
      <c r="I210" s="61">
        <f t="shared" si="72"/>
        <v>348</v>
      </c>
      <c r="J210" s="53">
        <f t="shared" si="73"/>
        <v>34</v>
      </c>
      <c r="K210" s="64">
        <f t="shared" si="73"/>
        <v>108</v>
      </c>
      <c r="L210" s="64">
        <f t="shared" si="73"/>
        <v>181</v>
      </c>
      <c r="M210" s="64">
        <f t="shared" si="73"/>
        <v>255</v>
      </c>
      <c r="N210" s="53">
        <f t="shared" si="73"/>
        <v>329</v>
      </c>
      <c r="O210" s="64">
        <f t="shared" si="73"/>
        <v>402</v>
      </c>
      <c r="P210" s="64">
        <f t="shared" si="73"/>
        <v>476</v>
      </c>
      <c r="Q210" s="64">
        <f t="shared" si="73"/>
        <v>549</v>
      </c>
      <c r="R210" s="64">
        <f t="shared" si="73"/>
        <v>623</v>
      </c>
      <c r="S210" s="53">
        <f t="shared" si="73"/>
        <v>697</v>
      </c>
      <c r="T210" s="64">
        <f t="shared" si="74"/>
        <v>766</v>
      </c>
      <c r="U210" s="64">
        <f t="shared" si="74"/>
        <v>836</v>
      </c>
      <c r="V210" s="64">
        <f t="shared" si="74"/>
        <v>906</v>
      </c>
      <c r="W210" s="64">
        <f t="shared" si="74"/>
        <v>975</v>
      </c>
      <c r="X210" s="53">
        <f t="shared" si="74"/>
        <v>1045</v>
      </c>
      <c r="Y210" s="64">
        <f t="shared" si="74"/>
        <v>1115</v>
      </c>
      <c r="Z210" s="64">
        <f t="shared" si="74"/>
        <v>1184</v>
      </c>
      <c r="AA210" s="64">
        <f t="shared" si="74"/>
        <v>1254</v>
      </c>
      <c r="AB210" s="64">
        <f t="shared" si="74"/>
        <v>1324</v>
      </c>
      <c r="AC210" s="53">
        <f t="shared" si="74"/>
        <v>1393</v>
      </c>
      <c r="AD210" s="64">
        <f t="shared" si="75"/>
        <v>1463</v>
      </c>
      <c r="AE210" s="64">
        <f t="shared" si="75"/>
        <v>1533</v>
      </c>
      <c r="AF210" s="64">
        <f t="shared" si="75"/>
        <v>1603</v>
      </c>
      <c r="AG210" s="64">
        <f t="shared" si="75"/>
        <v>1672</v>
      </c>
      <c r="AH210" s="53">
        <f t="shared" si="75"/>
        <v>1742</v>
      </c>
      <c r="AI210" s="64">
        <f t="shared" si="75"/>
        <v>1812</v>
      </c>
      <c r="AJ210" s="64">
        <f t="shared" si="75"/>
        <v>1881</v>
      </c>
      <c r="AK210" s="64">
        <f t="shared" si="75"/>
        <v>1951</v>
      </c>
      <c r="AL210" s="64">
        <f t="shared" si="75"/>
        <v>2021</v>
      </c>
      <c r="AM210" s="53">
        <f t="shared" si="75"/>
        <v>2091</v>
      </c>
    </row>
    <row r="211" spans="1:39" x14ac:dyDescent="0.25">
      <c r="A211" s="53">
        <f>'Pokemon Data'!A210</f>
        <v>209</v>
      </c>
      <c r="B211" s="53" t="str">
        <f>'Pokemon Data'!B210</f>
        <v>Snubbull</v>
      </c>
      <c r="C211" s="61">
        <f>'Pokemon Data'!E210</f>
        <v>104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70"/>
        <v>135</v>
      </c>
      <c r="H211" s="61">
        <f t="shared" si="71"/>
        <v>152</v>
      </c>
      <c r="I211" s="61">
        <f t="shared" si="72"/>
        <v>104</v>
      </c>
      <c r="J211" s="53">
        <f t="shared" si="73"/>
        <v>15</v>
      </c>
      <c r="K211" s="64">
        <f t="shared" si="73"/>
        <v>49</v>
      </c>
      <c r="L211" s="64">
        <f t="shared" si="73"/>
        <v>83</v>
      </c>
      <c r="M211" s="64">
        <f t="shared" si="73"/>
        <v>117</v>
      </c>
      <c r="N211" s="53">
        <f t="shared" si="73"/>
        <v>151</v>
      </c>
      <c r="O211" s="64">
        <f t="shared" si="73"/>
        <v>185</v>
      </c>
      <c r="P211" s="64">
        <f t="shared" si="73"/>
        <v>219</v>
      </c>
      <c r="Q211" s="64">
        <f t="shared" si="73"/>
        <v>253</v>
      </c>
      <c r="R211" s="64">
        <f t="shared" si="73"/>
        <v>287</v>
      </c>
      <c r="S211" s="53">
        <f t="shared" si="73"/>
        <v>321</v>
      </c>
      <c r="T211" s="64">
        <f t="shared" si="74"/>
        <v>353</v>
      </c>
      <c r="U211" s="64">
        <f t="shared" si="74"/>
        <v>385</v>
      </c>
      <c r="V211" s="64">
        <f t="shared" si="74"/>
        <v>417</v>
      </c>
      <c r="W211" s="64">
        <f t="shared" si="74"/>
        <v>450</v>
      </c>
      <c r="X211" s="53">
        <f t="shared" si="74"/>
        <v>482</v>
      </c>
      <c r="Y211" s="64">
        <f t="shared" si="74"/>
        <v>514</v>
      </c>
      <c r="Z211" s="64">
        <f t="shared" si="74"/>
        <v>546</v>
      </c>
      <c r="AA211" s="64">
        <f t="shared" si="74"/>
        <v>578</v>
      </c>
      <c r="AB211" s="64">
        <f t="shared" si="74"/>
        <v>610</v>
      </c>
      <c r="AC211" s="53">
        <f t="shared" si="74"/>
        <v>642</v>
      </c>
      <c r="AD211" s="64">
        <f t="shared" si="75"/>
        <v>674</v>
      </c>
      <c r="AE211" s="64">
        <f t="shared" si="75"/>
        <v>707</v>
      </c>
      <c r="AF211" s="64">
        <f t="shared" si="75"/>
        <v>739</v>
      </c>
      <c r="AG211" s="64">
        <f t="shared" si="75"/>
        <v>771</v>
      </c>
      <c r="AH211" s="53">
        <f t="shared" si="75"/>
        <v>803</v>
      </c>
      <c r="AI211" s="64">
        <f t="shared" si="75"/>
        <v>835</v>
      </c>
      <c r="AJ211" s="64">
        <f t="shared" si="75"/>
        <v>867</v>
      </c>
      <c r="AK211" s="64">
        <f t="shared" si="75"/>
        <v>899</v>
      </c>
      <c r="AL211" s="64">
        <f t="shared" si="75"/>
        <v>932</v>
      </c>
      <c r="AM211" s="53">
        <f t="shared" si="75"/>
        <v>964</v>
      </c>
    </row>
    <row r="212" spans="1:39" x14ac:dyDescent="0.25">
      <c r="A212" s="53">
        <f>'Pokemon Data'!A211</f>
        <v>210</v>
      </c>
      <c r="B212" s="53" t="str">
        <f>'Pokemon Data'!B211</f>
        <v>Granbull</v>
      </c>
      <c r="C212" s="61">
        <f>'Pokemon Data'!E211</f>
        <v>104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70"/>
        <v>195</v>
      </c>
      <c r="H212" s="61">
        <f t="shared" si="71"/>
        <v>227</v>
      </c>
      <c r="I212" s="61">
        <f t="shared" si="72"/>
        <v>152</v>
      </c>
      <c r="J212" s="53">
        <f t="shared" si="73"/>
        <v>34</v>
      </c>
      <c r="K212" s="64">
        <f t="shared" si="73"/>
        <v>108</v>
      </c>
      <c r="L212" s="64">
        <f t="shared" si="73"/>
        <v>181</v>
      </c>
      <c r="M212" s="64">
        <f t="shared" si="73"/>
        <v>255</v>
      </c>
      <c r="N212" s="53">
        <f t="shared" si="73"/>
        <v>329</v>
      </c>
      <c r="O212" s="64">
        <f t="shared" si="73"/>
        <v>402</v>
      </c>
      <c r="P212" s="64">
        <f t="shared" si="73"/>
        <v>476</v>
      </c>
      <c r="Q212" s="64">
        <f t="shared" si="73"/>
        <v>550</v>
      </c>
      <c r="R212" s="64">
        <f t="shared" si="73"/>
        <v>623</v>
      </c>
      <c r="S212" s="53">
        <f t="shared" si="73"/>
        <v>697</v>
      </c>
      <c r="T212" s="64">
        <f t="shared" si="74"/>
        <v>767</v>
      </c>
      <c r="U212" s="64">
        <f t="shared" si="74"/>
        <v>837</v>
      </c>
      <c r="V212" s="64">
        <f t="shared" si="74"/>
        <v>906</v>
      </c>
      <c r="W212" s="64">
        <f t="shared" si="74"/>
        <v>976</v>
      </c>
      <c r="X212" s="53">
        <f t="shared" si="74"/>
        <v>1046</v>
      </c>
      <c r="Y212" s="64">
        <f t="shared" si="74"/>
        <v>1115</v>
      </c>
      <c r="Z212" s="64">
        <f t="shared" si="74"/>
        <v>1185</v>
      </c>
      <c r="AA212" s="64">
        <f t="shared" si="74"/>
        <v>1255</v>
      </c>
      <c r="AB212" s="64">
        <f t="shared" si="74"/>
        <v>1325</v>
      </c>
      <c r="AC212" s="53">
        <f t="shared" si="74"/>
        <v>1394</v>
      </c>
      <c r="AD212" s="64">
        <f t="shared" si="75"/>
        <v>1464</v>
      </c>
      <c r="AE212" s="64">
        <f t="shared" si="75"/>
        <v>1534</v>
      </c>
      <c r="AF212" s="64">
        <f t="shared" si="75"/>
        <v>1604</v>
      </c>
      <c r="AG212" s="64">
        <f t="shared" si="75"/>
        <v>1673</v>
      </c>
      <c r="AH212" s="53">
        <f t="shared" si="75"/>
        <v>1743</v>
      </c>
      <c r="AI212" s="64">
        <f t="shared" si="75"/>
        <v>1813</v>
      </c>
      <c r="AJ212" s="64">
        <f t="shared" si="75"/>
        <v>1883</v>
      </c>
      <c r="AK212" s="64">
        <f t="shared" si="75"/>
        <v>1952</v>
      </c>
      <c r="AL212" s="64">
        <f t="shared" si="75"/>
        <v>2022</v>
      </c>
      <c r="AM212" s="53">
        <f t="shared" si="75"/>
        <v>2092</v>
      </c>
    </row>
    <row r="213" spans="1:39" x14ac:dyDescent="0.25">
      <c r="A213" s="53">
        <f>'Pokemon Data'!A212</f>
        <v>211</v>
      </c>
      <c r="B213" s="53" t="str">
        <f>'Pokemon Data'!B212</f>
        <v>Qwilfish</v>
      </c>
      <c r="C213" s="61">
        <f>'Pokemon Data'!E212</f>
        <v>105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70"/>
        <v>145</v>
      </c>
      <c r="H213" s="61">
        <f t="shared" si="71"/>
        <v>199</v>
      </c>
      <c r="I213" s="61">
        <f t="shared" si="72"/>
        <v>163</v>
      </c>
      <c r="J213" s="53">
        <f t="shared" ref="J213:S222" si="76">MAX(10,INT(SQRT($G213*$I213)*$H213*J$1^2/10))</f>
        <v>27</v>
      </c>
      <c r="K213" s="64">
        <f t="shared" si="76"/>
        <v>84</v>
      </c>
      <c r="L213" s="64">
        <f t="shared" si="76"/>
        <v>142</v>
      </c>
      <c r="M213" s="64">
        <f t="shared" si="76"/>
        <v>200</v>
      </c>
      <c r="N213" s="53">
        <f t="shared" si="76"/>
        <v>257</v>
      </c>
      <c r="O213" s="64">
        <f t="shared" si="76"/>
        <v>315</v>
      </c>
      <c r="P213" s="64">
        <f t="shared" si="76"/>
        <v>373</v>
      </c>
      <c r="Q213" s="64">
        <f t="shared" si="76"/>
        <v>430</v>
      </c>
      <c r="R213" s="64">
        <f t="shared" si="76"/>
        <v>488</v>
      </c>
      <c r="S213" s="53">
        <f t="shared" si="76"/>
        <v>546</v>
      </c>
      <c r="T213" s="64">
        <f t="shared" ref="T213:AC222" si="77">MAX(10,INT(SQRT($G213*$I213)*$H213*T$1^2/10))</f>
        <v>600</v>
      </c>
      <c r="U213" s="64">
        <f t="shared" si="77"/>
        <v>655</v>
      </c>
      <c r="V213" s="64">
        <f t="shared" si="77"/>
        <v>709</v>
      </c>
      <c r="W213" s="64">
        <f t="shared" si="77"/>
        <v>764</v>
      </c>
      <c r="X213" s="53">
        <f t="shared" si="77"/>
        <v>818</v>
      </c>
      <c r="Y213" s="64">
        <f t="shared" si="77"/>
        <v>873</v>
      </c>
      <c r="Z213" s="64">
        <f t="shared" si="77"/>
        <v>928</v>
      </c>
      <c r="AA213" s="64">
        <f t="shared" si="77"/>
        <v>982</v>
      </c>
      <c r="AB213" s="64">
        <f t="shared" si="77"/>
        <v>1037</v>
      </c>
      <c r="AC213" s="53">
        <f t="shared" si="77"/>
        <v>1091</v>
      </c>
      <c r="AD213" s="64">
        <f t="shared" ref="AD213:AM222" si="78">MAX(10,INT(SQRT($G213*$I213)*$H213*AD$1^2/10))</f>
        <v>1146</v>
      </c>
      <c r="AE213" s="64">
        <f t="shared" si="78"/>
        <v>1201</v>
      </c>
      <c r="AF213" s="64">
        <f t="shared" si="78"/>
        <v>1255</v>
      </c>
      <c r="AG213" s="64">
        <f t="shared" si="78"/>
        <v>1310</v>
      </c>
      <c r="AH213" s="53">
        <f t="shared" si="78"/>
        <v>1364</v>
      </c>
      <c r="AI213" s="64">
        <f t="shared" si="78"/>
        <v>1419</v>
      </c>
      <c r="AJ213" s="64">
        <f t="shared" si="78"/>
        <v>1474</v>
      </c>
      <c r="AK213" s="64">
        <f t="shared" si="78"/>
        <v>1528</v>
      </c>
      <c r="AL213" s="64">
        <f t="shared" si="78"/>
        <v>1583</v>
      </c>
      <c r="AM213" s="53">
        <f t="shared" si="78"/>
        <v>1637</v>
      </c>
    </row>
    <row r="214" spans="1:39" x14ac:dyDescent="0.25">
      <c r="A214" s="53">
        <f>'Pokemon Data'!A213</f>
        <v>212</v>
      </c>
      <c r="B214" s="53" t="str">
        <f>'Pokemon Data'!B213</f>
        <v>Scizor</v>
      </c>
      <c r="C214" s="61">
        <f>'Pokemon Data'!E213</f>
        <v>57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70"/>
        <v>155</v>
      </c>
      <c r="H214" s="61">
        <f t="shared" si="71"/>
        <v>251</v>
      </c>
      <c r="I214" s="61">
        <f t="shared" si="72"/>
        <v>206</v>
      </c>
      <c r="J214" s="53">
        <f t="shared" si="76"/>
        <v>39</v>
      </c>
      <c r="K214" s="64">
        <f t="shared" si="76"/>
        <v>124</v>
      </c>
      <c r="L214" s="64">
        <f t="shared" si="76"/>
        <v>208</v>
      </c>
      <c r="M214" s="64">
        <f t="shared" si="76"/>
        <v>293</v>
      </c>
      <c r="N214" s="53">
        <f t="shared" si="76"/>
        <v>377</v>
      </c>
      <c r="O214" s="64">
        <f t="shared" si="76"/>
        <v>462</v>
      </c>
      <c r="P214" s="64">
        <f t="shared" si="76"/>
        <v>546</v>
      </c>
      <c r="Q214" s="64">
        <f t="shared" si="76"/>
        <v>631</v>
      </c>
      <c r="R214" s="64">
        <f t="shared" si="76"/>
        <v>716</v>
      </c>
      <c r="S214" s="53">
        <f t="shared" si="76"/>
        <v>800</v>
      </c>
      <c r="T214" s="64">
        <f t="shared" si="77"/>
        <v>880</v>
      </c>
      <c r="U214" s="64">
        <f t="shared" si="77"/>
        <v>960</v>
      </c>
      <c r="V214" s="64">
        <f t="shared" si="77"/>
        <v>1040</v>
      </c>
      <c r="W214" s="64">
        <f t="shared" si="77"/>
        <v>1120</v>
      </c>
      <c r="X214" s="53">
        <f t="shared" si="77"/>
        <v>1200</v>
      </c>
      <c r="Y214" s="64">
        <f t="shared" si="77"/>
        <v>1280</v>
      </c>
      <c r="Z214" s="64">
        <f t="shared" si="77"/>
        <v>1360</v>
      </c>
      <c r="AA214" s="64">
        <f t="shared" si="77"/>
        <v>1440</v>
      </c>
      <c r="AB214" s="64">
        <f t="shared" si="77"/>
        <v>1520</v>
      </c>
      <c r="AC214" s="53">
        <f t="shared" si="77"/>
        <v>1600</v>
      </c>
      <c r="AD214" s="64">
        <f t="shared" si="78"/>
        <v>1680</v>
      </c>
      <c r="AE214" s="64">
        <f t="shared" si="78"/>
        <v>1760</v>
      </c>
      <c r="AF214" s="64">
        <f t="shared" si="78"/>
        <v>1840</v>
      </c>
      <c r="AG214" s="64">
        <f t="shared" si="78"/>
        <v>1920</v>
      </c>
      <c r="AH214" s="53">
        <f t="shared" si="78"/>
        <v>2000</v>
      </c>
      <c r="AI214" s="64">
        <f t="shared" si="78"/>
        <v>2081</v>
      </c>
      <c r="AJ214" s="64">
        <f t="shared" si="78"/>
        <v>2161</v>
      </c>
      <c r="AK214" s="64">
        <f t="shared" si="78"/>
        <v>2241</v>
      </c>
      <c r="AL214" s="64">
        <f t="shared" si="78"/>
        <v>2321</v>
      </c>
      <c r="AM214" s="53">
        <f t="shared" si="78"/>
        <v>2401</v>
      </c>
    </row>
    <row r="215" spans="1:39" x14ac:dyDescent="0.25">
      <c r="A215" s="53">
        <f>'Pokemon Data'!A214</f>
        <v>213</v>
      </c>
      <c r="B215" s="53" t="str">
        <f>'Pokemon Data'!B214</f>
        <v>Shuckle</v>
      </c>
      <c r="C215" s="61">
        <f>'Pokemon Data'!E214</f>
        <v>106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70"/>
        <v>55</v>
      </c>
      <c r="H215" s="61">
        <f t="shared" si="71"/>
        <v>32</v>
      </c>
      <c r="I215" s="61">
        <f t="shared" si="72"/>
        <v>411</v>
      </c>
      <c r="J215" s="53">
        <f t="shared" si="76"/>
        <v>10</v>
      </c>
      <c r="K215" s="64">
        <f t="shared" si="76"/>
        <v>13</v>
      </c>
      <c r="L215" s="64">
        <f t="shared" si="76"/>
        <v>22</v>
      </c>
      <c r="M215" s="64">
        <f t="shared" si="76"/>
        <v>31</v>
      </c>
      <c r="N215" s="53">
        <f t="shared" si="76"/>
        <v>40</v>
      </c>
      <c r="O215" s="64">
        <f t="shared" si="76"/>
        <v>49</v>
      </c>
      <c r="P215" s="64">
        <f t="shared" si="76"/>
        <v>58</v>
      </c>
      <c r="Q215" s="64">
        <f t="shared" si="76"/>
        <v>67</v>
      </c>
      <c r="R215" s="64">
        <f t="shared" si="76"/>
        <v>76</v>
      </c>
      <c r="S215" s="53">
        <f t="shared" si="76"/>
        <v>85</v>
      </c>
      <c r="T215" s="64">
        <f t="shared" si="77"/>
        <v>94</v>
      </c>
      <c r="U215" s="64">
        <f t="shared" si="77"/>
        <v>103</v>
      </c>
      <c r="V215" s="64">
        <f t="shared" si="77"/>
        <v>111</v>
      </c>
      <c r="W215" s="64">
        <f t="shared" si="77"/>
        <v>120</v>
      </c>
      <c r="X215" s="53">
        <f t="shared" si="77"/>
        <v>128</v>
      </c>
      <c r="Y215" s="64">
        <f t="shared" si="77"/>
        <v>137</v>
      </c>
      <c r="Z215" s="64">
        <f t="shared" si="77"/>
        <v>145</v>
      </c>
      <c r="AA215" s="64">
        <f t="shared" si="77"/>
        <v>154</v>
      </c>
      <c r="AB215" s="64">
        <f t="shared" si="77"/>
        <v>163</v>
      </c>
      <c r="AC215" s="53">
        <f t="shared" si="77"/>
        <v>171</v>
      </c>
      <c r="AD215" s="64">
        <f t="shared" si="78"/>
        <v>180</v>
      </c>
      <c r="AE215" s="64">
        <f t="shared" si="78"/>
        <v>188</v>
      </c>
      <c r="AF215" s="64">
        <f t="shared" si="78"/>
        <v>197</v>
      </c>
      <c r="AG215" s="64">
        <f t="shared" si="78"/>
        <v>206</v>
      </c>
      <c r="AH215" s="53">
        <f t="shared" si="78"/>
        <v>214</v>
      </c>
      <c r="AI215" s="64">
        <f t="shared" si="78"/>
        <v>223</v>
      </c>
      <c r="AJ215" s="64">
        <f t="shared" si="78"/>
        <v>231</v>
      </c>
      <c r="AK215" s="64">
        <f t="shared" si="78"/>
        <v>240</v>
      </c>
      <c r="AL215" s="64">
        <f t="shared" si="78"/>
        <v>248</v>
      </c>
      <c r="AM215" s="53">
        <f t="shared" si="78"/>
        <v>257</v>
      </c>
    </row>
    <row r="216" spans="1:39" x14ac:dyDescent="0.25">
      <c r="A216" s="53">
        <f>'Pokemon Data'!A215</f>
        <v>214</v>
      </c>
      <c r="B216" s="53" t="str">
        <f>'Pokemon Data'!B215</f>
        <v>Heracross</v>
      </c>
      <c r="C216" s="61">
        <f>'Pokemon Data'!E215</f>
        <v>107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70"/>
        <v>175</v>
      </c>
      <c r="H216" s="61">
        <f t="shared" si="71"/>
        <v>249</v>
      </c>
      <c r="I216" s="61">
        <f t="shared" si="72"/>
        <v>204</v>
      </c>
      <c r="J216" s="53">
        <f t="shared" si="76"/>
        <v>41</v>
      </c>
      <c r="K216" s="64">
        <f t="shared" si="76"/>
        <v>130</v>
      </c>
      <c r="L216" s="64">
        <f t="shared" si="76"/>
        <v>218</v>
      </c>
      <c r="M216" s="64">
        <f t="shared" si="76"/>
        <v>307</v>
      </c>
      <c r="N216" s="53">
        <f t="shared" si="76"/>
        <v>396</v>
      </c>
      <c r="O216" s="64">
        <f t="shared" si="76"/>
        <v>485</v>
      </c>
      <c r="P216" s="64">
        <f t="shared" si="76"/>
        <v>573</v>
      </c>
      <c r="Q216" s="64">
        <f t="shared" si="76"/>
        <v>662</v>
      </c>
      <c r="R216" s="64">
        <f t="shared" si="76"/>
        <v>751</v>
      </c>
      <c r="S216" s="53">
        <f t="shared" si="76"/>
        <v>839</v>
      </c>
      <c r="T216" s="64">
        <f t="shared" si="77"/>
        <v>923</v>
      </c>
      <c r="U216" s="64">
        <f t="shared" si="77"/>
        <v>1007</v>
      </c>
      <c r="V216" s="64">
        <f t="shared" si="77"/>
        <v>1091</v>
      </c>
      <c r="W216" s="64">
        <f t="shared" si="77"/>
        <v>1175</v>
      </c>
      <c r="X216" s="53">
        <f t="shared" si="77"/>
        <v>1259</v>
      </c>
      <c r="Y216" s="64">
        <f t="shared" si="77"/>
        <v>1343</v>
      </c>
      <c r="Z216" s="64">
        <f t="shared" si="77"/>
        <v>1427</v>
      </c>
      <c r="AA216" s="64">
        <f t="shared" si="77"/>
        <v>1511</v>
      </c>
      <c r="AB216" s="64">
        <f t="shared" si="77"/>
        <v>1595</v>
      </c>
      <c r="AC216" s="53">
        <f t="shared" si="77"/>
        <v>1679</v>
      </c>
      <c r="AD216" s="64">
        <f t="shared" si="78"/>
        <v>1763</v>
      </c>
      <c r="AE216" s="64">
        <f t="shared" si="78"/>
        <v>1847</v>
      </c>
      <c r="AF216" s="64">
        <f t="shared" si="78"/>
        <v>1930</v>
      </c>
      <c r="AG216" s="64">
        <f t="shared" si="78"/>
        <v>2014</v>
      </c>
      <c r="AH216" s="53">
        <f t="shared" si="78"/>
        <v>2098</v>
      </c>
      <c r="AI216" s="64">
        <f t="shared" si="78"/>
        <v>2182</v>
      </c>
      <c r="AJ216" s="64">
        <f t="shared" si="78"/>
        <v>2266</v>
      </c>
      <c r="AK216" s="64">
        <f t="shared" si="78"/>
        <v>2350</v>
      </c>
      <c r="AL216" s="64">
        <f t="shared" si="78"/>
        <v>2434</v>
      </c>
      <c r="AM216" s="53">
        <f t="shared" si="78"/>
        <v>2518</v>
      </c>
    </row>
    <row r="217" spans="1:39" x14ac:dyDescent="0.25">
      <c r="A217" s="53">
        <f>'Pokemon Data'!A216</f>
        <v>215</v>
      </c>
      <c r="B217" s="53" t="str">
        <f>'Pokemon Data'!B216</f>
        <v>Sneasel</v>
      </c>
      <c r="C217" s="61">
        <f>'Pokemon Data'!E216</f>
        <v>108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70"/>
        <v>125</v>
      </c>
      <c r="H217" s="61">
        <f t="shared" si="71"/>
        <v>204</v>
      </c>
      <c r="I217" s="61">
        <f t="shared" si="72"/>
        <v>172</v>
      </c>
      <c r="J217" s="53">
        <f t="shared" si="76"/>
        <v>26</v>
      </c>
      <c r="K217" s="64">
        <f t="shared" si="76"/>
        <v>82</v>
      </c>
      <c r="L217" s="64">
        <f t="shared" si="76"/>
        <v>139</v>
      </c>
      <c r="M217" s="64">
        <f t="shared" si="76"/>
        <v>195</v>
      </c>
      <c r="N217" s="53">
        <f t="shared" si="76"/>
        <v>251</v>
      </c>
      <c r="O217" s="64">
        <f t="shared" si="76"/>
        <v>308</v>
      </c>
      <c r="P217" s="64">
        <f t="shared" si="76"/>
        <v>364</v>
      </c>
      <c r="Q217" s="64">
        <f t="shared" si="76"/>
        <v>421</v>
      </c>
      <c r="R217" s="64">
        <f t="shared" si="76"/>
        <v>477</v>
      </c>
      <c r="S217" s="53">
        <f t="shared" si="76"/>
        <v>533</v>
      </c>
      <c r="T217" s="64">
        <f t="shared" si="77"/>
        <v>587</v>
      </c>
      <c r="U217" s="64">
        <f t="shared" si="77"/>
        <v>640</v>
      </c>
      <c r="V217" s="64">
        <f t="shared" si="77"/>
        <v>694</v>
      </c>
      <c r="W217" s="64">
        <f t="shared" si="77"/>
        <v>747</v>
      </c>
      <c r="X217" s="53">
        <f t="shared" si="77"/>
        <v>800</v>
      </c>
      <c r="Y217" s="64">
        <f t="shared" si="77"/>
        <v>854</v>
      </c>
      <c r="Z217" s="64">
        <f t="shared" si="77"/>
        <v>907</v>
      </c>
      <c r="AA217" s="64">
        <f t="shared" si="77"/>
        <v>960</v>
      </c>
      <c r="AB217" s="64">
        <f t="shared" si="77"/>
        <v>1014</v>
      </c>
      <c r="AC217" s="53">
        <f t="shared" si="77"/>
        <v>1067</v>
      </c>
      <c r="AD217" s="64">
        <f t="shared" si="78"/>
        <v>1120</v>
      </c>
      <c r="AE217" s="64">
        <f t="shared" si="78"/>
        <v>1174</v>
      </c>
      <c r="AF217" s="64">
        <f t="shared" si="78"/>
        <v>1227</v>
      </c>
      <c r="AG217" s="64">
        <f t="shared" si="78"/>
        <v>1281</v>
      </c>
      <c r="AH217" s="53">
        <f t="shared" si="78"/>
        <v>1334</v>
      </c>
      <c r="AI217" s="64">
        <f t="shared" si="78"/>
        <v>1387</v>
      </c>
      <c r="AJ217" s="64">
        <f t="shared" si="78"/>
        <v>1441</v>
      </c>
      <c r="AK217" s="64">
        <f t="shared" si="78"/>
        <v>1494</v>
      </c>
      <c r="AL217" s="64">
        <f t="shared" si="78"/>
        <v>1548</v>
      </c>
      <c r="AM217" s="53">
        <f t="shared" si="78"/>
        <v>1601</v>
      </c>
    </row>
    <row r="218" spans="1:39" x14ac:dyDescent="0.25">
      <c r="A218" s="53">
        <f>'Pokemon Data'!A217</f>
        <v>216</v>
      </c>
      <c r="B218" s="53" t="str">
        <f>'Pokemon Data'!B217</f>
        <v>Teddiursa</v>
      </c>
      <c r="C218" s="61">
        <f>'Pokemon Data'!E217</f>
        <v>109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70"/>
        <v>135</v>
      </c>
      <c r="H218" s="61">
        <f t="shared" si="71"/>
        <v>157</v>
      </c>
      <c r="I218" s="61">
        <f t="shared" si="72"/>
        <v>108</v>
      </c>
      <c r="J218" s="53">
        <f t="shared" si="76"/>
        <v>16</v>
      </c>
      <c r="K218" s="64">
        <f t="shared" si="76"/>
        <v>52</v>
      </c>
      <c r="L218" s="64">
        <f t="shared" si="76"/>
        <v>88</v>
      </c>
      <c r="M218" s="64">
        <f t="shared" si="76"/>
        <v>123</v>
      </c>
      <c r="N218" s="53">
        <f t="shared" si="76"/>
        <v>159</v>
      </c>
      <c r="O218" s="64">
        <f t="shared" si="76"/>
        <v>195</v>
      </c>
      <c r="P218" s="64">
        <f t="shared" si="76"/>
        <v>231</v>
      </c>
      <c r="Q218" s="64">
        <f t="shared" si="76"/>
        <v>266</v>
      </c>
      <c r="R218" s="64">
        <f t="shared" si="76"/>
        <v>302</v>
      </c>
      <c r="S218" s="53">
        <f t="shared" si="76"/>
        <v>338</v>
      </c>
      <c r="T218" s="64">
        <f t="shared" si="77"/>
        <v>372</v>
      </c>
      <c r="U218" s="64">
        <f t="shared" si="77"/>
        <v>406</v>
      </c>
      <c r="V218" s="64">
        <f t="shared" si="77"/>
        <v>439</v>
      </c>
      <c r="W218" s="64">
        <f t="shared" si="77"/>
        <v>473</v>
      </c>
      <c r="X218" s="53">
        <f t="shared" si="77"/>
        <v>507</v>
      </c>
      <c r="Y218" s="64">
        <f t="shared" si="77"/>
        <v>541</v>
      </c>
      <c r="Z218" s="64">
        <f t="shared" si="77"/>
        <v>575</v>
      </c>
      <c r="AA218" s="64">
        <f t="shared" si="77"/>
        <v>608</v>
      </c>
      <c r="AB218" s="64">
        <f t="shared" si="77"/>
        <v>642</v>
      </c>
      <c r="AC218" s="53">
        <f t="shared" si="77"/>
        <v>676</v>
      </c>
      <c r="AD218" s="64">
        <f t="shared" si="78"/>
        <v>710</v>
      </c>
      <c r="AE218" s="64">
        <f t="shared" si="78"/>
        <v>744</v>
      </c>
      <c r="AF218" s="64">
        <f t="shared" si="78"/>
        <v>778</v>
      </c>
      <c r="AG218" s="64">
        <f t="shared" si="78"/>
        <v>811</v>
      </c>
      <c r="AH218" s="53">
        <f t="shared" si="78"/>
        <v>845</v>
      </c>
      <c r="AI218" s="64">
        <f t="shared" si="78"/>
        <v>879</v>
      </c>
      <c r="AJ218" s="64">
        <f t="shared" si="78"/>
        <v>913</v>
      </c>
      <c r="AK218" s="64">
        <f t="shared" si="78"/>
        <v>947</v>
      </c>
      <c r="AL218" s="64">
        <f t="shared" si="78"/>
        <v>981</v>
      </c>
      <c r="AM218" s="53">
        <f t="shared" si="78"/>
        <v>1014</v>
      </c>
    </row>
    <row r="219" spans="1:39" x14ac:dyDescent="0.25">
      <c r="A219" s="53">
        <f>'Pokemon Data'!A218</f>
        <v>217</v>
      </c>
      <c r="B219" s="53" t="str">
        <f>'Pokemon Data'!B218</f>
        <v>Ursaring</v>
      </c>
      <c r="C219" s="61">
        <f>'Pokemon Data'!E218</f>
        <v>109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70"/>
        <v>195</v>
      </c>
      <c r="H219" s="61">
        <f t="shared" si="71"/>
        <v>251</v>
      </c>
      <c r="I219" s="61">
        <f t="shared" si="72"/>
        <v>159</v>
      </c>
      <c r="J219" s="53">
        <f t="shared" si="76"/>
        <v>39</v>
      </c>
      <c r="K219" s="64">
        <f t="shared" si="76"/>
        <v>122</v>
      </c>
      <c r="L219" s="64">
        <f t="shared" si="76"/>
        <v>205</v>
      </c>
      <c r="M219" s="64">
        <f t="shared" si="76"/>
        <v>289</v>
      </c>
      <c r="N219" s="53">
        <f t="shared" si="76"/>
        <v>372</v>
      </c>
      <c r="O219" s="64">
        <f t="shared" si="76"/>
        <v>455</v>
      </c>
      <c r="P219" s="64">
        <f t="shared" si="76"/>
        <v>538</v>
      </c>
      <c r="Q219" s="64">
        <f t="shared" si="76"/>
        <v>622</v>
      </c>
      <c r="R219" s="64">
        <f t="shared" si="76"/>
        <v>705</v>
      </c>
      <c r="S219" s="53">
        <f t="shared" si="76"/>
        <v>788</v>
      </c>
      <c r="T219" s="64">
        <f t="shared" si="77"/>
        <v>867</v>
      </c>
      <c r="U219" s="64">
        <f t="shared" si="77"/>
        <v>946</v>
      </c>
      <c r="V219" s="64">
        <f t="shared" si="77"/>
        <v>1025</v>
      </c>
      <c r="W219" s="64">
        <f t="shared" si="77"/>
        <v>1104</v>
      </c>
      <c r="X219" s="53">
        <f t="shared" si="77"/>
        <v>1183</v>
      </c>
      <c r="Y219" s="64">
        <f t="shared" si="77"/>
        <v>1261</v>
      </c>
      <c r="Z219" s="64">
        <f t="shared" si="77"/>
        <v>1340</v>
      </c>
      <c r="AA219" s="64">
        <f t="shared" si="77"/>
        <v>1419</v>
      </c>
      <c r="AB219" s="64">
        <f t="shared" si="77"/>
        <v>1498</v>
      </c>
      <c r="AC219" s="53">
        <f t="shared" si="77"/>
        <v>1577</v>
      </c>
      <c r="AD219" s="64">
        <f t="shared" si="78"/>
        <v>1656</v>
      </c>
      <c r="AE219" s="64">
        <f t="shared" si="78"/>
        <v>1735</v>
      </c>
      <c r="AF219" s="64">
        <f t="shared" si="78"/>
        <v>1813</v>
      </c>
      <c r="AG219" s="64">
        <f t="shared" si="78"/>
        <v>1892</v>
      </c>
      <c r="AH219" s="53">
        <f t="shared" si="78"/>
        <v>1971</v>
      </c>
      <c r="AI219" s="64">
        <f t="shared" si="78"/>
        <v>2050</v>
      </c>
      <c r="AJ219" s="64">
        <f t="shared" si="78"/>
        <v>2129</v>
      </c>
      <c r="AK219" s="64">
        <f t="shared" si="78"/>
        <v>2208</v>
      </c>
      <c r="AL219" s="64">
        <f t="shared" si="78"/>
        <v>2287</v>
      </c>
      <c r="AM219" s="53">
        <f t="shared" si="78"/>
        <v>2366</v>
      </c>
    </row>
    <row r="220" spans="1:39" x14ac:dyDescent="0.25">
      <c r="A220" s="53">
        <f>'Pokemon Data'!A219</f>
        <v>218</v>
      </c>
      <c r="B220" s="53" t="str">
        <f>'Pokemon Data'!B219</f>
        <v>Slugma</v>
      </c>
      <c r="C220" s="61">
        <f>'Pokemon Data'!E219</f>
        <v>110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70"/>
        <v>95</v>
      </c>
      <c r="H220" s="61">
        <f t="shared" si="71"/>
        <v>133</v>
      </c>
      <c r="I220" s="61">
        <f t="shared" si="72"/>
        <v>86</v>
      </c>
      <c r="J220" s="53">
        <f t="shared" si="76"/>
        <v>10</v>
      </c>
      <c r="K220" s="64">
        <f t="shared" si="76"/>
        <v>33</v>
      </c>
      <c r="L220" s="64">
        <f t="shared" si="76"/>
        <v>55</v>
      </c>
      <c r="M220" s="64">
        <f t="shared" si="76"/>
        <v>78</v>
      </c>
      <c r="N220" s="53">
        <f t="shared" si="76"/>
        <v>101</v>
      </c>
      <c r="O220" s="64">
        <f t="shared" si="76"/>
        <v>123</v>
      </c>
      <c r="P220" s="64">
        <f t="shared" si="76"/>
        <v>146</v>
      </c>
      <c r="Q220" s="64">
        <f t="shared" si="76"/>
        <v>169</v>
      </c>
      <c r="R220" s="64">
        <f t="shared" si="76"/>
        <v>191</v>
      </c>
      <c r="S220" s="53">
        <f t="shared" si="76"/>
        <v>214</v>
      </c>
      <c r="T220" s="64">
        <f t="shared" si="77"/>
        <v>236</v>
      </c>
      <c r="U220" s="64">
        <f t="shared" si="77"/>
        <v>257</v>
      </c>
      <c r="V220" s="64">
        <f t="shared" si="77"/>
        <v>278</v>
      </c>
      <c r="W220" s="64">
        <f t="shared" si="77"/>
        <v>300</v>
      </c>
      <c r="X220" s="53">
        <f t="shared" si="77"/>
        <v>321</v>
      </c>
      <c r="Y220" s="64">
        <f t="shared" si="77"/>
        <v>343</v>
      </c>
      <c r="Z220" s="64">
        <f t="shared" si="77"/>
        <v>364</v>
      </c>
      <c r="AA220" s="64">
        <f t="shared" si="77"/>
        <v>386</v>
      </c>
      <c r="AB220" s="64">
        <f t="shared" si="77"/>
        <v>407</v>
      </c>
      <c r="AC220" s="53">
        <f t="shared" si="77"/>
        <v>429</v>
      </c>
      <c r="AD220" s="64">
        <f t="shared" si="78"/>
        <v>450</v>
      </c>
      <c r="AE220" s="64">
        <f t="shared" si="78"/>
        <v>471</v>
      </c>
      <c r="AF220" s="64">
        <f t="shared" si="78"/>
        <v>493</v>
      </c>
      <c r="AG220" s="64">
        <f t="shared" si="78"/>
        <v>514</v>
      </c>
      <c r="AH220" s="53">
        <f t="shared" si="78"/>
        <v>536</v>
      </c>
      <c r="AI220" s="64">
        <f t="shared" si="78"/>
        <v>557</v>
      </c>
      <c r="AJ220" s="64">
        <f t="shared" si="78"/>
        <v>579</v>
      </c>
      <c r="AK220" s="64">
        <f t="shared" si="78"/>
        <v>600</v>
      </c>
      <c r="AL220" s="64">
        <f t="shared" si="78"/>
        <v>622</v>
      </c>
      <c r="AM220" s="53">
        <f t="shared" si="78"/>
        <v>643</v>
      </c>
    </row>
    <row r="221" spans="1:39" x14ac:dyDescent="0.25">
      <c r="A221" s="53">
        <f>'Pokemon Data'!A220</f>
        <v>219</v>
      </c>
      <c r="B221" s="53" t="str">
        <f>'Pokemon Data'!B220</f>
        <v>Magcargo</v>
      </c>
      <c r="C221" s="61">
        <f>'Pokemon Data'!E220</f>
        <v>110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70"/>
        <v>115</v>
      </c>
      <c r="H221" s="61">
        <f t="shared" si="71"/>
        <v>154</v>
      </c>
      <c r="I221" s="61">
        <f t="shared" si="72"/>
        <v>224</v>
      </c>
      <c r="J221" s="53">
        <f t="shared" si="76"/>
        <v>21</v>
      </c>
      <c r="K221" s="64">
        <f t="shared" si="76"/>
        <v>68</v>
      </c>
      <c r="L221" s="64">
        <f t="shared" si="76"/>
        <v>115</v>
      </c>
      <c r="M221" s="64">
        <f t="shared" si="76"/>
        <v>161</v>
      </c>
      <c r="N221" s="53">
        <f t="shared" si="76"/>
        <v>208</v>
      </c>
      <c r="O221" s="64">
        <f t="shared" si="76"/>
        <v>254</v>
      </c>
      <c r="P221" s="64">
        <f t="shared" si="76"/>
        <v>301</v>
      </c>
      <c r="Q221" s="64">
        <f t="shared" si="76"/>
        <v>348</v>
      </c>
      <c r="R221" s="64">
        <f t="shared" si="76"/>
        <v>394</v>
      </c>
      <c r="S221" s="53">
        <f t="shared" si="76"/>
        <v>441</v>
      </c>
      <c r="T221" s="64">
        <f t="shared" si="77"/>
        <v>485</v>
      </c>
      <c r="U221" s="64">
        <f t="shared" si="77"/>
        <v>529</v>
      </c>
      <c r="V221" s="64">
        <f t="shared" si="77"/>
        <v>573</v>
      </c>
      <c r="W221" s="64">
        <f t="shared" si="77"/>
        <v>617</v>
      </c>
      <c r="X221" s="53">
        <f t="shared" si="77"/>
        <v>661</v>
      </c>
      <c r="Y221" s="64">
        <f t="shared" si="77"/>
        <v>705</v>
      </c>
      <c r="Z221" s="64">
        <f t="shared" si="77"/>
        <v>749</v>
      </c>
      <c r="AA221" s="64">
        <f t="shared" si="77"/>
        <v>793</v>
      </c>
      <c r="AB221" s="64">
        <f t="shared" si="77"/>
        <v>838</v>
      </c>
      <c r="AC221" s="53">
        <f t="shared" si="77"/>
        <v>882</v>
      </c>
      <c r="AD221" s="64">
        <f t="shared" si="78"/>
        <v>926</v>
      </c>
      <c r="AE221" s="64">
        <f t="shared" si="78"/>
        <v>970</v>
      </c>
      <c r="AF221" s="64">
        <f t="shared" si="78"/>
        <v>1014</v>
      </c>
      <c r="AG221" s="64">
        <f t="shared" si="78"/>
        <v>1058</v>
      </c>
      <c r="AH221" s="53">
        <f t="shared" si="78"/>
        <v>1102</v>
      </c>
      <c r="AI221" s="64">
        <f t="shared" si="78"/>
        <v>1146</v>
      </c>
      <c r="AJ221" s="64">
        <f t="shared" si="78"/>
        <v>1190</v>
      </c>
      <c r="AK221" s="64">
        <f t="shared" si="78"/>
        <v>1235</v>
      </c>
      <c r="AL221" s="64">
        <f t="shared" si="78"/>
        <v>1279</v>
      </c>
      <c r="AM221" s="53">
        <f t="shared" si="78"/>
        <v>1323</v>
      </c>
    </row>
    <row r="222" spans="1:39" x14ac:dyDescent="0.25">
      <c r="A222" s="53">
        <f>'Pokemon Data'!A221</f>
        <v>220</v>
      </c>
      <c r="B222" s="53" t="str">
        <f>'Pokemon Data'!B221</f>
        <v>Swinub</v>
      </c>
      <c r="C222" s="61">
        <f>'Pokemon Data'!E221</f>
        <v>111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70"/>
        <v>115</v>
      </c>
      <c r="H222" s="61">
        <f t="shared" si="71"/>
        <v>105</v>
      </c>
      <c r="I222" s="61">
        <f t="shared" si="72"/>
        <v>89</v>
      </c>
      <c r="J222" s="53">
        <f t="shared" si="76"/>
        <v>10</v>
      </c>
      <c r="K222" s="64">
        <f t="shared" si="76"/>
        <v>29</v>
      </c>
      <c r="L222" s="64">
        <f t="shared" si="76"/>
        <v>49</v>
      </c>
      <c r="M222" s="64">
        <f t="shared" si="76"/>
        <v>69</v>
      </c>
      <c r="N222" s="53">
        <f t="shared" si="76"/>
        <v>89</v>
      </c>
      <c r="O222" s="64">
        <f t="shared" si="76"/>
        <v>109</v>
      </c>
      <c r="P222" s="64">
        <f t="shared" si="76"/>
        <v>129</v>
      </c>
      <c r="Q222" s="64">
        <f t="shared" si="76"/>
        <v>149</v>
      </c>
      <c r="R222" s="64">
        <f t="shared" si="76"/>
        <v>169</v>
      </c>
      <c r="S222" s="53">
        <f t="shared" si="76"/>
        <v>189</v>
      </c>
      <c r="T222" s="64">
        <f t="shared" si="77"/>
        <v>208</v>
      </c>
      <c r="U222" s="64">
        <f t="shared" si="77"/>
        <v>227</v>
      </c>
      <c r="V222" s="64">
        <f t="shared" si="77"/>
        <v>246</v>
      </c>
      <c r="W222" s="64">
        <f t="shared" si="77"/>
        <v>265</v>
      </c>
      <c r="X222" s="53">
        <f t="shared" si="77"/>
        <v>284</v>
      </c>
      <c r="Y222" s="64">
        <f t="shared" si="77"/>
        <v>303</v>
      </c>
      <c r="Z222" s="64">
        <f t="shared" si="77"/>
        <v>322</v>
      </c>
      <c r="AA222" s="64">
        <f t="shared" si="77"/>
        <v>341</v>
      </c>
      <c r="AB222" s="64">
        <f t="shared" si="77"/>
        <v>360</v>
      </c>
      <c r="AC222" s="53">
        <f t="shared" si="77"/>
        <v>379</v>
      </c>
      <c r="AD222" s="64">
        <f t="shared" si="78"/>
        <v>398</v>
      </c>
      <c r="AE222" s="64">
        <f t="shared" si="78"/>
        <v>417</v>
      </c>
      <c r="AF222" s="64">
        <f t="shared" si="78"/>
        <v>435</v>
      </c>
      <c r="AG222" s="64">
        <f t="shared" si="78"/>
        <v>454</v>
      </c>
      <c r="AH222" s="53">
        <f t="shared" si="78"/>
        <v>473</v>
      </c>
      <c r="AI222" s="64">
        <f t="shared" si="78"/>
        <v>492</v>
      </c>
      <c r="AJ222" s="64">
        <f t="shared" si="78"/>
        <v>511</v>
      </c>
      <c r="AK222" s="64">
        <f t="shared" si="78"/>
        <v>530</v>
      </c>
      <c r="AL222" s="64">
        <f t="shared" si="78"/>
        <v>549</v>
      </c>
      <c r="AM222" s="53">
        <f t="shared" si="78"/>
        <v>568</v>
      </c>
    </row>
    <row r="223" spans="1:39" x14ac:dyDescent="0.25">
      <c r="A223" s="53">
        <f>'Pokemon Data'!A222</f>
        <v>221</v>
      </c>
      <c r="B223" s="53" t="str">
        <f>'Pokemon Data'!B222</f>
        <v>Piloswine</v>
      </c>
      <c r="C223" s="61">
        <f>'Pokemon Data'!E222</f>
        <v>111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70"/>
        <v>215</v>
      </c>
      <c r="H223" s="61">
        <f t="shared" si="71"/>
        <v>196</v>
      </c>
      <c r="I223" s="61">
        <f t="shared" si="72"/>
        <v>162</v>
      </c>
      <c r="J223" s="53">
        <f t="shared" ref="J223:S232" si="79">MAX(10,INT(SQRT($G223*$I223)*$H223*J$1^2/10))</f>
        <v>32</v>
      </c>
      <c r="K223" s="64">
        <f t="shared" si="79"/>
        <v>101</v>
      </c>
      <c r="L223" s="64">
        <f t="shared" si="79"/>
        <v>170</v>
      </c>
      <c r="M223" s="64">
        <f t="shared" si="79"/>
        <v>239</v>
      </c>
      <c r="N223" s="53">
        <f t="shared" si="79"/>
        <v>308</v>
      </c>
      <c r="O223" s="64">
        <f t="shared" si="79"/>
        <v>377</v>
      </c>
      <c r="P223" s="64">
        <f t="shared" si="79"/>
        <v>446</v>
      </c>
      <c r="Q223" s="64">
        <f t="shared" si="79"/>
        <v>515</v>
      </c>
      <c r="R223" s="64">
        <f t="shared" si="79"/>
        <v>583</v>
      </c>
      <c r="S223" s="53">
        <f t="shared" si="79"/>
        <v>652</v>
      </c>
      <c r="T223" s="64">
        <f t="shared" ref="T223:AC232" si="80">MAX(10,INT(SQRT($G223*$I223)*$H223*T$1^2/10))</f>
        <v>718</v>
      </c>
      <c r="U223" s="64">
        <f t="shared" si="80"/>
        <v>783</v>
      </c>
      <c r="V223" s="64">
        <f t="shared" si="80"/>
        <v>848</v>
      </c>
      <c r="W223" s="64">
        <f t="shared" si="80"/>
        <v>913</v>
      </c>
      <c r="X223" s="53">
        <f t="shared" si="80"/>
        <v>979</v>
      </c>
      <c r="Y223" s="64">
        <f t="shared" si="80"/>
        <v>1044</v>
      </c>
      <c r="Z223" s="64">
        <f t="shared" si="80"/>
        <v>1109</v>
      </c>
      <c r="AA223" s="64">
        <f t="shared" si="80"/>
        <v>1174</v>
      </c>
      <c r="AB223" s="64">
        <f t="shared" si="80"/>
        <v>1240</v>
      </c>
      <c r="AC223" s="53">
        <f t="shared" si="80"/>
        <v>1305</v>
      </c>
      <c r="AD223" s="64">
        <f t="shared" ref="AD223:AM232" si="81">MAX(10,INT(SQRT($G223*$I223)*$H223*AD$1^2/10))</f>
        <v>1370</v>
      </c>
      <c r="AE223" s="64">
        <f t="shared" si="81"/>
        <v>1436</v>
      </c>
      <c r="AF223" s="64">
        <f t="shared" si="81"/>
        <v>1501</v>
      </c>
      <c r="AG223" s="64">
        <f t="shared" si="81"/>
        <v>1566</v>
      </c>
      <c r="AH223" s="53">
        <f t="shared" si="81"/>
        <v>1631</v>
      </c>
      <c r="AI223" s="64">
        <f t="shared" si="81"/>
        <v>1697</v>
      </c>
      <c r="AJ223" s="64">
        <f t="shared" si="81"/>
        <v>1762</v>
      </c>
      <c r="AK223" s="64">
        <f t="shared" si="81"/>
        <v>1827</v>
      </c>
      <c r="AL223" s="64">
        <f t="shared" si="81"/>
        <v>1893</v>
      </c>
      <c r="AM223" s="53">
        <f t="shared" si="81"/>
        <v>1958</v>
      </c>
    </row>
    <row r="224" spans="1:39" x14ac:dyDescent="0.25">
      <c r="A224" s="53">
        <f>'Pokemon Data'!A223</f>
        <v>222</v>
      </c>
      <c r="B224" s="53" t="str">
        <f>'Pokemon Data'!B223</f>
        <v>Corsola</v>
      </c>
      <c r="C224" s="61">
        <f>'Pokemon Data'!E223</f>
        <v>112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70"/>
        <v>125</v>
      </c>
      <c r="H224" s="61">
        <f t="shared" si="71"/>
        <v>133</v>
      </c>
      <c r="I224" s="61">
        <f t="shared" si="72"/>
        <v>171</v>
      </c>
      <c r="J224" s="53">
        <f t="shared" si="79"/>
        <v>17</v>
      </c>
      <c r="K224" s="64">
        <f t="shared" si="79"/>
        <v>53</v>
      </c>
      <c r="L224" s="64">
        <f t="shared" si="79"/>
        <v>90</v>
      </c>
      <c r="M224" s="64">
        <f t="shared" si="79"/>
        <v>127</v>
      </c>
      <c r="N224" s="53">
        <f t="shared" si="79"/>
        <v>163</v>
      </c>
      <c r="O224" s="64">
        <f t="shared" si="79"/>
        <v>200</v>
      </c>
      <c r="P224" s="64">
        <f t="shared" si="79"/>
        <v>237</v>
      </c>
      <c r="Q224" s="64">
        <f t="shared" si="79"/>
        <v>273</v>
      </c>
      <c r="R224" s="64">
        <f t="shared" si="79"/>
        <v>310</v>
      </c>
      <c r="S224" s="53">
        <f t="shared" si="79"/>
        <v>347</v>
      </c>
      <c r="T224" s="64">
        <f t="shared" si="80"/>
        <v>381</v>
      </c>
      <c r="U224" s="64">
        <f t="shared" si="80"/>
        <v>416</v>
      </c>
      <c r="V224" s="64">
        <f t="shared" si="80"/>
        <v>451</v>
      </c>
      <c r="W224" s="64">
        <f t="shared" si="80"/>
        <v>485</v>
      </c>
      <c r="X224" s="53">
        <f t="shared" si="80"/>
        <v>520</v>
      </c>
      <c r="Y224" s="64">
        <f t="shared" si="80"/>
        <v>555</v>
      </c>
      <c r="Z224" s="64">
        <f t="shared" si="80"/>
        <v>589</v>
      </c>
      <c r="AA224" s="64">
        <f t="shared" si="80"/>
        <v>624</v>
      </c>
      <c r="AB224" s="64">
        <f t="shared" si="80"/>
        <v>659</v>
      </c>
      <c r="AC224" s="53">
        <f t="shared" si="80"/>
        <v>693</v>
      </c>
      <c r="AD224" s="64">
        <f t="shared" si="81"/>
        <v>728</v>
      </c>
      <c r="AE224" s="64">
        <f t="shared" si="81"/>
        <v>763</v>
      </c>
      <c r="AF224" s="64">
        <f t="shared" si="81"/>
        <v>798</v>
      </c>
      <c r="AG224" s="64">
        <f t="shared" si="81"/>
        <v>832</v>
      </c>
      <c r="AH224" s="53">
        <f t="shared" si="81"/>
        <v>867</v>
      </c>
      <c r="AI224" s="64">
        <f t="shared" si="81"/>
        <v>902</v>
      </c>
      <c r="AJ224" s="64">
        <f t="shared" si="81"/>
        <v>936</v>
      </c>
      <c r="AK224" s="64">
        <f t="shared" si="81"/>
        <v>971</v>
      </c>
      <c r="AL224" s="64">
        <f t="shared" si="81"/>
        <v>1006</v>
      </c>
      <c r="AM224" s="53">
        <f t="shared" si="81"/>
        <v>1041</v>
      </c>
    </row>
    <row r="225" spans="1:39" x14ac:dyDescent="0.25">
      <c r="A225" s="53">
        <f>'Pokemon Data'!A224</f>
        <v>223</v>
      </c>
      <c r="B225" s="53" t="str">
        <f>'Pokemon Data'!B224</f>
        <v>Remoraid</v>
      </c>
      <c r="C225" s="61">
        <f>'Pokemon Data'!E224</f>
        <v>113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70"/>
        <v>85</v>
      </c>
      <c r="H225" s="61">
        <f t="shared" si="71"/>
        <v>142</v>
      </c>
      <c r="I225" s="61">
        <f t="shared" si="72"/>
        <v>84</v>
      </c>
      <c r="J225" s="53">
        <f t="shared" si="79"/>
        <v>10</v>
      </c>
      <c r="K225" s="64">
        <f t="shared" si="79"/>
        <v>33</v>
      </c>
      <c r="L225" s="64">
        <f t="shared" si="79"/>
        <v>55</v>
      </c>
      <c r="M225" s="64">
        <f t="shared" si="79"/>
        <v>78</v>
      </c>
      <c r="N225" s="53">
        <f t="shared" si="79"/>
        <v>101</v>
      </c>
      <c r="O225" s="64">
        <f t="shared" si="79"/>
        <v>123</v>
      </c>
      <c r="P225" s="64">
        <f t="shared" si="79"/>
        <v>146</v>
      </c>
      <c r="Q225" s="64">
        <f t="shared" si="79"/>
        <v>168</v>
      </c>
      <c r="R225" s="64">
        <f t="shared" si="79"/>
        <v>191</v>
      </c>
      <c r="S225" s="53">
        <f t="shared" si="79"/>
        <v>214</v>
      </c>
      <c r="T225" s="64">
        <f t="shared" si="80"/>
        <v>235</v>
      </c>
      <c r="U225" s="64">
        <f t="shared" si="80"/>
        <v>256</v>
      </c>
      <c r="V225" s="64">
        <f t="shared" si="80"/>
        <v>278</v>
      </c>
      <c r="W225" s="64">
        <f t="shared" si="80"/>
        <v>299</v>
      </c>
      <c r="X225" s="53">
        <f t="shared" si="80"/>
        <v>321</v>
      </c>
      <c r="Y225" s="64">
        <f t="shared" si="80"/>
        <v>342</v>
      </c>
      <c r="Z225" s="64">
        <f t="shared" si="80"/>
        <v>364</v>
      </c>
      <c r="AA225" s="64">
        <f t="shared" si="80"/>
        <v>385</v>
      </c>
      <c r="AB225" s="64">
        <f t="shared" si="80"/>
        <v>406</v>
      </c>
      <c r="AC225" s="53">
        <f t="shared" si="80"/>
        <v>428</v>
      </c>
      <c r="AD225" s="64">
        <f t="shared" si="81"/>
        <v>449</v>
      </c>
      <c r="AE225" s="64">
        <f t="shared" si="81"/>
        <v>471</v>
      </c>
      <c r="AF225" s="64">
        <f t="shared" si="81"/>
        <v>492</v>
      </c>
      <c r="AG225" s="64">
        <f t="shared" si="81"/>
        <v>513</v>
      </c>
      <c r="AH225" s="53">
        <f t="shared" si="81"/>
        <v>535</v>
      </c>
      <c r="AI225" s="64">
        <f t="shared" si="81"/>
        <v>556</v>
      </c>
      <c r="AJ225" s="64">
        <f t="shared" si="81"/>
        <v>578</v>
      </c>
      <c r="AK225" s="64">
        <f t="shared" si="81"/>
        <v>599</v>
      </c>
      <c r="AL225" s="64">
        <f t="shared" si="81"/>
        <v>620</v>
      </c>
      <c r="AM225" s="53">
        <f t="shared" si="81"/>
        <v>642</v>
      </c>
    </row>
    <row r="226" spans="1:39" x14ac:dyDescent="0.25">
      <c r="A226" s="53">
        <f>'Pokemon Data'!A225</f>
        <v>224</v>
      </c>
      <c r="B226" s="53" t="str">
        <f>'Pokemon Data'!B225</f>
        <v>Octillery</v>
      </c>
      <c r="C226" s="61">
        <f>'Pokemon Data'!E225</f>
        <v>113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70"/>
        <v>165</v>
      </c>
      <c r="H226" s="61">
        <f t="shared" si="71"/>
        <v>212</v>
      </c>
      <c r="I226" s="61">
        <f t="shared" si="72"/>
        <v>156</v>
      </c>
      <c r="J226" s="53">
        <f t="shared" si="79"/>
        <v>30</v>
      </c>
      <c r="K226" s="64">
        <f t="shared" si="79"/>
        <v>94</v>
      </c>
      <c r="L226" s="64">
        <f t="shared" si="79"/>
        <v>158</v>
      </c>
      <c r="M226" s="64">
        <f t="shared" si="79"/>
        <v>222</v>
      </c>
      <c r="N226" s="53">
        <f t="shared" si="79"/>
        <v>286</v>
      </c>
      <c r="O226" s="64">
        <f t="shared" si="79"/>
        <v>350</v>
      </c>
      <c r="P226" s="64">
        <f t="shared" si="79"/>
        <v>414</v>
      </c>
      <c r="Q226" s="64">
        <f t="shared" si="79"/>
        <v>478</v>
      </c>
      <c r="R226" s="64">
        <f t="shared" si="79"/>
        <v>543</v>
      </c>
      <c r="S226" s="53">
        <f t="shared" si="79"/>
        <v>607</v>
      </c>
      <c r="T226" s="64">
        <f t="shared" si="80"/>
        <v>667</v>
      </c>
      <c r="U226" s="64">
        <f t="shared" si="80"/>
        <v>728</v>
      </c>
      <c r="V226" s="64">
        <f t="shared" si="80"/>
        <v>789</v>
      </c>
      <c r="W226" s="64">
        <f t="shared" si="80"/>
        <v>849</v>
      </c>
      <c r="X226" s="53">
        <f t="shared" si="80"/>
        <v>910</v>
      </c>
      <c r="Y226" s="64">
        <f t="shared" si="80"/>
        <v>971</v>
      </c>
      <c r="Z226" s="64">
        <f t="shared" si="80"/>
        <v>1031</v>
      </c>
      <c r="AA226" s="64">
        <f t="shared" si="80"/>
        <v>1092</v>
      </c>
      <c r="AB226" s="64">
        <f t="shared" si="80"/>
        <v>1153</v>
      </c>
      <c r="AC226" s="53">
        <f t="shared" si="80"/>
        <v>1213</v>
      </c>
      <c r="AD226" s="64">
        <f t="shared" si="81"/>
        <v>1274</v>
      </c>
      <c r="AE226" s="64">
        <f t="shared" si="81"/>
        <v>1335</v>
      </c>
      <c r="AF226" s="64">
        <f t="shared" si="81"/>
        <v>1396</v>
      </c>
      <c r="AG226" s="64">
        <f t="shared" si="81"/>
        <v>1456</v>
      </c>
      <c r="AH226" s="53">
        <f t="shared" si="81"/>
        <v>1517</v>
      </c>
      <c r="AI226" s="64">
        <f t="shared" si="81"/>
        <v>1578</v>
      </c>
      <c r="AJ226" s="64">
        <f t="shared" si="81"/>
        <v>1638</v>
      </c>
      <c r="AK226" s="64">
        <f t="shared" si="81"/>
        <v>1699</v>
      </c>
      <c r="AL226" s="64">
        <f t="shared" si="81"/>
        <v>1760</v>
      </c>
      <c r="AM226" s="53">
        <f t="shared" si="81"/>
        <v>1820</v>
      </c>
    </row>
    <row r="227" spans="1:39" x14ac:dyDescent="0.25">
      <c r="A227" s="53">
        <f>'Pokemon Data'!A226</f>
        <v>225</v>
      </c>
      <c r="B227" s="53" t="str">
        <f>'Pokemon Data'!B226</f>
        <v>Delibird</v>
      </c>
      <c r="C227" s="61">
        <f>'Pokemon Data'!E226</f>
        <v>114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70"/>
        <v>105</v>
      </c>
      <c r="H227" s="61">
        <f t="shared" si="71"/>
        <v>143</v>
      </c>
      <c r="I227" s="61">
        <f t="shared" si="72"/>
        <v>105</v>
      </c>
      <c r="J227" s="53">
        <f t="shared" si="79"/>
        <v>13</v>
      </c>
      <c r="K227" s="64">
        <f t="shared" si="79"/>
        <v>41</v>
      </c>
      <c r="L227" s="64">
        <f t="shared" si="79"/>
        <v>69</v>
      </c>
      <c r="M227" s="64">
        <f t="shared" si="79"/>
        <v>98</v>
      </c>
      <c r="N227" s="53">
        <f t="shared" si="79"/>
        <v>126</v>
      </c>
      <c r="O227" s="64">
        <f t="shared" si="79"/>
        <v>154</v>
      </c>
      <c r="P227" s="64">
        <f t="shared" si="79"/>
        <v>183</v>
      </c>
      <c r="Q227" s="64">
        <f t="shared" si="79"/>
        <v>211</v>
      </c>
      <c r="R227" s="64">
        <f t="shared" si="79"/>
        <v>239</v>
      </c>
      <c r="S227" s="53">
        <f t="shared" si="79"/>
        <v>268</v>
      </c>
      <c r="T227" s="64">
        <f t="shared" si="80"/>
        <v>294</v>
      </c>
      <c r="U227" s="64">
        <f t="shared" si="80"/>
        <v>321</v>
      </c>
      <c r="V227" s="64">
        <f t="shared" si="80"/>
        <v>348</v>
      </c>
      <c r="W227" s="64">
        <f t="shared" si="80"/>
        <v>375</v>
      </c>
      <c r="X227" s="53">
        <f t="shared" si="80"/>
        <v>401</v>
      </c>
      <c r="Y227" s="64">
        <f t="shared" si="80"/>
        <v>428</v>
      </c>
      <c r="Z227" s="64">
        <f t="shared" si="80"/>
        <v>455</v>
      </c>
      <c r="AA227" s="64">
        <f t="shared" si="80"/>
        <v>482</v>
      </c>
      <c r="AB227" s="64">
        <f t="shared" si="80"/>
        <v>509</v>
      </c>
      <c r="AC227" s="53">
        <f t="shared" si="80"/>
        <v>535</v>
      </c>
      <c r="AD227" s="64">
        <f t="shared" si="81"/>
        <v>562</v>
      </c>
      <c r="AE227" s="64">
        <f t="shared" si="81"/>
        <v>589</v>
      </c>
      <c r="AF227" s="64">
        <f t="shared" si="81"/>
        <v>616</v>
      </c>
      <c r="AG227" s="64">
        <f t="shared" si="81"/>
        <v>643</v>
      </c>
      <c r="AH227" s="53">
        <f t="shared" si="81"/>
        <v>669</v>
      </c>
      <c r="AI227" s="64">
        <f t="shared" si="81"/>
        <v>696</v>
      </c>
      <c r="AJ227" s="64">
        <f t="shared" si="81"/>
        <v>723</v>
      </c>
      <c r="AK227" s="64">
        <f t="shared" si="81"/>
        <v>750</v>
      </c>
      <c r="AL227" s="64">
        <f t="shared" si="81"/>
        <v>777</v>
      </c>
      <c r="AM227" s="53">
        <f t="shared" si="81"/>
        <v>803</v>
      </c>
    </row>
    <row r="228" spans="1:39" x14ac:dyDescent="0.25">
      <c r="A228" s="53">
        <f>'Pokemon Data'!A227</f>
        <v>226</v>
      </c>
      <c r="B228" s="53" t="str">
        <f>'Pokemon Data'!B227</f>
        <v>Mantine</v>
      </c>
      <c r="C228" s="61">
        <f>'Pokemon Data'!E227</f>
        <v>115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70"/>
        <v>145</v>
      </c>
      <c r="H228" s="61">
        <f t="shared" si="71"/>
        <v>163</v>
      </c>
      <c r="I228" s="61">
        <f t="shared" si="72"/>
        <v>275</v>
      </c>
      <c r="J228" s="53">
        <f t="shared" si="79"/>
        <v>28</v>
      </c>
      <c r="K228" s="64">
        <f t="shared" si="79"/>
        <v>90</v>
      </c>
      <c r="L228" s="64">
        <f t="shared" si="79"/>
        <v>151</v>
      </c>
      <c r="M228" s="64">
        <f t="shared" si="79"/>
        <v>212</v>
      </c>
      <c r="N228" s="53">
        <f t="shared" si="79"/>
        <v>274</v>
      </c>
      <c r="O228" s="64">
        <f t="shared" si="79"/>
        <v>335</v>
      </c>
      <c r="P228" s="64">
        <f t="shared" si="79"/>
        <v>396</v>
      </c>
      <c r="Q228" s="64">
        <f t="shared" si="79"/>
        <v>458</v>
      </c>
      <c r="R228" s="64">
        <f t="shared" si="79"/>
        <v>519</v>
      </c>
      <c r="S228" s="53">
        <f t="shared" si="79"/>
        <v>581</v>
      </c>
      <c r="T228" s="64">
        <f t="shared" si="80"/>
        <v>639</v>
      </c>
      <c r="U228" s="64">
        <f t="shared" si="80"/>
        <v>697</v>
      </c>
      <c r="V228" s="64">
        <f t="shared" si="80"/>
        <v>755</v>
      </c>
      <c r="W228" s="64">
        <f t="shared" si="80"/>
        <v>813</v>
      </c>
      <c r="X228" s="53">
        <f t="shared" si="80"/>
        <v>871</v>
      </c>
      <c r="Y228" s="64">
        <f t="shared" si="80"/>
        <v>929</v>
      </c>
      <c r="Z228" s="64">
        <f t="shared" si="80"/>
        <v>987</v>
      </c>
      <c r="AA228" s="64">
        <f t="shared" si="80"/>
        <v>1045</v>
      </c>
      <c r="AB228" s="64">
        <f t="shared" si="80"/>
        <v>1103</v>
      </c>
      <c r="AC228" s="53">
        <f t="shared" si="80"/>
        <v>1161</v>
      </c>
      <c r="AD228" s="64">
        <f t="shared" si="81"/>
        <v>1219</v>
      </c>
      <c r="AE228" s="64">
        <f t="shared" si="81"/>
        <v>1277</v>
      </c>
      <c r="AF228" s="64">
        <f t="shared" si="81"/>
        <v>1335</v>
      </c>
      <c r="AG228" s="64">
        <f t="shared" si="81"/>
        <v>1394</v>
      </c>
      <c r="AH228" s="53">
        <f t="shared" si="81"/>
        <v>1452</v>
      </c>
      <c r="AI228" s="64">
        <f t="shared" si="81"/>
        <v>1510</v>
      </c>
      <c r="AJ228" s="64">
        <f t="shared" si="81"/>
        <v>1568</v>
      </c>
      <c r="AK228" s="64">
        <f t="shared" si="81"/>
        <v>1626</v>
      </c>
      <c r="AL228" s="64">
        <f t="shared" si="81"/>
        <v>1684</v>
      </c>
      <c r="AM228" s="53">
        <f t="shared" si="81"/>
        <v>1742</v>
      </c>
    </row>
    <row r="229" spans="1:39" x14ac:dyDescent="0.25">
      <c r="A229" s="53">
        <f>'Pokemon Data'!A228</f>
        <v>227</v>
      </c>
      <c r="B229" s="53" t="str">
        <f>'Pokemon Data'!B228</f>
        <v>Skarmory</v>
      </c>
      <c r="C229" s="61">
        <f>'Pokemon Data'!E228</f>
        <v>116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70"/>
        <v>145</v>
      </c>
      <c r="H229" s="61">
        <f t="shared" si="71"/>
        <v>163</v>
      </c>
      <c r="I229" s="61">
        <f t="shared" si="72"/>
        <v>275</v>
      </c>
      <c r="J229" s="53">
        <f t="shared" si="79"/>
        <v>28</v>
      </c>
      <c r="K229" s="64">
        <f t="shared" si="79"/>
        <v>90</v>
      </c>
      <c r="L229" s="64">
        <f t="shared" si="79"/>
        <v>151</v>
      </c>
      <c r="M229" s="64">
        <f t="shared" si="79"/>
        <v>212</v>
      </c>
      <c r="N229" s="53">
        <f t="shared" si="79"/>
        <v>274</v>
      </c>
      <c r="O229" s="64">
        <f t="shared" si="79"/>
        <v>335</v>
      </c>
      <c r="P229" s="64">
        <f t="shared" si="79"/>
        <v>396</v>
      </c>
      <c r="Q229" s="64">
        <f t="shared" si="79"/>
        <v>458</v>
      </c>
      <c r="R229" s="64">
        <f t="shared" si="79"/>
        <v>519</v>
      </c>
      <c r="S229" s="53">
        <f t="shared" si="79"/>
        <v>581</v>
      </c>
      <c r="T229" s="64">
        <f t="shared" si="80"/>
        <v>639</v>
      </c>
      <c r="U229" s="64">
        <f t="shared" si="80"/>
        <v>697</v>
      </c>
      <c r="V229" s="64">
        <f t="shared" si="80"/>
        <v>755</v>
      </c>
      <c r="W229" s="64">
        <f t="shared" si="80"/>
        <v>813</v>
      </c>
      <c r="X229" s="53">
        <f t="shared" si="80"/>
        <v>871</v>
      </c>
      <c r="Y229" s="64">
        <f t="shared" si="80"/>
        <v>929</v>
      </c>
      <c r="Z229" s="64">
        <f t="shared" si="80"/>
        <v>987</v>
      </c>
      <c r="AA229" s="64">
        <f t="shared" si="80"/>
        <v>1045</v>
      </c>
      <c r="AB229" s="64">
        <f t="shared" si="80"/>
        <v>1103</v>
      </c>
      <c r="AC229" s="53">
        <f t="shared" si="80"/>
        <v>1161</v>
      </c>
      <c r="AD229" s="64">
        <f t="shared" si="81"/>
        <v>1219</v>
      </c>
      <c r="AE229" s="64">
        <f t="shared" si="81"/>
        <v>1277</v>
      </c>
      <c r="AF229" s="64">
        <f t="shared" si="81"/>
        <v>1335</v>
      </c>
      <c r="AG229" s="64">
        <f t="shared" si="81"/>
        <v>1394</v>
      </c>
      <c r="AH229" s="53">
        <f t="shared" si="81"/>
        <v>1452</v>
      </c>
      <c r="AI229" s="64">
        <f t="shared" si="81"/>
        <v>1510</v>
      </c>
      <c r="AJ229" s="64">
        <f t="shared" si="81"/>
        <v>1568</v>
      </c>
      <c r="AK229" s="64">
        <f t="shared" si="81"/>
        <v>1626</v>
      </c>
      <c r="AL229" s="64">
        <f t="shared" si="81"/>
        <v>1684</v>
      </c>
      <c r="AM229" s="53">
        <f t="shared" si="81"/>
        <v>1742</v>
      </c>
    </row>
    <row r="230" spans="1:39" x14ac:dyDescent="0.25">
      <c r="A230" s="53">
        <f>'Pokemon Data'!A229</f>
        <v>228</v>
      </c>
      <c r="B230" s="53" t="str">
        <f>'Pokemon Data'!B229</f>
        <v>Houndour</v>
      </c>
      <c r="C230" s="61">
        <f>'Pokemon Data'!E229</f>
        <v>117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70"/>
        <v>105</v>
      </c>
      <c r="H230" s="61">
        <f t="shared" si="71"/>
        <v>167</v>
      </c>
      <c r="I230" s="61">
        <f t="shared" si="72"/>
        <v>108</v>
      </c>
      <c r="J230" s="53">
        <f t="shared" si="79"/>
        <v>15</v>
      </c>
      <c r="K230" s="64">
        <f t="shared" si="79"/>
        <v>49</v>
      </c>
      <c r="L230" s="64">
        <f t="shared" si="79"/>
        <v>82</v>
      </c>
      <c r="M230" s="64">
        <f t="shared" si="79"/>
        <v>116</v>
      </c>
      <c r="N230" s="53">
        <f t="shared" si="79"/>
        <v>149</v>
      </c>
      <c r="O230" s="64">
        <f t="shared" si="79"/>
        <v>183</v>
      </c>
      <c r="P230" s="64">
        <f t="shared" si="79"/>
        <v>216</v>
      </c>
      <c r="Q230" s="64">
        <f t="shared" si="79"/>
        <v>250</v>
      </c>
      <c r="R230" s="64">
        <f t="shared" si="79"/>
        <v>283</v>
      </c>
      <c r="S230" s="53">
        <f t="shared" si="79"/>
        <v>317</v>
      </c>
      <c r="T230" s="64">
        <f t="shared" si="80"/>
        <v>349</v>
      </c>
      <c r="U230" s="64">
        <f t="shared" si="80"/>
        <v>380</v>
      </c>
      <c r="V230" s="64">
        <f t="shared" si="80"/>
        <v>412</v>
      </c>
      <c r="W230" s="64">
        <f t="shared" si="80"/>
        <v>444</v>
      </c>
      <c r="X230" s="53">
        <f t="shared" si="80"/>
        <v>476</v>
      </c>
      <c r="Y230" s="64">
        <f t="shared" si="80"/>
        <v>507</v>
      </c>
      <c r="Z230" s="64">
        <f t="shared" si="80"/>
        <v>539</v>
      </c>
      <c r="AA230" s="64">
        <f t="shared" si="80"/>
        <v>571</v>
      </c>
      <c r="AB230" s="64">
        <f t="shared" si="80"/>
        <v>602</v>
      </c>
      <c r="AC230" s="53">
        <f t="shared" si="80"/>
        <v>634</v>
      </c>
      <c r="AD230" s="64">
        <f t="shared" si="81"/>
        <v>666</v>
      </c>
      <c r="AE230" s="64">
        <f t="shared" si="81"/>
        <v>698</v>
      </c>
      <c r="AF230" s="64">
        <f t="shared" si="81"/>
        <v>729</v>
      </c>
      <c r="AG230" s="64">
        <f t="shared" si="81"/>
        <v>761</v>
      </c>
      <c r="AH230" s="53">
        <f t="shared" si="81"/>
        <v>793</v>
      </c>
      <c r="AI230" s="64">
        <f t="shared" si="81"/>
        <v>825</v>
      </c>
      <c r="AJ230" s="64">
        <f t="shared" si="81"/>
        <v>856</v>
      </c>
      <c r="AK230" s="64">
        <f t="shared" si="81"/>
        <v>888</v>
      </c>
      <c r="AL230" s="64">
        <f t="shared" si="81"/>
        <v>920</v>
      </c>
      <c r="AM230" s="53">
        <f t="shared" si="81"/>
        <v>952</v>
      </c>
    </row>
    <row r="231" spans="1:39" x14ac:dyDescent="0.25">
      <c r="A231" s="53">
        <f>'Pokemon Data'!A230</f>
        <v>229</v>
      </c>
      <c r="B231" s="53" t="str">
        <f>'Pokemon Data'!B230</f>
        <v>Houndoom</v>
      </c>
      <c r="C231" s="61">
        <f>'Pokemon Data'!E230</f>
        <v>117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70"/>
        <v>165</v>
      </c>
      <c r="H231" s="61">
        <f t="shared" si="71"/>
        <v>239</v>
      </c>
      <c r="I231" s="61">
        <f t="shared" si="72"/>
        <v>174</v>
      </c>
      <c r="J231" s="53">
        <f t="shared" si="79"/>
        <v>35</v>
      </c>
      <c r="K231" s="64">
        <f t="shared" si="79"/>
        <v>112</v>
      </c>
      <c r="L231" s="64">
        <f t="shared" si="79"/>
        <v>188</v>
      </c>
      <c r="M231" s="64">
        <f t="shared" si="79"/>
        <v>264</v>
      </c>
      <c r="N231" s="53">
        <f t="shared" si="79"/>
        <v>341</v>
      </c>
      <c r="O231" s="64">
        <f t="shared" si="79"/>
        <v>417</v>
      </c>
      <c r="P231" s="64">
        <f t="shared" si="79"/>
        <v>493</v>
      </c>
      <c r="Q231" s="64">
        <f t="shared" si="79"/>
        <v>570</v>
      </c>
      <c r="R231" s="64">
        <f t="shared" si="79"/>
        <v>646</v>
      </c>
      <c r="S231" s="53">
        <f t="shared" si="79"/>
        <v>722</v>
      </c>
      <c r="T231" s="64">
        <f t="shared" si="80"/>
        <v>795</v>
      </c>
      <c r="U231" s="64">
        <f t="shared" si="80"/>
        <v>867</v>
      </c>
      <c r="V231" s="64">
        <f t="shared" si="80"/>
        <v>939</v>
      </c>
      <c r="W231" s="64">
        <f t="shared" si="80"/>
        <v>1011</v>
      </c>
      <c r="X231" s="53">
        <f t="shared" si="80"/>
        <v>1084</v>
      </c>
      <c r="Y231" s="64">
        <f t="shared" si="80"/>
        <v>1156</v>
      </c>
      <c r="Z231" s="64">
        <f t="shared" si="80"/>
        <v>1228</v>
      </c>
      <c r="AA231" s="64">
        <f t="shared" si="80"/>
        <v>1300</v>
      </c>
      <c r="AB231" s="64">
        <f t="shared" si="80"/>
        <v>1373</v>
      </c>
      <c r="AC231" s="53">
        <f t="shared" si="80"/>
        <v>1445</v>
      </c>
      <c r="AD231" s="64">
        <f t="shared" si="81"/>
        <v>1517</v>
      </c>
      <c r="AE231" s="64">
        <f t="shared" si="81"/>
        <v>1589</v>
      </c>
      <c r="AF231" s="64">
        <f t="shared" si="81"/>
        <v>1662</v>
      </c>
      <c r="AG231" s="64">
        <f t="shared" si="81"/>
        <v>1734</v>
      </c>
      <c r="AH231" s="53">
        <f t="shared" si="81"/>
        <v>1806</v>
      </c>
      <c r="AI231" s="64">
        <f t="shared" si="81"/>
        <v>1878</v>
      </c>
      <c r="AJ231" s="64">
        <f t="shared" si="81"/>
        <v>1951</v>
      </c>
      <c r="AK231" s="64">
        <f t="shared" si="81"/>
        <v>2023</v>
      </c>
      <c r="AL231" s="64">
        <f t="shared" si="81"/>
        <v>2095</v>
      </c>
      <c r="AM231" s="53">
        <f t="shared" si="81"/>
        <v>2168</v>
      </c>
    </row>
    <row r="232" spans="1:39" x14ac:dyDescent="0.25">
      <c r="A232" s="53">
        <f>'Pokemon Data'!A231</f>
        <v>230</v>
      </c>
      <c r="B232" s="53" t="str">
        <f>'Pokemon Data'!B231</f>
        <v>Kingdra</v>
      </c>
      <c r="C232" s="61">
        <f>'Pokemon Data'!E231</f>
        <v>53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70"/>
        <v>165</v>
      </c>
      <c r="H232" s="61">
        <f t="shared" si="71"/>
        <v>209</v>
      </c>
      <c r="I232" s="61">
        <f t="shared" si="72"/>
        <v>209</v>
      </c>
      <c r="J232" s="53">
        <f t="shared" si="79"/>
        <v>34</v>
      </c>
      <c r="K232" s="64">
        <f t="shared" si="79"/>
        <v>107</v>
      </c>
      <c r="L232" s="64">
        <f t="shared" si="79"/>
        <v>180</v>
      </c>
      <c r="M232" s="64">
        <f t="shared" si="79"/>
        <v>253</v>
      </c>
      <c r="N232" s="53">
        <f t="shared" si="79"/>
        <v>326</v>
      </c>
      <c r="O232" s="64">
        <f t="shared" si="79"/>
        <v>400</v>
      </c>
      <c r="P232" s="64">
        <f t="shared" si="79"/>
        <v>473</v>
      </c>
      <c r="Q232" s="64">
        <f t="shared" si="79"/>
        <v>546</v>
      </c>
      <c r="R232" s="64">
        <f t="shared" si="79"/>
        <v>619</v>
      </c>
      <c r="S232" s="53">
        <f t="shared" si="79"/>
        <v>692</v>
      </c>
      <c r="T232" s="64">
        <f t="shared" si="80"/>
        <v>762</v>
      </c>
      <c r="U232" s="64">
        <f t="shared" si="80"/>
        <v>831</v>
      </c>
      <c r="V232" s="64">
        <f t="shared" si="80"/>
        <v>900</v>
      </c>
      <c r="W232" s="64">
        <f t="shared" si="80"/>
        <v>969</v>
      </c>
      <c r="X232" s="53">
        <f t="shared" si="80"/>
        <v>1038</v>
      </c>
      <c r="Y232" s="64">
        <f t="shared" si="80"/>
        <v>1108</v>
      </c>
      <c r="Z232" s="64">
        <f t="shared" si="80"/>
        <v>1177</v>
      </c>
      <c r="AA232" s="64">
        <f t="shared" si="80"/>
        <v>1246</v>
      </c>
      <c r="AB232" s="64">
        <f t="shared" si="80"/>
        <v>1315</v>
      </c>
      <c r="AC232" s="53">
        <f t="shared" si="80"/>
        <v>1385</v>
      </c>
      <c r="AD232" s="64">
        <f t="shared" si="81"/>
        <v>1454</v>
      </c>
      <c r="AE232" s="64">
        <f t="shared" si="81"/>
        <v>1523</v>
      </c>
      <c r="AF232" s="64">
        <f t="shared" si="81"/>
        <v>1592</v>
      </c>
      <c r="AG232" s="64">
        <f t="shared" si="81"/>
        <v>1662</v>
      </c>
      <c r="AH232" s="53">
        <f t="shared" si="81"/>
        <v>1731</v>
      </c>
      <c r="AI232" s="64">
        <f t="shared" si="81"/>
        <v>1800</v>
      </c>
      <c r="AJ232" s="64">
        <f t="shared" si="81"/>
        <v>1870</v>
      </c>
      <c r="AK232" s="64">
        <f t="shared" si="81"/>
        <v>1939</v>
      </c>
      <c r="AL232" s="64">
        <f t="shared" si="81"/>
        <v>2008</v>
      </c>
      <c r="AM232" s="53">
        <f t="shared" si="81"/>
        <v>2077</v>
      </c>
    </row>
    <row r="233" spans="1:39" x14ac:dyDescent="0.25">
      <c r="A233" s="53">
        <f>'Pokemon Data'!A232</f>
        <v>231</v>
      </c>
      <c r="B233" s="53" t="str">
        <f>'Pokemon Data'!B232</f>
        <v>Phanpy</v>
      </c>
      <c r="C233" s="61">
        <f>'Pokemon Data'!E232</f>
        <v>118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70"/>
        <v>195</v>
      </c>
      <c r="H233" s="61">
        <f t="shared" si="71"/>
        <v>122</v>
      </c>
      <c r="I233" s="61">
        <f t="shared" si="72"/>
        <v>122</v>
      </c>
      <c r="J233" s="53">
        <f t="shared" ref="J233:S242" si="82">MAX(10,INT(SQRT($G233*$I233)*$H233*J$1^2/10))</f>
        <v>16</v>
      </c>
      <c r="K233" s="64">
        <f t="shared" si="82"/>
        <v>52</v>
      </c>
      <c r="L233" s="64">
        <f t="shared" si="82"/>
        <v>87</v>
      </c>
      <c r="M233" s="64">
        <f t="shared" si="82"/>
        <v>123</v>
      </c>
      <c r="N233" s="53">
        <f t="shared" si="82"/>
        <v>158</v>
      </c>
      <c r="O233" s="64">
        <f t="shared" si="82"/>
        <v>194</v>
      </c>
      <c r="P233" s="64">
        <f t="shared" si="82"/>
        <v>229</v>
      </c>
      <c r="Q233" s="64">
        <f t="shared" si="82"/>
        <v>264</v>
      </c>
      <c r="R233" s="64">
        <f t="shared" si="82"/>
        <v>300</v>
      </c>
      <c r="S233" s="53">
        <f t="shared" si="82"/>
        <v>335</v>
      </c>
      <c r="T233" s="64">
        <f t="shared" ref="T233:AC242" si="83">MAX(10,INT(SQRT($G233*$I233)*$H233*T$1^2/10))</f>
        <v>369</v>
      </c>
      <c r="U233" s="64">
        <f t="shared" si="83"/>
        <v>403</v>
      </c>
      <c r="V233" s="64">
        <f t="shared" si="83"/>
        <v>436</v>
      </c>
      <c r="W233" s="64">
        <f t="shared" si="83"/>
        <v>470</v>
      </c>
      <c r="X233" s="53">
        <f t="shared" si="83"/>
        <v>503</v>
      </c>
      <c r="Y233" s="64">
        <f t="shared" si="83"/>
        <v>537</v>
      </c>
      <c r="Z233" s="64">
        <f t="shared" si="83"/>
        <v>570</v>
      </c>
      <c r="AA233" s="64">
        <f t="shared" si="83"/>
        <v>604</v>
      </c>
      <c r="AB233" s="64">
        <f t="shared" si="83"/>
        <v>637</v>
      </c>
      <c r="AC233" s="53">
        <f t="shared" si="83"/>
        <v>671</v>
      </c>
      <c r="AD233" s="64">
        <f t="shared" ref="AD233:AM242" si="84">MAX(10,INT(SQRT($G233*$I233)*$H233*AD$1^2/10))</f>
        <v>705</v>
      </c>
      <c r="AE233" s="64">
        <f t="shared" si="84"/>
        <v>738</v>
      </c>
      <c r="AF233" s="64">
        <f t="shared" si="84"/>
        <v>772</v>
      </c>
      <c r="AG233" s="64">
        <f t="shared" si="84"/>
        <v>805</v>
      </c>
      <c r="AH233" s="53">
        <f t="shared" si="84"/>
        <v>839</v>
      </c>
      <c r="AI233" s="64">
        <f t="shared" si="84"/>
        <v>873</v>
      </c>
      <c r="AJ233" s="64">
        <f t="shared" si="84"/>
        <v>906</v>
      </c>
      <c r="AK233" s="64">
        <f t="shared" si="84"/>
        <v>940</v>
      </c>
      <c r="AL233" s="64">
        <f t="shared" si="84"/>
        <v>973</v>
      </c>
      <c r="AM233" s="53">
        <f t="shared" si="84"/>
        <v>1007</v>
      </c>
    </row>
    <row r="234" spans="1:39" x14ac:dyDescent="0.25">
      <c r="A234" s="53">
        <f>'Pokemon Data'!A233</f>
        <v>232</v>
      </c>
      <c r="B234" s="53" t="str">
        <f>'Pokemon Data'!B233</f>
        <v>Donphan</v>
      </c>
      <c r="C234" s="61">
        <f>'Pokemon Data'!E233</f>
        <v>118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70"/>
        <v>195</v>
      </c>
      <c r="H234" s="61">
        <f t="shared" si="71"/>
        <v>229</v>
      </c>
      <c r="I234" s="61">
        <f t="shared" si="72"/>
        <v>229</v>
      </c>
      <c r="J234" s="53">
        <f t="shared" si="82"/>
        <v>42</v>
      </c>
      <c r="K234" s="64">
        <f t="shared" si="82"/>
        <v>133</v>
      </c>
      <c r="L234" s="64">
        <f t="shared" si="82"/>
        <v>225</v>
      </c>
      <c r="M234" s="64">
        <f t="shared" si="82"/>
        <v>316</v>
      </c>
      <c r="N234" s="53">
        <f t="shared" si="82"/>
        <v>407</v>
      </c>
      <c r="O234" s="64">
        <f t="shared" si="82"/>
        <v>498</v>
      </c>
      <c r="P234" s="64">
        <f t="shared" si="82"/>
        <v>590</v>
      </c>
      <c r="Q234" s="64">
        <f t="shared" si="82"/>
        <v>681</v>
      </c>
      <c r="R234" s="64">
        <f t="shared" si="82"/>
        <v>772</v>
      </c>
      <c r="S234" s="53">
        <f t="shared" si="82"/>
        <v>863</v>
      </c>
      <c r="T234" s="64">
        <f t="shared" si="83"/>
        <v>950</v>
      </c>
      <c r="U234" s="64">
        <f t="shared" si="83"/>
        <v>1036</v>
      </c>
      <c r="V234" s="64">
        <f t="shared" si="83"/>
        <v>1122</v>
      </c>
      <c r="W234" s="64">
        <f t="shared" si="83"/>
        <v>1209</v>
      </c>
      <c r="X234" s="53">
        <f t="shared" si="83"/>
        <v>1295</v>
      </c>
      <c r="Y234" s="64">
        <f t="shared" si="83"/>
        <v>1381</v>
      </c>
      <c r="Z234" s="64">
        <f t="shared" si="83"/>
        <v>1468</v>
      </c>
      <c r="AA234" s="64">
        <f t="shared" si="83"/>
        <v>1554</v>
      </c>
      <c r="AB234" s="64">
        <f t="shared" si="83"/>
        <v>1640</v>
      </c>
      <c r="AC234" s="53">
        <f t="shared" si="83"/>
        <v>1727</v>
      </c>
      <c r="AD234" s="64">
        <f t="shared" si="84"/>
        <v>1813</v>
      </c>
      <c r="AE234" s="64">
        <f t="shared" si="84"/>
        <v>1899</v>
      </c>
      <c r="AF234" s="64">
        <f t="shared" si="84"/>
        <v>1986</v>
      </c>
      <c r="AG234" s="64">
        <f t="shared" si="84"/>
        <v>2072</v>
      </c>
      <c r="AH234" s="53">
        <f t="shared" si="84"/>
        <v>2158</v>
      </c>
      <c r="AI234" s="64">
        <f t="shared" si="84"/>
        <v>2245</v>
      </c>
      <c r="AJ234" s="64">
        <f t="shared" si="84"/>
        <v>2331</v>
      </c>
      <c r="AK234" s="64">
        <f t="shared" si="84"/>
        <v>2418</v>
      </c>
      <c r="AL234" s="64">
        <f t="shared" si="84"/>
        <v>2504</v>
      </c>
      <c r="AM234" s="53">
        <f t="shared" si="84"/>
        <v>2590</v>
      </c>
    </row>
    <row r="235" spans="1:39" x14ac:dyDescent="0.25">
      <c r="A235" s="53">
        <f>'Pokemon Data'!A234</f>
        <v>233</v>
      </c>
      <c r="B235" s="53" t="str">
        <f>'Pokemon Data'!B234</f>
        <v>Porygon2</v>
      </c>
      <c r="C235" s="61">
        <f>'Pokemon Data'!E234</f>
        <v>67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70"/>
        <v>185</v>
      </c>
      <c r="H235" s="61">
        <f t="shared" si="71"/>
        <v>213</v>
      </c>
      <c r="I235" s="61">
        <f t="shared" si="72"/>
        <v>198</v>
      </c>
      <c r="J235" s="53">
        <f t="shared" si="82"/>
        <v>36</v>
      </c>
      <c r="K235" s="64">
        <f t="shared" si="82"/>
        <v>112</v>
      </c>
      <c r="L235" s="64">
        <f t="shared" si="82"/>
        <v>189</v>
      </c>
      <c r="M235" s="64">
        <f t="shared" si="82"/>
        <v>266</v>
      </c>
      <c r="N235" s="53">
        <f t="shared" si="82"/>
        <v>343</v>
      </c>
      <c r="O235" s="64">
        <f t="shared" si="82"/>
        <v>420</v>
      </c>
      <c r="P235" s="64">
        <f t="shared" si="82"/>
        <v>497</v>
      </c>
      <c r="Q235" s="64">
        <f t="shared" si="82"/>
        <v>573</v>
      </c>
      <c r="R235" s="64">
        <f t="shared" si="82"/>
        <v>650</v>
      </c>
      <c r="S235" s="53">
        <f t="shared" si="82"/>
        <v>727</v>
      </c>
      <c r="T235" s="64">
        <f t="shared" si="83"/>
        <v>800</v>
      </c>
      <c r="U235" s="64">
        <f t="shared" si="83"/>
        <v>873</v>
      </c>
      <c r="V235" s="64">
        <f t="shared" si="83"/>
        <v>945</v>
      </c>
      <c r="W235" s="64">
        <f t="shared" si="83"/>
        <v>1018</v>
      </c>
      <c r="X235" s="53">
        <f t="shared" si="83"/>
        <v>1091</v>
      </c>
      <c r="Y235" s="64">
        <f t="shared" si="83"/>
        <v>1164</v>
      </c>
      <c r="Z235" s="64">
        <f t="shared" si="83"/>
        <v>1236</v>
      </c>
      <c r="AA235" s="64">
        <f t="shared" si="83"/>
        <v>1309</v>
      </c>
      <c r="AB235" s="64">
        <f t="shared" si="83"/>
        <v>1382</v>
      </c>
      <c r="AC235" s="53">
        <f t="shared" si="83"/>
        <v>1454</v>
      </c>
      <c r="AD235" s="64">
        <f t="shared" si="84"/>
        <v>1527</v>
      </c>
      <c r="AE235" s="64">
        <f t="shared" si="84"/>
        <v>1600</v>
      </c>
      <c r="AF235" s="64">
        <f t="shared" si="84"/>
        <v>1673</v>
      </c>
      <c r="AG235" s="64">
        <f t="shared" si="84"/>
        <v>1745</v>
      </c>
      <c r="AH235" s="53">
        <f t="shared" si="84"/>
        <v>1818</v>
      </c>
      <c r="AI235" s="64">
        <f t="shared" si="84"/>
        <v>1891</v>
      </c>
      <c r="AJ235" s="64">
        <f t="shared" si="84"/>
        <v>1964</v>
      </c>
      <c r="AK235" s="64">
        <f t="shared" si="84"/>
        <v>2037</v>
      </c>
      <c r="AL235" s="64">
        <f t="shared" si="84"/>
        <v>2109</v>
      </c>
      <c r="AM235" s="53">
        <f t="shared" si="84"/>
        <v>2182</v>
      </c>
    </row>
    <row r="236" spans="1:39" x14ac:dyDescent="0.25">
      <c r="A236" s="53">
        <f>'Pokemon Data'!A235</f>
        <v>234</v>
      </c>
      <c r="B236" s="53" t="str">
        <f>'Pokemon Data'!B235</f>
        <v>Stantler</v>
      </c>
      <c r="C236" s="61">
        <f>'Pokemon Data'!E235</f>
        <v>119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70"/>
        <v>161</v>
      </c>
      <c r="H236" s="61">
        <f t="shared" si="71"/>
        <v>207</v>
      </c>
      <c r="I236" s="61">
        <f t="shared" si="72"/>
        <v>147</v>
      </c>
      <c r="J236" s="53">
        <f t="shared" si="82"/>
        <v>28</v>
      </c>
      <c r="K236" s="64">
        <f t="shared" si="82"/>
        <v>88</v>
      </c>
      <c r="L236" s="64">
        <f t="shared" si="82"/>
        <v>148</v>
      </c>
      <c r="M236" s="64">
        <f t="shared" si="82"/>
        <v>208</v>
      </c>
      <c r="N236" s="53">
        <f t="shared" si="82"/>
        <v>268</v>
      </c>
      <c r="O236" s="64">
        <f t="shared" si="82"/>
        <v>328</v>
      </c>
      <c r="P236" s="64">
        <f t="shared" si="82"/>
        <v>388</v>
      </c>
      <c r="Q236" s="64">
        <f t="shared" si="82"/>
        <v>448</v>
      </c>
      <c r="R236" s="64">
        <f t="shared" si="82"/>
        <v>508</v>
      </c>
      <c r="S236" s="53">
        <f t="shared" si="82"/>
        <v>568</v>
      </c>
      <c r="T236" s="64">
        <f t="shared" si="83"/>
        <v>625</v>
      </c>
      <c r="U236" s="64">
        <f t="shared" si="83"/>
        <v>682</v>
      </c>
      <c r="V236" s="64">
        <f t="shared" si="83"/>
        <v>738</v>
      </c>
      <c r="W236" s="64">
        <f t="shared" si="83"/>
        <v>795</v>
      </c>
      <c r="X236" s="53">
        <f t="shared" si="83"/>
        <v>852</v>
      </c>
      <c r="Y236" s="64">
        <f t="shared" si="83"/>
        <v>909</v>
      </c>
      <c r="Z236" s="64">
        <f t="shared" si="83"/>
        <v>966</v>
      </c>
      <c r="AA236" s="64">
        <f t="shared" si="83"/>
        <v>1022</v>
      </c>
      <c r="AB236" s="64">
        <f t="shared" si="83"/>
        <v>1079</v>
      </c>
      <c r="AC236" s="53">
        <f t="shared" si="83"/>
        <v>1136</v>
      </c>
      <c r="AD236" s="64">
        <f t="shared" si="84"/>
        <v>1193</v>
      </c>
      <c r="AE236" s="64">
        <f t="shared" si="84"/>
        <v>1250</v>
      </c>
      <c r="AF236" s="64">
        <f t="shared" si="84"/>
        <v>1307</v>
      </c>
      <c r="AG236" s="64">
        <f t="shared" si="84"/>
        <v>1363</v>
      </c>
      <c r="AH236" s="53">
        <f t="shared" si="84"/>
        <v>1420</v>
      </c>
      <c r="AI236" s="64">
        <f t="shared" si="84"/>
        <v>1477</v>
      </c>
      <c r="AJ236" s="64">
        <f t="shared" si="84"/>
        <v>1534</v>
      </c>
      <c r="AK236" s="64">
        <f t="shared" si="84"/>
        <v>1591</v>
      </c>
      <c r="AL236" s="64">
        <f t="shared" si="84"/>
        <v>1648</v>
      </c>
      <c r="AM236" s="53">
        <f t="shared" si="84"/>
        <v>1704</v>
      </c>
    </row>
    <row r="237" spans="1:39" s="59" customFormat="1" hidden="1" outlineLevel="1" x14ac:dyDescent="0.25">
      <c r="A237" s="59">
        <f>'Pokemon Data'!A236</f>
        <v>235</v>
      </c>
      <c r="B237" s="59" t="str">
        <f>'Pokemon Data'!B236</f>
        <v>Smeargle</v>
      </c>
      <c r="C237" s="59">
        <f>'Pokemon Data'!E236</f>
        <v>120</v>
      </c>
      <c r="D237" s="59">
        <f>'Pokemon Data'!I236</f>
        <v>110</v>
      </c>
      <c r="E237" s="59">
        <f>'Pokemon Data'!J236</f>
        <v>40</v>
      </c>
      <c r="F237" s="59">
        <f>'Pokemon Data'!K236</f>
        <v>88</v>
      </c>
      <c r="G237" s="59">
        <f t="shared" si="70"/>
        <v>125</v>
      </c>
      <c r="H237" s="59">
        <f t="shared" si="71"/>
        <v>55</v>
      </c>
      <c r="I237" s="59">
        <f t="shared" si="72"/>
        <v>103</v>
      </c>
      <c r="J237" s="59">
        <f t="shared" si="82"/>
        <v>10</v>
      </c>
      <c r="K237" s="59">
        <f t="shared" si="82"/>
        <v>17</v>
      </c>
      <c r="L237" s="59">
        <f t="shared" si="82"/>
        <v>29</v>
      </c>
      <c r="M237" s="59">
        <f t="shared" si="82"/>
        <v>40</v>
      </c>
      <c r="N237" s="59">
        <f t="shared" si="82"/>
        <v>52</v>
      </c>
      <c r="O237" s="59">
        <f t="shared" si="82"/>
        <v>64</v>
      </c>
      <c r="P237" s="59">
        <f t="shared" si="82"/>
        <v>76</v>
      </c>
      <c r="Q237" s="59">
        <f t="shared" si="82"/>
        <v>87</v>
      </c>
      <c r="R237" s="59">
        <f t="shared" si="82"/>
        <v>99</v>
      </c>
      <c r="S237" s="59">
        <f t="shared" si="82"/>
        <v>111</v>
      </c>
      <c r="T237" s="59">
        <f t="shared" si="83"/>
        <v>122</v>
      </c>
      <c r="U237" s="59">
        <f t="shared" si="83"/>
        <v>133</v>
      </c>
      <c r="V237" s="59">
        <f t="shared" si="83"/>
        <v>144</v>
      </c>
      <c r="W237" s="59">
        <f t="shared" si="83"/>
        <v>155</v>
      </c>
      <c r="X237" s="59">
        <f t="shared" si="83"/>
        <v>167</v>
      </c>
      <c r="Y237" s="59">
        <f t="shared" si="83"/>
        <v>178</v>
      </c>
      <c r="Z237" s="59">
        <f t="shared" si="83"/>
        <v>189</v>
      </c>
      <c r="AA237" s="59">
        <f t="shared" si="83"/>
        <v>200</v>
      </c>
      <c r="AB237" s="59">
        <f t="shared" si="83"/>
        <v>211</v>
      </c>
      <c r="AC237" s="59">
        <f t="shared" si="83"/>
        <v>222</v>
      </c>
      <c r="AD237" s="59">
        <f t="shared" si="84"/>
        <v>233</v>
      </c>
      <c r="AE237" s="59">
        <f t="shared" si="84"/>
        <v>245</v>
      </c>
      <c r="AF237" s="59">
        <f t="shared" si="84"/>
        <v>256</v>
      </c>
      <c r="AG237" s="59">
        <f t="shared" si="84"/>
        <v>267</v>
      </c>
      <c r="AH237" s="59">
        <f t="shared" si="84"/>
        <v>278</v>
      </c>
      <c r="AI237" s="59">
        <f t="shared" si="84"/>
        <v>289</v>
      </c>
      <c r="AJ237" s="59">
        <f t="shared" si="84"/>
        <v>300</v>
      </c>
      <c r="AK237" s="59">
        <f t="shared" si="84"/>
        <v>311</v>
      </c>
      <c r="AL237" s="59">
        <f t="shared" si="84"/>
        <v>322</v>
      </c>
      <c r="AM237" s="59">
        <f t="shared" si="84"/>
        <v>334</v>
      </c>
    </row>
    <row r="238" spans="1:39" collapsed="1" x14ac:dyDescent="0.25">
      <c r="A238" s="53">
        <f>'Pokemon Data'!A237</f>
        <v>236</v>
      </c>
      <c r="B238" s="53" t="str">
        <f>'Pokemon Data'!B237</f>
        <v>Tyrogue</v>
      </c>
      <c r="C238" s="61">
        <f>'Pokemon Data'!E237</f>
        <v>121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70"/>
        <v>85</v>
      </c>
      <c r="H238" s="61">
        <f t="shared" si="71"/>
        <v>79</v>
      </c>
      <c r="I238" s="61">
        <f t="shared" si="72"/>
        <v>79</v>
      </c>
      <c r="J238" s="53">
        <f t="shared" si="82"/>
        <v>10</v>
      </c>
      <c r="K238" s="64">
        <f t="shared" si="82"/>
        <v>17</v>
      </c>
      <c r="L238" s="64">
        <f t="shared" si="82"/>
        <v>30</v>
      </c>
      <c r="M238" s="64">
        <f t="shared" si="82"/>
        <v>42</v>
      </c>
      <c r="N238" s="53">
        <f t="shared" si="82"/>
        <v>54</v>
      </c>
      <c r="O238" s="64">
        <f t="shared" si="82"/>
        <v>66</v>
      </c>
      <c r="P238" s="64">
        <f t="shared" si="82"/>
        <v>78</v>
      </c>
      <c r="Q238" s="64">
        <f t="shared" si="82"/>
        <v>91</v>
      </c>
      <c r="R238" s="64">
        <f t="shared" si="82"/>
        <v>103</v>
      </c>
      <c r="S238" s="53">
        <f t="shared" si="82"/>
        <v>115</v>
      </c>
      <c r="T238" s="64">
        <f t="shared" si="83"/>
        <v>127</v>
      </c>
      <c r="U238" s="64">
        <f t="shared" si="83"/>
        <v>138</v>
      </c>
      <c r="V238" s="64">
        <f t="shared" si="83"/>
        <v>150</v>
      </c>
      <c r="W238" s="64">
        <f t="shared" si="83"/>
        <v>161</v>
      </c>
      <c r="X238" s="53">
        <f t="shared" si="83"/>
        <v>173</v>
      </c>
      <c r="Y238" s="64">
        <f t="shared" si="83"/>
        <v>184</v>
      </c>
      <c r="Z238" s="64">
        <f t="shared" si="83"/>
        <v>196</v>
      </c>
      <c r="AA238" s="64">
        <f t="shared" si="83"/>
        <v>207</v>
      </c>
      <c r="AB238" s="64">
        <f t="shared" si="83"/>
        <v>219</v>
      </c>
      <c r="AC238" s="53">
        <f t="shared" si="83"/>
        <v>231</v>
      </c>
      <c r="AD238" s="64">
        <f t="shared" si="84"/>
        <v>242</v>
      </c>
      <c r="AE238" s="64">
        <f t="shared" si="84"/>
        <v>254</v>
      </c>
      <c r="AF238" s="64">
        <f t="shared" si="84"/>
        <v>265</v>
      </c>
      <c r="AG238" s="64">
        <f t="shared" si="84"/>
        <v>277</v>
      </c>
      <c r="AH238" s="53">
        <f t="shared" si="84"/>
        <v>288</v>
      </c>
      <c r="AI238" s="64">
        <f t="shared" si="84"/>
        <v>300</v>
      </c>
      <c r="AJ238" s="64">
        <f t="shared" si="84"/>
        <v>311</v>
      </c>
      <c r="AK238" s="64">
        <f t="shared" si="84"/>
        <v>323</v>
      </c>
      <c r="AL238" s="64">
        <f t="shared" si="84"/>
        <v>335</v>
      </c>
      <c r="AM238" s="53">
        <f t="shared" si="84"/>
        <v>346</v>
      </c>
    </row>
    <row r="239" spans="1:39" x14ac:dyDescent="0.25">
      <c r="A239" s="53">
        <f>'Pokemon Data'!A238</f>
        <v>237</v>
      </c>
      <c r="B239" s="53" t="str">
        <f>'Pokemon Data'!B238</f>
        <v>Hitmontop</v>
      </c>
      <c r="C239" s="61">
        <f>'Pokemon Data'!E238</f>
        <v>121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70"/>
        <v>115</v>
      </c>
      <c r="H239" s="61">
        <f t="shared" si="71"/>
        <v>188</v>
      </c>
      <c r="I239" s="61">
        <f t="shared" si="72"/>
        <v>229</v>
      </c>
      <c r="J239" s="53">
        <f t="shared" si="82"/>
        <v>26</v>
      </c>
      <c r="K239" s="64">
        <f t="shared" si="82"/>
        <v>84</v>
      </c>
      <c r="L239" s="64">
        <f t="shared" si="82"/>
        <v>141</v>
      </c>
      <c r="M239" s="64">
        <f t="shared" si="82"/>
        <v>199</v>
      </c>
      <c r="N239" s="53">
        <f t="shared" si="82"/>
        <v>257</v>
      </c>
      <c r="O239" s="64">
        <f t="shared" si="82"/>
        <v>314</v>
      </c>
      <c r="P239" s="64">
        <f t="shared" si="82"/>
        <v>372</v>
      </c>
      <c r="Q239" s="64">
        <f t="shared" si="82"/>
        <v>429</v>
      </c>
      <c r="R239" s="64">
        <f t="shared" si="82"/>
        <v>487</v>
      </c>
      <c r="S239" s="53">
        <f t="shared" si="82"/>
        <v>544</v>
      </c>
      <c r="T239" s="64">
        <f t="shared" si="83"/>
        <v>599</v>
      </c>
      <c r="U239" s="64">
        <f t="shared" si="83"/>
        <v>653</v>
      </c>
      <c r="V239" s="64">
        <f t="shared" si="83"/>
        <v>707</v>
      </c>
      <c r="W239" s="64">
        <f t="shared" si="83"/>
        <v>762</v>
      </c>
      <c r="X239" s="53">
        <f t="shared" si="83"/>
        <v>816</v>
      </c>
      <c r="Y239" s="64">
        <f t="shared" si="83"/>
        <v>871</v>
      </c>
      <c r="Z239" s="64">
        <f t="shared" si="83"/>
        <v>925</v>
      </c>
      <c r="AA239" s="64">
        <f t="shared" si="83"/>
        <v>979</v>
      </c>
      <c r="AB239" s="64">
        <f t="shared" si="83"/>
        <v>1034</v>
      </c>
      <c r="AC239" s="53">
        <f t="shared" si="83"/>
        <v>1088</v>
      </c>
      <c r="AD239" s="64">
        <f t="shared" si="84"/>
        <v>1143</v>
      </c>
      <c r="AE239" s="64">
        <f t="shared" si="84"/>
        <v>1197</v>
      </c>
      <c r="AF239" s="64">
        <f t="shared" si="84"/>
        <v>1252</v>
      </c>
      <c r="AG239" s="64">
        <f t="shared" si="84"/>
        <v>1306</v>
      </c>
      <c r="AH239" s="53">
        <f t="shared" si="84"/>
        <v>1361</v>
      </c>
      <c r="AI239" s="64">
        <f t="shared" si="84"/>
        <v>1415</v>
      </c>
      <c r="AJ239" s="64">
        <f t="shared" si="84"/>
        <v>1470</v>
      </c>
      <c r="AK239" s="64">
        <f t="shared" si="84"/>
        <v>1524</v>
      </c>
      <c r="AL239" s="64">
        <f t="shared" si="84"/>
        <v>1578</v>
      </c>
      <c r="AM239" s="53">
        <f t="shared" si="84"/>
        <v>1633</v>
      </c>
    </row>
    <row r="240" spans="1:39" x14ac:dyDescent="0.25">
      <c r="A240" s="53">
        <f>'Pokemon Data'!A239</f>
        <v>238</v>
      </c>
      <c r="B240" s="53" t="str">
        <f>'Pokemon Data'!B239</f>
        <v>Smoochum</v>
      </c>
      <c r="C240" s="61">
        <f>'Pokemon Data'!E239</f>
        <v>58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70"/>
        <v>105</v>
      </c>
      <c r="H240" s="61">
        <f t="shared" si="71"/>
        <v>168</v>
      </c>
      <c r="I240" s="61">
        <f t="shared" si="72"/>
        <v>131</v>
      </c>
      <c r="J240" s="53">
        <f t="shared" si="82"/>
        <v>17</v>
      </c>
      <c r="K240" s="48">
        <f t="shared" si="82"/>
        <v>54</v>
      </c>
      <c r="L240" s="48">
        <f t="shared" si="82"/>
        <v>91</v>
      </c>
      <c r="M240" s="48">
        <f t="shared" si="82"/>
        <v>128</v>
      </c>
      <c r="N240" s="53">
        <f t="shared" si="82"/>
        <v>165</v>
      </c>
      <c r="O240" s="48">
        <f t="shared" si="82"/>
        <v>203</v>
      </c>
      <c r="P240" s="48">
        <f t="shared" si="82"/>
        <v>240</v>
      </c>
      <c r="Q240" s="48">
        <f t="shared" si="82"/>
        <v>277</v>
      </c>
      <c r="R240" s="48">
        <f t="shared" si="82"/>
        <v>314</v>
      </c>
      <c r="S240" s="53">
        <f t="shared" si="82"/>
        <v>351</v>
      </c>
      <c r="T240" s="48">
        <f t="shared" si="83"/>
        <v>386</v>
      </c>
      <c r="U240" s="48">
        <f t="shared" si="83"/>
        <v>422</v>
      </c>
      <c r="V240" s="48">
        <f t="shared" si="83"/>
        <v>457</v>
      </c>
      <c r="W240" s="48">
        <f t="shared" si="83"/>
        <v>492</v>
      </c>
      <c r="X240" s="53">
        <f t="shared" si="83"/>
        <v>527</v>
      </c>
      <c r="Y240" s="48">
        <f t="shared" si="83"/>
        <v>562</v>
      </c>
      <c r="Z240" s="48">
        <f t="shared" si="83"/>
        <v>597</v>
      </c>
      <c r="AA240" s="48">
        <f t="shared" si="83"/>
        <v>632</v>
      </c>
      <c r="AB240" s="48">
        <f t="shared" si="83"/>
        <v>668</v>
      </c>
      <c r="AC240" s="53">
        <f t="shared" si="83"/>
        <v>703</v>
      </c>
      <c r="AD240" s="48">
        <f t="shared" si="84"/>
        <v>738</v>
      </c>
      <c r="AE240" s="48">
        <f t="shared" si="84"/>
        <v>773</v>
      </c>
      <c r="AF240" s="48">
        <f t="shared" si="84"/>
        <v>808</v>
      </c>
      <c r="AG240" s="48">
        <f t="shared" si="84"/>
        <v>843</v>
      </c>
      <c r="AH240" s="53">
        <f t="shared" si="84"/>
        <v>879</v>
      </c>
      <c r="AI240" s="48">
        <f t="shared" si="84"/>
        <v>914</v>
      </c>
      <c r="AJ240" s="48">
        <f t="shared" si="84"/>
        <v>949</v>
      </c>
      <c r="AK240" s="48">
        <f t="shared" si="84"/>
        <v>984</v>
      </c>
      <c r="AL240" s="48">
        <f t="shared" si="84"/>
        <v>1019</v>
      </c>
      <c r="AM240" s="53">
        <f t="shared" si="84"/>
        <v>1054</v>
      </c>
    </row>
    <row r="241" spans="1:39" x14ac:dyDescent="0.25">
      <c r="A241" s="53">
        <f>'Pokemon Data'!A240</f>
        <v>239</v>
      </c>
      <c r="B241" s="53" t="str">
        <f>'Pokemon Data'!B240</f>
        <v>Elekid</v>
      </c>
      <c r="C241" s="61">
        <f>'Pokemon Data'!E240</f>
        <v>59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70"/>
        <v>105</v>
      </c>
      <c r="H241" s="61">
        <f t="shared" si="71"/>
        <v>150</v>
      </c>
      <c r="I241" s="61">
        <f t="shared" si="72"/>
        <v>125</v>
      </c>
      <c r="J241" s="53">
        <f t="shared" si="82"/>
        <v>15</v>
      </c>
      <c r="K241" s="48">
        <f t="shared" si="82"/>
        <v>47</v>
      </c>
      <c r="L241" s="48">
        <f t="shared" si="82"/>
        <v>79</v>
      </c>
      <c r="M241" s="48">
        <f t="shared" si="82"/>
        <v>112</v>
      </c>
      <c r="N241" s="53">
        <f t="shared" si="82"/>
        <v>144</v>
      </c>
      <c r="O241" s="48">
        <f t="shared" si="82"/>
        <v>177</v>
      </c>
      <c r="P241" s="48">
        <f t="shared" si="82"/>
        <v>209</v>
      </c>
      <c r="Q241" s="48">
        <f t="shared" si="82"/>
        <v>241</v>
      </c>
      <c r="R241" s="48">
        <f t="shared" si="82"/>
        <v>274</v>
      </c>
      <c r="S241" s="53">
        <f t="shared" si="82"/>
        <v>306</v>
      </c>
      <c r="T241" s="48">
        <f t="shared" si="83"/>
        <v>337</v>
      </c>
      <c r="U241" s="48">
        <f t="shared" si="83"/>
        <v>368</v>
      </c>
      <c r="V241" s="48">
        <f t="shared" si="83"/>
        <v>398</v>
      </c>
      <c r="W241" s="48">
        <f t="shared" si="83"/>
        <v>429</v>
      </c>
      <c r="X241" s="53">
        <f t="shared" si="83"/>
        <v>460</v>
      </c>
      <c r="Y241" s="48">
        <f t="shared" si="83"/>
        <v>490</v>
      </c>
      <c r="Z241" s="48">
        <f t="shared" si="83"/>
        <v>521</v>
      </c>
      <c r="AA241" s="48">
        <f t="shared" si="83"/>
        <v>551</v>
      </c>
      <c r="AB241" s="48">
        <f t="shared" si="83"/>
        <v>582</v>
      </c>
      <c r="AC241" s="53">
        <f t="shared" si="83"/>
        <v>613</v>
      </c>
      <c r="AD241" s="48">
        <f t="shared" si="84"/>
        <v>643</v>
      </c>
      <c r="AE241" s="48">
        <f t="shared" si="84"/>
        <v>674</v>
      </c>
      <c r="AF241" s="48">
        <f t="shared" si="84"/>
        <v>705</v>
      </c>
      <c r="AG241" s="48">
        <f t="shared" si="84"/>
        <v>735</v>
      </c>
      <c r="AH241" s="53">
        <f t="shared" si="84"/>
        <v>766</v>
      </c>
      <c r="AI241" s="48">
        <f t="shared" si="84"/>
        <v>797</v>
      </c>
      <c r="AJ241" s="48">
        <f t="shared" si="84"/>
        <v>828</v>
      </c>
      <c r="AK241" s="48">
        <f t="shared" si="84"/>
        <v>858</v>
      </c>
      <c r="AL241" s="48">
        <f t="shared" si="84"/>
        <v>889</v>
      </c>
      <c r="AM241" s="53">
        <f t="shared" si="84"/>
        <v>920</v>
      </c>
    </row>
    <row r="242" spans="1:39" x14ac:dyDescent="0.25">
      <c r="A242" s="53">
        <f>'Pokemon Data'!A241</f>
        <v>240</v>
      </c>
      <c r="B242" s="53" t="str">
        <f>'Pokemon Data'!B241</f>
        <v>Magby</v>
      </c>
      <c r="C242" s="61">
        <f>'Pokemon Data'!E241</f>
        <v>60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70"/>
        <v>105</v>
      </c>
      <c r="H242" s="61">
        <f t="shared" si="71"/>
        <v>166</v>
      </c>
      <c r="I242" s="61">
        <f t="shared" si="72"/>
        <v>123</v>
      </c>
      <c r="J242" s="53">
        <f t="shared" si="82"/>
        <v>16</v>
      </c>
      <c r="K242" s="48">
        <f t="shared" si="82"/>
        <v>52</v>
      </c>
      <c r="L242" s="48">
        <f t="shared" si="82"/>
        <v>87</v>
      </c>
      <c r="M242" s="48">
        <f t="shared" si="82"/>
        <v>123</v>
      </c>
      <c r="N242" s="53">
        <f t="shared" si="82"/>
        <v>158</v>
      </c>
      <c r="O242" s="48">
        <f t="shared" si="82"/>
        <v>194</v>
      </c>
      <c r="P242" s="48">
        <f t="shared" si="82"/>
        <v>230</v>
      </c>
      <c r="Q242" s="48">
        <f t="shared" si="82"/>
        <v>265</v>
      </c>
      <c r="R242" s="48">
        <f t="shared" si="82"/>
        <v>301</v>
      </c>
      <c r="S242" s="53">
        <f t="shared" si="82"/>
        <v>336</v>
      </c>
      <c r="T242" s="48">
        <f t="shared" si="83"/>
        <v>370</v>
      </c>
      <c r="U242" s="48">
        <f t="shared" si="83"/>
        <v>404</v>
      </c>
      <c r="V242" s="48">
        <f t="shared" si="83"/>
        <v>437</v>
      </c>
      <c r="W242" s="48">
        <f t="shared" si="83"/>
        <v>471</v>
      </c>
      <c r="X242" s="53">
        <f t="shared" si="83"/>
        <v>505</v>
      </c>
      <c r="Y242" s="48">
        <f t="shared" si="83"/>
        <v>538</v>
      </c>
      <c r="Z242" s="48">
        <f t="shared" si="83"/>
        <v>572</v>
      </c>
      <c r="AA242" s="48">
        <f t="shared" si="83"/>
        <v>605</v>
      </c>
      <c r="AB242" s="48">
        <f t="shared" si="83"/>
        <v>639</v>
      </c>
      <c r="AC242" s="53">
        <f t="shared" si="83"/>
        <v>673</v>
      </c>
      <c r="AD242" s="48">
        <f t="shared" si="84"/>
        <v>706</v>
      </c>
      <c r="AE242" s="48">
        <f t="shared" si="84"/>
        <v>740</v>
      </c>
      <c r="AF242" s="48">
        <f t="shared" si="84"/>
        <v>774</v>
      </c>
      <c r="AG242" s="48">
        <f t="shared" si="84"/>
        <v>807</v>
      </c>
      <c r="AH242" s="53">
        <f t="shared" si="84"/>
        <v>841</v>
      </c>
      <c r="AI242" s="48">
        <f t="shared" si="84"/>
        <v>875</v>
      </c>
      <c r="AJ242" s="48">
        <f t="shared" si="84"/>
        <v>908</v>
      </c>
      <c r="AK242" s="48">
        <f t="shared" si="84"/>
        <v>942</v>
      </c>
      <c r="AL242" s="48">
        <f t="shared" si="84"/>
        <v>976</v>
      </c>
      <c r="AM242" s="53">
        <f t="shared" si="84"/>
        <v>1010</v>
      </c>
    </row>
    <row r="243" spans="1:39" x14ac:dyDescent="0.25">
      <c r="A243" s="53">
        <f>'Pokemon Data'!A242</f>
        <v>241</v>
      </c>
      <c r="B243" s="53" t="str">
        <f>'Pokemon Data'!B242</f>
        <v>Miltank</v>
      </c>
      <c r="C243" s="61">
        <f>'Pokemon Data'!E242</f>
        <v>122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70"/>
        <v>205</v>
      </c>
      <c r="H243" s="61">
        <f t="shared" si="71"/>
        <v>172</v>
      </c>
      <c r="I243" s="61">
        <f t="shared" si="72"/>
        <v>226</v>
      </c>
      <c r="J243" s="53">
        <f t="shared" ref="J243:S253" si="85">MAX(10,INT(SQRT($G243*$I243)*$H243*J$1^2/10))</f>
        <v>32</v>
      </c>
      <c r="K243" s="64">
        <f t="shared" si="85"/>
        <v>102</v>
      </c>
      <c r="L243" s="64">
        <f t="shared" si="85"/>
        <v>172</v>
      </c>
      <c r="M243" s="64">
        <f t="shared" si="85"/>
        <v>242</v>
      </c>
      <c r="N243" s="53">
        <f t="shared" si="85"/>
        <v>311</v>
      </c>
      <c r="O243" s="64">
        <f t="shared" si="85"/>
        <v>381</v>
      </c>
      <c r="P243" s="64">
        <f t="shared" si="85"/>
        <v>451</v>
      </c>
      <c r="Q243" s="64">
        <f t="shared" si="85"/>
        <v>521</v>
      </c>
      <c r="R243" s="64">
        <f t="shared" si="85"/>
        <v>591</v>
      </c>
      <c r="S243" s="53">
        <f t="shared" si="85"/>
        <v>660</v>
      </c>
      <c r="T243" s="64">
        <f t="shared" ref="T243:AC253" si="86">MAX(10,INT(SQRT($G243*$I243)*$H243*T$1^2/10))</f>
        <v>726</v>
      </c>
      <c r="U243" s="64">
        <f t="shared" si="86"/>
        <v>792</v>
      </c>
      <c r="V243" s="64">
        <f t="shared" si="86"/>
        <v>858</v>
      </c>
      <c r="W243" s="64">
        <f t="shared" si="86"/>
        <v>925</v>
      </c>
      <c r="X243" s="53">
        <f t="shared" si="86"/>
        <v>991</v>
      </c>
      <c r="Y243" s="64">
        <f t="shared" si="86"/>
        <v>1057</v>
      </c>
      <c r="Z243" s="64">
        <f t="shared" si="86"/>
        <v>1123</v>
      </c>
      <c r="AA243" s="64">
        <f t="shared" si="86"/>
        <v>1189</v>
      </c>
      <c r="AB243" s="64">
        <f t="shared" si="86"/>
        <v>1255</v>
      </c>
      <c r="AC243" s="53">
        <f t="shared" si="86"/>
        <v>1321</v>
      </c>
      <c r="AD243" s="64">
        <f t="shared" ref="AD243:AM253" si="87">MAX(10,INT(SQRT($G243*$I243)*$H243*AD$1^2/10))</f>
        <v>1387</v>
      </c>
      <c r="AE243" s="64">
        <f t="shared" si="87"/>
        <v>1453</v>
      </c>
      <c r="AF243" s="64">
        <f t="shared" si="87"/>
        <v>1519</v>
      </c>
      <c r="AG243" s="64">
        <f t="shared" si="87"/>
        <v>1585</v>
      </c>
      <c r="AH243" s="53">
        <f t="shared" si="87"/>
        <v>1651</v>
      </c>
      <c r="AI243" s="64">
        <f t="shared" si="87"/>
        <v>1717</v>
      </c>
      <c r="AJ243" s="64">
        <f t="shared" si="87"/>
        <v>1783</v>
      </c>
      <c r="AK243" s="64">
        <f t="shared" si="87"/>
        <v>1849</v>
      </c>
      <c r="AL243" s="64">
        <f t="shared" si="87"/>
        <v>1916</v>
      </c>
      <c r="AM243" s="53">
        <f t="shared" si="87"/>
        <v>1982</v>
      </c>
    </row>
    <row r="244" spans="1:39" x14ac:dyDescent="0.25">
      <c r="A244" s="53">
        <f>'Pokemon Data'!A243</f>
        <v>242</v>
      </c>
      <c r="B244" s="53" t="str">
        <f>'Pokemon Data'!B243</f>
        <v>Blissey</v>
      </c>
      <c r="C244" s="61">
        <f>'Pokemon Data'!E243</f>
        <v>50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70"/>
        <v>525</v>
      </c>
      <c r="H244" s="61">
        <f t="shared" si="71"/>
        <v>144</v>
      </c>
      <c r="I244" s="61">
        <f t="shared" si="72"/>
        <v>244</v>
      </c>
      <c r="J244" s="53">
        <f t="shared" si="85"/>
        <v>45</v>
      </c>
      <c r="K244" s="64">
        <f t="shared" si="85"/>
        <v>142</v>
      </c>
      <c r="L244" s="64">
        <f t="shared" si="85"/>
        <v>239</v>
      </c>
      <c r="M244" s="64">
        <f t="shared" si="85"/>
        <v>337</v>
      </c>
      <c r="N244" s="53">
        <f t="shared" si="85"/>
        <v>434</v>
      </c>
      <c r="O244" s="64">
        <f t="shared" si="85"/>
        <v>531</v>
      </c>
      <c r="P244" s="64">
        <f t="shared" si="85"/>
        <v>628</v>
      </c>
      <c r="Q244" s="64">
        <f t="shared" si="85"/>
        <v>725</v>
      </c>
      <c r="R244" s="64">
        <f t="shared" si="85"/>
        <v>822</v>
      </c>
      <c r="S244" s="53">
        <f t="shared" si="85"/>
        <v>920</v>
      </c>
      <c r="T244" s="64">
        <f t="shared" si="86"/>
        <v>1011</v>
      </c>
      <c r="U244" s="64">
        <f t="shared" si="86"/>
        <v>1103</v>
      </c>
      <c r="V244" s="64">
        <f t="shared" si="86"/>
        <v>1195</v>
      </c>
      <c r="W244" s="64">
        <f t="shared" si="86"/>
        <v>1287</v>
      </c>
      <c r="X244" s="53">
        <f t="shared" si="86"/>
        <v>1379</v>
      </c>
      <c r="Y244" s="64">
        <f t="shared" si="86"/>
        <v>1471</v>
      </c>
      <c r="Z244" s="64">
        <f t="shared" si="86"/>
        <v>1563</v>
      </c>
      <c r="AA244" s="64">
        <f t="shared" si="86"/>
        <v>1655</v>
      </c>
      <c r="AB244" s="64">
        <f t="shared" si="86"/>
        <v>1747</v>
      </c>
      <c r="AC244" s="53">
        <f t="shared" si="86"/>
        <v>1839</v>
      </c>
      <c r="AD244" s="64">
        <f t="shared" si="87"/>
        <v>1931</v>
      </c>
      <c r="AE244" s="64">
        <f t="shared" si="87"/>
        <v>2023</v>
      </c>
      <c r="AF244" s="64">
        <f t="shared" si="87"/>
        <v>2115</v>
      </c>
      <c r="AG244" s="64">
        <f t="shared" si="87"/>
        <v>2207</v>
      </c>
      <c r="AH244" s="53">
        <f t="shared" si="87"/>
        <v>2299</v>
      </c>
      <c r="AI244" s="64">
        <f t="shared" si="87"/>
        <v>2391</v>
      </c>
      <c r="AJ244" s="64">
        <f t="shared" si="87"/>
        <v>2483</v>
      </c>
      <c r="AK244" s="64">
        <f t="shared" si="87"/>
        <v>2575</v>
      </c>
      <c r="AL244" s="64">
        <f t="shared" si="87"/>
        <v>2667</v>
      </c>
      <c r="AM244" s="53">
        <f t="shared" si="87"/>
        <v>2759</v>
      </c>
    </row>
    <row r="245" spans="1:39" s="59" customFormat="1" hidden="1" outlineLevel="1" x14ac:dyDescent="0.25">
      <c r="A245" s="59">
        <f>'Pokemon Data'!A244</f>
        <v>243</v>
      </c>
      <c r="B245" s="59" t="str">
        <f>'Pokemon Data'!B244</f>
        <v>Raikou</v>
      </c>
      <c r="C245" s="59">
        <f>'Pokemon Data'!E244</f>
        <v>123</v>
      </c>
      <c r="D245" s="59">
        <f>'Pokemon Data'!I244</f>
        <v>180</v>
      </c>
      <c r="E245" s="59">
        <f>'Pokemon Data'!J244</f>
        <v>241</v>
      </c>
      <c r="F245" s="59">
        <f>'Pokemon Data'!K244</f>
        <v>210</v>
      </c>
      <c r="G245" s="59">
        <f t="shared" si="70"/>
        <v>195</v>
      </c>
      <c r="H245" s="59">
        <f t="shared" si="71"/>
        <v>256</v>
      </c>
      <c r="I245" s="59">
        <f t="shared" si="72"/>
        <v>225</v>
      </c>
      <c r="J245" s="59">
        <f t="shared" si="85"/>
        <v>47</v>
      </c>
      <c r="K245" s="59">
        <f t="shared" si="85"/>
        <v>148</v>
      </c>
      <c r="L245" s="59">
        <f t="shared" si="85"/>
        <v>249</v>
      </c>
      <c r="M245" s="59">
        <f t="shared" si="85"/>
        <v>350</v>
      </c>
      <c r="N245" s="59">
        <f t="shared" si="85"/>
        <v>451</v>
      </c>
      <c r="O245" s="59">
        <f t="shared" si="85"/>
        <v>552</v>
      </c>
      <c r="P245" s="59">
        <f t="shared" si="85"/>
        <v>653</v>
      </c>
      <c r="Q245" s="59">
        <f t="shared" si="85"/>
        <v>755</v>
      </c>
      <c r="R245" s="59">
        <f t="shared" si="85"/>
        <v>856</v>
      </c>
      <c r="S245" s="59">
        <f t="shared" si="85"/>
        <v>957</v>
      </c>
      <c r="T245" s="59">
        <f t="shared" si="86"/>
        <v>1052</v>
      </c>
      <c r="U245" s="59">
        <f t="shared" si="86"/>
        <v>1148</v>
      </c>
      <c r="V245" s="59">
        <f t="shared" si="86"/>
        <v>1244</v>
      </c>
      <c r="W245" s="59">
        <f t="shared" si="86"/>
        <v>1339</v>
      </c>
      <c r="X245" s="59">
        <f t="shared" si="86"/>
        <v>1435</v>
      </c>
      <c r="Y245" s="59">
        <f t="shared" si="86"/>
        <v>1531</v>
      </c>
      <c r="Z245" s="59">
        <f t="shared" si="86"/>
        <v>1626</v>
      </c>
      <c r="AA245" s="59">
        <f t="shared" si="86"/>
        <v>1722</v>
      </c>
      <c r="AB245" s="59">
        <f t="shared" si="86"/>
        <v>1818</v>
      </c>
      <c r="AC245" s="59">
        <f t="shared" si="86"/>
        <v>1913</v>
      </c>
      <c r="AD245" s="59">
        <f t="shared" si="87"/>
        <v>2009</v>
      </c>
      <c r="AE245" s="59">
        <f t="shared" si="87"/>
        <v>2105</v>
      </c>
      <c r="AF245" s="59">
        <f t="shared" si="87"/>
        <v>2200</v>
      </c>
      <c r="AG245" s="59">
        <f t="shared" si="87"/>
        <v>2296</v>
      </c>
      <c r="AH245" s="59">
        <f t="shared" si="87"/>
        <v>2392</v>
      </c>
      <c r="AI245" s="59">
        <f t="shared" si="87"/>
        <v>2488</v>
      </c>
      <c r="AJ245" s="59">
        <f t="shared" si="87"/>
        <v>2583</v>
      </c>
      <c r="AK245" s="59">
        <f t="shared" si="87"/>
        <v>2679</v>
      </c>
      <c r="AL245" s="59">
        <f t="shared" si="87"/>
        <v>2775</v>
      </c>
      <c r="AM245" s="59">
        <f t="shared" si="87"/>
        <v>2870</v>
      </c>
    </row>
    <row r="246" spans="1:39" s="59" customFormat="1" hidden="1" outlineLevel="1" x14ac:dyDescent="0.25">
      <c r="A246" s="59">
        <f>'Pokemon Data'!A245</f>
        <v>244</v>
      </c>
      <c r="B246" s="59" t="str">
        <f>'Pokemon Data'!B245</f>
        <v>Entei</v>
      </c>
      <c r="C246" s="59">
        <f>'Pokemon Data'!E245</f>
        <v>124</v>
      </c>
      <c r="D246" s="59">
        <f>'Pokemon Data'!I245</f>
        <v>230</v>
      </c>
      <c r="E246" s="59">
        <f>'Pokemon Data'!J245</f>
        <v>235</v>
      </c>
      <c r="F246" s="59">
        <f>'Pokemon Data'!K245</f>
        <v>176</v>
      </c>
      <c r="G246" s="59">
        <f t="shared" si="70"/>
        <v>245</v>
      </c>
      <c r="H246" s="59">
        <f t="shared" si="71"/>
        <v>250</v>
      </c>
      <c r="I246" s="59">
        <f t="shared" si="72"/>
        <v>191</v>
      </c>
      <c r="J246" s="59">
        <f t="shared" si="85"/>
        <v>47</v>
      </c>
      <c r="K246" s="59">
        <f t="shared" si="85"/>
        <v>149</v>
      </c>
      <c r="L246" s="59">
        <f t="shared" si="85"/>
        <v>251</v>
      </c>
      <c r="M246" s="59">
        <f t="shared" si="85"/>
        <v>353</v>
      </c>
      <c r="N246" s="59">
        <f t="shared" si="85"/>
        <v>455</v>
      </c>
      <c r="O246" s="59">
        <f t="shared" si="85"/>
        <v>557</v>
      </c>
      <c r="P246" s="59">
        <f t="shared" si="85"/>
        <v>659</v>
      </c>
      <c r="Q246" s="59">
        <f t="shared" si="85"/>
        <v>761</v>
      </c>
      <c r="R246" s="59">
        <f t="shared" si="85"/>
        <v>863</v>
      </c>
      <c r="S246" s="59">
        <f t="shared" si="85"/>
        <v>965</v>
      </c>
      <c r="T246" s="59">
        <f t="shared" si="86"/>
        <v>1061</v>
      </c>
      <c r="U246" s="59">
        <f t="shared" si="86"/>
        <v>1158</v>
      </c>
      <c r="V246" s="59">
        <f t="shared" si="86"/>
        <v>1254</v>
      </c>
      <c r="W246" s="59">
        <f t="shared" si="86"/>
        <v>1351</v>
      </c>
      <c r="X246" s="59">
        <f t="shared" si="86"/>
        <v>1447</v>
      </c>
      <c r="Y246" s="59">
        <f t="shared" si="86"/>
        <v>1544</v>
      </c>
      <c r="Z246" s="59">
        <f t="shared" si="86"/>
        <v>1640</v>
      </c>
      <c r="AA246" s="59">
        <f t="shared" si="86"/>
        <v>1737</v>
      </c>
      <c r="AB246" s="59">
        <f t="shared" si="86"/>
        <v>1833</v>
      </c>
      <c r="AC246" s="59">
        <f t="shared" si="86"/>
        <v>1930</v>
      </c>
      <c r="AD246" s="59">
        <f t="shared" si="87"/>
        <v>2026</v>
      </c>
      <c r="AE246" s="59">
        <f t="shared" si="87"/>
        <v>2123</v>
      </c>
      <c r="AF246" s="59">
        <f t="shared" si="87"/>
        <v>2219</v>
      </c>
      <c r="AG246" s="59">
        <f t="shared" si="87"/>
        <v>2316</v>
      </c>
      <c r="AH246" s="59">
        <f t="shared" si="87"/>
        <v>2412</v>
      </c>
      <c r="AI246" s="59">
        <f t="shared" si="87"/>
        <v>2509</v>
      </c>
      <c r="AJ246" s="59">
        <f t="shared" si="87"/>
        <v>2605</v>
      </c>
      <c r="AK246" s="59">
        <f t="shared" si="87"/>
        <v>2702</v>
      </c>
      <c r="AL246" s="59">
        <f t="shared" si="87"/>
        <v>2798</v>
      </c>
      <c r="AM246" s="59">
        <f t="shared" si="87"/>
        <v>2895</v>
      </c>
    </row>
    <row r="247" spans="1:39" s="59" customFormat="1" hidden="1" outlineLevel="1" x14ac:dyDescent="0.25">
      <c r="A247" s="59">
        <f>'Pokemon Data'!A246</f>
        <v>245</v>
      </c>
      <c r="B247" s="59" t="str">
        <f>'Pokemon Data'!B246</f>
        <v>Suicune</v>
      </c>
      <c r="C247" s="59">
        <f>'Pokemon Data'!E246</f>
        <v>125</v>
      </c>
      <c r="D247" s="59">
        <f>'Pokemon Data'!I246</f>
        <v>200</v>
      </c>
      <c r="E247" s="59">
        <f>'Pokemon Data'!J246</f>
        <v>180</v>
      </c>
      <c r="F247" s="59">
        <f>'Pokemon Data'!K246</f>
        <v>235</v>
      </c>
      <c r="G247" s="59">
        <f t="shared" si="70"/>
        <v>215</v>
      </c>
      <c r="H247" s="59">
        <f t="shared" si="71"/>
        <v>195</v>
      </c>
      <c r="I247" s="59">
        <f t="shared" si="72"/>
        <v>250</v>
      </c>
      <c r="J247" s="59">
        <f t="shared" si="85"/>
        <v>39</v>
      </c>
      <c r="K247" s="59">
        <f t="shared" si="85"/>
        <v>125</v>
      </c>
      <c r="L247" s="59">
        <f t="shared" si="85"/>
        <v>210</v>
      </c>
      <c r="M247" s="59">
        <f t="shared" si="85"/>
        <v>295</v>
      </c>
      <c r="N247" s="59">
        <f t="shared" si="85"/>
        <v>380</v>
      </c>
      <c r="O247" s="59">
        <f t="shared" si="85"/>
        <v>466</v>
      </c>
      <c r="P247" s="59">
        <f t="shared" si="85"/>
        <v>551</v>
      </c>
      <c r="Q247" s="59">
        <f t="shared" si="85"/>
        <v>636</v>
      </c>
      <c r="R247" s="59">
        <f t="shared" si="85"/>
        <v>721</v>
      </c>
      <c r="S247" s="59">
        <f t="shared" si="85"/>
        <v>807</v>
      </c>
      <c r="T247" s="59">
        <f t="shared" si="86"/>
        <v>887</v>
      </c>
      <c r="U247" s="59">
        <f t="shared" si="86"/>
        <v>968</v>
      </c>
      <c r="V247" s="59">
        <f t="shared" si="86"/>
        <v>1048</v>
      </c>
      <c r="W247" s="59">
        <f t="shared" si="86"/>
        <v>1129</v>
      </c>
      <c r="X247" s="59">
        <f t="shared" si="86"/>
        <v>1210</v>
      </c>
      <c r="Y247" s="59">
        <f t="shared" si="86"/>
        <v>1290</v>
      </c>
      <c r="Z247" s="59">
        <f t="shared" si="86"/>
        <v>1371</v>
      </c>
      <c r="AA247" s="59">
        <f t="shared" si="86"/>
        <v>1452</v>
      </c>
      <c r="AB247" s="59">
        <f t="shared" si="86"/>
        <v>1532</v>
      </c>
      <c r="AC247" s="59">
        <f t="shared" si="86"/>
        <v>1613</v>
      </c>
      <c r="AD247" s="59">
        <f t="shared" si="87"/>
        <v>1694</v>
      </c>
      <c r="AE247" s="59">
        <f t="shared" si="87"/>
        <v>1774</v>
      </c>
      <c r="AF247" s="59">
        <f t="shared" si="87"/>
        <v>1855</v>
      </c>
      <c r="AG247" s="59">
        <f t="shared" si="87"/>
        <v>1936</v>
      </c>
      <c r="AH247" s="59">
        <f t="shared" si="87"/>
        <v>2016</v>
      </c>
      <c r="AI247" s="59">
        <f t="shared" si="87"/>
        <v>2097</v>
      </c>
      <c r="AJ247" s="59">
        <f t="shared" si="87"/>
        <v>2178</v>
      </c>
      <c r="AK247" s="59">
        <f t="shared" si="87"/>
        <v>2259</v>
      </c>
      <c r="AL247" s="59">
        <f t="shared" si="87"/>
        <v>2339</v>
      </c>
      <c r="AM247" s="59">
        <f t="shared" si="87"/>
        <v>2420</v>
      </c>
    </row>
    <row r="248" spans="1:39" s="53" customFormat="1" collapsed="1" x14ac:dyDescent="0.25">
      <c r="A248" s="53">
        <f>'Pokemon Data'!A247</f>
        <v>246</v>
      </c>
      <c r="B248" s="53" t="str">
        <f>'Pokemon Data'!B247</f>
        <v>Larvitar</v>
      </c>
      <c r="C248" s="53">
        <f>'Pokemon Data'!E247</f>
        <v>126</v>
      </c>
      <c r="D248" s="53">
        <f>'Pokemon Data'!I247</f>
        <v>100</v>
      </c>
      <c r="E248" s="53">
        <f>'Pokemon Data'!J247</f>
        <v>115</v>
      </c>
      <c r="F248" s="53">
        <f>'Pokemon Data'!K247</f>
        <v>93</v>
      </c>
      <c r="G248" s="53">
        <f t="shared" si="70"/>
        <v>115</v>
      </c>
      <c r="H248" s="53">
        <f t="shared" si="71"/>
        <v>130</v>
      </c>
      <c r="I248" s="53">
        <f t="shared" si="72"/>
        <v>108</v>
      </c>
      <c r="J248" s="53">
        <f t="shared" si="85"/>
        <v>12</v>
      </c>
      <c r="K248" s="53">
        <f t="shared" si="85"/>
        <v>40</v>
      </c>
      <c r="L248" s="53">
        <f t="shared" si="85"/>
        <v>67</v>
      </c>
      <c r="M248" s="53">
        <f t="shared" si="85"/>
        <v>94</v>
      </c>
      <c r="N248" s="53">
        <f t="shared" si="85"/>
        <v>122</v>
      </c>
      <c r="O248" s="53">
        <f t="shared" si="85"/>
        <v>149</v>
      </c>
      <c r="P248" s="53">
        <f t="shared" si="85"/>
        <v>176</v>
      </c>
      <c r="Q248" s="53">
        <f t="shared" si="85"/>
        <v>203</v>
      </c>
      <c r="R248" s="53">
        <f t="shared" si="85"/>
        <v>231</v>
      </c>
      <c r="S248" s="53">
        <f t="shared" si="85"/>
        <v>258</v>
      </c>
      <c r="T248" s="53">
        <f t="shared" si="86"/>
        <v>284</v>
      </c>
      <c r="U248" s="53">
        <f t="shared" si="86"/>
        <v>310</v>
      </c>
      <c r="V248" s="53">
        <f t="shared" si="86"/>
        <v>336</v>
      </c>
      <c r="W248" s="53">
        <f t="shared" si="86"/>
        <v>361</v>
      </c>
      <c r="X248" s="53">
        <f t="shared" si="86"/>
        <v>387</v>
      </c>
      <c r="Y248" s="53">
        <f t="shared" si="86"/>
        <v>413</v>
      </c>
      <c r="Z248" s="53">
        <f t="shared" si="86"/>
        <v>439</v>
      </c>
      <c r="AA248" s="53">
        <f t="shared" si="86"/>
        <v>465</v>
      </c>
      <c r="AB248" s="53">
        <f t="shared" si="86"/>
        <v>491</v>
      </c>
      <c r="AC248" s="53">
        <f t="shared" si="86"/>
        <v>517</v>
      </c>
      <c r="AD248" s="53">
        <f t="shared" si="87"/>
        <v>542</v>
      </c>
      <c r="AE248" s="53">
        <f t="shared" si="87"/>
        <v>568</v>
      </c>
      <c r="AF248" s="53">
        <f t="shared" si="87"/>
        <v>594</v>
      </c>
      <c r="AG248" s="53">
        <f t="shared" si="87"/>
        <v>620</v>
      </c>
      <c r="AH248" s="53">
        <f t="shared" si="87"/>
        <v>646</v>
      </c>
      <c r="AI248" s="53">
        <f t="shared" si="87"/>
        <v>672</v>
      </c>
      <c r="AJ248" s="53">
        <f t="shared" si="87"/>
        <v>698</v>
      </c>
      <c r="AK248" s="53">
        <f t="shared" si="87"/>
        <v>723</v>
      </c>
      <c r="AL248" s="53">
        <f t="shared" si="87"/>
        <v>749</v>
      </c>
      <c r="AM248" s="53">
        <f t="shared" si="87"/>
        <v>775</v>
      </c>
    </row>
    <row r="249" spans="1:39" s="53" customFormat="1" x14ac:dyDescent="0.25">
      <c r="A249" s="53">
        <f>'Pokemon Data'!A248</f>
        <v>247</v>
      </c>
      <c r="B249" s="53" t="str">
        <f>'Pokemon Data'!B248</f>
        <v>Pupitar</v>
      </c>
      <c r="C249" s="53">
        <f>'Pokemon Data'!E248</f>
        <v>126</v>
      </c>
      <c r="D249" s="53">
        <f>'Pokemon Data'!I248</f>
        <v>140</v>
      </c>
      <c r="E249" s="53">
        <f>'Pokemon Data'!J248</f>
        <v>155</v>
      </c>
      <c r="F249" s="53">
        <f>'Pokemon Data'!K248</f>
        <v>133</v>
      </c>
      <c r="G249" s="53">
        <f t="shared" si="70"/>
        <v>155</v>
      </c>
      <c r="H249" s="53">
        <f t="shared" si="71"/>
        <v>170</v>
      </c>
      <c r="I249" s="53">
        <f t="shared" si="72"/>
        <v>148</v>
      </c>
      <c r="J249" s="53">
        <f t="shared" si="85"/>
        <v>22</v>
      </c>
      <c r="K249" s="53">
        <f t="shared" si="85"/>
        <v>71</v>
      </c>
      <c r="L249" s="53">
        <f t="shared" si="85"/>
        <v>119</v>
      </c>
      <c r="M249" s="53">
        <f t="shared" si="85"/>
        <v>168</v>
      </c>
      <c r="N249" s="53">
        <f t="shared" si="85"/>
        <v>216</v>
      </c>
      <c r="O249" s="53">
        <f t="shared" si="85"/>
        <v>265</v>
      </c>
      <c r="P249" s="53">
        <f t="shared" si="85"/>
        <v>313</v>
      </c>
      <c r="Q249" s="53">
        <f t="shared" si="85"/>
        <v>362</v>
      </c>
      <c r="R249" s="53">
        <f t="shared" si="85"/>
        <v>411</v>
      </c>
      <c r="S249" s="53">
        <f t="shared" si="85"/>
        <v>459</v>
      </c>
      <c r="T249" s="53">
        <f t="shared" si="86"/>
        <v>505</v>
      </c>
      <c r="U249" s="53">
        <f t="shared" si="86"/>
        <v>551</v>
      </c>
      <c r="V249" s="53">
        <f t="shared" si="86"/>
        <v>597</v>
      </c>
      <c r="W249" s="53">
        <f t="shared" si="86"/>
        <v>643</v>
      </c>
      <c r="X249" s="53">
        <f t="shared" si="86"/>
        <v>689</v>
      </c>
      <c r="Y249" s="53">
        <f t="shared" si="86"/>
        <v>735</v>
      </c>
      <c r="Z249" s="53">
        <f t="shared" si="86"/>
        <v>781</v>
      </c>
      <c r="AA249" s="53">
        <f t="shared" si="86"/>
        <v>827</v>
      </c>
      <c r="AB249" s="53">
        <f t="shared" si="86"/>
        <v>872</v>
      </c>
      <c r="AC249" s="53">
        <f t="shared" si="86"/>
        <v>918</v>
      </c>
      <c r="AD249" s="53">
        <f t="shared" si="87"/>
        <v>964</v>
      </c>
      <c r="AE249" s="53">
        <f t="shared" si="87"/>
        <v>1010</v>
      </c>
      <c r="AF249" s="53">
        <f t="shared" si="87"/>
        <v>1056</v>
      </c>
      <c r="AG249" s="53">
        <f t="shared" si="87"/>
        <v>1102</v>
      </c>
      <c r="AH249" s="53">
        <f t="shared" si="87"/>
        <v>1148</v>
      </c>
      <c r="AI249" s="53">
        <f t="shared" si="87"/>
        <v>1194</v>
      </c>
      <c r="AJ249" s="53">
        <f t="shared" si="87"/>
        <v>1240</v>
      </c>
      <c r="AK249" s="53">
        <f t="shared" si="87"/>
        <v>1286</v>
      </c>
      <c r="AL249" s="53">
        <f t="shared" si="87"/>
        <v>1332</v>
      </c>
      <c r="AM249" s="53">
        <f t="shared" si="87"/>
        <v>1378</v>
      </c>
    </row>
    <row r="250" spans="1:39" s="53" customFormat="1" x14ac:dyDescent="0.25">
      <c r="A250" s="53">
        <f>'Pokemon Data'!A249</f>
        <v>248</v>
      </c>
      <c r="B250" s="53" t="str">
        <f>'Pokemon Data'!B249</f>
        <v>Tyranitar</v>
      </c>
      <c r="C250" s="53">
        <f>'Pokemon Data'!E249</f>
        <v>126</v>
      </c>
      <c r="D250" s="53">
        <f>'Pokemon Data'!I249</f>
        <v>200</v>
      </c>
      <c r="E250" s="53">
        <f>'Pokemon Data'!J249</f>
        <v>251</v>
      </c>
      <c r="F250" s="53">
        <f>'Pokemon Data'!K249</f>
        <v>212</v>
      </c>
      <c r="G250" s="53">
        <f t="shared" si="70"/>
        <v>215</v>
      </c>
      <c r="H250" s="53">
        <f t="shared" si="71"/>
        <v>266</v>
      </c>
      <c r="I250" s="53">
        <f t="shared" si="72"/>
        <v>227</v>
      </c>
      <c r="J250" s="53">
        <f t="shared" si="85"/>
        <v>51</v>
      </c>
      <c r="K250" s="53">
        <f t="shared" si="85"/>
        <v>162</v>
      </c>
      <c r="L250" s="53">
        <f t="shared" si="85"/>
        <v>273</v>
      </c>
      <c r="M250" s="53">
        <f t="shared" si="85"/>
        <v>384</v>
      </c>
      <c r="N250" s="53">
        <f t="shared" si="85"/>
        <v>495</v>
      </c>
      <c r="O250" s="53">
        <f t="shared" si="85"/>
        <v>605</v>
      </c>
      <c r="P250" s="53">
        <f t="shared" si="85"/>
        <v>716</v>
      </c>
      <c r="Q250" s="53">
        <f t="shared" si="85"/>
        <v>827</v>
      </c>
      <c r="R250" s="53">
        <f t="shared" si="85"/>
        <v>938</v>
      </c>
      <c r="S250" s="53">
        <f t="shared" si="85"/>
        <v>1048</v>
      </c>
      <c r="T250" s="53">
        <f t="shared" si="86"/>
        <v>1153</v>
      </c>
      <c r="U250" s="53">
        <f t="shared" si="86"/>
        <v>1258</v>
      </c>
      <c r="V250" s="53">
        <f t="shared" si="86"/>
        <v>1363</v>
      </c>
      <c r="W250" s="53">
        <f t="shared" si="86"/>
        <v>1468</v>
      </c>
      <c r="X250" s="53">
        <f t="shared" si="86"/>
        <v>1573</v>
      </c>
      <c r="Y250" s="53">
        <f t="shared" si="86"/>
        <v>1677</v>
      </c>
      <c r="Z250" s="53">
        <f t="shared" si="86"/>
        <v>1782</v>
      </c>
      <c r="AA250" s="53">
        <f t="shared" si="86"/>
        <v>1887</v>
      </c>
      <c r="AB250" s="53">
        <f t="shared" si="86"/>
        <v>1992</v>
      </c>
      <c r="AC250" s="53">
        <f t="shared" si="86"/>
        <v>2097</v>
      </c>
      <c r="AD250" s="53">
        <f t="shared" si="87"/>
        <v>2202</v>
      </c>
      <c r="AE250" s="53">
        <f t="shared" si="87"/>
        <v>2307</v>
      </c>
      <c r="AF250" s="53">
        <f t="shared" si="87"/>
        <v>2411</v>
      </c>
      <c r="AG250" s="53">
        <f t="shared" si="87"/>
        <v>2516</v>
      </c>
      <c r="AH250" s="53">
        <f t="shared" si="87"/>
        <v>2621</v>
      </c>
      <c r="AI250" s="53">
        <f t="shared" si="87"/>
        <v>2726</v>
      </c>
      <c r="AJ250" s="53">
        <f t="shared" si="87"/>
        <v>2831</v>
      </c>
      <c r="AK250" s="53">
        <f t="shared" si="87"/>
        <v>2936</v>
      </c>
      <c r="AL250" s="53">
        <f t="shared" si="87"/>
        <v>3041</v>
      </c>
      <c r="AM250" s="53">
        <f t="shared" si="87"/>
        <v>3146</v>
      </c>
    </row>
    <row r="251" spans="1:39" s="59" customFormat="1" hidden="1" outlineLevel="1" x14ac:dyDescent="0.25">
      <c r="A251" s="59">
        <f>'Pokemon Data'!A250</f>
        <v>249</v>
      </c>
      <c r="B251" s="59" t="str">
        <f>'Pokemon Data'!B250</f>
        <v>Lugia</v>
      </c>
      <c r="C251" s="59">
        <f>'Pokemon Data'!E250</f>
        <v>127</v>
      </c>
      <c r="D251" s="59">
        <f>'Pokemon Data'!I250</f>
        <v>212</v>
      </c>
      <c r="E251" s="59">
        <f>'Pokemon Data'!J250</f>
        <v>193</v>
      </c>
      <c r="F251" s="59">
        <f>'Pokemon Data'!K250</f>
        <v>323</v>
      </c>
      <c r="G251" s="59">
        <f t="shared" si="70"/>
        <v>227</v>
      </c>
      <c r="H251" s="59">
        <f t="shared" si="71"/>
        <v>208</v>
      </c>
      <c r="I251" s="59">
        <f t="shared" si="72"/>
        <v>338</v>
      </c>
      <c r="J251" s="59">
        <f t="shared" si="85"/>
        <v>50</v>
      </c>
      <c r="K251" s="59">
        <f t="shared" si="85"/>
        <v>159</v>
      </c>
      <c r="L251" s="59">
        <f t="shared" si="85"/>
        <v>268</v>
      </c>
      <c r="M251" s="59">
        <f t="shared" si="85"/>
        <v>376</v>
      </c>
      <c r="N251" s="59">
        <f t="shared" si="85"/>
        <v>485</v>
      </c>
      <c r="O251" s="59">
        <f t="shared" si="85"/>
        <v>593</v>
      </c>
      <c r="P251" s="59">
        <f t="shared" si="85"/>
        <v>702</v>
      </c>
      <c r="Q251" s="59">
        <f t="shared" si="85"/>
        <v>811</v>
      </c>
      <c r="R251" s="59">
        <f t="shared" si="85"/>
        <v>919</v>
      </c>
      <c r="S251" s="59">
        <f t="shared" si="85"/>
        <v>1028</v>
      </c>
      <c r="T251" s="59">
        <f t="shared" si="86"/>
        <v>1131</v>
      </c>
      <c r="U251" s="59">
        <f t="shared" si="86"/>
        <v>1234</v>
      </c>
      <c r="V251" s="59">
        <f t="shared" si="86"/>
        <v>1336</v>
      </c>
      <c r="W251" s="59">
        <f t="shared" si="86"/>
        <v>1439</v>
      </c>
      <c r="X251" s="59">
        <f t="shared" si="86"/>
        <v>1542</v>
      </c>
      <c r="Y251" s="59">
        <f t="shared" si="86"/>
        <v>1645</v>
      </c>
      <c r="Z251" s="59">
        <f t="shared" si="86"/>
        <v>1747</v>
      </c>
      <c r="AA251" s="59">
        <f t="shared" si="86"/>
        <v>1850</v>
      </c>
      <c r="AB251" s="59">
        <f t="shared" si="86"/>
        <v>1953</v>
      </c>
      <c r="AC251" s="59">
        <f t="shared" si="86"/>
        <v>2056</v>
      </c>
      <c r="AD251" s="59">
        <f t="shared" si="87"/>
        <v>2159</v>
      </c>
      <c r="AE251" s="59">
        <f t="shared" si="87"/>
        <v>2261</v>
      </c>
      <c r="AF251" s="59">
        <f t="shared" si="87"/>
        <v>2364</v>
      </c>
      <c r="AG251" s="59">
        <f t="shared" si="87"/>
        <v>2467</v>
      </c>
      <c r="AH251" s="59">
        <f t="shared" si="87"/>
        <v>2570</v>
      </c>
      <c r="AI251" s="59">
        <f t="shared" si="87"/>
        <v>2673</v>
      </c>
      <c r="AJ251" s="59">
        <f t="shared" si="87"/>
        <v>2776</v>
      </c>
      <c r="AK251" s="59">
        <f t="shared" si="87"/>
        <v>2878</v>
      </c>
      <c r="AL251" s="59">
        <f t="shared" si="87"/>
        <v>2981</v>
      </c>
      <c r="AM251" s="59">
        <f t="shared" si="87"/>
        <v>3084</v>
      </c>
    </row>
    <row r="252" spans="1:39" s="59" customFormat="1" hidden="1" outlineLevel="1" x14ac:dyDescent="0.25">
      <c r="A252" s="59">
        <f>'Pokemon Data'!A251</f>
        <v>250</v>
      </c>
      <c r="B252" s="59" t="str">
        <f>'Pokemon Data'!B251</f>
        <v>Ho-Oh</v>
      </c>
      <c r="C252" s="59">
        <f>'Pokemon Data'!E251</f>
        <v>128</v>
      </c>
      <c r="D252" s="59">
        <f>'Pokemon Data'!I251</f>
        <v>212</v>
      </c>
      <c r="E252" s="59">
        <f>'Pokemon Data'!J251</f>
        <v>263</v>
      </c>
      <c r="F252" s="59">
        <f>'Pokemon Data'!K251</f>
        <v>301</v>
      </c>
      <c r="G252" s="59">
        <f t="shared" si="70"/>
        <v>227</v>
      </c>
      <c r="H252" s="59">
        <f t="shared" si="71"/>
        <v>278</v>
      </c>
      <c r="I252" s="59">
        <f t="shared" si="72"/>
        <v>316</v>
      </c>
      <c r="J252" s="59">
        <f t="shared" si="85"/>
        <v>65</v>
      </c>
      <c r="K252" s="59">
        <f t="shared" si="85"/>
        <v>206</v>
      </c>
      <c r="L252" s="59">
        <f t="shared" si="85"/>
        <v>346</v>
      </c>
      <c r="M252" s="59">
        <f t="shared" si="85"/>
        <v>486</v>
      </c>
      <c r="N252" s="59">
        <f t="shared" si="85"/>
        <v>627</v>
      </c>
      <c r="O252" s="59">
        <f t="shared" si="85"/>
        <v>767</v>
      </c>
      <c r="P252" s="59">
        <f t="shared" si="85"/>
        <v>907</v>
      </c>
      <c r="Q252" s="59">
        <f t="shared" si="85"/>
        <v>1048</v>
      </c>
      <c r="R252" s="59">
        <f t="shared" si="85"/>
        <v>1188</v>
      </c>
      <c r="S252" s="59">
        <f t="shared" si="85"/>
        <v>1329</v>
      </c>
      <c r="T252" s="59">
        <f t="shared" si="86"/>
        <v>1461</v>
      </c>
      <c r="U252" s="59">
        <f t="shared" si="86"/>
        <v>1594</v>
      </c>
      <c r="V252" s="59">
        <f t="shared" si="86"/>
        <v>1727</v>
      </c>
      <c r="W252" s="59">
        <f t="shared" si="86"/>
        <v>1860</v>
      </c>
      <c r="X252" s="59">
        <f t="shared" si="86"/>
        <v>1993</v>
      </c>
      <c r="Y252" s="59">
        <f t="shared" si="86"/>
        <v>2125</v>
      </c>
      <c r="Z252" s="59">
        <f t="shared" si="86"/>
        <v>2258</v>
      </c>
      <c r="AA252" s="59">
        <f t="shared" si="86"/>
        <v>2391</v>
      </c>
      <c r="AB252" s="59">
        <f t="shared" si="86"/>
        <v>2524</v>
      </c>
      <c r="AC252" s="59">
        <f t="shared" si="86"/>
        <v>2657</v>
      </c>
      <c r="AD252" s="59">
        <f t="shared" si="87"/>
        <v>2790</v>
      </c>
      <c r="AE252" s="59">
        <f t="shared" si="87"/>
        <v>2923</v>
      </c>
      <c r="AF252" s="59">
        <f t="shared" si="87"/>
        <v>3055</v>
      </c>
      <c r="AG252" s="59">
        <f t="shared" si="87"/>
        <v>3188</v>
      </c>
      <c r="AH252" s="59">
        <f t="shared" si="87"/>
        <v>3321</v>
      </c>
      <c r="AI252" s="59">
        <f t="shared" si="87"/>
        <v>3454</v>
      </c>
      <c r="AJ252" s="59">
        <f t="shared" si="87"/>
        <v>3587</v>
      </c>
      <c r="AK252" s="59">
        <f t="shared" si="87"/>
        <v>3720</v>
      </c>
      <c r="AL252" s="59">
        <f t="shared" si="87"/>
        <v>3853</v>
      </c>
      <c r="AM252" s="59">
        <f t="shared" si="87"/>
        <v>3986</v>
      </c>
    </row>
    <row r="253" spans="1:39" s="59" customFormat="1" hidden="1" outlineLevel="1" x14ac:dyDescent="0.25">
      <c r="A253" s="59">
        <f>'Pokemon Data'!A252</f>
        <v>251</v>
      </c>
      <c r="B253" s="59" t="str">
        <f>'Pokemon Data'!B252</f>
        <v>Celebi</v>
      </c>
      <c r="C253" s="59">
        <f>'Pokemon Data'!E252</f>
        <v>129</v>
      </c>
      <c r="D253" s="59">
        <f>'Pokemon Data'!I252</f>
        <v>200</v>
      </c>
      <c r="E253" s="59">
        <f>'Pokemon Data'!J252</f>
        <v>210</v>
      </c>
      <c r="F253" s="59">
        <f>'Pokemon Data'!K252</f>
        <v>210</v>
      </c>
      <c r="G253" s="59">
        <f t="shared" si="70"/>
        <v>215</v>
      </c>
      <c r="H253" s="59">
        <f t="shared" si="71"/>
        <v>225</v>
      </c>
      <c r="I253" s="59">
        <f t="shared" si="72"/>
        <v>225</v>
      </c>
      <c r="J253" s="59">
        <f t="shared" si="85"/>
        <v>43</v>
      </c>
      <c r="K253" s="59">
        <f t="shared" si="85"/>
        <v>137</v>
      </c>
      <c r="L253" s="59">
        <f t="shared" si="85"/>
        <v>230</v>
      </c>
      <c r="M253" s="59">
        <f t="shared" si="85"/>
        <v>323</v>
      </c>
      <c r="N253" s="59">
        <f t="shared" si="85"/>
        <v>416</v>
      </c>
      <c r="O253" s="59">
        <f t="shared" si="85"/>
        <v>510</v>
      </c>
      <c r="P253" s="59">
        <f t="shared" si="85"/>
        <v>603</v>
      </c>
      <c r="Q253" s="59">
        <f t="shared" si="85"/>
        <v>696</v>
      </c>
      <c r="R253" s="59">
        <f t="shared" si="85"/>
        <v>790</v>
      </c>
      <c r="S253" s="59">
        <f t="shared" si="85"/>
        <v>883</v>
      </c>
      <c r="T253" s="59">
        <f t="shared" si="86"/>
        <v>971</v>
      </c>
      <c r="U253" s="59">
        <f t="shared" si="86"/>
        <v>1059</v>
      </c>
      <c r="V253" s="59">
        <f t="shared" si="86"/>
        <v>1148</v>
      </c>
      <c r="W253" s="59">
        <f t="shared" si="86"/>
        <v>1236</v>
      </c>
      <c r="X253" s="59">
        <f t="shared" si="86"/>
        <v>1324</v>
      </c>
      <c r="Y253" s="59">
        <f t="shared" si="86"/>
        <v>1413</v>
      </c>
      <c r="Z253" s="59">
        <f t="shared" si="86"/>
        <v>1501</v>
      </c>
      <c r="AA253" s="59">
        <f t="shared" si="86"/>
        <v>1589</v>
      </c>
      <c r="AB253" s="59">
        <f t="shared" si="86"/>
        <v>1677</v>
      </c>
      <c r="AC253" s="59">
        <f t="shared" si="86"/>
        <v>1766</v>
      </c>
      <c r="AD253" s="59">
        <f t="shared" si="87"/>
        <v>1854</v>
      </c>
      <c r="AE253" s="59">
        <f t="shared" si="87"/>
        <v>1942</v>
      </c>
      <c r="AF253" s="59">
        <f t="shared" si="87"/>
        <v>2031</v>
      </c>
      <c r="AG253" s="59">
        <f t="shared" si="87"/>
        <v>2119</v>
      </c>
      <c r="AH253" s="59">
        <f t="shared" si="87"/>
        <v>2207</v>
      </c>
      <c r="AI253" s="59">
        <f t="shared" si="87"/>
        <v>2296</v>
      </c>
      <c r="AJ253" s="59">
        <f t="shared" si="87"/>
        <v>2384</v>
      </c>
      <c r="AK253" s="59">
        <f t="shared" si="87"/>
        <v>2472</v>
      </c>
      <c r="AL253" s="59">
        <f t="shared" si="87"/>
        <v>2561</v>
      </c>
      <c r="AM253" s="59">
        <f t="shared" si="87"/>
        <v>2649</v>
      </c>
    </row>
    <row r="254" spans="1:39" hidden="1" collapsed="1" x14ac:dyDescent="0.25"/>
    <row r="255" spans="1:39" hidden="1" x14ac:dyDescent="0.25"/>
  </sheetData>
  <autoFilter ref="A2:AM253"/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T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5" width="12.7109375" customWidth="1"/>
    <col min="16" max="16" width="1.7109375" style="5" customWidth="1"/>
    <col min="17" max="19" width="5.7109375" style="59" customWidth="1"/>
    <col min="20" max="20" width="11.7109375" style="59" customWidth="1"/>
    <col min="21" max="16384" width="9.140625" hidden="1"/>
  </cols>
  <sheetData>
    <row r="1" spans="1:20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411</v>
      </c>
      <c r="H1" s="1" t="s">
        <v>410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1" t="s">
        <v>419</v>
      </c>
      <c r="P1" s="50"/>
      <c r="Q1" s="58" t="s">
        <v>291</v>
      </c>
      <c r="R1" s="58" t="s">
        <v>292</v>
      </c>
      <c r="S1" s="58" t="s">
        <v>412</v>
      </c>
      <c r="T1" s="58" t="s">
        <v>17</v>
      </c>
    </row>
    <row r="2" spans="1:20" x14ac:dyDescent="0.25">
      <c r="A2" s="54">
        <v>1</v>
      </c>
      <c r="B2" s="68" t="s">
        <v>18</v>
      </c>
      <c r="C2" s="69" t="s">
        <v>19</v>
      </c>
      <c r="D2" s="54" t="s">
        <v>20</v>
      </c>
      <c r="E2" s="54">
        <v>1</v>
      </c>
      <c r="F2" s="54">
        <v>1</v>
      </c>
      <c r="G2" t="str">
        <f>E2&amp;"_"&amp;F2</f>
        <v>1_1</v>
      </c>
      <c r="H2" t="str">
        <f>IF(COUNTIFS($G:$G,G2)=1,G2,G2&amp;"-"&amp;COUNTIFS(G$2:G2,G2))</f>
        <v>1_1</v>
      </c>
      <c r="I2" s="54">
        <v>90</v>
      </c>
      <c r="J2" s="54">
        <v>118</v>
      </c>
      <c r="K2" s="54">
        <v>118</v>
      </c>
      <c r="L2" s="54" t="s">
        <v>21</v>
      </c>
      <c r="M2" s="54" t="s">
        <v>22</v>
      </c>
      <c r="N2" s="54">
        <v>25</v>
      </c>
      <c r="O2" s="54">
        <v>3</v>
      </c>
      <c r="Q2" s="59">
        <v>1</v>
      </c>
      <c r="R2" s="60">
        <v>1</v>
      </c>
      <c r="S2" s="59">
        <v>0</v>
      </c>
      <c r="T2" s="59" t="str">
        <f>INDEX($B:$B,MATCH(Q2&amp;"_"&amp;R2&amp;IF(S2,"-"&amp;S2,""),H:H,0))</f>
        <v>Bulbasaur</v>
      </c>
    </row>
    <row r="3" spans="1:20" x14ac:dyDescent="0.25">
      <c r="A3" s="54">
        <v>2</v>
      </c>
      <c r="B3" s="68" t="s">
        <v>20</v>
      </c>
      <c r="C3" s="69" t="s">
        <v>18</v>
      </c>
      <c r="D3" s="54" t="s">
        <v>23</v>
      </c>
      <c r="E3" s="54">
        <v>1</v>
      </c>
      <c r="F3" s="54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 s="54">
        <v>120</v>
      </c>
      <c r="J3" s="54">
        <v>151</v>
      </c>
      <c r="K3" s="54">
        <v>151</v>
      </c>
      <c r="L3" s="54" t="s">
        <v>21</v>
      </c>
      <c r="M3" s="54" t="s">
        <v>22</v>
      </c>
      <c r="N3" s="54">
        <v>100</v>
      </c>
      <c r="O3" s="54">
        <v>3</v>
      </c>
      <c r="Q3" s="59">
        <f>IF(COUNTIFS(Q$2:Q2,Q2)=COUNTIFS($E:$E,Q2),1,0)+Q2</f>
        <v>1</v>
      </c>
      <c r="R3" s="60">
        <f>IF(Q3=Q2,R2+IF(COUNTIFS($G:$G,Q2&amp;"_"&amp;R2)=1,1,0),1)</f>
        <v>2</v>
      </c>
      <c r="S3" s="59">
        <f>IF(Q3=Q2,IF(COUNTIFS($G:$G,Q2&amp;"_"&amp;(R2+1))=1,0,S2+1),0)</f>
        <v>0</v>
      </c>
      <c r="T3" s="59" t="str">
        <f t="shared" ref="T3:T66" si="1">INDEX($B:$B,MATCH(Q3&amp;"_"&amp;R3&amp;IF(S3,"-"&amp;S3,""),H:H,0))</f>
        <v>Ivysaur</v>
      </c>
    </row>
    <row r="4" spans="1:20" x14ac:dyDescent="0.25">
      <c r="A4" s="54">
        <v>3</v>
      </c>
      <c r="B4" s="68" t="s">
        <v>23</v>
      </c>
      <c r="C4" s="69" t="s">
        <v>20</v>
      </c>
      <c r="D4" s="54" t="s">
        <v>19</v>
      </c>
      <c r="E4" s="54">
        <v>1</v>
      </c>
      <c r="F4" s="54">
        <v>3</v>
      </c>
      <c r="G4" t="str">
        <f t="shared" si="0"/>
        <v>1_3</v>
      </c>
      <c r="H4" t="str">
        <f>IF(COUNTIFS($G:$G,G4)=1,G4,G4&amp;"-"&amp;COUNTIFS(G$2:G4,G4))</f>
        <v>1_3</v>
      </c>
      <c r="I4" s="54">
        <v>160</v>
      </c>
      <c r="J4" s="54">
        <v>198</v>
      </c>
      <c r="K4" s="54">
        <v>198</v>
      </c>
      <c r="L4" s="54" t="s">
        <v>21</v>
      </c>
      <c r="M4" s="54" t="s">
        <v>22</v>
      </c>
      <c r="N4" s="54">
        <v>0</v>
      </c>
      <c r="O4" s="54">
        <v>3</v>
      </c>
      <c r="Q4" s="59">
        <f>IF(COUNTIFS(Q$2:Q3,Q3)=COUNTIFS($E:$E,Q3),1,0)+Q3</f>
        <v>1</v>
      </c>
      <c r="R4" s="60">
        <f t="shared" ref="R4:R67" si="2">IF(Q4=Q3,R3+IF(COUNTIFS($G:$G,Q3&amp;"_"&amp;R3)=1,1,0),1)</f>
        <v>3</v>
      </c>
      <c r="S4" s="59">
        <f t="shared" ref="S4:S67" si="3">IF(Q4=Q3,IF(COUNTIFS($G:$G,Q3&amp;"_"&amp;(R3+1))=1,0,S3+1),0)</f>
        <v>0</v>
      </c>
      <c r="T4" s="59" t="str">
        <f t="shared" si="1"/>
        <v>Venusaur</v>
      </c>
    </row>
    <row r="5" spans="1:20" x14ac:dyDescent="0.25">
      <c r="A5" s="54">
        <v>4</v>
      </c>
      <c r="B5" s="68" t="s">
        <v>24</v>
      </c>
      <c r="C5" s="69" t="s">
        <v>19</v>
      </c>
      <c r="D5" s="54" t="s">
        <v>25</v>
      </c>
      <c r="E5" s="54">
        <v>2</v>
      </c>
      <c r="F5" s="54">
        <v>1</v>
      </c>
      <c r="G5" t="str">
        <f t="shared" si="0"/>
        <v>2_1</v>
      </c>
      <c r="H5" t="str">
        <f>IF(COUNTIFS($G:$G,G5)=1,G5,G5&amp;"-"&amp;COUNTIFS(G$2:G5,G5))</f>
        <v>2_1</v>
      </c>
      <c r="I5" s="54">
        <v>78</v>
      </c>
      <c r="J5" s="54">
        <v>116</v>
      </c>
      <c r="K5" s="54">
        <v>96</v>
      </c>
      <c r="L5" s="54" t="s">
        <v>26</v>
      </c>
      <c r="M5" s="54" t="s">
        <v>19</v>
      </c>
      <c r="N5" s="54">
        <v>25</v>
      </c>
      <c r="O5" s="54">
        <v>3</v>
      </c>
      <c r="Q5" s="59">
        <f>IF(COUNTIFS(Q$2:Q4,Q4)=COUNTIFS($E:$E,Q4),1,0)+Q4</f>
        <v>2</v>
      </c>
      <c r="R5" s="60">
        <f t="shared" si="2"/>
        <v>1</v>
      </c>
      <c r="S5" s="59">
        <f t="shared" si="3"/>
        <v>0</v>
      </c>
      <c r="T5" s="59" t="str">
        <f t="shared" si="1"/>
        <v>Charmander</v>
      </c>
    </row>
    <row r="6" spans="1:20" x14ac:dyDescent="0.25">
      <c r="A6" s="54">
        <v>5</v>
      </c>
      <c r="B6" s="68" t="s">
        <v>25</v>
      </c>
      <c r="C6" s="69" t="s">
        <v>24</v>
      </c>
      <c r="D6" s="54" t="s">
        <v>27</v>
      </c>
      <c r="E6" s="54">
        <v>2</v>
      </c>
      <c r="F6" s="54">
        <v>2</v>
      </c>
      <c r="G6" t="str">
        <f t="shared" si="0"/>
        <v>2_2</v>
      </c>
      <c r="H6" t="str">
        <f>IF(COUNTIFS($G:$G,G6)=1,G6,G6&amp;"-"&amp;COUNTIFS(G$2:G6,G6))</f>
        <v>2_2</v>
      </c>
      <c r="I6" s="54">
        <v>116</v>
      </c>
      <c r="J6" s="54">
        <v>158</v>
      </c>
      <c r="K6" s="54">
        <v>129</v>
      </c>
      <c r="L6" s="54" t="s">
        <v>26</v>
      </c>
      <c r="M6" s="54" t="s">
        <v>19</v>
      </c>
      <c r="N6" s="54">
        <v>100</v>
      </c>
      <c r="O6" s="54">
        <v>3</v>
      </c>
      <c r="Q6" s="59">
        <f>IF(COUNTIFS(Q$2:Q5,Q5)=COUNTIFS($E:$E,Q5),1,0)+Q5</f>
        <v>2</v>
      </c>
      <c r="R6" s="60">
        <f t="shared" si="2"/>
        <v>2</v>
      </c>
      <c r="S6" s="59">
        <f t="shared" si="3"/>
        <v>0</v>
      </c>
      <c r="T6" s="59" t="str">
        <f t="shared" si="1"/>
        <v>Charmeleon</v>
      </c>
    </row>
    <row r="7" spans="1:20" x14ac:dyDescent="0.25">
      <c r="A7" s="54">
        <v>6</v>
      </c>
      <c r="B7" s="68" t="s">
        <v>27</v>
      </c>
      <c r="C7" s="69" t="s">
        <v>25</v>
      </c>
      <c r="D7" s="54" t="s">
        <v>19</v>
      </c>
      <c r="E7" s="54">
        <v>2</v>
      </c>
      <c r="F7" s="54">
        <v>3</v>
      </c>
      <c r="G7" t="str">
        <f t="shared" si="0"/>
        <v>2_3</v>
      </c>
      <c r="H7" t="str">
        <f>IF(COUNTIFS($G:$G,G7)=1,G7,G7&amp;"-"&amp;COUNTIFS(G$2:G7,G7))</f>
        <v>2_3</v>
      </c>
      <c r="I7" s="54">
        <v>156</v>
      </c>
      <c r="J7" s="54">
        <v>223</v>
      </c>
      <c r="K7" s="54">
        <v>176</v>
      </c>
      <c r="L7" s="54" t="s">
        <v>26</v>
      </c>
      <c r="M7" s="54" t="s">
        <v>28</v>
      </c>
      <c r="N7" s="54">
        <v>0</v>
      </c>
      <c r="O7" s="54">
        <v>3</v>
      </c>
      <c r="Q7" s="59">
        <f>IF(COUNTIFS(Q$2:Q6,Q6)=COUNTIFS($E:$E,Q6),1,0)+Q6</f>
        <v>2</v>
      </c>
      <c r="R7" s="60">
        <f t="shared" si="2"/>
        <v>3</v>
      </c>
      <c r="S7" s="59">
        <f t="shared" si="3"/>
        <v>0</v>
      </c>
      <c r="T7" s="59" t="str">
        <f t="shared" si="1"/>
        <v>Charizard</v>
      </c>
    </row>
    <row r="8" spans="1:20" x14ac:dyDescent="0.25">
      <c r="A8" s="54">
        <v>7</v>
      </c>
      <c r="B8" s="68" t="s">
        <v>29</v>
      </c>
      <c r="C8" s="69" t="s">
        <v>19</v>
      </c>
      <c r="D8" s="54" t="s">
        <v>30</v>
      </c>
      <c r="E8" s="54">
        <v>3</v>
      </c>
      <c r="F8" s="54">
        <v>1</v>
      </c>
      <c r="G8" t="str">
        <f t="shared" si="0"/>
        <v>3_1</v>
      </c>
      <c r="H8" t="str">
        <f>IF(COUNTIFS($G:$G,G8)=1,G8,G8&amp;"-"&amp;COUNTIFS(G$2:G8,G8))</f>
        <v>3_1</v>
      </c>
      <c r="I8" s="54">
        <v>88</v>
      </c>
      <c r="J8" s="54">
        <v>94</v>
      </c>
      <c r="K8" s="54">
        <v>122</v>
      </c>
      <c r="L8" s="54" t="s">
        <v>31</v>
      </c>
      <c r="M8" s="54" t="s">
        <v>19</v>
      </c>
      <c r="N8" s="54">
        <v>25</v>
      </c>
      <c r="O8" s="54">
        <v>3</v>
      </c>
      <c r="Q8" s="59">
        <f>IF(COUNTIFS(Q$2:Q7,Q7)=COUNTIFS($E:$E,Q7),1,0)+Q7</f>
        <v>3</v>
      </c>
      <c r="R8" s="60">
        <f t="shared" si="2"/>
        <v>1</v>
      </c>
      <c r="S8" s="59">
        <f t="shared" si="3"/>
        <v>0</v>
      </c>
      <c r="T8" s="59" t="str">
        <f t="shared" si="1"/>
        <v>Squirtle</v>
      </c>
    </row>
    <row r="9" spans="1:20" x14ac:dyDescent="0.25">
      <c r="A9" s="54">
        <v>8</v>
      </c>
      <c r="B9" s="68" t="s">
        <v>30</v>
      </c>
      <c r="C9" s="69" t="s">
        <v>29</v>
      </c>
      <c r="D9" s="54" t="s">
        <v>32</v>
      </c>
      <c r="E9" s="54">
        <v>3</v>
      </c>
      <c r="F9" s="54">
        <v>2</v>
      </c>
      <c r="G9" t="str">
        <f t="shared" si="0"/>
        <v>3_2</v>
      </c>
      <c r="H9" t="str">
        <f>IF(COUNTIFS($G:$G,G9)=1,G9,G9&amp;"-"&amp;COUNTIFS(G$2:G9,G9))</f>
        <v>3_2</v>
      </c>
      <c r="I9" s="54">
        <v>118</v>
      </c>
      <c r="J9" s="54">
        <v>126</v>
      </c>
      <c r="K9" s="54">
        <v>155</v>
      </c>
      <c r="L9" s="54" t="s">
        <v>31</v>
      </c>
      <c r="M9" s="54" t="s">
        <v>19</v>
      </c>
      <c r="N9" s="54">
        <v>100</v>
      </c>
      <c r="O9" s="54">
        <v>3</v>
      </c>
      <c r="Q9" s="59">
        <f>IF(COUNTIFS(Q$2:Q8,Q8)=COUNTIFS($E:$E,Q8),1,0)+Q8</f>
        <v>3</v>
      </c>
      <c r="R9" s="60">
        <f t="shared" si="2"/>
        <v>2</v>
      </c>
      <c r="S9" s="59">
        <f t="shared" si="3"/>
        <v>0</v>
      </c>
      <c r="T9" s="59" t="str">
        <f t="shared" si="1"/>
        <v>Wartortle</v>
      </c>
    </row>
    <row r="10" spans="1:20" x14ac:dyDescent="0.25">
      <c r="A10" s="54">
        <v>9</v>
      </c>
      <c r="B10" s="68" t="s">
        <v>32</v>
      </c>
      <c r="C10" s="69" t="s">
        <v>30</v>
      </c>
      <c r="D10" s="54" t="s">
        <v>19</v>
      </c>
      <c r="E10" s="54">
        <v>3</v>
      </c>
      <c r="F10" s="54">
        <v>3</v>
      </c>
      <c r="G10" t="str">
        <f t="shared" si="0"/>
        <v>3_3</v>
      </c>
      <c r="H10" t="str">
        <f>IF(COUNTIFS($G:$G,G10)=1,G10,G10&amp;"-"&amp;COUNTIFS(G$2:G10,G10))</f>
        <v>3_3</v>
      </c>
      <c r="I10" s="54">
        <v>158</v>
      </c>
      <c r="J10" s="54">
        <v>171</v>
      </c>
      <c r="K10" s="54">
        <v>210</v>
      </c>
      <c r="L10" s="54" t="s">
        <v>31</v>
      </c>
      <c r="M10" s="54" t="s">
        <v>19</v>
      </c>
      <c r="N10" s="54">
        <v>0</v>
      </c>
      <c r="O10" s="54">
        <v>3</v>
      </c>
      <c r="Q10" s="59">
        <f>IF(COUNTIFS(Q$2:Q9,Q9)=COUNTIFS($E:$E,Q9),1,0)+Q9</f>
        <v>3</v>
      </c>
      <c r="R10" s="60">
        <f t="shared" si="2"/>
        <v>3</v>
      </c>
      <c r="S10" s="59">
        <f t="shared" si="3"/>
        <v>0</v>
      </c>
      <c r="T10" s="59" t="str">
        <f t="shared" si="1"/>
        <v>Blastoise</v>
      </c>
    </row>
    <row r="11" spans="1:20" x14ac:dyDescent="0.25">
      <c r="A11" s="54">
        <v>10</v>
      </c>
      <c r="B11" s="68" t="s">
        <v>33</v>
      </c>
      <c r="C11" s="69" t="s">
        <v>19</v>
      </c>
      <c r="D11" s="54" t="s">
        <v>34</v>
      </c>
      <c r="E11" s="54">
        <v>4</v>
      </c>
      <c r="F11" s="54">
        <v>1</v>
      </c>
      <c r="G11" t="str">
        <f t="shared" si="0"/>
        <v>4_1</v>
      </c>
      <c r="H11" t="str">
        <f>IF(COUNTIFS($G:$G,G11)=1,G11,G11&amp;"-"&amp;COUNTIFS(G$2:G11,G11))</f>
        <v>4_1</v>
      </c>
      <c r="I11" s="54">
        <v>90</v>
      </c>
      <c r="J11" s="54">
        <v>55</v>
      </c>
      <c r="K11" s="54">
        <v>62</v>
      </c>
      <c r="L11" s="54" t="s">
        <v>35</v>
      </c>
      <c r="M11" s="54" t="s">
        <v>19</v>
      </c>
      <c r="N11" s="54">
        <v>12</v>
      </c>
      <c r="O11" s="54">
        <v>1</v>
      </c>
      <c r="Q11" s="59">
        <f>IF(COUNTIFS(Q$2:Q10,Q10)=COUNTIFS($E:$E,Q10),1,0)+Q10</f>
        <v>4</v>
      </c>
      <c r="R11" s="60">
        <f t="shared" si="2"/>
        <v>1</v>
      </c>
      <c r="S11" s="59">
        <f t="shared" si="3"/>
        <v>0</v>
      </c>
      <c r="T11" s="59" t="str">
        <f t="shared" si="1"/>
        <v>Caterpie</v>
      </c>
    </row>
    <row r="12" spans="1:20" x14ac:dyDescent="0.25">
      <c r="A12" s="54">
        <v>11</v>
      </c>
      <c r="B12" s="68" t="s">
        <v>34</v>
      </c>
      <c r="C12" s="69" t="s">
        <v>33</v>
      </c>
      <c r="D12" s="54" t="s">
        <v>36</v>
      </c>
      <c r="E12" s="54">
        <v>4</v>
      </c>
      <c r="F12" s="54">
        <v>2</v>
      </c>
      <c r="G12" t="str">
        <f t="shared" si="0"/>
        <v>4_2</v>
      </c>
      <c r="H12" t="str">
        <f>IF(COUNTIFS($G:$G,G12)=1,G12,G12&amp;"-"&amp;COUNTIFS(G$2:G12,G12))</f>
        <v>4_2</v>
      </c>
      <c r="I12" s="54">
        <v>100</v>
      </c>
      <c r="J12" s="54">
        <v>45</v>
      </c>
      <c r="K12" s="54">
        <v>94</v>
      </c>
      <c r="L12" s="54" t="s">
        <v>35</v>
      </c>
      <c r="M12" s="54" t="s">
        <v>19</v>
      </c>
      <c r="N12" s="54">
        <v>50</v>
      </c>
      <c r="O12" s="54">
        <v>1</v>
      </c>
      <c r="Q12" s="59">
        <f>IF(COUNTIFS(Q$2:Q11,Q11)=COUNTIFS($E:$E,Q11),1,0)+Q11</f>
        <v>4</v>
      </c>
      <c r="R12" s="60">
        <f t="shared" si="2"/>
        <v>2</v>
      </c>
      <c r="S12" s="59">
        <f t="shared" si="3"/>
        <v>0</v>
      </c>
      <c r="T12" s="59" t="str">
        <f t="shared" si="1"/>
        <v>Metapod</v>
      </c>
    </row>
    <row r="13" spans="1:20" x14ac:dyDescent="0.25">
      <c r="A13" s="54">
        <v>12</v>
      </c>
      <c r="B13" s="68" t="s">
        <v>36</v>
      </c>
      <c r="C13" s="69" t="s">
        <v>34</v>
      </c>
      <c r="D13" s="54" t="s">
        <v>19</v>
      </c>
      <c r="E13" s="54">
        <v>4</v>
      </c>
      <c r="F13" s="54">
        <v>3</v>
      </c>
      <c r="G13" t="str">
        <f t="shared" si="0"/>
        <v>4_3</v>
      </c>
      <c r="H13" t="str">
        <f>IF(COUNTIFS($G:$G,G13)=1,G13,G13&amp;"-"&amp;COUNTIFS(G$2:G13,G13))</f>
        <v>4_3</v>
      </c>
      <c r="I13" s="54">
        <v>120</v>
      </c>
      <c r="J13" s="54">
        <v>167</v>
      </c>
      <c r="K13" s="54">
        <v>151</v>
      </c>
      <c r="L13" s="54" t="s">
        <v>35</v>
      </c>
      <c r="M13" s="54" t="s">
        <v>28</v>
      </c>
      <c r="N13" s="54">
        <v>0</v>
      </c>
      <c r="O13" s="54">
        <v>1</v>
      </c>
      <c r="Q13" s="59">
        <f>IF(COUNTIFS(Q$2:Q12,Q12)=COUNTIFS($E:$E,Q12),1,0)+Q12</f>
        <v>4</v>
      </c>
      <c r="R13" s="60">
        <f t="shared" si="2"/>
        <v>3</v>
      </c>
      <c r="S13" s="59">
        <f t="shared" si="3"/>
        <v>0</v>
      </c>
      <c r="T13" s="59" t="str">
        <f t="shared" si="1"/>
        <v>Butterfree</v>
      </c>
    </row>
    <row r="14" spans="1:20" x14ac:dyDescent="0.25">
      <c r="A14" s="54">
        <v>13</v>
      </c>
      <c r="B14" s="68" t="s">
        <v>37</v>
      </c>
      <c r="C14" s="69" t="s">
        <v>19</v>
      </c>
      <c r="D14" s="54" t="s">
        <v>38</v>
      </c>
      <c r="E14" s="54">
        <v>5</v>
      </c>
      <c r="F14" s="54">
        <v>1</v>
      </c>
      <c r="G14" t="str">
        <f t="shared" si="0"/>
        <v>5_1</v>
      </c>
      <c r="H14" t="str">
        <f>IF(COUNTIFS($G:$G,G14)=1,G14,G14&amp;"-"&amp;COUNTIFS(G$2:G14,G14))</f>
        <v>5_1</v>
      </c>
      <c r="I14" s="54">
        <v>80</v>
      </c>
      <c r="J14" s="54">
        <v>63</v>
      </c>
      <c r="K14" s="54">
        <v>55</v>
      </c>
      <c r="L14" s="54" t="s">
        <v>35</v>
      </c>
      <c r="M14" s="54" t="s">
        <v>22</v>
      </c>
      <c r="N14" s="54">
        <v>12</v>
      </c>
      <c r="O14" s="54">
        <v>1</v>
      </c>
      <c r="Q14" s="59">
        <f>IF(COUNTIFS(Q$2:Q13,Q13)=COUNTIFS($E:$E,Q13),1,0)+Q13</f>
        <v>5</v>
      </c>
      <c r="R14" s="60">
        <f t="shared" si="2"/>
        <v>1</v>
      </c>
      <c r="S14" s="59">
        <f t="shared" si="3"/>
        <v>0</v>
      </c>
      <c r="T14" s="59" t="str">
        <f t="shared" si="1"/>
        <v>Weedle</v>
      </c>
    </row>
    <row r="15" spans="1:20" x14ac:dyDescent="0.25">
      <c r="A15" s="54">
        <v>14</v>
      </c>
      <c r="B15" s="68" t="s">
        <v>38</v>
      </c>
      <c r="C15" s="69" t="s">
        <v>37</v>
      </c>
      <c r="D15" s="54" t="s">
        <v>39</v>
      </c>
      <c r="E15" s="54">
        <v>5</v>
      </c>
      <c r="F15" s="54">
        <v>2</v>
      </c>
      <c r="G15" t="str">
        <f t="shared" si="0"/>
        <v>5_2</v>
      </c>
      <c r="H15" t="str">
        <f>IF(COUNTIFS($G:$G,G15)=1,G15,G15&amp;"-"&amp;COUNTIFS(G$2:G15,G15))</f>
        <v>5_2</v>
      </c>
      <c r="I15" s="54">
        <v>90</v>
      </c>
      <c r="J15" s="54">
        <v>46</v>
      </c>
      <c r="K15" s="54">
        <v>86</v>
      </c>
      <c r="L15" s="54" t="s">
        <v>35</v>
      </c>
      <c r="M15" s="54" t="s">
        <v>22</v>
      </c>
      <c r="N15" s="54">
        <v>50</v>
      </c>
      <c r="O15" s="54">
        <v>1</v>
      </c>
      <c r="Q15" s="59">
        <f>IF(COUNTIFS(Q$2:Q14,Q14)=COUNTIFS($E:$E,Q14),1,0)+Q14</f>
        <v>5</v>
      </c>
      <c r="R15" s="60">
        <f t="shared" si="2"/>
        <v>2</v>
      </c>
      <c r="S15" s="59">
        <f t="shared" si="3"/>
        <v>0</v>
      </c>
      <c r="T15" s="59" t="str">
        <f t="shared" si="1"/>
        <v>Kakuna</v>
      </c>
    </row>
    <row r="16" spans="1:20" x14ac:dyDescent="0.25">
      <c r="A16" s="54">
        <v>15</v>
      </c>
      <c r="B16" s="68" t="s">
        <v>39</v>
      </c>
      <c r="C16" s="69" t="s">
        <v>38</v>
      </c>
      <c r="D16" s="54" t="s">
        <v>19</v>
      </c>
      <c r="E16" s="54">
        <v>5</v>
      </c>
      <c r="F16" s="54">
        <v>3</v>
      </c>
      <c r="G16" t="str">
        <f t="shared" si="0"/>
        <v>5_3</v>
      </c>
      <c r="H16" t="str">
        <f>IF(COUNTIFS($G:$G,G16)=1,G16,G16&amp;"-"&amp;COUNTIFS(G$2:G16,G16))</f>
        <v>5_3</v>
      </c>
      <c r="I16" s="54">
        <v>130</v>
      </c>
      <c r="J16" s="54">
        <v>169</v>
      </c>
      <c r="K16" s="54">
        <v>150</v>
      </c>
      <c r="L16" s="54" t="s">
        <v>35</v>
      </c>
      <c r="M16" s="54" t="s">
        <v>22</v>
      </c>
      <c r="N16" s="54">
        <v>0</v>
      </c>
      <c r="O16" s="54">
        <v>1</v>
      </c>
      <c r="Q16" s="59">
        <f>IF(COUNTIFS(Q$2:Q15,Q15)=COUNTIFS($E:$E,Q15),1,0)+Q15</f>
        <v>5</v>
      </c>
      <c r="R16" s="60">
        <f t="shared" si="2"/>
        <v>3</v>
      </c>
      <c r="S16" s="59">
        <f t="shared" si="3"/>
        <v>0</v>
      </c>
      <c r="T16" s="59" t="str">
        <f t="shared" si="1"/>
        <v>Beedrill</v>
      </c>
    </row>
    <row r="17" spans="1:20" x14ac:dyDescent="0.25">
      <c r="A17" s="54">
        <v>16</v>
      </c>
      <c r="B17" s="68" t="s">
        <v>40</v>
      </c>
      <c r="C17" s="69" t="s">
        <v>19</v>
      </c>
      <c r="D17" s="54" t="s">
        <v>41</v>
      </c>
      <c r="E17" s="54">
        <v>6</v>
      </c>
      <c r="F17" s="54">
        <v>1</v>
      </c>
      <c r="G17" t="str">
        <f t="shared" si="0"/>
        <v>6_1</v>
      </c>
      <c r="H17" t="str">
        <f>IF(COUNTIFS($G:$G,G17)=1,G17,G17&amp;"-"&amp;COUNTIFS(G$2:G17,G17))</f>
        <v>6_1</v>
      </c>
      <c r="I17" s="54">
        <v>80</v>
      </c>
      <c r="J17" s="54">
        <v>85</v>
      </c>
      <c r="K17" s="54">
        <v>76</v>
      </c>
      <c r="L17" s="54" t="s">
        <v>42</v>
      </c>
      <c r="M17" s="54" t="s">
        <v>28</v>
      </c>
      <c r="N17" s="54">
        <v>12</v>
      </c>
      <c r="O17" s="54">
        <v>1</v>
      </c>
      <c r="Q17" s="59">
        <f>IF(COUNTIFS(Q$2:Q16,Q16)=COUNTIFS($E:$E,Q16),1,0)+Q16</f>
        <v>6</v>
      </c>
      <c r="R17" s="60">
        <f t="shared" si="2"/>
        <v>1</v>
      </c>
      <c r="S17" s="59">
        <f t="shared" si="3"/>
        <v>0</v>
      </c>
      <c r="T17" s="59" t="str">
        <f t="shared" si="1"/>
        <v>Pidgey</v>
      </c>
    </row>
    <row r="18" spans="1:20" x14ac:dyDescent="0.25">
      <c r="A18" s="54">
        <v>17</v>
      </c>
      <c r="B18" s="68" t="s">
        <v>41</v>
      </c>
      <c r="C18" s="69" t="s">
        <v>40</v>
      </c>
      <c r="D18" s="54" t="s">
        <v>43</v>
      </c>
      <c r="E18" s="54">
        <v>6</v>
      </c>
      <c r="F18" s="54">
        <v>2</v>
      </c>
      <c r="G18" t="str">
        <f t="shared" si="0"/>
        <v>6_2</v>
      </c>
      <c r="H18" t="str">
        <f>IF(COUNTIFS($G:$G,G18)=1,G18,G18&amp;"-"&amp;COUNTIFS(G$2:G18,G18))</f>
        <v>6_2</v>
      </c>
      <c r="I18" s="54">
        <v>126</v>
      </c>
      <c r="J18" s="54">
        <v>117</v>
      </c>
      <c r="K18" s="54">
        <v>108</v>
      </c>
      <c r="L18" s="54" t="s">
        <v>42</v>
      </c>
      <c r="M18" s="54" t="s">
        <v>28</v>
      </c>
      <c r="N18" s="54">
        <v>50</v>
      </c>
      <c r="O18" s="54">
        <v>1</v>
      </c>
      <c r="Q18" s="59">
        <f>IF(COUNTIFS(Q$2:Q17,Q17)=COUNTIFS($E:$E,Q17),1,0)+Q17</f>
        <v>6</v>
      </c>
      <c r="R18" s="60">
        <f t="shared" si="2"/>
        <v>2</v>
      </c>
      <c r="S18" s="59">
        <f t="shared" si="3"/>
        <v>0</v>
      </c>
      <c r="T18" s="59" t="str">
        <f t="shared" si="1"/>
        <v>Pidgeotto</v>
      </c>
    </row>
    <row r="19" spans="1:20" x14ac:dyDescent="0.25">
      <c r="A19" s="54">
        <v>18</v>
      </c>
      <c r="B19" s="68" t="s">
        <v>43</v>
      </c>
      <c r="C19" s="69" t="s">
        <v>41</v>
      </c>
      <c r="D19" s="54" t="s">
        <v>19</v>
      </c>
      <c r="E19" s="54">
        <v>6</v>
      </c>
      <c r="F19" s="54">
        <v>3</v>
      </c>
      <c r="G19" t="str">
        <f t="shared" si="0"/>
        <v>6_3</v>
      </c>
      <c r="H19" t="str">
        <f>IF(COUNTIFS($G:$G,G19)=1,G19,G19&amp;"-"&amp;COUNTIFS(G$2:G19,G19))</f>
        <v>6_3</v>
      </c>
      <c r="I19" s="54">
        <v>166</v>
      </c>
      <c r="J19" s="54">
        <v>166</v>
      </c>
      <c r="K19" s="54">
        <v>157</v>
      </c>
      <c r="L19" s="54" t="s">
        <v>42</v>
      </c>
      <c r="M19" s="54" t="s">
        <v>28</v>
      </c>
      <c r="N19" s="54">
        <v>0</v>
      </c>
      <c r="O19" s="54">
        <v>1</v>
      </c>
      <c r="Q19" s="59">
        <f>IF(COUNTIFS(Q$2:Q18,Q18)=COUNTIFS($E:$E,Q18),1,0)+Q18</f>
        <v>6</v>
      </c>
      <c r="R19" s="60">
        <f t="shared" si="2"/>
        <v>3</v>
      </c>
      <c r="S19" s="59">
        <f t="shared" si="3"/>
        <v>0</v>
      </c>
      <c r="T19" s="59" t="str">
        <f t="shared" si="1"/>
        <v>Pidgeot</v>
      </c>
    </row>
    <row r="20" spans="1:20" x14ac:dyDescent="0.25">
      <c r="A20" s="54">
        <v>19</v>
      </c>
      <c r="B20" s="68" t="s">
        <v>44</v>
      </c>
      <c r="C20" s="69" t="s">
        <v>19</v>
      </c>
      <c r="D20" s="54" t="s">
        <v>45</v>
      </c>
      <c r="E20" s="54">
        <v>7</v>
      </c>
      <c r="F20" s="54">
        <v>1</v>
      </c>
      <c r="G20" t="str">
        <f t="shared" si="0"/>
        <v>7_1</v>
      </c>
      <c r="H20" t="str">
        <f>IF(COUNTIFS($G:$G,G20)=1,G20,G20&amp;"-"&amp;COUNTIFS(G$2:G20,G20))</f>
        <v>7_1</v>
      </c>
      <c r="I20" s="54">
        <v>60</v>
      </c>
      <c r="J20" s="54">
        <v>103</v>
      </c>
      <c r="K20" s="54">
        <v>70</v>
      </c>
      <c r="L20" s="54" t="s">
        <v>42</v>
      </c>
      <c r="M20" s="54" t="s">
        <v>19</v>
      </c>
      <c r="N20" s="54">
        <v>25</v>
      </c>
      <c r="O20" s="54">
        <v>1</v>
      </c>
      <c r="Q20" s="59">
        <f>IF(COUNTIFS(Q$2:Q19,Q19)=COUNTIFS($E:$E,Q19),1,0)+Q19</f>
        <v>7</v>
      </c>
      <c r="R20" s="60">
        <f t="shared" si="2"/>
        <v>1</v>
      </c>
      <c r="S20" s="59">
        <f t="shared" si="3"/>
        <v>0</v>
      </c>
      <c r="T20" s="59" t="str">
        <f t="shared" si="1"/>
        <v>Rattata</v>
      </c>
    </row>
    <row r="21" spans="1:20" x14ac:dyDescent="0.25">
      <c r="A21" s="54">
        <v>20</v>
      </c>
      <c r="B21" s="68" t="s">
        <v>45</v>
      </c>
      <c r="C21" s="69" t="s">
        <v>44</v>
      </c>
      <c r="D21" s="54" t="s">
        <v>19</v>
      </c>
      <c r="E21" s="54">
        <v>7</v>
      </c>
      <c r="F21" s="54">
        <v>2</v>
      </c>
      <c r="G21" t="str">
        <f t="shared" si="0"/>
        <v>7_2</v>
      </c>
      <c r="H21" t="str">
        <f>IF(COUNTIFS($G:$G,G21)=1,G21,G21&amp;"-"&amp;COUNTIFS(G$2:G21,G21))</f>
        <v>7_2</v>
      </c>
      <c r="I21" s="54">
        <v>110</v>
      </c>
      <c r="J21" s="54">
        <v>161</v>
      </c>
      <c r="K21" s="54">
        <v>144</v>
      </c>
      <c r="L21" s="54" t="s">
        <v>42</v>
      </c>
      <c r="M21" s="54" t="s">
        <v>19</v>
      </c>
      <c r="N21" s="54">
        <v>0</v>
      </c>
      <c r="O21" s="54">
        <v>1</v>
      </c>
      <c r="Q21" s="59">
        <f>IF(COUNTIFS(Q$2:Q20,Q20)=COUNTIFS($E:$E,Q20),1,0)+Q20</f>
        <v>7</v>
      </c>
      <c r="R21" s="60">
        <f t="shared" si="2"/>
        <v>2</v>
      </c>
      <c r="S21" s="59">
        <f t="shared" si="3"/>
        <v>0</v>
      </c>
      <c r="T21" s="59" t="str">
        <f t="shared" si="1"/>
        <v>Raticate</v>
      </c>
    </row>
    <row r="22" spans="1:20" x14ac:dyDescent="0.25">
      <c r="A22" s="54">
        <v>21</v>
      </c>
      <c r="B22" s="68" t="s">
        <v>46</v>
      </c>
      <c r="C22" s="69" t="s">
        <v>19</v>
      </c>
      <c r="D22" s="54" t="s">
        <v>47</v>
      </c>
      <c r="E22" s="54">
        <v>8</v>
      </c>
      <c r="F22" s="54">
        <v>1</v>
      </c>
      <c r="G22" t="str">
        <f t="shared" si="0"/>
        <v>8_1</v>
      </c>
      <c r="H22" t="str">
        <f>IF(COUNTIFS($G:$G,G22)=1,G22,G22&amp;"-"&amp;COUNTIFS(G$2:G22,G22))</f>
        <v>8_1</v>
      </c>
      <c r="I22" s="54">
        <v>80</v>
      </c>
      <c r="J22" s="54">
        <v>112</v>
      </c>
      <c r="K22" s="54">
        <v>61</v>
      </c>
      <c r="L22" s="54" t="s">
        <v>42</v>
      </c>
      <c r="M22" s="54" t="s">
        <v>28</v>
      </c>
      <c r="N22" s="54">
        <v>50</v>
      </c>
      <c r="O22" s="54">
        <v>1</v>
      </c>
      <c r="Q22" s="59">
        <f>IF(COUNTIFS(Q$2:Q21,Q21)=COUNTIFS($E:$E,Q21),1,0)+Q21</f>
        <v>8</v>
      </c>
      <c r="R22" s="60">
        <f t="shared" si="2"/>
        <v>1</v>
      </c>
      <c r="S22" s="59">
        <f t="shared" si="3"/>
        <v>0</v>
      </c>
      <c r="T22" s="59" t="str">
        <f t="shared" si="1"/>
        <v>Spearow</v>
      </c>
    </row>
    <row r="23" spans="1:20" x14ac:dyDescent="0.25">
      <c r="A23" s="54">
        <v>22</v>
      </c>
      <c r="B23" s="68" t="s">
        <v>47</v>
      </c>
      <c r="C23" s="69" t="s">
        <v>46</v>
      </c>
      <c r="D23" s="54" t="s">
        <v>19</v>
      </c>
      <c r="E23" s="54">
        <v>8</v>
      </c>
      <c r="F23" s="54">
        <v>2</v>
      </c>
      <c r="G23" t="str">
        <f t="shared" si="0"/>
        <v>8_2</v>
      </c>
      <c r="H23" t="str">
        <f>IF(COUNTIFS($G:$G,G23)=1,G23,G23&amp;"-"&amp;COUNTIFS(G$2:G23,G23))</f>
        <v>8_2</v>
      </c>
      <c r="I23" s="54">
        <v>130</v>
      </c>
      <c r="J23" s="54">
        <v>182</v>
      </c>
      <c r="K23" s="54">
        <v>135</v>
      </c>
      <c r="L23" s="54" t="s">
        <v>42</v>
      </c>
      <c r="M23" s="54" t="s">
        <v>28</v>
      </c>
      <c r="N23" s="54">
        <v>0</v>
      </c>
      <c r="O23" s="54">
        <v>1</v>
      </c>
      <c r="Q23" s="59">
        <f>IF(COUNTIFS(Q$2:Q22,Q22)=COUNTIFS($E:$E,Q22),1,0)+Q22</f>
        <v>8</v>
      </c>
      <c r="R23" s="60">
        <f t="shared" si="2"/>
        <v>2</v>
      </c>
      <c r="S23" s="59">
        <f t="shared" si="3"/>
        <v>0</v>
      </c>
      <c r="T23" s="59" t="str">
        <f t="shared" si="1"/>
        <v>Fearow</v>
      </c>
    </row>
    <row r="24" spans="1:20" x14ac:dyDescent="0.25">
      <c r="A24" s="54">
        <v>23</v>
      </c>
      <c r="B24" s="68" t="s">
        <v>48</v>
      </c>
      <c r="C24" s="69" t="s">
        <v>19</v>
      </c>
      <c r="D24" s="54" t="s">
        <v>49</v>
      </c>
      <c r="E24" s="54">
        <v>9</v>
      </c>
      <c r="F24" s="54">
        <v>1</v>
      </c>
      <c r="G24" t="str">
        <f t="shared" si="0"/>
        <v>9_1</v>
      </c>
      <c r="H24" t="str">
        <f>IF(COUNTIFS($G:$G,G24)=1,G24,G24&amp;"-"&amp;COUNTIFS(G$2:G24,G24))</f>
        <v>9_1</v>
      </c>
      <c r="I24" s="54">
        <v>70</v>
      </c>
      <c r="J24" s="54">
        <v>110</v>
      </c>
      <c r="K24" s="54">
        <v>102</v>
      </c>
      <c r="L24" s="54" t="s">
        <v>22</v>
      </c>
      <c r="M24" s="54" t="s">
        <v>19</v>
      </c>
      <c r="N24" s="54">
        <v>50</v>
      </c>
      <c r="O24" s="54">
        <v>3</v>
      </c>
      <c r="Q24" s="59">
        <f>IF(COUNTIFS(Q$2:Q23,Q23)=COUNTIFS($E:$E,Q23),1,0)+Q23</f>
        <v>9</v>
      </c>
      <c r="R24" s="60">
        <f t="shared" si="2"/>
        <v>1</v>
      </c>
      <c r="S24" s="59">
        <f t="shared" si="3"/>
        <v>0</v>
      </c>
      <c r="T24" s="59" t="str">
        <f t="shared" si="1"/>
        <v>Ekans</v>
      </c>
    </row>
    <row r="25" spans="1:20" x14ac:dyDescent="0.25">
      <c r="A25" s="54">
        <v>24</v>
      </c>
      <c r="B25" s="68" t="s">
        <v>49</v>
      </c>
      <c r="C25" s="69" t="s">
        <v>48</v>
      </c>
      <c r="D25" s="54" t="s">
        <v>19</v>
      </c>
      <c r="E25" s="54">
        <v>9</v>
      </c>
      <c r="F25" s="54">
        <v>2</v>
      </c>
      <c r="G25" t="str">
        <f t="shared" si="0"/>
        <v>9_2</v>
      </c>
      <c r="H25" t="str">
        <f>IF(COUNTIFS($G:$G,G25)=1,G25,G25&amp;"-"&amp;COUNTIFS(G$2:G25,G25))</f>
        <v>9_2</v>
      </c>
      <c r="I25" s="54">
        <v>120</v>
      </c>
      <c r="J25" s="54">
        <v>167</v>
      </c>
      <c r="K25" s="54">
        <v>158</v>
      </c>
      <c r="L25" s="54" t="s">
        <v>22</v>
      </c>
      <c r="M25" s="54" t="s">
        <v>19</v>
      </c>
      <c r="N25" s="54">
        <v>0</v>
      </c>
      <c r="O25" s="54">
        <v>3</v>
      </c>
      <c r="Q25" s="59">
        <f>IF(COUNTIFS(Q$2:Q24,Q24)=COUNTIFS($E:$E,Q24),1,0)+Q24</f>
        <v>9</v>
      </c>
      <c r="R25" s="60">
        <f t="shared" si="2"/>
        <v>2</v>
      </c>
      <c r="S25" s="59">
        <f t="shared" si="3"/>
        <v>0</v>
      </c>
      <c r="T25" s="59" t="str">
        <f t="shared" si="1"/>
        <v>Arbok</v>
      </c>
    </row>
    <row r="26" spans="1:20" x14ac:dyDescent="0.25">
      <c r="A26" s="54">
        <v>25</v>
      </c>
      <c r="B26" s="68" t="s">
        <v>50</v>
      </c>
      <c r="C26" s="69" t="s">
        <v>51</v>
      </c>
      <c r="D26" s="54" t="s">
        <v>52</v>
      </c>
      <c r="E26" s="54">
        <v>10</v>
      </c>
      <c r="F26" s="54">
        <v>2</v>
      </c>
      <c r="G26" t="str">
        <f t="shared" si="0"/>
        <v>10_2</v>
      </c>
      <c r="H26" t="str">
        <f>IF(COUNTIFS($G:$G,G26)=1,G26,G26&amp;"-"&amp;COUNTIFS(G$2:G26,G26))</f>
        <v>10_2</v>
      </c>
      <c r="I26" s="54">
        <v>70</v>
      </c>
      <c r="J26" s="54">
        <v>112</v>
      </c>
      <c r="K26" s="54">
        <v>101</v>
      </c>
      <c r="L26" s="54" t="s">
        <v>53</v>
      </c>
      <c r="M26" s="54" t="s">
        <v>19</v>
      </c>
      <c r="N26" s="54">
        <v>50</v>
      </c>
      <c r="O26" s="54">
        <v>1</v>
      </c>
      <c r="Q26" s="59">
        <f>IF(COUNTIFS(Q$2:Q25,Q25)=COUNTIFS($E:$E,Q25),1,0)+Q25</f>
        <v>10</v>
      </c>
      <c r="R26" s="60">
        <f t="shared" si="2"/>
        <v>1</v>
      </c>
      <c r="S26" s="59">
        <f t="shared" si="3"/>
        <v>0</v>
      </c>
      <c r="T26" s="59" t="str">
        <f t="shared" si="1"/>
        <v>Pichu</v>
      </c>
    </row>
    <row r="27" spans="1:20" x14ac:dyDescent="0.25">
      <c r="A27" s="54">
        <v>26</v>
      </c>
      <c r="B27" s="68" t="s">
        <v>52</v>
      </c>
      <c r="C27" s="69" t="s">
        <v>50</v>
      </c>
      <c r="D27" s="54" t="s">
        <v>19</v>
      </c>
      <c r="E27" s="54">
        <v>10</v>
      </c>
      <c r="F27" s="54">
        <v>3</v>
      </c>
      <c r="G27" t="str">
        <f t="shared" si="0"/>
        <v>10_3</v>
      </c>
      <c r="H27" t="str">
        <f>IF(COUNTIFS($G:$G,G27)=1,G27,G27&amp;"-"&amp;COUNTIFS(G$2:G27,G27))</f>
        <v>10_3</v>
      </c>
      <c r="I27" s="54">
        <v>120</v>
      </c>
      <c r="J27" s="54">
        <v>193</v>
      </c>
      <c r="K27" s="54">
        <v>165</v>
      </c>
      <c r="L27" s="54" t="s">
        <v>53</v>
      </c>
      <c r="M27" s="54" t="s">
        <v>19</v>
      </c>
      <c r="N27" s="54">
        <v>0</v>
      </c>
      <c r="O27" s="54">
        <v>1</v>
      </c>
      <c r="Q27" s="59">
        <f>IF(COUNTIFS(Q$2:Q26,Q26)=COUNTIFS($E:$E,Q26),1,0)+Q26</f>
        <v>10</v>
      </c>
      <c r="R27" s="60">
        <f t="shared" si="2"/>
        <v>2</v>
      </c>
      <c r="S27" s="59">
        <f t="shared" si="3"/>
        <v>0</v>
      </c>
      <c r="T27" s="59" t="str">
        <f t="shared" si="1"/>
        <v>Pikachu</v>
      </c>
    </row>
    <row r="28" spans="1:20" x14ac:dyDescent="0.25">
      <c r="A28" s="54">
        <v>27</v>
      </c>
      <c r="B28" s="68" t="s">
        <v>54</v>
      </c>
      <c r="C28" s="69" t="s">
        <v>19</v>
      </c>
      <c r="D28" s="54" t="s">
        <v>55</v>
      </c>
      <c r="E28" s="54">
        <v>11</v>
      </c>
      <c r="F28" s="54">
        <v>1</v>
      </c>
      <c r="G28" t="str">
        <f t="shared" si="0"/>
        <v>11_1</v>
      </c>
      <c r="H28" t="str">
        <f>IF(COUNTIFS($G:$G,G28)=1,G28,G28&amp;"-"&amp;COUNTIFS(G$2:G28,G28))</f>
        <v>11_1</v>
      </c>
      <c r="I28" s="54">
        <v>100</v>
      </c>
      <c r="J28" s="54">
        <v>126</v>
      </c>
      <c r="K28" s="54">
        <v>145</v>
      </c>
      <c r="L28" s="54" t="s">
        <v>56</v>
      </c>
      <c r="M28" s="54" t="s">
        <v>19</v>
      </c>
      <c r="N28" s="54">
        <v>50</v>
      </c>
      <c r="O28" s="54">
        <v>3</v>
      </c>
      <c r="Q28" s="59">
        <f>IF(COUNTIFS(Q$2:Q27,Q27)=COUNTIFS($E:$E,Q27),1,0)+Q27</f>
        <v>10</v>
      </c>
      <c r="R28" s="60">
        <f t="shared" si="2"/>
        <v>3</v>
      </c>
      <c r="S28" s="59">
        <f t="shared" si="3"/>
        <v>0</v>
      </c>
      <c r="T28" s="59" t="str">
        <f t="shared" si="1"/>
        <v>Raichu</v>
      </c>
    </row>
    <row r="29" spans="1:20" x14ac:dyDescent="0.25">
      <c r="A29" s="54">
        <v>28</v>
      </c>
      <c r="B29" s="68" t="s">
        <v>55</v>
      </c>
      <c r="C29" s="69" t="s">
        <v>54</v>
      </c>
      <c r="D29" s="54" t="s">
        <v>19</v>
      </c>
      <c r="E29" s="54">
        <v>11</v>
      </c>
      <c r="F29" s="54">
        <v>2</v>
      </c>
      <c r="G29" t="str">
        <f t="shared" si="0"/>
        <v>11_2</v>
      </c>
      <c r="H29" t="str">
        <f>IF(COUNTIFS($G:$G,G29)=1,G29,G29&amp;"-"&amp;COUNTIFS(G$2:G29,G29))</f>
        <v>11_2</v>
      </c>
      <c r="I29" s="54">
        <v>150</v>
      </c>
      <c r="J29" s="54">
        <v>182</v>
      </c>
      <c r="K29" s="54">
        <v>202</v>
      </c>
      <c r="L29" s="54" t="s">
        <v>56</v>
      </c>
      <c r="M29" s="54" t="s">
        <v>19</v>
      </c>
      <c r="N29" s="54">
        <v>0</v>
      </c>
      <c r="O29" s="54">
        <v>3</v>
      </c>
      <c r="Q29" s="59">
        <f>IF(COUNTIFS(Q$2:Q28,Q28)=COUNTIFS($E:$E,Q28),1,0)+Q28</f>
        <v>11</v>
      </c>
      <c r="R29" s="60">
        <f t="shared" si="2"/>
        <v>1</v>
      </c>
      <c r="S29" s="59">
        <f t="shared" si="3"/>
        <v>0</v>
      </c>
      <c r="T29" s="59" t="str">
        <f t="shared" si="1"/>
        <v>Sandshrew</v>
      </c>
    </row>
    <row r="30" spans="1:20" x14ac:dyDescent="0.25">
      <c r="A30" s="54">
        <v>29</v>
      </c>
      <c r="B30" s="68" t="s">
        <v>57</v>
      </c>
      <c r="C30" s="69" t="s">
        <v>19</v>
      </c>
      <c r="D30" s="54" t="s">
        <v>58</v>
      </c>
      <c r="E30" s="54">
        <v>12</v>
      </c>
      <c r="F30" s="54">
        <v>1</v>
      </c>
      <c r="G30" t="str">
        <f t="shared" si="0"/>
        <v>12_1</v>
      </c>
      <c r="H30" t="str">
        <f>IF(COUNTIFS($G:$G,G30)=1,G30,G30&amp;"-"&amp;COUNTIFS(G$2:G30,G30))</f>
        <v>12_1</v>
      </c>
      <c r="I30" s="54">
        <v>110</v>
      </c>
      <c r="J30" s="54">
        <v>86</v>
      </c>
      <c r="K30" s="54">
        <v>94</v>
      </c>
      <c r="L30" s="54" t="s">
        <v>22</v>
      </c>
      <c r="M30" s="54" t="s">
        <v>19</v>
      </c>
      <c r="N30" s="54">
        <v>25</v>
      </c>
      <c r="O30" s="54">
        <v>3</v>
      </c>
      <c r="Q30" s="59">
        <f>IF(COUNTIFS(Q$2:Q29,Q29)=COUNTIFS($E:$E,Q29),1,0)+Q29</f>
        <v>11</v>
      </c>
      <c r="R30" s="60">
        <f t="shared" si="2"/>
        <v>2</v>
      </c>
      <c r="S30" s="59">
        <f t="shared" si="3"/>
        <v>0</v>
      </c>
      <c r="T30" s="59" t="str">
        <f t="shared" si="1"/>
        <v>Sandslash</v>
      </c>
    </row>
    <row r="31" spans="1:20" x14ac:dyDescent="0.25">
      <c r="A31" s="54">
        <v>30</v>
      </c>
      <c r="B31" s="68" t="s">
        <v>58</v>
      </c>
      <c r="C31" s="69" t="s">
        <v>57</v>
      </c>
      <c r="D31" s="54" t="s">
        <v>59</v>
      </c>
      <c r="E31" s="54">
        <v>12</v>
      </c>
      <c r="F31" s="54">
        <v>2</v>
      </c>
      <c r="G31" t="str">
        <f t="shared" si="0"/>
        <v>12_2</v>
      </c>
      <c r="H31" t="str">
        <f>IF(COUNTIFS($G:$G,G31)=1,G31,G31&amp;"-"&amp;COUNTIFS(G$2:G31,G31))</f>
        <v>12_2</v>
      </c>
      <c r="I31" s="54">
        <v>140</v>
      </c>
      <c r="J31" s="54">
        <v>117</v>
      </c>
      <c r="K31" s="54">
        <v>126</v>
      </c>
      <c r="L31" s="54" t="s">
        <v>22</v>
      </c>
      <c r="M31" s="54" t="s">
        <v>19</v>
      </c>
      <c r="N31" s="54">
        <v>100</v>
      </c>
      <c r="O31" s="54">
        <v>3</v>
      </c>
      <c r="Q31" s="59">
        <f>IF(COUNTIFS(Q$2:Q30,Q30)=COUNTIFS($E:$E,Q30),1,0)+Q30</f>
        <v>12</v>
      </c>
      <c r="R31" s="60">
        <f t="shared" si="2"/>
        <v>1</v>
      </c>
      <c r="S31" s="59">
        <f t="shared" si="3"/>
        <v>0</v>
      </c>
      <c r="T31" s="59" t="str">
        <f t="shared" si="1"/>
        <v>Nidoran F</v>
      </c>
    </row>
    <row r="32" spans="1:20" x14ac:dyDescent="0.25">
      <c r="A32" s="54">
        <v>31</v>
      </c>
      <c r="B32" s="68" t="s">
        <v>59</v>
      </c>
      <c r="C32" s="69" t="s">
        <v>58</v>
      </c>
      <c r="D32" s="54" t="s">
        <v>19</v>
      </c>
      <c r="E32" s="54">
        <v>12</v>
      </c>
      <c r="F32" s="54">
        <v>3</v>
      </c>
      <c r="G32" t="str">
        <f t="shared" si="0"/>
        <v>12_3</v>
      </c>
      <c r="H32" t="str">
        <f>IF(COUNTIFS($G:$G,G32)=1,G32,G32&amp;"-"&amp;COUNTIFS(G$2:G32,G32))</f>
        <v>12_3</v>
      </c>
      <c r="I32" s="54">
        <v>180</v>
      </c>
      <c r="J32" s="54">
        <v>180</v>
      </c>
      <c r="K32" s="54">
        <v>174</v>
      </c>
      <c r="L32" s="54" t="s">
        <v>22</v>
      </c>
      <c r="M32" s="54" t="s">
        <v>56</v>
      </c>
      <c r="N32" s="54">
        <v>0</v>
      </c>
      <c r="O32" s="54">
        <v>3</v>
      </c>
      <c r="Q32" s="59">
        <f>IF(COUNTIFS(Q$2:Q31,Q31)=COUNTIFS($E:$E,Q31),1,0)+Q31</f>
        <v>12</v>
      </c>
      <c r="R32" s="60">
        <f t="shared" si="2"/>
        <v>2</v>
      </c>
      <c r="S32" s="59">
        <f t="shared" si="3"/>
        <v>0</v>
      </c>
      <c r="T32" s="59" t="str">
        <f t="shared" si="1"/>
        <v>Nidorina</v>
      </c>
    </row>
    <row r="33" spans="1:20" x14ac:dyDescent="0.25">
      <c r="A33" s="54">
        <v>32</v>
      </c>
      <c r="B33" s="68" t="s">
        <v>60</v>
      </c>
      <c r="C33" s="69" t="s">
        <v>19</v>
      </c>
      <c r="D33" s="54" t="s">
        <v>61</v>
      </c>
      <c r="E33" s="54">
        <v>13</v>
      </c>
      <c r="F33" s="54">
        <v>1</v>
      </c>
      <c r="G33" t="str">
        <f t="shared" si="0"/>
        <v>13_1</v>
      </c>
      <c r="H33" t="str">
        <f>IF(COUNTIFS($G:$G,G33)=1,G33,G33&amp;"-"&amp;COUNTIFS(G$2:G33,G33))</f>
        <v>13_1</v>
      </c>
      <c r="I33" s="54">
        <v>92</v>
      </c>
      <c r="J33" s="54">
        <v>105</v>
      </c>
      <c r="K33" s="54">
        <v>76</v>
      </c>
      <c r="L33" s="54" t="s">
        <v>22</v>
      </c>
      <c r="M33" s="54" t="s">
        <v>19</v>
      </c>
      <c r="N33" s="54">
        <v>25</v>
      </c>
      <c r="O33" s="54">
        <v>3</v>
      </c>
      <c r="Q33" s="59">
        <f>IF(COUNTIFS(Q$2:Q32,Q32)=COUNTIFS($E:$E,Q32),1,0)+Q32</f>
        <v>12</v>
      </c>
      <c r="R33" s="60">
        <f t="shared" si="2"/>
        <v>3</v>
      </c>
      <c r="S33" s="59">
        <f t="shared" si="3"/>
        <v>0</v>
      </c>
      <c r="T33" s="59" t="str">
        <f t="shared" si="1"/>
        <v>Nidoqueen</v>
      </c>
    </row>
    <row r="34" spans="1:20" x14ac:dyDescent="0.25">
      <c r="A34" s="54">
        <v>33</v>
      </c>
      <c r="B34" s="68" t="s">
        <v>61</v>
      </c>
      <c r="C34" s="69" t="s">
        <v>60</v>
      </c>
      <c r="D34" s="54" t="s">
        <v>62</v>
      </c>
      <c r="E34" s="54">
        <v>13</v>
      </c>
      <c r="F34" s="54">
        <v>2</v>
      </c>
      <c r="G34" t="str">
        <f t="shared" si="0"/>
        <v>13_2</v>
      </c>
      <c r="H34" t="str">
        <f>IF(COUNTIFS($G:$G,G34)=1,G34,G34&amp;"-"&amp;COUNTIFS(G$2:G34,G34))</f>
        <v>13_2</v>
      </c>
      <c r="I34" s="54">
        <v>122</v>
      </c>
      <c r="J34" s="54">
        <v>137</v>
      </c>
      <c r="K34" s="54">
        <v>112</v>
      </c>
      <c r="L34" s="54" t="s">
        <v>22</v>
      </c>
      <c r="M34" s="54" t="s">
        <v>19</v>
      </c>
      <c r="N34" s="54">
        <v>100</v>
      </c>
      <c r="O34" s="54">
        <v>3</v>
      </c>
      <c r="Q34" s="59">
        <f>IF(COUNTIFS(Q$2:Q33,Q33)=COUNTIFS($E:$E,Q33),1,0)+Q33</f>
        <v>13</v>
      </c>
      <c r="R34" s="60">
        <f t="shared" si="2"/>
        <v>1</v>
      </c>
      <c r="S34" s="59">
        <f t="shared" si="3"/>
        <v>0</v>
      </c>
      <c r="T34" s="59" t="str">
        <f t="shared" si="1"/>
        <v>Nidoran M</v>
      </c>
    </row>
    <row r="35" spans="1:20" x14ac:dyDescent="0.25">
      <c r="A35" s="54">
        <v>34</v>
      </c>
      <c r="B35" s="68" t="s">
        <v>62</v>
      </c>
      <c r="C35" s="69" t="s">
        <v>61</v>
      </c>
      <c r="D35" s="54" t="s">
        <v>19</v>
      </c>
      <c r="E35" s="54">
        <v>13</v>
      </c>
      <c r="F35" s="54">
        <v>3</v>
      </c>
      <c r="G35" t="str">
        <f t="shared" si="0"/>
        <v>13_3</v>
      </c>
      <c r="H35" t="str">
        <f>IF(COUNTIFS($G:$G,G35)=1,G35,G35&amp;"-"&amp;COUNTIFS(G$2:G35,G35))</f>
        <v>13_3</v>
      </c>
      <c r="I35" s="54">
        <v>162</v>
      </c>
      <c r="J35" s="54">
        <v>204</v>
      </c>
      <c r="K35" s="54">
        <v>157</v>
      </c>
      <c r="L35" s="54" t="s">
        <v>22</v>
      </c>
      <c r="M35" s="54" t="s">
        <v>56</v>
      </c>
      <c r="N35" s="54">
        <v>0</v>
      </c>
      <c r="O35" s="54">
        <v>3</v>
      </c>
      <c r="Q35" s="59">
        <f>IF(COUNTIFS(Q$2:Q34,Q34)=COUNTIFS($E:$E,Q34),1,0)+Q34</f>
        <v>13</v>
      </c>
      <c r="R35" s="60">
        <f t="shared" si="2"/>
        <v>2</v>
      </c>
      <c r="S35" s="59">
        <f t="shared" si="3"/>
        <v>0</v>
      </c>
      <c r="T35" s="59" t="str">
        <f t="shared" si="1"/>
        <v>Nidorino</v>
      </c>
    </row>
    <row r="36" spans="1:20" x14ac:dyDescent="0.25">
      <c r="A36" s="54">
        <v>35</v>
      </c>
      <c r="B36" s="68" t="s">
        <v>63</v>
      </c>
      <c r="C36" s="69" t="s">
        <v>64</v>
      </c>
      <c r="D36" s="54" t="s">
        <v>65</v>
      </c>
      <c r="E36" s="54">
        <v>14</v>
      </c>
      <c r="F36" s="54">
        <v>2</v>
      </c>
      <c r="G36" t="str">
        <f t="shared" si="0"/>
        <v>14_2</v>
      </c>
      <c r="H36" t="str">
        <f>IF(COUNTIFS($G:$G,G36)=1,G36,G36&amp;"-"&amp;COUNTIFS(G$2:G36,G36))</f>
        <v>14_2</v>
      </c>
      <c r="I36" s="54">
        <v>140</v>
      </c>
      <c r="J36" s="54">
        <v>107</v>
      </c>
      <c r="K36" s="54">
        <v>116</v>
      </c>
      <c r="L36" s="54" t="s">
        <v>66</v>
      </c>
      <c r="M36" s="54" t="s">
        <v>19</v>
      </c>
      <c r="N36" s="54">
        <v>50</v>
      </c>
      <c r="O36" s="54">
        <v>1</v>
      </c>
      <c r="Q36" s="59">
        <f>IF(COUNTIFS(Q$2:Q35,Q35)=COUNTIFS($E:$E,Q35),1,0)+Q35</f>
        <v>13</v>
      </c>
      <c r="R36" s="60">
        <f t="shared" si="2"/>
        <v>3</v>
      </c>
      <c r="S36" s="59">
        <f t="shared" si="3"/>
        <v>0</v>
      </c>
      <c r="T36" s="59" t="str">
        <f t="shared" si="1"/>
        <v>Nidoking</v>
      </c>
    </row>
    <row r="37" spans="1:20" x14ac:dyDescent="0.25">
      <c r="A37" s="54">
        <v>36</v>
      </c>
      <c r="B37" s="68" t="s">
        <v>65</v>
      </c>
      <c r="C37" s="69" t="s">
        <v>63</v>
      </c>
      <c r="D37" s="54" t="s">
        <v>19</v>
      </c>
      <c r="E37" s="54">
        <v>14</v>
      </c>
      <c r="F37" s="54">
        <v>3</v>
      </c>
      <c r="G37" t="str">
        <f t="shared" si="0"/>
        <v>14_3</v>
      </c>
      <c r="H37" t="str">
        <f>IF(COUNTIFS($G:$G,G37)=1,G37,G37&amp;"-"&amp;COUNTIFS(G$2:G37,G37))</f>
        <v>14_3</v>
      </c>
      <c r="I37" s="54">
        <v>190</v>
      </c>
      <c r="J37" s="54">
        <v>178</v>
      </c>
      <c r="K37" s="54">
        <v>171</v>
      </c>
      <c r="L37" s="54" t="s">
        <v>66</v>
      </c>
      <c r="M37" s="54" t="s">
        <v>19</v>
      </c>
      <c r="N37" s="54">
        <v>0</v>
      </c>
      <c r="O37" s="54">
        <v>1</v>
      </c>
      <c r="Q37" s="59">
        <f>IF(COUNTIFS(Q$2:Q36,Q36)=COUNTIFS($E:$E,Q36),1,0)+Q36</f>
        <v>14</v>
      </c>
      <c r="R37" s="60">
        <f t="shared" si="2"/>
        <v>1</v>
      </c>
      <c r="S37" s="59">
        <f t="shared" si="3"/>
        <v>0</v>
      </c>
      <c r="T37" s="59" t="str">
        <f t="shared" si="1"/>
        <v>Cleffa</v>
      </c>
    </row>
    <row r="38" spans="1:20" x14ac:dyDescent="0.25">
      <c r="A38" s="54">
        <v>37</v>
      </c>
      <c r="B38" s="68" t="s">
        <v>67</v>
      </c>
      <c r="C38" s="69" t="s">
        <v>19</v>
      </c>
      <c r="D38" s="54" t="s">
        <v>68</v>
      </c>
      <c r="E38" s="54">
        <v>15</v>
      </c>
      <c r="F38" s="54">
        <v>1</v>
      </c>
      <c r="G38" t="str">
        <f t="shared" si="0"/>
        <v>15_1</v>
      </c>
      <c r="H38" t="str">
        <f>IF(COUNTIFS($G:$G,G38)=1,G38,G38&amp;"-"&amp;COUNTIFS(G$2:G38,G38))</f>
        <v>15_1</v>
      </c>
      <c r="I38" s="54">
        <v>76</v>
      </c>
      <c r="J38" s="54">
        <v>96</v>
      </c>
      <c r="K38" s="54">
        <v>122</v>
      </c>
      <c r="L38" s="54" t="s">
        <v>26</v>
      </c>
      <c r="M38" s="54" t="s">
        <v>19</v>
      </c>
      <c r="N38" s="54">
        <v>50</v>
      </c>
      <c r="O38" s="54">
        <v>3</v>
      </c>
      <c r="Q38" s="59">
        <f>IF(COUNTIFS(Q$2:Q37,Q37)=COUNTIFS($E:$E,Q37),1,0)+Q37</f>
        <v>14</v>
      </c>
      <c r="R38" s="60">
        <f t="shared" si="2"/>
        <v>2</v>
      </c>
      <c r="S38" s="59">
        <f t="shared" si="3"/>
        <v>0</v>
      </c>
      <c r="T38" s="59" t="str">
        <f t="shared" si="1"/>
        <v>Clefairy</v>
      </c>
    </row>
    <row r="39" spans="1:20" x14ac:dyDescent="0.25">
      <c r="A39" s="54">
        <v>38</v>
      </c>
      <c r="B39" s="68" t="s">
        <v>68</v>
      </c>
      <c r="C39" s="69" t="s">
        <v>67</v>
      </c>
      <c r="D39" s="54" t="s">
        <v>19</v>
      </c>
      <c r="E39" s="54">
        <v>15</v>
      </c>
      <c r="F39" s="54">
        <v>2</v>
      </c>
      <c r="G39" t="str">
        <f t="shared" si="0"/>
        <v>15_2</v>
      </c>
      <c r="H39" t="str">
        <f>IF(COUNTIFS($G:$G,G39)=1,G39,G39&amp;"-"&amp;COUNTIFS(G$2:G39,G39))</f>
        <v>15_2</v>
      </c>
      <c r="I39" s="54">
        <v>146</v>
      </c>
      <c r="J39" s="54">
        <v>169</v>
      </c>
      <c r="K39" s="54">
        <v>204</v>
      </c>
      <c r="L39" s="54" t="s">
        <v>26</v>
      </c>
      <c r="M39" s="54" t="s">
        <v>19</v>
      </c>
      <c r="N39" s="54">
        <v>0</v>
      </c>
      <c r="O39" s="54">
        <v>3</v>
      </c>
      <c r="Q39" s="59">
        <f>IF(COUNTIFS(Q$2:Q38,Q38)=COUNTIFS($E:$E,Q38),1,0)+Q38</f>
        <v>14</v>
      </c>
      <c r="R39" s="60">
        <f t="shared" si="2"/>
        <v>3</v>
      </c>
      <c r="S39" s="59">
        <f t="shared" si="3"/>
        <v>0</v>
      </c>
      <c r="T39" s="59" t="str">
        <f t="shared" si="1"/>
        <v>Clefable</v>
      </c>
    </row>
    <row r="40" spans="1:20" x14ac:dyDescent="0.25">
      <c r="A40" s="54">
        <v>39</v>
      </c>
      <c r="B40" s="68" t="s">
        <v>69</v>
      </c>
      <c r="C40" s="69" t="s">
        <v>70</v>
      </c>
      <c r="D40" s="54" t="s">
        <v>71</v>
      </c>
      <c r="E40" s="54">
        <v>16</v>
      </c>
      <c r="F40" s="54">
        <v>2</v>
      </c>
      <c r="G40" t="str">
        <f t="shared" si="0"/>
        <v>16_2</v>
      </c>
      <c r="H40" t="str">
        <f>IF(COUNTIFS($G:$G,G40)=1,G40,G40&amp;"-"&amp;COUNTIFS(G$2:G40,G40))</f>
        <v>16_2</v>
      </c>
      <c r="I40" s="54">
        <v>230</v>
      </c>
      <c r="J40" s="54">
        <v>80</v>
      </c>
      <c r="K40" s="54">
        <v>44</v>
      </c>
      <c r="L40" s="54" t="s">
        <v>42</v>
      </c>
      <c r="M40" s="54" t="s">
        <v>66</v>
      </c>
      <c r="N40" s="54">
        <v>50</v>
      </c>
      <c r="O40" s="54">
        <v>1</v>
      </c>
      <c r="Q40" s="59">
        <f>IF(COUNTIFS(Q$2:Q39,Q39)=COUNTIFS($E:$E,Q39),1,0)+Q39</f>
        <v>15</v>
      </c>
      <c r="R40" s="60">
        <f t="shared" si="2"/>
        <v>1</v>
      </c>
      <c r="S40" s="59">
        <f t="shared" si="3"/>
        <v>0</v>
      </c>
      <c r="T40" s="59" t="str">
        <f t="shared" si="1"/>
        <v>Vulpix</v>
      </c>
    </row>
    <row r="41" spans="1:20" x14ac:dyDescent="0.25">
      <c r="A41" s="54">
        <v>40</v>
      </c>
      <c r="B41" s="68" t="s">
        <v>71</v>
      </c>
      <c r="C41" s="69" t="s">
        <v>69</v>
      </c>
      <c r="D41" s="54" t="s">
        <v>19</v>
      </c>
      <c r="E41" s="54">
        <v>16</v>
      </c>
      <c r="F41" s="54">
        <v>3</v>
      </c>
      <c r="G41" t="str">
        <f t="shared" si="0"/>
        <v>16_3</v>
      </c>
      <c r="H41" t="str">
        <f>IF(COUNTIFS($G:$G,G41)=1,G41,G41&amp;"-"&amp;COUNTIFS(G$2:G41,G41))</f>
        <v>16_3</v>
      </c>
      <c r="I41" s="54">
        <v>280</v>
      </c>
      <c r="J41" s="54">
        <v>156</v>
      </c>
      <c r="K41" s="54">
        <v>93</v>
      </c>
      <c r="L41" s="54" t="s">
        <v>42</v>
      </c>
      <c r="M41" s="54" t="s">
        <v>66</v>
      </c>
      <c r="N41" s="54">
        <v>0</v>
      </c>
      <c r="O41" s="54">
        <v>1</v>
      </c>
      <c r="Q41" s="59">
        <f>IF(COUNTIFS(Q$2:Q40,Q40)=COUNTIFS($E:$E,Q40),1,0)+Q40</f>
        <v>15</v>
      </c>
      <c r="R41" s="60">
        <f t="shared" si="2"/>
        <v>2</v>
      </c>
      <c r="S41" s="59">
        <f t="shared" si="3"/>
        <v>0</v>
      </c>
      <c r="T41" s="59" t="str">
        <f t="shared" si="1"/>
        <v>Ninetales</v>
      </c>
    </row>
    <row r="42" spans="1:20" x14ac:dyDescent="0.25">
      <c r="A42" s="54">
        <v>41</v>
      </c>
      <c r="B42" s="68" t="s">
        <v>72</v>
      </c>
      <c r="C42" s="69" t="s">
        <v>19</v>
      </c>
      <c r="D42" s="54" t="s">
        <v>73</v>
      </c>
      <c r="E42" s="54">
        <v>17</v>
      </c>
      <c r="F42" s="54">
        <v>1</v>
      </c>
      <c r="G42" t="str">
        <f t="shared" si="0"/>
        <v>17_1</v>
      </c>
      <c r="H42" t="str">
        <f>IF(COUNTIFS($G:$G,G42)=1,G42,G42&amp;"-"&amp;COUNTIFS(G$2:G42,G42))</f>
        <v>17_1</v>
      </c>
      <c r="I42" s="54">
        <v>80</v>
      </c>
      <c r="J42" s="54">
        <v>83</v>
      </c>
      <c r="K42" s="54">
        <v>76</v>
      </c>
      <c r="L42" s="54" t="s">
        <v>22</v>
      </c>
      <c r="M42" s="54" t="s">
        <v>28</v>
      </c>
      <c r="N42" s="54">
        <v>25</v>
      </c>
      <c r="O42" s="54">
        <v>1</v>
      </c>
      <c r="Q42" s="59">
        <f>IF(COUNTIFS(Q$2:Q41,Q41)=COUNTIFS($E:$E,Q41),1,0)+Q41</f>
        <v>16</v>
      </c>
      <c r="R42" s="60">
        <f t="shared" si="2"/>
        <v>1</v>
      </c>
      <c r="S42" s="59">
        <f t="shared" si="3"/>
        <v>0</v>
      </c>
      <c r="T42" s="59" t="str">
        <f t="shared" si="1"/>
        <v>Igglybuff</v>
      </c>
    </row>
    <row r="43" spans="1:20" x14ac:dyDescent="0.25">
      <c r="A43" s="54">
        <v>42</v>
      </c>
      <c r="B43" s="68" t="s">
        <v>73</v>
      </c>
      <c r="C43" s="69" t="s">
        <v>72</v>
      </c>
      <c r="D43" s="54" t="s">
        <v>74</v>
      </c>
      <c r="E43" s="54">
        <v>17</v>
      </c>
      <c r="F43" s="54">
        <v>2</v>
      </c>
      <c r="G43" t="str">
        <f t="shared" si="0"/>
        <v>17_2</v>
      </c>
      <c r="H43" t="str">
        <f>IF(COUNTIFS($G:$G,G43)=1,G43,G43&amp;"-"&amp;COUNTIFS(G$2:G43,G43))</f>
        <v>17_2</v>
      </c>
      <c r="I43" s="54">
        <v>150</v>
      </c>
      <c r="J43" s="54">
        <v>161</v>
      </c>
      <c r="K43" s="54">
        <v>153</v>
      </c>
      <c r="L43" s="54" t="s">
        <v>22</v>
      </c>
      <c r="M43" s="54" t="s">
        <v>28</v>
      </c>
      <c r="N43" s="54">
        <v>100</v>
      </c>
      <c r="O43" s="54">
        <v>1</v>
      </c>
      <c r="Q43" s="59">
        <f>IF(COUNTIFS(Q$2:Q42,Q42)=COUNTIFS($E:$E,Q42),1,0)+Q42</f>
        <v>16</v>
      </c>
      <c r="R43" s="60">
        <f t="shared" si="2"/>
        <v>2</v>
      </c>
      <c r="S43" s="59">
        <f t="shared" si="3"/>
        <v>0</v>
      </c>
      <c r="T43" s="59" t="str">
        <f t="shared" si="1"/>
        <v>Jigglypuff</v>
      </c>
    </row>
    <row r="44" spans="1:20" x14ac:dyDescent="0.25">
      <c r="A44" s="54">
        <v>43</v>
      </c>
      <c r="B44" s="68" t="s">
        <v>75</v>
      </c>
      <c r="C44" s="69" t="s">
        <v>19</v>
      </c>
      <c r="D44" s="54" t="s">
        <v>76</v>
      </c>
      <c r="E44" s="54">
        <v>18</v>
      </c>
      <c r="F44" s="54">
        <v>1</v>
      </c>
      <c r="G44" t="str">
        <f t="shared" si="0"/>
        <v>18_1</v>
      </c>
      <c r="H44" t="str">
        <f>IF(COUNTIFS($G:$G,G44)=1,G44,G44&amp;"-"&amp;COUNTIFS(G$2:G44,G44))</f>
        <v>18_1</v>
      </c>
      <c r="I44" s="54">
        <v>90</v>
      </c>
      <c r="J44" s="54">
        <v>131</v>
      </c>
      <c r="K44" s="54">
        <v>116</v>
      </c>
      <c r="L44" s="54" t="s">
        <v>21</v>
      </c>
      <c r="M44" s="54" t="s">
        <v>22</v>
      </c>
      <c r="N44" s="54">
        <v>25</v>
      </c>
      <c r="O44" s="54">
        <v>3</v>
      </c>
      <c r="Q44" s="59">
        <f>IF(COUNTIFS(Q$2:Q43,Q43)=COUNTIFS($E:$E,Q43),1,0)+Q43</f>
        <v>16</v>
      </c>
      <c r="R44" s="60">
        <f t="shared" si="2"/>
        <v>3</v>
      </c>
      <c r="S44" s="59">
        <f t="shared" si="3"/>
        <v>0</v>
      </c>
      <c r="T44" s="59" t="str">
        <f t="shared" si="1"/>
        <v>Wigglytuff</v>
      </c>
    </row>
    <row r="45" spans="1:20" x14ac:dyDescent="0.25">
      <c r="A45" s="54">
        <v>44</v>
      </c>
      <c r="B45" s="68" t="s">
        <v>76</v>
      </c>
      <c r="C45" s="69" t="s">
        <v>75</v>
      </c>
      <c r="D45" s="54" t="s">
        <v>77</v>
      </c>
      <c r="E45" s="54">
        <v>18</v>
      </c>
      <c r="F45" s="54">
        <v>2</v>
      </c>
      <c r="G45" t="str">
        <f t="shared" si="0"/>
        <v>18_2</v>
      </c>
      <c r="H45" t="str">
        <f>IF(COUNTIFS($G:$G,G45)=1,G45,G45&amp;"-"&amp;COUNTIFS(G$2:G45,G45))</f>
        <v>18_2</v>
      </c>
      <c r="I45" s="54">
        <v>120</v>
      </c>
      <c r="J45" s="54">
        <v>153</v>
      </c>
      <c r="K45" s="54">
        <v>139</v>
      </c>
      <c r="L45" s="54" t="s">
        <v>21</v>
      </c>
      <c r="M45" s="54" t="s">
        <v>22</v>
      </c>
      <c r="N45" s="54">
        <v>100</v>
      </c>
      <c r="O45" s="54">
        <v>3</v>
      </c>
      <c r="Q45" s="59">
        <f>IF(COUNTIFS(Q$2:Q44,Q44)=COUNTIFS($E:$E,Q44),1,0)+Q44</f>
        <v>17</v>
      </c>
      <c r="R45" s="60">
        <f t="shared" si="2"/>
        <v>1</v>
      </c>
      <c r="S45" s="59">
        <f t="shared" si="3"/>
        <v>0</v>
      </c>
      <c r="T45" s="59" t="str">
        <f t="shared" si="1"/>
        <v>Zubat</v>
      </c>
    </row>
    <row r="46" spans="1:20" x14ac:dyDescent="0.25">
      <c r="A46" s="54">
        <v>45</v>
      </c>
      <c r="B46" s="68" t="s">
        <v>77</v>
      </c>
      <c r="C46" s="69" t="s">
        <v>76</v>
      </c>
      <c r="D46" s="54" t="s">
        <v>19</v>
      </c>
      <c r="E46" s="54">
        <v>18</v>
      </c>
      <c r="F46" s="54">
        <v>3</v>
      </c>
      <c r="G46" t="str">
        <f t="shared" si="0"/>
        <v>18_3</v>
      </c>
      <c r="H46" t="str">
        <f>IF(COUNTIFS($G:$G,G46)=1,G46,G46&amp;"-"&amp;COUNTIFS(G$2:G46,G46))</f>
        <v>18_3-1</v>
      </c>
      <c r="I46" s="54">
        <v>150</v>
      </c>
      <c r="J46" s="54">
        <v>202</v>
      </c>
      <c r="K46" s="54">
        <v>170</v>
      </c>
      <c r="L46" s="54" t="s">
        <v>21</v>
      </c>
      <c r="M46" s="54" t="s">
        <v>22</v>
      </c>
      <c r="N46" s="54">
        <v>0</v>
      </c>
      <c r="O46" s="54">
        <v>3</v>
      </c>
      <c r="Q46" s="59">
        <f>IF(COUNTIFS(Q$2:Q45,Q45)=COUNTIFS($E:$E,Q45),1,0)+Q45</f>
        <v>17</v>
      </c>
      <c r="R46" s="60">
        <f t="shared" si="2"/>
        <v>2</v>
      </c>
      <c r="S46" s="59">
        <f t="shared" si="3"/>
        <v>0</v>
      </c>
      <c r="T46" s="59" t="str">
        <f t="shared" si="1"/>
        <v>Golbat</v>
      </c>
    </row>
    <row r="47" spans="1:20" x14ac:dyDescent="0.25">
      <c r="A47" s="54">
        <v>46</v>
      </c>
      <c r="B47" s="68" t="s">
        <v>78</v>
      </c>
      <c r="C47" s="69" t="s">
        <v>19</v>
      </c>
      <c r="D47" s="54" t="s">
        <v>79</v>
      </c>
      <c r="E47" s="54">
        <v>19</v>
      </c>
      <c r="F47" s="54">
        <v>1</v>
      </c>
      <c r="G47" t="str">
        <f t="shared" si="0"/>
        <v>19_1</v>
      </c>
      <c r="H47" t="str">
        <f>IF(COUNTIFS($G:$G,G47)=1,G47,G47&amp;"-"&amp;COUNTIFS(G$2:G47,G47))</f>
        <v>19_1</v>
      </c>
      <c r="I47" s="54">
        <v>70</v>
      </c>
      <c r="J47" s="54">
        <v>121</v>
      </c>
      <c r="K47" s="54">
        <v>99</v>
      </c>
      <c r="L47" s="54" t="s">
        <v>35</v>
      </c>
      <c r="M47" s="54" t="s">
        <v>21</v>
      </c>
      <c r="N47" s="54">
        <v>50</v>
      </c>
      <c r="O47" s="54">
        <v>3</v>
      </c>
      <c r="Q47" s="59">
        <f>IF(COUNTIFS(Q$2:Q46,Q46)=COUNTIFS($E:$E,Q46),1,0)+Q46</f>
        <v>17</v>
      </c>
      <c r="R47" s="60">
        <f t="shared" si="2"/>
        <v>3</v>
      </c>
      <c r="S47" s="59">
        <f t="shared" si="3"/>
        <v>0</v>
      </c>
      <c r="T47" s="59" t="str">
        <f t="shared" si="1"/>
        <v>Crobat</v>
      </c>
    </row>
    <row r="48" spans="1:20" x14ac:dyDescent="0.25">
      <c r="A48" s="54">
        <v>47</v>
      </c>
      <c r="B48" s="68" t="s">
        <v>79</v>
      </c>
      <c r="C48" s="69" t="s">
        <v>78</v>
      </c>
      <c r="D48" s="54" t="s">
        <v>19</v>
      </c>
      <c r="E48" s="54">
        <v>19</v>
      </c>
      <c r="F48" s="54">
        <v>2</v>
      </c>
      <c r="G48" t="str">
        <f t="shared" si="0"/>
        <v>19_2</v>
      </c>
      <c r="H48" t="str">
        <f>IF(COUNTIFS($G:$G,G48)=1,G48,G48&amp;"-"&amp;COUNTIFS(G$2:G48,G48))</f>
        <v>19_2</v>
      </c>
      <c r="I48" s="54">
        <v>120</v>
      </c>
      <c r="J48" s="54">
        <v>165</v>
      </c>
      <c r="K48" s="54">
        <v>146</v>
      </c>
      <c r="L48" s="54" t="s">
        <v>35</v>
      </c>
      <c r="M48" s="54" t="s">
        <v>21</v>
      </c>
      <c r="N48" s="54">
        <v>0</v>
      </c>
      <c r="O48" s="54">
        <v>3</v>
      </c>
      <c r="Q48" s="59">
        <f>IF(COUNTIFS(Q$2:Q47,Q47)=COUNTIFS($E:$E,Q47),1,0)+Q47</f>
        <v>18</v>
      </c>
      <c r="R48" s="60">
        <f t="shared" si="2"/>
        <v>1</v>
      </c>
      <c r="S48" s="59">
        <f t="shared" si="3"/>
        <v>0</v>
      </c>
      <c r="T48" s="59" t="str">
        <f t="shared" si="1"/>
        <v>Oddish</v>
      </c>
    </row>
    <row r="49" spans="1:20" x14ac:dyDescent="0.25">
      <c r="A49" s="54">
        <v>48</v>
      </c>
      <c r="B49" s="68" t="s">
        <v>80</v>
      </c>
      <c r="C49" s="69" t="s">
        <v>19</v>
      </c>
      <c r="D49" s="54" t="s">
        <v>81</v>
      </c>
      <c r="E49" s="54">
        <v>20</v>
      </c>
      <c r="F49" s="54">
        <v>1</v>
      </c>
      <c r="G49" t="str">
        <f t="shared" si="0"/>
        <v>20_1</v>
      </c>
      <c r="H49" t="str">
        <f>IF(COUNTIFS($G:$G,G49)=1,G49,G49&amp;"-"&amp;COUNTIFS(G$2:G49,G49))</f>
        <v>20_1</v>
      </c>
      <c r="I49" s="54">
        <v>120</v>
      </c>
      <c r="J49" s="54">
        <v>100</v>
      </c>
      <c r="K49" s="54">
        <v>102</v>
      </c>
      <c r="L49" s="54" t="s">
        <v>35</v>
      </c>
      <c r="M49" s="54" t="s">
        <v>22</v>
      </c>
      <c r="N49" s="54">
        <v>50</v>
      </c>
      <c r="O49" s="54">
        <v>3</v>
      </c>
      <c r="Q49" s="59">
        <f>IF(COUNTIFS(Q$2:Q48,Q48)=COUNTIFS($E:$E,Q48),1,0)+Q48</f>
        <v>18</v>
      </c>
      <c r="R49" s="60">
        <f t="shared" si="2"/>
        <v>2</v>
      </c>
      <c r="S49" s="59">
        <f t="shared" si="3"/>
        <v>0</v>
      </c>
      <c r="T49" s="59" t="str">
        <f t="shared" si="1"/>
        <v>Gloom</v>
      </c>
    </row>
    <row r="50" spans="1:20" x14ac:dyDescent="0.25">
      <c r="A50" s="54">
        <v>49</v>
      </c>
      <c r="B50" s="68" t="s">
        <v>81</v>
      </c>
      <c r="C50" s="69" t="s">
        <v>80</v>
      </c>
      <c r="D50" s="54" t="s">
        <v>19</v>
      </c>
      <c r="E50" s="54">
        <v>20</v>
      </c>
      <c r="F50" s="54">
        <v>2</v>
      </c>
      <c r="G50" t="str">
        <f t="shared" si="0"/>
        <v>20_2</v>
      </c>
      <c r="H50" t="str">
        <f>IF(COUNTIFS($G:$G,G50)=1,G50,G50&amp;"-"&amp;COUNTIFS(G$2:G50,G50))</f>
        <v>20_2</v>
      </c>
      <c r="I50" s="54">
        <v>140</v>
      </c>
      <c r="J50" s="54">
        <v>179</v>
      </c>
      <c r="K50" s="54">
        <v>150</v>
      </c>
      <c r="L50" s="54" t="s">
        <v>35</v>
      </c>
      <c r="M50" s="54" t="s">
        <v>22</v>
      </c>
      <c r="N50" s="54">
        <v>0</v>
      </c>
      <c r="O50" s="54">
        <v>3</v>
      </c>
      <c r="Q50" s="59">
        <f>IF(COUNTIFS(Q$2:Q49,Q49)=COUNTIFS($E:$E,Q49),1,0)+Q49</f>
        <v>18</v>
      </c>
      <c r="R50" s="60">
        <f t="shared" si="2"/>
        <v>3</v>
      </c>
      <c r="S50" s="59">
        <f t="shared" si="3"/>
        <v>1</v>
      </c>
      <c r="T50" s="59" t="str">
        <f t="shared" si="1"/>
        <v>Vileplume</v>
      </c>
    </row>
    <row r="51" spans="1:20" x14ac:dyDescent="0.25">
      <c r="A51" s="54">
        <v>50</v>
      </c>
      <c r="B51" s="68" t="s">
        <v>82</v>
      </c>
      <c r="C51" s="69" t="s">
        <v>19</v>
      </c>
      <c r="D51" s="54" t="s">
        <v>83</v>
      </c>
      <c r="E51" s="54">
        <v>21</v>
      </c>
      <c r="F51" s="54">
        <v>1</v>
      </c>
      <c r="G51" t="str">
        <f t="shared" si="0"/>
        <v>21_1</v>
      </c>
      <c r="H51" t="str">
        <f>IF(COUNTIFS($G:$G,G51)=1,G51,G51&amp;"-"&amp;COUNTIFS(G$2:G51,G51))</f>
        <v>21_1</v>
      </c>
      <c r="I51" s="54">
        <v>20</v>
      </c>
      <c r="J51" s="54">
        <v>109</v>
      </c>
      <c r="K51" s="54">
        <v>88</v>
      </c>
      <c r="L51" s="54" t="s">
        <v>56</v>
      </c>
      <c r="M51" s="54" t="s">
        <v>19</v>
      </c>
      <c r="N51" s="54">
        <v>50</v>
      </c>
      <c r="O51" s="54">
        <v>3</v>
      </c>
      <c r="Q51" s="59">
        <f>IF(COUNTIFS(Q$2:Q50,Q50)=COUNTIFS($E:$E,Q50),1,0)+Q50</f>
        <v>18</v>
      </c>
      <c r="R51" s="60">
        <f t="shared" si="2"/>
        <v>3</v>
      </c>
      <c r="S51" s="59">
        <f t="shared" si="3"/>
        <v>2</v>
      </c>
      <c r="T51" s="59" t="str">
        <f t="shared" si="1"/>
        <v>Bellossom</v>
      </c>
    </row>
    <row r="52" spans="1:20" x14ac:dyDescent="0.25">
      <c r="A52" s="54">
        <v>51</v>
      </c>
      <c r="B52" s="68" t="s">
        <v>83</v>
      </c>
      <c r="C52" s="69" t="s">
        <v>82</v>
      </c>
      <c r="D52" s="54" t="s">
        <v>19</v>
      </c>
      <c r="E52" s="54">
        <v>21</v>
      </c>
      <c r="F52" s="54">
        <v>2</v>
      </c>
      <c r="G52" t="str">
        <f t="shared" si="0"/>
        <v>21_2</v>
      </c>
      <c r="H52" t="str">
        <f>IF(COUNTIFS($G:$G,G52)=1,G52,G52&amp;"-"&amp;COUNTIFS(G$2:G52,G52))</f>
        <v>21_2</v>
      </c>
      <c r="I52" s="54">
        <v>70</v>
      </c>
      <c r="J52" s="54">
        <v>167</v>
      </c>
      <c r="K52" s="54">
        <v>147</v>
      </c>
      <c r="L52" s="54" t="s">
        <v>56</v>
      </c>
      <c r="M52" s="54" t="s">
        <v>19</v>
      </c>
      <c r="N52" s="54">
        <v>0</v>
      </c>
      <c r="O52" s="54">
        <v>3</v>
      </c>
      <c r="Q52" s="59">
        <f>IF(COUNTIFS(Q$2:Q51,Q51)=COUNTIFS($E:$E,Q51),1,0)+Q51</f>
        <v>19</v>
      </c>
      <c r="R52" s="60">
        <f t="shared" si="2"/>
        <v>1</v>
      </c>
      <c r="S52" s="59">
        <f t="shared" si="3"/>
        <v>0</v>
      </c>
      <c r="T52" s="59" t="str">
        <f t="shared" si="1"/>
        <v>Paras</v>
      </c>
    </row>
    <row r="53" spans="1:20" x14ac:dyDescent="0.25">
      <c r="A53" s="54">
        <v>52</v>
      </c>
      <c r="B53" s="68" t="s">
        <v>84</v>
      </c>
      <c r="C53" s="69" t="s">
        <v>19</v>
      </c>
      <c r="D53" s="54" t="s">
        <v>85</v>
      </c>
      <c r="E53" s="54">
        <v>22</v>
      </c>
      <c r="F53" s="54">
        <v>1</v>
      </c>
      <c r="G53" t="str">
        <f t="shared" si="0"/>
        <v>22_1</v>
      </c>
      <c r="H53" t="str">
        <f>IF(COUNTIFS($G:$G,G53)=1,G53,G53&amp;"-"&amp;COUNTIFS(G$2:G53,G53))</f>
        <v>22_1</v>
      </c>
      <c r="I53" s="54">
        <v>80</v>
      </c>
      <c r="J53" s="54">
        <v>92</v>
      </c>
      <c r="K53" s="54">
        <v>81</v>
      </c>
      <c r="L53" s="54" t="s">
        <v>42</v>
      </c>
      <c r="M53" s="54" t="s">
        <v>19</v>
      </c>
      <c r="N53" s="54">
        <v>50</v>
      </c>
      <c r="O53" s="54">
        <v>3</v>
      </c>
      <c r="Q53" s="59">
        <f>IF(COUNTIFS(Q$2:Q52,Q52)=COUNTIFS($E:$E,Q52),1,0)+Q52</f>
        <v>19</v>
      </c>
      <c r="R53" s="60">
        <f t="shared" si="2"/>
        <v>2</v>
      </c>
      <c r="S53" s="59">
        <f t="shared" si="3"/>
        <v>0</v>
      </c>
      <c r="T53" s="59" t="str">
        <f t="shared" si="1"/>
        <v>Parasect</v>
      </c>
    </row>
    <row r="54" spans="1:20" x14ac:dyDescent="0.25">
      <c r="A54" s="54">
        <v>53</v>
      </c>
      <c r="B54" s="68" t="s">
        <v>85</v>
      </c>
      <c r="C54" s="69" t="s">
        <v>84</v>
      </c>
      <c r="D54" s="54" t="s">
        <v>19</v>
      </c>
      <c r="E54" s="54">
        <v>22</v>
      </c>
      <c r="F54" s="54">
        <v>2</v>
      </c>
      <c r="G54" t="str">
        <f t="shared" si="0"/>
        <v>22_2</v>
      </c>
      <c r="H54" t="str">
        <f>IF(COUNTIFS($G:$G,G54)=1,G54,G54&amp;"-"&amp;COUNTIFS(G$2:G54,G54))</f>
        <v>22_2</v>
      </c>
      <c r="I54" s="54">
        <v>130</v>
      </c>
      <c r="J54" s="54">
        <v>150</v>
      </c>
      <c r="K54" s="54">
        <v>139</v>
      </c>
      <c r="L54" s="54" t="s">
        <v>42</v>
      </c>
      <c r="M54" s="54" t="s">
        <v>19</v>
      </c>
      <c r="N54" s="54">
        <v>0</v>
      </c>
      <c r="O54" s="54">
        <v>3</v>
      </c>
      <c r="Q54" s="59">
        <f>IF(COUNTIFS(Q$2:Q53,Q53)=COUNTIFS($E:$E,Q53),1,0)+Q53</f>
        <v>20</v>
      </c>
      <c r="R54" s="60">
        <f t="shared" si="2"/>
        <v>1</v>
      </c>
      <c r="S54" s="59">
        <f t="shared" si="3"/>
        <v>0</v>
      </c>
      <c r="T54" s="59" t="str">
        <f t="shared" si="1"/>
        <v>Venonat</v>
      </c>
    </row>
    <row r="55" spans="1:20" x14ac:dyDescent="0.25">
      <c r="A55" s="54">
        <v>54</v>
      </c>
      <c r="B55" s="68" t="s">
        <v>86</v>
      </c>
      <c r="C55" s="69" t="s">
        <v>19</v>
      </c>
      <c r="D55" s="54" t="s">
        <v>87</v>
      </c>
      <c r="E55" s="54">
        <v>23</v>
      </c>
      <c r="F55" s="54">
        <v>1</v>
      </c>
      <c r="G55" t="str">
        <f t="shared" si="0"/>
        <v>23_1</v>
      </c>
      <c r="H55" t="str">
        <f>IF(COUNTIFS($G:$G,G55)=1,G55,G55&amp;"-"&amp;COUNTIFS(G$2:G55,G55))</f>
        <v>23_1</v>
      </c>
      <c r="I55" s="54">
        <v>100</v>
      </c>
      <c r="J55" s="54">
        <v>122</v>
      </c>
      <c r="K55" s="54">
        <v>96</v>
      </c>
      <c r="L55" s="54" t="s">
        <v>31</v>
      </c>
      <c r="M55" s="54" t="s">
        <v>19</v>
      </c>
      <c r="N55" s="54">
        <v>50</v>
      </c>
      <c r="O55" s="54">
        <v>3</v>
      </c>
      <c r="Q55" s="59">
        <f>IF(COUNTIFS(Q$2:Q54,Q54)=COUNTIFS($E:$E,Q54),1,0)+Q54</f>
        <v>20</v>
      </c>
      <c r="R55" s="60">
        <f t="shared" si="2"/>
        <v>2</v>
      </c>
      <c r="S55" s="59">
        <f t="shared" si="3"/>
        <v>0</v>
      </c>
      <c r="T55" s="59" t="str">
        <f t="shared" si="1"/>
        <v>Venomoth</v>
      </c>
    </row>
    <row r="56" spans="1:20" x14ac:dyDescent="0.25">
      <c r="A56" s="54">
        <v>55</v>
      </c>
      <c r="B56" s="68" t="s">
        <v>87</v>
      </c>
      <c r="C56" s="69" t="s">
        <v>86</v>
      </c>
      <c r="D56" s="54" t="s">
        <v>19</v>
      </c>
      <c r="E56" s="54">
        <v>23</v>
      </c>
      <c r="F56" s="54">
        <v>2</v>
      </c>
      <c r="G56" t="str">
        <f t="shared" si="0"/>
        <v>23_2</v>
      </c>
      <c r="H56" t="str">
        <f>IF(COUNTIFS($G:$G,G56)=1,G56,G56&amp;"-"&amp;COUNTIFS(G$2:G56,G56))</f>
        <v>23_2</v>
      </c>
      <c r="I56" s="54">
        <v>160</v>
      </c>
      <c r="J56" s="54">
        <v>191</v>
      </c>
      <c r="K56" s="54">
        <v>163</v>
      </c>
      <c r="L56" s="54" t="s">
        <v>31</v>
      </c>
      <c r="M56" s="54" t="s">
        <v>19</v>
      </c>
      <c r="N56" s="54">
        <v>0</v>
      </c>
      <c r="O56" s="54">
        <v>3</v>
      </c>
      <c r="Q56" s="59">
        <f>IF(COUNTIFS(Q$2:Q55,Q55)=COUNTIFS($E:$E,Q55),1,0)+Q55</f>
        <v>21</v>
      </c>
      <c r="R56" s="60">
        <f t="shared" si="2"/>
        <v>1</v>
      </c>
      <c r="S56" s="59">
        <f t="shared" si="3"/>
        <v>0</v>
      </c>
      <c r="T56" s="59" t="str">
        <f t="shared" si="1"/>
        <v>Diglett</v>
      </c>
    </row>
    <row r="57" spans="1:20" x14ac:dyDescent="0.25">
      <c r="A57" s="54">
        <v>56</v>
      </c>
      <c r="B57" s="68" t="s">
        <v>88</v>
      </c>
      <c r="C57" s="69" t="s">
        <v>19</v>
      </c>
      <c r="D57" s="54" t="s">
        <v>89</v>
      </c>
      <c r="E57" s="54">
        <v>24</v>
      </c>
      <c r="F57" s="54">
        <v>1</v>
      </c>
      <c r="G57" t="str">
        <f t="shared" si="0"/>
        <v>24_1</v>
      </c>
      <c r="H57" t="str">
        <f>IF(COUNTIFS($G:$G,G57)=1,G57,G57&amp;"-"&amp;COUNTIFS(G$2:G57,G57))</f>
        <v>24_1</v>
      </c>
      <c r="I57" s="54">
        <v>80</v>
      </c>
      <c r="J57" s="54">
        <v>148</v>
      </c>
      <c r="K57" s="54">
        <v>87</v>
      </c>
      <c r="L57" s="54" t="s">
        <v>90</v>
      </c>
      <c r="M57" s="54" t="s">
        <v>19</v>
      </c>
      <c r="N57" s="54">
        <v>50</v>
      </c>
      <c r="O57" s="54">
        <v>3</v>
      </c>
      <c r="Q57" s="59">
        <f>IF(COUNTIFS(Q$2:Q56,Q56)=COUNTIFS($E:$E,Q56),1,0)+Q56</f>
        <v>21</v>
      </c>
      <c r="R57" s="60">
        <f t="shared" si="2"/>
        <v>2</v>
      </c>
      <c r="S57" s="59">
        <f t="shared" si="3"/>
        <v>0</v>
      </c>
      <c r="T57" s="59" t="str">
        <f t="shared" si="1"/>
        <v>Dugtrio</v>
      </c>
    </row>
    <row r="58" spans="1:20" x14ac:dyDescent="0.25">
      <c r="A58" s="54">
        <v>57</v>
      </c>
      <c r="B58" s="68" t="s">
        <v>89</v>
      </c>
      <c r="C58" s="69" t="s">
        <v>88</v>
      </c>
      <c r="D58" s="54" t="s">
        <v>19</v>
      </c>
      <c r="E58" s="54">
        <v>24</v>
      </c>
      <c r="F58" s="54">
        <v>2</v>
      </c>
      <c r="G58" t="str">
        <f t="shared" si="0"/>
        <v>24_2</v>
      </c>
      <c r="H58" t="str">
        <f>IF(COUNTIFS($G:$G,G58)=1,G58,G58&amp;"-"&amp;COUNTIFS(G$2:G58,G58))</f>
        <v>24_2</v>
      </c>
      <c r="I58" s="54">
        <v>130</v>
      </c>
      <c r="J58" s="54">
        <v>207</v>
      </c>
      <c r="K58" s="54">
        <v>144</v>
      </c>
      <c r="L58" s="54" t="s">
        <v>90</v>
      </c>
      <c r="M58" s="54" t="s">
        <v>19</v>
      </c>
      <c r="N58" s="54">
        <v>0</v>
      </c>
      <c r="O58" s="54">
        <v>3</v>
      </c>
      <c r="Q58" s="59">
        <f>IF(COUNTIFS(Q$2:Q57,Q57)=COUNTIFS($E:$E,Q57),1,0)+Q57</f>
        <v>22</v>
      </c>
      <c r="R58" s="60">
        <f t="shared" si="2"/>
        <v>1</v>
      </c>
      <c r="S58" s="59">
        <f t="shared" si="3"/>
        <v>0</v>
      </c>
      <c r="T58" s="59" t="str">
        <f t="shared" si="1"/>
        <v>Meowth</v>
      </c>
    </row>
    <row r="59" spans="1:20" x14ac:dyDescent="0.25">
      <c r="A59" s="54">
        <v>58</v>
      </c>
      <c r="B59" s="68" t="s">
        <v>91</v>
      </c>
      <c r="C59" s="69" t="s">
        <v>19</v>
      </c>
      <c r="D59" s="54" t="s">
        <v>92</v>
      </c>
      <c r="E59" s="54">
        <v>25</v>
      </c>
      <c r="F59" s="54">
        <v>1</v>
      </c>
      <c r="G59" t="str">
        <f t="shared" si="0"/>
        <v>25_1</v>
      </c>
      <c r="H59" t="str">
        <f>IF(COUNTIFS($G:$G,G59)=1,G59,G59&amp;"-"&amp;COUNTIFS(G$2:G59,G59))</f>
        <v>25_1</v>
      </c>
      <c r="I59" s="54">
        <v>110</v>
      </c>
      <c r="J59" s="54">
        <v>136</v>
      </c>
      <c r="K59" s="54">
        <v>96</v>
      </c>
      <c r="L59" s="54" t="s">
        <v>26</v>
      </c>
      <c r="M59" s="54" t="s">
        <v>19</v>
      </c>
      <c r="N59" s="54">
        <v>50</v>
      </c>
      <c r="O59" s="54">
        <v>3</v>
      </c>
      <c r="Q59" s="59">
        <f>IF(COUNTIFS(Q$2:Q58,Q58)=COUNTIFS($E:$E,Q58),1,0)+Q58</f>
        <v>22</v>
      </c>
      <c r="R59" s="60">
        <f t="shared" si="2"/>
        <v>2</v>
      </c>
      <c r="S59" s="59">
        <f t="shared" si="3"/>
        <v>0</v>
      </c>
      <c r="T59" s="59" t="str">
        <f t="shared" si="1"/>
        <v>Persian</v>
      </c>
    </row>
    <row r="60" spans="1:20" x14ac:dyDescent="0.25">
      <c r="A60" s="54">
        <v>59</v>
      </c>
      <c r="B60" s="68" t="s">
        <v>92</v>
      </c>
      <c r="C60" s="69" t="s">
        <v>91</v>
      </c>
      <c r="D60" s="54" t="s">
        <v>19</v>
      </c>
      <c r="E60" s="54">
        <v>25</v>
      </c>
      <c r="F60" s="54">
        <v>2</v>
      </c>
      <c r="G60" t="str">
        <f t="shared" si="0"/>
        <v>25_2</v>
      </c>
      <c r="H60" t="str">
        <f>IF(COUNTIFS($G:$G,G60)=1,G60,G60&amp;"-"&amp;COUNTIFS(G$2:G60,G60))</f>
        <v>25_2</v>
      </c>
      <c r="I60" s="54">
        <v>180</v>
      </c>
      <c r="J60" s="54">
        <v>227</v>
      </c>
      <c r="K60" s="54">
        <v>166</v>
      </c>
      <c r="L60" s="54" t="s">
        <v>26</v>
      </c>
      <c r="M60" s="54" t="s">
        <v>19</v>
      </c>
      <c r="N60" s="54">
        <v>0</v>
      </c>
      <c r="O60" s="54">
        <v>3</v>
      </c>
      <c r="Q60" s="59">
        <f>IF(COUNTIFS(Q$2:Q59,Q59)=COUNTIFS($E:$E,Q59),1,0)+Q59</f>
        <v>23</v>
      </c>
      <c r="R60" s="60">
        <f t="shared" si="2"/>
        <v>1</v>
      </c>
      <c r="S60" s="59">
        <f t="shared" si="3"/>
        <v>0</v>
      </c>
      <c r="T60" s="59" t="str">
        <f t="shared" si="1"/>
        <v>Psyduck</v>
      </c>
    </row>
    <row r="61" spans="1:20" x14ac:dyDescent="0.25">
      <c r="A61" s="54">
        <v>60</v>
      </c>
      <c r="B61" s="68" t="s">
        <v>93</v>
      </c>
      <c r="C61" s="69" t="s">
        <v>19</v>
      </c>
      <c r="D61" s="54" t="s">
        <v>94</v>
      </c>
      <c r="E61" s="54">
        <v>26</v>
      </c>
      <c r="F61" s="54">
        <v>1</v>
      </c>
      <c r="G61" t="str">
        <f t="shared" si="0"/>
        <v>26_1</v>
      </c>
      <c r="H61" t="str">
        <f>IF(COUNTIFS($G:$G,G61)=1,G61,G61&amp;"-"&amp;COUNTIFS(G$2:G61,G61))</f>
        <v>26_1</v>
      </c>
      <c r="I61" s="54">
        <v>80</v>
      </c>
      <c r="J61" s="54">
        <v>101</v>
      </c>
      <c r="K61" s="54">
        <v>82</v>
      </c>
      <c r="L61" s="54" t="s">
        <v>31</v>
      </c>
      <c r="M61" s="54" t="s">
        <v>19</v>
      </c>
      <c r="N61" s="54">
        <v>25</v>
      </c>
      <c r="O61" s="54">
        <v>3</v>
      </c>
      <c r="Q61" s="59">
        <f>IF(COUNTIFS(Q$2:Q60,Q60)=COUNTIFS($E:$E,Q60),1,0)+Q60</f>
        <v>23</v>
      </c>
      <c r="R61" s="60">
        <f t="shared" si="2"/>
        <v>2</v>
      </c>
      <c r="S61" s="59">
        <f t="shared" si="3"/>
        <v>0</v>
      </c>
      <c r="T61" s="59" t="str">
        <f t="shared" si="1"/>
        <v>Golduck</v>
      </c>
    </row>
    <row r="62" spans="1:20" x14ac:dyDescent="0.25">
      <c r="A62" s="54">
        <v>61</v>
      </c>
      <c r="B62" s="68" t="s">
        <v>94</v>
      </c>
      <c r="C62" s="69" t="s">
        <v>93</v>
      </c>
      <c r="D62" s="54" t="s">
        <v>95</v>
      </c>
      <c r="E62" s="54">
        <v>26</v>
      </c>
      <c r="F62" s="54">
        <v>2</v>
      </c>
      <c r="G62" t="str">
        <f t="shared" si="0"/>
        <v>26_2</v>
      </c>
      <c r="H62" t="str">
        <f>IF(COUNTIFS($G:$G,G62)=1,G62,G62&amp;"-"&amp;COUNTIFS(G$2:G62,G62))</f>
        <v>26_2</v>
      </c>
      <c r="I62" s="54">
        <v>130</v>
      </c>
      <c r="J62" s="54">
        <v>130</v>
      </c>
      <c r="K62" s="54">
        <v>130</v>
      </c>
      <c r="L62" s="54" t="s">
        <v>31</v>
      </c>
      <c r="M62" s="54" t="s">
        <v>19</v>
      </c>
      <c r="N62" s="54">
        <v>100</v>
      </c>
      <c r="O62" s="54">
        <v>3</v>
      </c>
      <c r="Q62" s="59">
        <f>IF(COUNTIFS(Q$2:Q61,Q61)=COUNTIFS($E:$E,Q61),1,0)+Q61</f>
        <v>24</v>
      </c>
      <c r="R62" s="60">
        <f t="shared" si="2"/>
        <v>1</v>
      </c>
      <c r="S62" s="59">
        <f t="shared" si="3"/>
        <v>0</v>
      </c>
      <c r="T62" s="59" t="str">
        <f t="shared" si="1"/>
        <v>Mankey</v>
      </c>
    </row>
    <row r="63" spans="1:20" x14ac:dyDescent="0.25">
      <c r="A63" s="54">
        <v>62</v>
      </c>
      <c r="B63" s="68" t="s">
        <v>95</v>
      </c>
      <c r="C63" s="69" t="s">
        <v>94</v>
      </c>
      <c r="D63" s="54" t="s">
        <v>19</v>
      </c>
      <c r="E63" s="54">
        <v>26</v>
      </c>
      <c r="F63" s="54">
        <v>3</v>
      </c>
      <c r="G63" t="str">
        <f t="shared" si="0"/>
        <v>26_3</v>
      </c>
      <c r="H63" t="str">
        <f>IF(COUNTIFS($G:$G,G63)=1,G63,G63&amp;"-"&amp;COUNTIFS(G$2:G63,G63))</f>
        <v>26_3-1</v>
      </c>
      <c r="I63" s="54">
        <v>180</v>
      </c>
      <c r="J63" s="54">
        <v>182</v>
      </c>
      <c r="K63" s="54">
        <v>187</v>
      </c>
      <c r="L63" s="54" t="s">
        <v>31</v>
      </c>
      <c r="M63" s="54" t="s">
        <v>90</v>
      </c>
      <c r="N63" s="54">
        <v>0</v>
      </c>
      <c r="O63" s="54">
        <v>3</v>
      </c>
      <c r="Q63" s="59">
        <f>IF(COUNTIFS(Q$2:Q62,Q62)=COUNTIFS($E:$E,Q62),1,0)+Q62</f>
        <v>24</v>
      </c>
      <c r="R63" s="60">
        <f t="shared" si="2"/>
        <v>2</v>
      </c>
      <c r="S63" s="59">
        <f t="shared" si="3"/>
        <v>0</v>
      </c>
      <c r="T63" s="59" t="str">
        <f t="shared" si="1"/>
        <v>Primeape</v>
      </c>
    </row>
    <row r="64" spans="1:20" x14ac:dyDescent="0.25">
      <c r="A64" s="54">
        <v>63</v>
      </c>
      <c r="B64" s="68" t="s">
        <v>96</v>
      </c>
      <c r="C64" s="69" t="s">
        <v>19</v>
      </c>
      <c r="D64" s="54" t="s">
        <v>97</v>
      </c>
      <c r="E64" s="54">
        <v>27</v>
      </c>
      <c r="F64" s="54">
        <v>1</v>
      </c>
      <c r="G64" t="str">
        <f t="shared" si="0"/>
        <v>27_1</v>
      </c>
      <c r="H64" t="str">
        <f>IF(COUNTIFS($G:$G,G64)=1,G64,G64&amp;"-"&amp;COUNTIFS(G$2:G64,G64))</f>
        <v>27_1</v>
      </c>
      <c r="I64" s="54">
        <v>50</v>
      </c>
      <c r="J64" s="54">
        <v>195</v>
      </c>
      <c r="K64" s="54">
        <v>103</v>
      </c>
      <c r="L64" s="54" t="s">
        <v>98</v>
      </c>
      <c r="M64" s="54" t="s">
        <v>19</v>
      </c>
      <c r="N64" s="54">
        <v>25</v>
      </c>
      <c r="O64" s="54">
        <v>3</v>
      </c>
      <c r="Q64" s="59">
        <f>IF(COUNTIFS(Q$2:Q63,Q63)=COUNTIFS($E:$E,Q63),1,0)+Q63</f>
        <v>25</v>
      </c>
      <c r="R64" s="60">
        <f t="shared" si="2"/>
        <v>1</v>
      </c>
      <c r="S64" s="59">
        <f t="shared" si="3"/>
        <v>0</v>
      </c>
      <c r="T64" s="59" t="str">
        <f t="shared" si="1"/>
        <v>Growlithe</v>
      </c>
    </row>
    <row r="65" spans="1:20" x14ac:dyDescent="0.25">
      <c r="A65" s="54">
        <v>64</v>
      </c>
      <c r="B65" s="68" t="s">
        <v>97</v>
      </c>
      <c r="C65" s="69" t="s">
        <v>96</v>
      </c>
      <c r="D65" s="54" t="s">
        <v>99</v>
      </c>
      <c r="E65" s="54">
        <v>27</v>
      </c>
      <c r="F65" s="54">
        <v>2</v>
      </c>
      <c r="G65" t="str">
        <f t="shared" si="0"/>
        <v>27_2</v>
      </c>
      <c r="H65" t="str">
        <f>IF(COUNTIFS($G:$G,G65)=1,G65,G65&amp;"-"&amp;COUNTIFS(G$2:G65,G65))</f>
        <v>27_2</v>
      </c>
      <c r="I65" s="54">
        <v>80</v>
      </c>
      <c r="J65" s="54">
        <v>232</v>
      </c>
      <c r="K65" s="54">
        <v>138</v>
      </c>
      <c r="L65" s="54" t="s">
        <v>98</v>
      </c>
      <c r="M65" s="54" t="s">
        <v>19</v>
      </c>
      <c r="N65" s="54">
        <v>100</v>
      </c>
      <c r="O65" s="54">
        <v>3</v>
      </c>
      <c r="Q65" s="59">
        <f>IF(COUNTIFS(Q$2:Q64,Q64)=COUNTIFS($E:$E,Q64),1,0)+Q64</f>
        <v>25</v>
      </c>
      <c r="R65" s="60">
        <f t="shared" si="2"/>
        <v>2</v>
      </c>
      <c r="S65" s="59">
        <f t="shared" si="3"/>
        <v>0</v>
      </c>
      <c r="T65" s="59" t="str">
        <f t="shared" si="1"/>
        <v>Arcanine</v>
      </c>
    </row>
    <row r="66" spans="1:20" x14ac:dyDescent="0.25">
      <c r="A66" s="54">
        <v>65</v>
      </c>
      <c r="B66" s="68" t="s">
        <v>99</v>
      </c>
      <c r="C66" s="69" t="s">
        <v>97</v>
      </c>
      <c r="D66" s="54" t="s">
        <v>19</v>
      </c>
      <c r="E66" s="54">
        <v>27</v>
      </c>
      <c r="F66" s="54">
        <v>3</v>
      </c>
      <c r="G66" t="str">
        <f t="shared" si="0"/>
        <v>27_3</v>
      </c>
      <c r="H66" t="str">
        <f>IF(COUNTIFS($G:$G,G66)=1,G66,G66&amp;"-"&amp;COUNTIFS(G$2:G66,G66))</f>
        <v>27_3</v>
      </c>
      <c r="I66" s="54">
        <v>110</v>
      </c>
      <c r="J66" s="54">
        <v>271</v>
      </c>
      <c r="K66" s="54">
        <v>194</v>
      </c>
      <c r="L66" s="54" t="s">
        <v>98</v>
      </c>
      <c r="M66" s="54" t="s">
        <v>19</v>
      </c>
      <c r="N66" s="54">
        <v>0</v>
      </c>
      <c r="O66" s="54">
        <v>3</v>
      </c>
      <c r="Q66" s="59">
        <f>IF(COUNTIFS(Q$2:Q65,Q65)=COUNTIFS($E:$E,Q65),1,0)+Q65</f>
        <v>26</v>
      </c>
      <c r="R66" s="60">
        <f t="shared" si="2"/>
        <v>1</v>
      </c>
      <c r="S66" s="59">
        <f t="shared" si="3"/>
        <v>0</v>
      </c>
      <c r="T66" s="59" t="str">
        <f t="shared" si="1"/>
        <v>Poliwag</v>
      </c>
    </row>
    <row r="67" spans="1:20" x14ac:dyDescent="0.25">
      <c r="A67" s="54">
        <v>66</v>
      </c>
      <c r="B67" s="68" t="s">
        <v>100</v>
      </c>
      <c r="C67" s="69" t="s">
        <v>19</v>
      </c>
      <c r="D67" s="54" t="s">
        <v>101</v>
      </c>
      <c r="E67" s="54">
        <v>28</v>
      </c>
      <c r="F67" s="54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 s="54">
        <v>140</v>
      </c>
      <c r="J67" s="54">
        <v>137</v>
      </c>
      <c r="K67" s="54">
        <v>88</v>
      </c>
      <c r="L67" s="54" t="s">
        <v>90</v>
      </c>
      <c r="M67" s="54" t="s">
        <v>19</v>
      </c>
      <c r="N67" s="54">
        <v>25</v>
      </c>
      <c r="O67" s="54">
        <v>3</v>
      </c>
      <c r="Q67" s="59">
        <f>IF(COUNTIFS(Q$2:Q66,Q66)=COUNTIFS($E:$E,Q66),1,0)+Q66</f>
        <v>26</v>
      </c>
      <c r="R67" s="60">
        <f t="shared" si="2"/>
        <v>2</v>
      </c>
      <c r="S67" s="59">
        <f t="shared" si="3"/>
        <v>0</v>
      </c>
      <c r="T67" s="59" t="str">
        <f t="shared" ref="T67:T130" si="5">INDEX($B:$B,MATCH(Q67&amp;"_"&amp;R67&amp;IF(S67,"-"&amp;S67,""),H:H,0))</f>
        <v>Poliwhirl</v>
      </c>
    </row>
    <row r="68" spans="1:20" x14ac:dyDescent="0.25">
      <c r="A68" s="54">
        <v>67</v>
      </c>
      <c r="B68" s="68" t="s">
        <v>101</v>
      </c>
      <c r="C68" s="69" t="s">
        <v>100</v>
      </c>
      <c r="D68" s="54" t="s">
        <v>102</v>
      </c>
      <c r="E68" s="54">
        <v>28</v>
      </c>
      <c r="F68" s="54">
        <v>2</v>
      </c>
      <c r="G68" t="str">
        <f t="shared" si="4"/>
        <v>28_2</v>
      </c>
      <c r="H68" t="str">
        <f>IF(COUNTIFS($G:$G,G68)=1,G68,G68&amp;"-"&amp;COUNTIFS(G$2:G68,G68))</f>
        <v>28_2</v>
      </c>
      <c r="I68" s="54">
        <v>160</v>
      </c>
      <c r="J68" s="54">
        <v>177</v>
      </c>
      <c r="K68" s="54">
        <v>130</v>
      </c>
      <c r="L68" s="54" t="s">
        <v>90</v>
      </c>
      <c r="M68" s="54" t="s">
        <v>19</v>
      </c>
      <c r="N68" s="54">
        <v>100</v>
      </c>
      <c r="O68" s="54">
        <v>3</v>
      </c>
      <c r="Q68" s="59">
        <f>IF(COUNTIFS(Q$2:Q67,Q67)=COUNTIFS($E:$E,Q67),1,0)+Q67</f>
        <v>26</v>
      </c>
      <c r="R68" s="60">
        <f t="shared" ref="R68:R131" si="6">IF(Q68=Q67,R67+IF(COUNTIFS($G:$G,Q67&amp;"_"&amp;R67)=1,1,0),1)</f>
        <v>3</v>
      </c>
      <c r="S68" s="59">
        <f t="shared" ref="S68:S131" si="7">IF(Q68=Q67,IF(COUNTIFS($G:$G,Q67&amp;"_"&amp;(R67+1))=1,0,S67+1),0)</f>
        <v>1</v>
      </c>
      <c r="T68" s="59" t="str">
        <f t="shared" si="5"/>
        <v>Poliwrath</v>
      </c>
    </row>
    <row r="69" spans="1:20" x14ac:dyDescent="0.25">
      <c r="A69" s="54">
        <v>68</v>
      </c>
      <c r="B69" s="68" t="s">
        <v>102</v>
      </c>
      <c r="C69" s="69" t="s">
        <v>101</v>
      </c>
      <c r="D69" s="54" t="s">
        <v>19</v>
      </c>
      <c r="E69" s="54">
        <v>28</v>
      </c>
      <c r="F69" s="54">
        <v>3</v>
      </c>
      <c r="G69" t="str">
        <f t="shared" si="4"/>
        <v>28_3</v>
      </c>
      <c r="H69" t="str">
        <f>IF(COUNTIFS($G:$G,G69)=1,G69,G69&amp;"-"&amp;COUNTIFS(G$2:G69,G69))</f>
        <v>28_3</v>
      </c>
      <c r="I69" s="54">
        <v>180</v>
      </c>
      <c r="J69" s="54">
        <v>234</v>
      </c>
      <c r="K69" s="54">
        <v>162</v>
      </c>
      <c r="L69" s="54" t="s">
        <v>90</v>
      </c>
      <c r="M69" s="54" t="s">
        <v>19</v>
      </c>
      <c r="N69" s="54">
        <v>0</v>
      </c>
      <c r="O69" s="54">
        <v>3</v>
      </c>
      <c r="Q69" s="59">
        <f>IF(COUNTIFS(Q$2:Q68,Q68)=COUNTIFS($E:$E,Q68),1,0)+Q68</f>
        <v>26</v>
      </c>
      <c r="R69" s="60">
        <f t="shared" si="6"/>
        <v>3</v>
      </c>
      <c r="S69" s="59">
        <f t="shared" si="7"/>
        <v>2</v>
      </c>
      <c r="T69" s="59" t="str">
        <f t="shared" si="5"/>
        <v>Politoed</v>
      </c>
    </row>
    <row r="70" spans="1:20" x14ac:dyDescent="0.25">
      <c r="A70" s="54">
        <v>69</v>
      </c>
      <c r="B70" s="68" t="s">
        <v>103</v>
      </c>
      <c r="C70" s="69" t="s">
        <v>19</v>
      </c>
      <c r="D70" s="54" t="s">
        <v>104</v>
      </c>
      <c r="E70" s="54">
        <v>29</v>
      </c>
      <c r="F70" s="54">
        <v>1</v>
      </c>
      <c r="G70" t="str">
        <f t="shared" si="4"/>
        <v>29_1</v>
      </c>
      <c r="H70" t="str">
        <f>IF(COUNTIFS($G:$G,G70)=1,G70,G70&amp;"-"&amp;COUNTIFS(G$2:G70,G70))</f>
        <v>29_1</v>
      </c>
      <c r="I70" s="54">
        <v>100</v>
      </c>
      <c r="J70" s="54">
        <v>139</v>
      </c>
      <c r="K70" s="54">
        <v>64</v>
      </c>
      <c r="L70" s="54" t="s">
        <v>21</v>
      </c>
      <c r="M70" s="54" t="s">
        <v>22</v>
      </c>
      <c r="N70" s="54">
        <v>25</v>
      </c>
      <c r="O70" s="54">
        <v>3</v>
      </c>
      <c r="Q70" s="59">
        <f>IF(COUNTIFS(Q$2:Q69,Q69)=COUNTIFS($E:$E,Q69),1,0)+Q69</f>
        <v>27</v>
      </c>
      <c r="R70" s="60">
        <f t="shared" si="6"/>
        <v>1</v>
      </c>
      <c r="S70" s="59">
        <f t="shared" si="7"/>
        <v>0</v>
      </c>
      <c r="T70" s="59" t="str">
        <f t="shared" si="5"/>
        <v>Abra</v>
      </c>
    </row>
    <row r="71" spans="1:20" x14ac:dyDescent="0.25">
      <c r="A71" s="54">
        <v>70</v>
      </c>
      <c r="B71" s="68" t="s">
        <v>104</v>
      </c>
      <c r="C71" s="69" t="s">
        <v>103</v>
      </c>
      <c r="D71" s="54" t="s">
        <v>105</v>
      </c>
      <c r="E71" s="54">
        <v>29</v>
      </c>
      <c r="F71" s="54">
        <v>2</v>
      </c>
      <c r="G71" t="str">
        <f t="shared" si="4"/>
        <v>29_2</v>
      </c>
      <c r="H71" t="str">
        <f>IF(COUNTIFS($G:$G,G71)=1,G71,G71&amp;"-"&amp;COUNTIFS(G$2:G71,G71))</f>
        <v>29_2</v>
      </c>
      <c r="I71" s="54">
        <v>130</v>
      </c>
      <c r="J71" s="54">
        <v>172</v>
      </c>
      <c r="K71" s="54">
        <v>95</v>
      </c>
      <c r="L71" s="54" t="s">
        <v>21</v>
      </c>
      <c r="M71" s="54" t="s">
        <v>22</v>
      </c>
      <c r="N71" s="54">
        <v>100</v>
      </c>
      <c r="O71" s="54">
        <v>3</v>
      </c>
      <c r="Q71" s="59">
        <f>IF(COUNTIFS(Q$2:Q70,Q70)=COUNTIFS($E:$E,Q70),1,0)+Q70</f>
        <v>27</v>
      </c>
      <c r="R71" s="60">
        <f t="shared" si="6"/>
        <v>2</v>
      </c>
      <c r="S71" s="59">
        <f t="shared" si="7"/>
        <v>0</v>
      </c>
      <c r="T71" s="59" t="str">
        <f t="shared" si="5"/>
        <v>Kadabra</v>
      </c>
    </row>
    <row r="72" spans="1:20" x14ac:dyDescent="0.25">
      <c r="A72" s="54">
        <v>71</v>
      </c>
      <c r="B72" s="68" t="s">
        <v>105</v>
      </c>
      <c r="C72" s="69" t="s">
        <v>104</v>
      </c>
      <c r="D72" s="54" t="s">
        <v>19</v>
      </c>
      <c r="E72" s="54">
        <v>29</v>
      </c>
      <c r="F72" s="54">
        <v>3</v>
      </c>
      <c r="G72" t="str">
        <f t="shared" si="4"/>
        <v>29_3</v>
      </c>
      <c r="H72" t="str">
        <f>IF(COUNTIFS($G:$G,G72)=1,G72,G72&amp;"-"&amp;COUNTIFS(G$2:G72,G72))</f>
        <v>29_3</v>
      </c>
      <c r="I72" s="54">
        <v>160</v>
      </c>
      <c r="J72" s="54">
        <v>207</v>
      </c>
      <c r="K72" s="54">
        <v>138</v>
      </c>
      <c r="L72" s="54" t="s">
        <v>21</v>
      </c>
      <c r="M72" s="54" t="s">
        <v>22</v>
      </c>
      <c r="N72" s="54">
        <v>0</v>
      </c>
      <c r="O72" s="54">
        <v>3</v>
      </c>
      <c r="Q72" s="59">
        <f>IF(COUNTIFS(Q$2:Q71,Q71)=COUNTIFS($E:$E,Q71),1,0)+Q71</f>
        <v>27</v>
      </c>
      <c r="R72" s="60">
        <f t="shared" si="6"/>
        <v>3</v>
      </c>
      <c r="S72" s="59">
        <f t="shared" si="7"/>
        <v>0</v>
      </c>
      <c r="T72" s="59" t="str">
        <f t="shared" si="5"/>
        <v>Alakazam</v>
      </c>
    </row>
    <row r="73" spans="1:20" x14ac:dyDescent="0.25">
      <c r="A73" s="54">
        <v>72</v>
      </c>
      <c r="B73" s="68" t="s">
        <v>106</v>
      </c>
      <c r="C73" s="69" t="s">
        <v>19</v>
      </c>
      <c r="D73" s="54" t="s">
        <v>107</v>
      </c>
      <c r="E73" s="54">
        <v>30</v>
      </c>
      <c r="F73" s="54">
        <v>1</v>
      </c>
      <c r="G73" t="str">
        <f t="shared" si="4"/>
        <v>30_1</v>
      </c>
      <c r="H73" t="str">
        <f>IF(COUNTIFS($G:$G,G73)=1,G73,G73&amp;"-"&amp;COUNTIFS(G$2:G73,G73))</f>
        <v>30_1</v>
      </c>
      <c r="I73" s="54">
        <v>80</v>
      </c>
      <c r="J73" s="54">
        <v>97</v>
      </c>
      <c r="K73" s="54">
        <v>182</v>
      </c>
      <c r="L73" s="54" t="s">
        <v>31</v>
      </c>
      <c r="M73" s="54" t="s">
        <v>22</v>
      </c>
      <c r="N73" s="54">
        <v>50</v>
      </c>
      <c r="O73" s="54">
        <v>3</v>
      </c>
      <c r="Q73" s="59">
        <f>IF(COUNTIFS(Q$2:Q72,Q72)=COUNTIFS($E:$E,Q72),1,0)+Q72</f>
        <v>28</v>
      </c>
      <c r="R73" s="60">
        <f t="shared" si="6"/>
        <v>1</v>
      </c>
      <c r="S73" s="59">
        <f t="shared" si="7"/>
        <v>0</v>
      </c>
      <c r="T73" s="59" t="str">
        <f t="shared" si="5"/>
        <v>Machop</v>
      </c>
    </row>
    <row r="74" spans="1:20" x14ac:dyDescent="0.25">
      <c r="A74" s="54">
        <v>73</v>
      </c>
      <c r="B74" s="68" t="s">
        <v>107</v>
      </c>
      <c r="C74" s="69" t="s">
        <v>106</v>
      </c>
      <c r="D74" s="54" t="s">
        <v>19</v>
      </c>
      <c r="E74" s="54">
        <v>30</v>
      </c>
      <c r="F74" s="54">
        <v>2</v>
      </c>
      <c r="G74" t="str">
        <f t="shared" si="4"/>
        <v>30_2</v>
      </c>
      <c r="H74" t="str">
        <f>IF(COUNTIFS($G:$G,G74)=1,G74,G74&amp;"-"&amp;COUNTIFS(G$2:G74,G74))</f>
        <v>30_2</v>
      </c>
      <c r="I74" s="54">
        <v>160</v>
      </c>
      <c r="J74" s="54">
        <v>166</v>
      </c>
      <c r="K74" s="54">
        <v>237</v>
      </c>
      <c r="L74" s="54" t="s">
        <v>31</v>
      </c>
      <c r="M74" s="54" t="s">
        <v>22</v>
      </c>
      <c r="N74" s="54">
        <v>0</v>
      </c>
      <c r="O74" s="54">
        <v>3</v>
      </c>
      <c r="Q74" s="59">
        <f>IF(COUNTIFS(Q$2:Q73,Q73)=COUNTIFS($E:$E,Q73),1,0)+Q73</f>
        <v>28</v>
      </c>
      <c r="R74" s="60">
        <f t="shared" si="6"/>
        <v>2</v>
      </c>
      <c r="S74" s="59">
        <f t="shared" si="7"/>
        <v>0</v>
      </c>
      <c r="T74" s="59" t="str">
        <f t="shared" si="5"/>
        <v>Machoke</v>
      </c>
    </row>
    <row r="75" spans="1:20" x14ac:dyDescent="0.25">
      <c r="A75" s="54">
        <v>74</v>
      </c>
      <c r="B75" s="68" t="s">
        <v>108</v>
      </c>
      <c r="C75" s="69" t="s">
        <v>19</v>
      </c>
      <c r="D75" s="54" t="s">
        <v>109</v>
      </c>
      <c r="E75" s="54">
        <v>31</v>
      </c>
      <c r="F75" s="54">
        <v>1</v>
      </c>
      <c r="G75" t="str">
        <f t="shared" si="4"/>
        <v>31_1</v>
      </c>
      <c r="H75" t="str">
        <f>IF(COUNTIFS($G:$G,G75)=1,G75,G75&amp;"-"&amp;COUNTIFS(G$2:G75,G75))</f>
        <v>31_1</v>
      </c>
      <c r="I75" s="54">
        <v>80</v>
      </c>
      <c r="J75" s="54">
        <v>132</v>
      </c>
      <c r="K75" s="54">
        <v>163</v>
      </c>
      <c r="L75" s="54" t="s">
        <v>110</v>
      </c>
      <c r="M75" s="54" t="s">
        <v>56</v>
      </c>
      <c r="N75" s="54">
        <v>25</v>
      </c>
      <c r="O75" s="54">
        <v>1</v>
      </c>
      <c r="Q75" s="59">
        <f>IF(COUNTIFS(Q$2:Q74,Q74)=COUNTIFS($E:$E,Q74),1,0)+Q74</f>
        <v>28</v>
      </c>
      <c r="R75" s="60">
        <f t="shared" si="6"/>
        <v>3</v>
      </c>
      <c r="S75" s="59">
        <f t="shared" si="7"/>
        <v>0</v>
      </c>
      <c r="T75" s="59" t="str">
        <f t="shared" si="5"/>
        <v>Machamp</v>
      </c>
    </row>
    <row r="76" spans="1:20" x14ac:dyDescent="0.25">
      <c r="A76" s="54">
        <v>75</v>
      </c>
      <c r="B76" s="68" t="s">
        <v>109</v>
      </c>
      <c r="C76" s="69" t="s">
        <v>108</v>
      </c>
      <c r="D76" s="54" t="s">
        <v>111</v>
      </c>
      <c r="E76" s="54">
        <v>31</v>
      </c>
      <c r="F76" s="54">
        <v>2</v>
      </c>
      <c r="G76" t="str">
        <f t="shared" si="4"/>
        <v>31_2</v>
      </c>
      <c r="H76" t="str">
        <f>IF(COUNTIFS($G:$G,G76)=1,G76,G76&amp;"-"&amp;COUNTIFS(G$2:G76,G76))</f>
        <v>31_2</v>
      </c>
      <c r="I76" s="54">
        <v>110</v>
      </c>
      <c r="J76" s="54">
        <v>164</v>
      </c>
      <c r="K76" s="54">
        <v>196</v>
      </c>
      <c r="L76" s="54" t="s">
        <v>110</v>
      </c>
      <c r="M76" s="54" t="s">
        <v>56</v>
      </c>
      <c r="N76" s="54">
        <v>100</v>
      </c>
      <c r="O76" s="54">
        <v>1</v>
      </c>
      <c r="Q76" s="59">
        <f>IF(COUNTIFS(Q$2:Q75,Q75)=COUNTIFS($E:$E,Q75),1,0)+Q75</f>
        <v>29</v>
      </c>
      <c r="R76" s="60">
        <f t="shared" si="6"/>
        <v>1</v>
      </c>
      <c r="S76" s="59">
        <f t="shared" si="7"/>
        <v>0</v>
      </c>
      <c r="T76" s="59" t="str">
        <f t="shared" si="5"/>
        <v>Bellsprout</v>
      </c>
    </row>
    <row r="77" spans="1:20" x14ac:dyDescent="0.25">
      <c r="A77" s="54">
        <v>76</v>
      </c>
      <c r="B77" s="68" t="s">
        <v>111</v>
      </c>
      <c r="C77" s="69" t="s">
        <v>109</v>
      </c>
      <c r="D77" s="54" t="s">
        <v>19</v>
      </c>
      <c r="E77" s="54">
        <v>31</v>
      </c>
      <c r="F77" s="54">
        <v>3</v>
      </c>
      <c r="G77" t="str">
        <f t="shared" si="4"/>
        <v>31_3</v>
      </c>
      <c r="H77" t="str">
        <f>IF(COUNTIFS($G:$G,G77)=1,G77,G77&amp;"-"&amp;COUNTIFS(G$2:G77,G77))</f>
        <v>31_3</v>
      </c>
      <c r="I77" s="54">
        <v>160</v>
      </c>
      <c r="J77" s="54">
        <v>211</v>
      </c>
      <c r="K77" s="54">
        <v>229</v>
      </c>
      <c r="L77" s="54" t="s">
        <v>110</v>
      </c>
      <c r="M77" s="54" t="s">
        <v>56</v>
      </c>
      <c r="N77" s="54">
        <v>0</v>
      </c>
      <c r="O77" s="54">
        <v>1</v>
      </c>
      <c r="Q77" s="59">
        <f>IF(COUNTIFS(Q$2:Q76,Q76)=COUNTIFS($E:$E,Q76),1,0)+Q76</f>
        <v>29</v>
      </c>
      <c r="R77" s="60">
        <f t="shared" si="6"/>
        <v>2</v>
      </c>
      <c r="S77" s="59">
        <f t="shared" si="7"/>
        <v>0</v>
      </c>
      <c r="T77" s="59" t="str">
        <f t="shared" si="5"/>
        <v>Weepinbell</v>
      </c>
    </row>
    <row r="78" spans="1:20" x14ac:dyDescent="0.25">
      <c r="A78" s="54">
        <v>77</v>
      </c>
      <c r="B78" s="68" t="s">
        <v>112</v>
      </c>
      <c r="C78" s="69" t="s">
        <v>19</v>
      </c>
      <c r="D78" s="54" t="s">
        <v>113</v>
      </c>
      <c r="E78" s="54">
        <v>32</v>
      </c>
      <c r="F78" s="54">
        <v>1</v>
      </c>
      <c r="G78" t="str">
        <f t="shared" si="4"/>
        <v>32_1</v>
      </c>
      <c r="H78" t="str">
        <f>IF(COUNTIFS($G:$G,G78)=1,G78,G78&amp;"-"&amp;COUNTIFS(G$2:G78,G78))</f>
        <v>32_1</v>
      </c>
      <c r="I78" s="54">
        <v>100</v>
      </c>
      <c r="J78" s="54">
        <v>170</v>
      </c>
      <c r="K78" s="54">
        <v>132</v>
      </c>
      <c r="L78" s="54" t="s">
        <v>26</v>
      </c>
      <c r="M78" s="54" t="s">
        <v>19</v>
      </c>
      <c r="N78" s="54">
        <v>50</v>
      </c>
      <c r="O78" s="54">
        <v>3</v>
      </c>
      <c r="Q78" s="59">
        <f>IF(COUNTIFS(Q$2:Q77,Q77)=COUNTIFS($E:$E,Q77),1,0)+Q77</f>
        <v>29</v>
      </c>
      <c r="R78" s="60">
        <f t="shared" si="6"/>
        <v>3</v>
      </c>
      <c r="S78" s="59">
        <f t="shared" si="7"/>
        <v>0</v>
      </c>
      <c r="T78" s="59" t="str">
        <f t="shared" si="5"/>
        <v>Victreebel</v>
      </c>
    </row>
    <row r="79" spans="1:20" x14ac:dyDescent="0.25">
      <c r="A79" s="54">
        <v>78</v>
      </c>
      <c r="B79" s="68" t="s">
        <v>113</v>
      </c>
      <c r="C79" s="69" t="s">
        <v>112</v>
      </c>
      <c r="D79" s="54" t="s">
        <v>19</v>
      </c>
      <c r="E79" s="54">
        <v>32</v>
      </c>
      <c r="F79" s="54">
        <v>2</v>
      </c>
      <c r="G79" t="str">
        <f t="shared" si="4"/>
        <v>32_2</v>
      </c>
      <c r="H79" t="str">
        <f>IF(COUNTIFS($G:$G,G79)=1,G79,G79&amp;"-"&amp;COUNTIFS(G$2:G79,G79))</f>
        <v>32_2</v>
      </c>
      <c r="I79" s="54">
        <v>130</v>
      </c>
      <c r="J79" s="54">
        <v>207</v>
      </c>
      <c r="K79" s="54">
        <v>167</v>
      </c>
      <c r="L79" s="54" t="s">
        <v>26</v>
      </c>
      <c r="M79" s="54" t="s">
        <v>19</v>
      </c>
      <c r="N79" s="54">
        <v>0</v>
      </c>
      <c r="O79" s="54">
        <v>3</v>
      </c>
      <c r="Q79" s="59">
        <f>IF(COUNTIFS(Q$2:Q78,Q78)=COUNTIFS($E:$E,Q78),1,0)+Q78</f>
        <v>30</v>
      </c>
      <c r="R79" s="60">
        <f t="shared" si="6"/>
        <v>1</v>
      </c>
      <c r="S79" s="59">
        <f t="shared" si="7"/>
        <v>0</v>
      </c>
      <c r="T79" s="59" t="str">
        <f t="shared" si="5"/>
        <v>Tentacool</v>
      </c>
    </row>
    <row r="80" spans="1:20" x14ac:dyDescent="0.25">
      <c r="A80" s="54">
        <v>79</v>
      </c>
      <c r="B80" s="68" t="s">
        <v>114</v>
      </c>
      <c r="C80" s="69" t="s">
        <v>19</v>
      </c>
      <c r="D80" s="54" t="s">
        <v>115</v>
      </c>
      <c r="E80" s="54">
        <v>33</v>
      </c>
      <c r="F80" s="54">
        <v>1</v>
      </c>
      <c r="G80" t="str">
        <f t="shared" si="4"/>
        <v>33_1</v>
      </c>
      <c r="H80" t="str">
        <f>IF(COUNTIFS($G:$G,G80)=1,G80,G80&amp;"-"&amp;COUNTIFS(G$2:G80,G80))</f>
        <v>33_1</v>
      </c>
      <c r="I80" s="54">
        <v>180</v>
      </c>
      <c r="J80" s="54">
        <v>109</v>
      </c>
      <c r="K80" s="54">
        <v>109</v>
      </c>
      <c r="L80" s="54" t="s">
        <v>31</v>
      </c>
      <c r="M80" s="54" t="s">
        <v>98</v>
      </c>
      <c r="N80" s="54">
        <v>50</v>
      </c>
      <c r="O80" s="54">
        <v>3</v>
      </c>
      <c r="Q80" s="59">
        <f>IF(COUNTIFS(Q$2:Q79,Q79)=COUNTIFS($E:$E,Q79),1,0)+Q79</f>
        <v>30</v>
      </c>
      <c r="R80" s="60">
        <f t="shared" si="6"/>
        <v>2</v>
      </c>
      <c r="S80" s="59">
        <f t="shared" si="7"/>
        <v>0</v>
      </c>
      <c r="T80" s="59" t="str">
        <f t="shared" si="5"/>
        <v>Tentacruel</v>
      </c>
    </row>
    <row r="81" spans="1:20" x14ac:dyDescent="0.25">
      <c r="A81" s="54">
        <v>80</v>
      </c>
      <c r="B81" s="54" t="s">
        <v>115</v>
      </c>
      <c r="C81" s="54" t="s">
        <v>114</v>
      </c>
      <c r="D81" s="54" t="s">
        <v>19</v>
      </c>
      <c r="E81" s="54">
        <v>33</v>
      </c>
      <c r="F81" s="54">
        <v>2</v>
      </c>
      <c r="G81" t="str">
        <f t="shared" si="4"/>
        <v>33_2</v>
      </c>
      <c r="H81" t="str">
        <f>IF(COUNTIFS($G:$G,G81)=1,G81,G81&amp;"-"&amp;COUNTIFS(G$2:G81,G81))</f>
        <v>33_2-1</v>
      </c>
      <c r="I81" s="54">
        <v>190</v>
      </c>
      <c r="J81" s="54">
        <v>177</v>
      </c>
      <c r="K81" s="54">
        <v>194</v>
      </c>
      <c r="L81" s="54" t="s">
        <v>31</v>
      </c>
      <c r="M81" s="54" t="s">
        <v>98</v>
      </c>
      <c r="N81" s="54">
        <v>0</v>
      </c>
      <c r="O81" s="54">
        <v>3</v>
      </c>
      <c r="Q81" s="59">
        <f>IF(COUNTIFS(Q$2:Q80,Q80)=COUNTIFS($E:$E,Q80),1,0)+Q80</f>
        <v>31</v>
      </c>
      <c r="R81" s="60">
        <f t="shared" si="6"/>
        <v>1</v>
      </c>
      <c r="S81" s="59">
        <f t="shared" si="7"/>
        <v>0</v>
      </c>
      <c r="T81" s="59" t="str">
        <f t="shared" si="5"/>
        <v>Geodude</v>
      </c>
    </row>
    <row r="82" spans="1:20" x14ac:dyDescent="0.25">
      <c r="A82" s="54">
        <v>81</v>
      </c>
      <c r="B82" s="54" t="s">
        <v>116</v>
      </c>
      <c r="C82" s="54" t="s">
        <v>19</v>
      </c>
      <c r="D82" s="54" t="s">
        <v>117</v>
      </c>
      <c r="E82" s="54">
        <v>34</v>
      </c>
      <c r="F82" s="54">
        <v>1</v>
      </c>
      <c r="G82" t="str">
        <f t="shared" si="4"/>
        <v>34_1</v>
      </c>
      <c r="H82" t="str">
        <f>IF(COUNTIFS($G:$G,G82)=1,G82,G82&amp;"-"&amp;COUNTIFS(G$2:G82,G82))</f>
        <v>34_1</v>
      </c>
      <c r="I82" s="54">
        <v>50</v>
      </c>
      <c r="J82" s="54">
        <v>165</v>
      </c>
      <c r="K82" s="54">
        <v>128</v>
      </c>
      <c r="L82" s="54" t="s">
        <v>53</v>
      </c>
      <c r="M82" s="54" t="s">
        <v>118</v>
      </c>
      <c r="N82" s="54">
        <v>50</v>
      </c>
      <c r="O82" s="54">
        <v>3</v>
      </c>
      <c r="Q82" s="59">
        <f>IF(COUNTIFS(Q$2:Q81,Q81)=COUNTIFS($E:$E,Q81),1,0)+Q81</f>
        <v>31</v>
      </c>
      <c r="R82" s="60">
        <f t="shared" si="6"/>
        <v>2</v>
      </c>
      <c r="S82" s="59">
        <f t="shared" si="7"/>
        <v>0</v>
      </c>
      <c r="T82" s="59" t="str">
        <f t="shared" si="5"/>
        <v>Graveler</v>
      </c>
    </row>
    <row r="83" spans="1:20" x14ac:dyDescent="0.25">
      <c r="A83" s="54">
        <v>82</v>
      </c>
      <c r="B83" s="54" t="s">
        <v>117</v>
      </c>
      <c r="C83" s="54" t="s">
        <v>116</v>
      </c>
      <c r="D83" s="54" t="s">
        <v>19</v>
      </c>
      <c r="E83" s="54">
        <v>34</v>
      </c>
      <c r="F83" s="54">
        <v>2</v>
      </c>
      <c r="G83" t="str">
        <f t="shared" si="4"/>
        <v>34_2</v>
      </c>
      <c r="H83" t="str">
        <f>IF(COUNTIFS($G:$G,G83)=1,G83,G83&amp;"-"&amp;COUNTIFS(G$2:G83,G83))</f>
        <v>34_2</v>
      </c>
      <c r="I83" s="54">
        <v>100</v>
      </c>
      <c r="J83" s="54">
        <v>223</v>
      </c>
      <c r="K83" s="54">
        <v>182</v>
      </c>
      <c r="L83" s="54" t="s">
        <v>53</v>
      </c>
      <c r="M83" s="54" t="s">
        <v>118</v>
      </c>
      <c r="N83" s="54">
        <v>0</v>
      </c>
      <c r="O83" s="54">
        <v>3</v>
      </c>
      <c r="Q83" s="59">
        <f>IF(COUNTIFS(Q$2:Q82,Q82)=COUNTIFS($E:$E,Q82),1,0)+Q82</f>
        <v>31</v>
      </c>
      <c r="R83" s="60">
        <f t="shared" si="6"/>
        <v>3</v>
      </c>
      <c r="S83" s="59">
        <f t="shared" si="7"/>
        <v>0</v>
      </c>
      <c r="T83" s="59" t="str">
        <f t="shared" si="5"/>
        <v>Golem</v>
      </c>
    </row>
    <row r="84" spans="1:20" x14ac:dyDescent="0.25">
      <c r="A84" s="54">
        <v>83</v>
      </c>
      <c r="B84" s="54" t="s">
        <v>119</v>
      </c>
      <c r="C84" s="54" t="s">
        <v>19</v>
      </c>
      <c r="D84" s="54" t="s">
        <v>19</v>
      </c>
      <c r="E84" s="54">
        <v>35</v>
      </c>
      <c r="F84" s="54">
        <v>1</v>
      </c>
      <c r="G84" t="str">
        <f t="shared" si="4"/>
        <v>35_1</v>
      </c>
      <c r="H84" t="str">
        <f>IF(COUNTIFS($G:$G,G84)=1,G84,G84&amp;"-"&amp;COUNTIFS(G$2:G84,G84))</f>
        <v>35_1</v>
      </c>
      <c r="I84" s="54">
        <v>104</v>
      </c>
      <c r="J84" s="54">
        <v>124</v>
      </c>
      <c r="K84" s="54">
        <v>118</v>
      </c>
      <c r="L84" s="54" t="s">
        <v>42</v>
      </c>
      <c r="M84" s="54" t="s">
        <v>28</v>
      </c>
      <c r="N84" s="54">
        <v>0</v>
      </c>
      <c r="O84" s="54">
        <v>3</v>
      </c>
      <c r="Q84" s="59">
        <f>IF(COUNTIFS(Q$2:Q83,Q83)=COUNTIFS($E:$E,Q83),1,0)+Q83</f>
        <v>32</v>
      </c>
      <c r="R84" s="60">
        <f t="shared" si="6"/>
        <v>1</v>
      </c>
      <c r="S84" s="59">
        <f t="shared" si="7"/>
        <v>0</v>
      </c>
      <c r="T84" s="59" t="str">
        <f t="shared" si="5"/>
        <v>Ponyta</v>
      </c>
    </row>
    <row r="85" spans="1:20" x14ac:dyDescent="0.25">
      <c r="A85" s="54">
        <v>84</v>
      </c>
      <c r="B85" s="54" t="s">
        <v>120</v>
      </c>
      <c r="C85" s="54" t="s">
        <v>19</v>
      </c>
      <c r="D85" s="54" t="s">
        <v>121</v>
      </c>
      <c r="E85" s="54">
        <v>36</v>
      </c>
      <c r="F85" s="54">
        <v>1</v>
      </c>
      <c r="G85" t="str">
        <f t="shared" si="4"/>
        <v>36_1</v>
      </c>
      <c r="H85" t="str">
        <f>IF(COUNTIFS($G:$G,G85)=1,G85,G85&amp;"-"&amp;COUNTIFS(G$2:G85,G85))</f>
        <v>36_1</v>
      </c>
      <c r="I85" s="54">
        <v>70</v>
      </c>
      <c r="J85" s="54">
        <v>158</v>
      </c>
      <c r="K85" s="54">
        <v>88</v>
      </c>
      <c r="L85" s="54" t="s">
        <v>42</v>
      </c>
      <c r="M85" s="54" t="s">
        <v>28</v>
      </c>
      <c r="N85" s="54">
        <v>50</v>
      </c>
      <c r="O85" s="54">
        <v>3</v>
      </c>
      <c r="Q85" s="59">
        <f>IF(COUNTIFS(Q$2:Q84,Q84)=COUNTIFS($E:$E,Q84),1,0)+Q84</f>
        <v>32</v>
      </c>
      <c r="R85" s="60">
        <f t="shared" si="6"/>
        <v>2</v>
      </c>
      <c r="S85" s="59">
        <f t="shared" si="7"/>
        <v>0</v>
      </c>
      <c r="T85" s="59" t="str">
        <f t="shared" si="5"/>
        <v>Rapidash</v>
      </c>
    </row>
    <row r="86" spans="1:20" x14ac:dyDescent="0.25">
      <c r="A86" s="54">
        <v>85</v>
      </c>
      <c r="B86" s="54" t="s">
        <v>121</v>
      </c>
      <c r="C86" s="54" t="s">
        <v>120</v>
      </c>
      <c r="D86" s="54" t="s">
        <v>19</v>
      </c>
      <c r="E86" s="54">
        <v>36</v>
      </c>
      <c r="F86" s="54">
        <v>2</v>
      </c>
      <c r="G86" t="str">
        <f t="shared" si="4"/>
        <v>36_2</v>
      </c>
      <c r="H86" t="str">
        <f>IF(COUNTIFS($G:$G,G86)=1,G86,G86&amp;"-"&amp;COUNTIFS(G$2:G86,G86))</f>
        <v>36_2</v>
      </c>
      <c r="I86" s="54">
        <v>120</v>
      </c>
      <c r="J86" s="54">
        <v>218</v>
      </c>
      <c r="K86" s="54">
        <v>145</v>
      </c>
      <c r="L86" s="54" t="s">
        <v>42</v>
      </c>
      <c r="M86" s="54" t="s">
        <v>28</v>
      </c>
      <c r="N86" s="54">
        <v>0</v>
      </c>
      <c r="O86" s="54">
        <v>3</v>
      </c>
      <c r="Q86" s="59">
        <f>IF(COUNTIFS(Q$2:Q85,Q85)=COUNTIFS($E:$E,Q85),1,0)+Q85</f>
        <v>33</v>
      </c>
      <c r="R86" s="60">
        <f t="shared" si="6"/>
        <v>1</v>
      </c>
      <c r="S86" s="59">
        <f t="shared" si="7"/>
        <v>0</v>
      </c>
      <c r="T86" s="59" t="str">
        <f t="shared" si="5"/>
        <v>Slowpoke</v>
      </c>
    </row>
    <row r="87" spans="1:20" x14ac:dyDescent="0.25">
      <c r="A87" s="54">
        <v>86</v>
      </c>
      <c r="B87" s="54" t="s">
        <v>122</v>
      </c>
      <c r="C87" s="54" t="s">
        <v>19</v>
      </c>
      <c r="D87" s="54" t="s">
        <v>123</v>
      </c>
      <c r="E87" s="54">
        <v>37</v>
      </c>
      <c r="F87" s="54">
        <v>1</v>
      </c>
      <c r="G87" t="str">
        <f t="shared" si="4"/>
        <v>37_1</v>
      </c>
      <c r="H87" t="str">
        <f>IF(COUNTIFS($G:$G,G87)=1,G87,G87&amp;"-"&amp;COUNTIFS(G$2:G87,G87))</f>
        <v>37_1</v>
      </c>
      <c r="I87" s="54">
        <v>130</v>
      </c>
      <c r="J87" s="54">
        <v>85</v>
      </c>
      <c r="K87" s="54">
        <v>128</v>
      </c>
      <c r="L87" s="54" t="s">
        <v>31</v>
      </c>
      <c r="M87" s="54" t="s">
        <v>19</v>
      </c>
      <c r="N87" s="54">
        <v>50</v>
      </c>
      <c r="O87" s="54">
        <v>3</v>
      </c>
      <c r="Q87" s="59">
        <f>IF(COUNTIFS(Q$2:Q86,Q86)=COUNTIFS($E:$E,Q86),1,0)+Q86</f>
        <v>33</v>
      </c>
      <c r="R87" s="60">
        <f t="shared" si="6"/>
        <v>2</v>
      </c>
      <c r="S87" s="59">
        <f t="shared" si="7"/>
        <v>1</v>
      </c>
      <c r="T87" s="59" t="str">
        <f t="shared" si="5"/>
        <v>Slowbro</v>
      </c>
    </row>
    <row r="88" spans="1:20" x14ac:dyDescent="0.25">
      <c r="A88" s="54">
        <v>87</v>
      </c>
      <c r="B88" s="54" t="s">
        <v>123</v>
      </c>
      <c r="C88" s="54" t="s">
        <v>122</v>
      </c>
      <c r="D88" s="54" t="s">
        <v>19</v>
      </c>
      <c r="E88" s="54">
        <v>37</v>
      </c>
      <c r="F88" s="54">
        <v>2</v>
      </c>
      <c r="G88" t="str">
        <f t="shared" si="4"/>
        <v>37_2</v>
      </c>
      <c r="H88" t="str">
        <f>IF(COUNTIFS($G:$G,G88)=1,G88,G88&amp;"-"&amp;COUNTIFS(G$2:G88,G88))</f>
        <v>37_2</v>
      </c>
      <c r="I88" s="54">
        <v>180</v>
      </c>
      <c r="J88" s="54">
        <v>139</v>
      </c>
      <c r="K88" s="54">
        <v>184</v>
      </c>
      <c r="L88" s="54" t="s">
        <v>31</v>
      </c>
      <c r="M88" s="54" t="s">
        <v>124</v>
      </c>
      <c r="N88" s="54">
        <v>0</v>
      </c>
      <c r="O88" s="54">
        <v>3</v>
      </c>
      <c r="Q88" s="59">
        <f>IF(COUNTIFS(Q$2:Q87,Q87)=COUNTIFS($E:$E,Q87),1,0)+Q87</f>
        <v>33</v>
      </c>
      <c r="R88" s="60">
        <f t="shared" si="6"/>
        <v>2</v>
      </c>
      <c r="S88" s="59">
        <f t="shared" si="7"/>
        <v>2</v>
      </c>
      <c r="T88" s="59" t="str">
        <f t="shared" si="5"/>
        <v>Slowking</v>
      </c>
    </row>
    <row r="89" spans="1:20" x14ac:dyDescent="0.25">
      <c r="A89" s="54">
        <v>88</v>
      </c>
      <c r="B89" s="54" t="s">
        <v>125</v>
      </c>
      <c r="C89" s="54" t="s">
        <v>19</v>
      </c>
      <c r="D89" s="54" t="s">
        <v>126</v>
      </c>
      <c r="E89" s="54">
        <v>38</v>
      </c>
      <c r="F89" s="54">
        <v>1</v>
      </c>
      <c r="G89" t="str">
        <f t="shared" si="4"/>
        <v>38_1</v>
      </c>
      <c r="H89" t="str">
        <f>IF(COUNTIFS($G:$G,G89)=1,G89,G89&amp;"-"&amp;COUNTIFS(G$2:G89,G89))</f>
        <v>38_1</v>
      </c>
      <c r="I89" s="54">
        <v>160</v>
      </c>
      <c r="J89" s="54">
        <v>135</v>
      </c>
      <c r="K89" s="54">
        <v>90</v>
      </c>
      <c r="L89" s="54" t="s">
        <v>22</v>
      </c>
      <c r="M89" s="54" t="s">
        <v>19</v>
      </c>
      <c r="N89" s="54">
        <v>50</v>
      </c>
      <c r="O89" s="54">
        <v>3</v>
      </c>
      <c r="Q89" s="59">
        <f>IF(COUNTIFS(Q$2:Q88,Q88)=COUNTIFS($E:$E,Q88),1,0)+Q88</f>
        <v>34</v>
      </c>
      <c r="R89" s="60">
        <f t="shared" si="6"/>
        <v>1</v>
      </c>
      <c r="S89" s="59">
        <f t="shared" si="7"/>
        <v>0</v>
      </c>
      <c r="T89" s="59" t="str">
        <f t="shared" si="5"/>
        <v>Magnemite</v>
      </c>
    </row>
    <row r="90" spans="1:20" x14ac:dyDescent="0.25">
      <c r="A90" s="54">
        <v>89</v>
      </c>
      <c r="B90" s="54" t="s">
        <v>126</v>
      </c>
      <c r="C90" s="54" t="s">
        <v>125</v>
      </c>
      <c r="D90" s="54" t="s">
        <v>19</v>
      </c>
      <c r="E90" s="54">
        <v>38</v>
      </c>
      <c r="F90" s="54">
        <v>2</v>
      </c>
      <c r="G90" t="str">
        <f t="shared" si="4"/>
        <v>38_2</v>
      </c>
      <c r="H90" t="str">
        <f>IF(COUNTIFS($G:$G,G90)=1,G90,G90&amp;"-"&amp;COUNTIFS(G$2:G90,G90))</f>
        <v>38_2</v>
      </c>
      <c r="I90" s="54">
        <v>210</v>
      </c>
      <c r="J90" s="54">
        <v>190</v>
      </c>
      <c r="K90" s="54">
        <v>184</v>
      </c>
      <c r="L90" s="54" t="s">
        <v>22</v>
      </c>
      <c r="M90" s="54" t="s">
        <v>19</v>
      </c>
      <c r="N90" s="54">
        <v>0</v>
      </c>
      <c r="O90" s="54">
        <v>3</v>
      </c>
      <c r="Q90" s="59">
        <f>IF(COUNTIFS(Q$2:Q89,Q89)=COUNTIFS($E:$E,Q89),1,0)+Q89</f>
        <v>34</v>
      </c>
      <c r="R90" s="60">
        <f t="shared" si="6"/>
        <v>2</v>
      </c>
      <c r="S90" s="59">
        <f t="shared" si="7"/>
        <v>0</v>
      </c>
      <c r="T90" s="59" t="str">
        <f t="shared" si="5"/>
        <v>Magneton</v>
      </c>
    </row>
    <row r="91" spans="1:20" x14ac:dyDescent="0.25">
      <c r="A91" s="54">
        <v>90</v>
      </c>
      <c r="B91" s="54" t="s">
        <v>127</v>
      </c>
      <c r="C91" s="54" t="s">
        <v>19</v>
      </c>
      <c r="D91" s="54" t="s">
        <v>128</v>
      </c>
      <c r="E91" s="54">
        <v>39</v>
      </c>
      <c r="F91" s="54">
        <v>1</v>
      </c>
      <c r="G91" t="str">
        <f t="shared" si="4"/>
        <v>39_1</v>
      </c>
      <c r="H91" t="str">
        <f>IF(COUNTIFS($G:$G,G91)=1,G91,G91&amp;"-"&amp;COUNTIFS(G$2:G91,G91))</f>
        <v>39_1</v>
      </c>
      <c r="I91" s="54">
        <v>60</v>
      </c>
      <c r="J91" s="54">
        <v>116</v>
      </c>
      <c r="K91" s="54">
        <v>168</v>
      </c>
      <c r="L91" s="54" t="s">
        <v>31</v>
      </c>
      <c r="M91" s="54" t="s">
        <v>19</v>
      </c>
      <c r="N91" s="54">
        <v>50</v>
      </c>
      <c r="O91" s="54">
        <v>3</v>
      </c>
      <c r="Q91" s="59">
        <f>IF(COUNTIFS(Q$2:Q90,Q90)=COUNTIFS($E:$E,Q90),1,0)+Q90</f>
        <v>35</v>
      </c>
      <c r="R91" s="60">
        <f t="shared" si="6"/>
        <v>1</v>
      </c>
      <c r="S91" s="59">
        <f t="shared" si="7"/>
        <v>0</v>
      </c>
      <c r="T91" s="59" t="str">
        <f t="shared" si="5"/>
        <v>Farfetch'd</v>
      </c>
    </row>
    <row r="92" spans="1:20" x14ac:dyDescent="0.25">
      <c r="A92" s="54">
        <v>91</v>
      </c>
      <c r="B92" s="54" t="s">
        <v>128</v>
      </c>
      <c r="C92" s="54" t="s">
        <v>127</v>
      </c>
      <c r="D92" s="54" t="s">
        <v>19</v>
      </c>
      <c r="E92" s="54">
        <v>39</v>
      </c>
      <c r="F92" s="54">
        <v>2</v>
      </c>
      <c r="G92" t="str">
        <f t="shared" si="4"/>
        <v>39_2</v>
      </c>
      <c r="H92" t="str">
        <f>IF(COUNTIFS($G:$G,G92)=1,G92,G92&amp;"-"&amp;COUNTIFS(G$2:G92,G92))</f>
        <v>39_2</v>
      </c>
      <c r="I92" s="54">
        <v>100</v>
      </c>
      <c r="J92" s="54">
        <v>186</v>
      </c>
      <c r="K92" s="54">
        <v>323</v>
      </c>
      <c r="L92" s="54" t="s">
        <v>31</v>
      </c>
      <c r="M92" s="54" t="s">
        <v>124</v>
      </c>
      <c r="N92" s="54">
        <v>0</v>
      </c>
      <c r="O92" s="54">
        <v>3</v>
      </c>
      <c r="Q92" s="59">
        <f>IF(COUNTIFS(Q$2:Q91,Q91)=COUNTIFS($E:$E,Q91),1,0)+Q91</f>
        <v>36</v>
      </c>
      <c r="R92" s="60">
        <f t="shared" si="6"/>
        <v>1</v>
      </c>
      <c r="S92" s="59">
        <f t="shared" si="7"/>
        <v>0</v>
      </c>
      <c r="T92" s="59" t="str">
        <f t="shared" si="5"/>
        <v>Doduo</v>
      </c>
    </row>
    <row r="93" spans="1:20" x14ac:dyDescent="0.25">
      <c r="A93" s="54">
        <v>92</v>
      </c>
      <c r="B93" s="54" t="s">
        <v>129</v>
      </c>
      <c r="C93" s="54" t="s">
        <v>19</v>
      </c>
      <c r="D93" s="54" t="s">
        <v>130</v>
      </c>
      <c r="E93" s="54">
        <v>40</v>
      </c>
      <c r="F93" s="54">
        <v>1</v>
      </c>
      <c r="G93" t="str">
        <f t="shared" si="4"/>
        <v>40_1</v>
      </c>
      <c r="H93" t="str">
        <f>IF(COUNTIFS($G:$G,G93)=1,G93,G93&amp;"-"&amp;COUNTIFS(G$2:G93,G93))</f>
        <v>40_1</v>
      </c>
      <c r="I93" s="54">
        <v>60</v>
      </c>
      <c r="J93" s="54">
        <v>186</v>
      </c>
      <c r="K93" s="54">
        <v>70</v>
      </c>
      <c r="L93" s="54" t="s">
        <v>131</v>
      </c>
      <c r="M93" s="54" t="s">
        <v>22</v>
      </c>
      <c r="N93" s="54">
        <v>25</v>
      </c>
      <c r="O93" s="54">
        <v>3</v>
      </c>
      <c r="Q93" s="59">
        <f>IF(COUNTIFS(Q$2:Q92,Q92)=COUNTIFS($E:$E,Q92),1,0)+Q92</f>
        <v>36</v>
      </c>
      <c r="R93" s="60">
        <f t="shared" si="6"/>
        <v>2</v>
      </c>
      <c r="S93" s="59">
        <f t="shared" si="7"/>
        <v>0</v>
      </c>
      <c r="T93" s="59" t="str">
        <f t="shared" si="5"/>
        <v>Dodrio</v>
      </c>
    </row>
    <row r="94" spans="1:20" x14ac:dyDescent="0.25">
      <c r="A94" s="54">
        <v>93</v>
      </c>
      <c r="B94" s="54" t="s">
        <v>130</v>
      </c>
      <c r="C94" s="54" t="s">
        <v>129</v>
      </c>
      <c r="D94" s="54" t="s">
        <v>132</v>
      </c>
      <c r="E94" s="54">
        <v>40</v>
      </c>
      <c r="F94" s="54">
        <v>2</v>
      </c>
      <c r="G94" t="str">
        <f t="shared" si="4"/>
        <v>40_2</v>
      </c>
      <c r="H94" t="str">
        <f>IF(COUNTIFS($G:$G,G94)=1,G94,G94&amp;"-"&amp;COUNTIFS(G$2:G94,G94))</f>
        <v>40_2</v>
      </c>
      <c r="I94" s="54">
        <v>90</v>
      </c>
      <c r="J94" s="54">
        <v>223</v>
      </c>
      <c r="K94" s="54">
        <v>112</v>
      </c>
      <c r="L94" s="54" t="s">
        <v>131</v>
      </c>
      <c r="M94" s="54" t="s">
        <v>22</v>
      </c>
      <c r="N94" s="54">
        <v>100</v>
      </c>
      <c r="O94" s="54">
        <v>3</v>
      </c>
      <c r="Q94" s="59">
        <f>IF(COUNTIFS(Q$2:Q93,Q93)=COUNTIFS($E:$E,Q93),1,0)+Q93</f>
        <v>37</v>
      </c>
      <c r="R94" s="60">
        <f t="shared" si="6"/>
        <v>1</v>
      </c>
      <c r="S94" s="59">
        <f t="shared" si="7"/>
        <v>0</v>
      </c>
      <c r="T94" s="59" t="str">
        <f t="shared" si="5"/>
        <v>Seel</v>
      </c>
    </row>
    <row r="95" spans="1:20" x14ac:dyDescent="0.25">
      <c r="A95" s="54">
        <v>94</v>
      </c>
      <c r="B95" s="54" t="s">
        <v>132</v>
      </c>
      <c r="C95" s="54" t="s">
        <v>130</v>
      </c>
      <c r="D95" s="54" t="s">
        <v>19</v>
      </c>
      <c r="E95" s="54">
        <v>40</v>
      </c>
      <c r="F95" s="54">
        <v>3</v>
      </c>
      <c r="G95" t="str">
        <f t="shared" si="4"/>
        <v>40_3</v>
      </c>
      <c r="H95" t="str">
        <f>IF(COUNTIFS($G:$G,G95)=1,G95,G95&amp;"-"&amp;COUNTIFS(G$2:G95,G95))</f>
        <v>40_3</v>
      </c>
      <c r="I95" s="54">
        <v>120</v>
      </c>
      <c r="J95" s="54">
        <v>261</v>
      </c>
      <c r="K95" s="54">
        <v>156</v>
      </c>
      <c r="L95" s="54" t="s">
        <v>131</v>
      </c>
      <c r="M95" s="54" t="s">
        <v>22</v>
      </c>
      <c r="N95" s="54">
        <v>0</v>
      </c>
      <c r="O95" s="54">
        <v>3</v>
      </c>
      <c r="Q95" s="59">
        <f>IF(COUNTIFS(Q$2:Q94,Q94)=COUNTIFS($E:$E,Q94),1,0)+Q94</f>
        <v>37</v>
      </c>
      <c r="R95" s="60">
        <f t="shared" si="6"/>
        <v>2</v>
      </c>
      <c r="S95" s="59">
        <f t="shared" si="7"/>
        <v>0</v>
      </c>
      <c r="T95" s="59" t="str">
        <f t="shared" si="5"/>
        <v>Dewgong</v>
      </c>
    </row>
    <row r="96" spans="1:20" x14ac:dyDescent="0.25">
      <c r="A96" s="54">
        <v>95</v>
      </c>
      <c r="B96" s="54" t="s">
        <v>133</v>
      </c>
      <c r="C96" s="54" t="s">
        <v>19</v>
      </c>
      <c r="D96" s="54" t="s">
        <v>134</v>
      </c>
      <c r="E96" s="54">
        <v>41</v>
      </c>
      <c r="F96" s="54">
        <v>1</v>
      </c>
      <c r="G96" t="str">
        <f t="shared" si="4"/>
        <v>41_1</v>
      </c>
      <c r="H96" t="str">
        <f>IF(COUNTIFS($G:$G,G96)=1,G96,G96&amp;"-"&amp;COUNTIFS(G$2:G96,G96))</f>
        <v>41_1</v>
      </c>
      <c r="I96" s="54">
        <v>70</v>
      </c>
      <c r="J96" s="54">
        <v>85</v>
      </c>
      <c r="K96" s="54">
        <v>288</v>
      </c>
      <c r="L96" s="54" t="s">
        <v>110</v>
      </c>
      <c r="M96" s="54" t="s">
        <v>56</v>
      </c>
      <c r="N96" s="54">
        <v>50</v>
      </c>
      <c r="O96" s="54">
        <v>5</v>
      </c>
      <c r="Q96" s="59">
        <f>IF(COUNTIFS(Q$2:Q95,Q95)=COUNTIFS($E:$E,Q95),1,0)+Q95</f>
        <v>38</v>
      </c>
      <c r="R96" s="60">
        <f t="shared" si="6"/>
        <v>1</v>
      </c>
      <c r="S96" s="59">
        <f t="shared" si="7"/>
        <v>0</v>
      </c>
      <c r="T96" s="59" t="str">
        <f t="shared" si="5"/>
        <v>Grimer</v>
      </c>
    </row>
    <row r="97" spans="1:20" x14ac:dyDescent="0.25">
      <c r="A97" s="54">
        <v>96</v>
      </c>
      <c r="B97" s="54" t="s">
        <v>135</v>
      </c>
      <c r="C97" s="54" t="s">
        <v>19</v>
      </c>
      <c r="D97" s="54" t="s">
        <v>136</v>
      </c>
      <c r="E97" s="54">
        <v>42</v>
      </c>
      <c r="F97" s="54">
        <v>1</v>
      </c>
      <c r="G97" t="str">
        <f t="shared" si="4"/>
        <v>42_1</v>
      </c>
      <c r="H97" t="str">
        <f>IF(COUNTIFS($G:$G,G97)=1,G97,G97&amp;"-"&amp;COUNTIFS(G$2:G97,G97))</f>
        <v>42_1</v>
      </c>
      <c r="I97" s="54">
        <v>120</v>
      </c>
      <c r="J97" s="54">
        <v>89</v>
      </c>
      <c r="K97" s="54">
        <v>158</v>
      </c>
      <c r="L97" s="54" t="s">
        <v>98</v>
      </c>
      <c r="M97" s="54" t="s">
        <v>19</v>
      </c>
      <c r="N97" s="54">
        <v>50</v>
      </c>
      <c r="O97" s="54">
        <v>3</v>
      </c>
      <c r="Q97" s="59">
        <f>IF(COUNTIFS(Q$2:Q96,Q96)=COUNTIFS($E:$E,Q96),1,0)+Q96</f>
        <v>38</v>
      </c>
      <c r="R97" s="60">
        <f t="shared" si="6"/>
        <v>2</v>
      </c>
      <c r="S97" s="59">
        <f t="shared" si="7"/>
        <v>0</v>
      </c>
      <c r="T97" s="59" t="str">
        <f t="shared" si="5"/>
        <v>Muk</v>
      </c>
    </row>
    <row r="98" spans="1:20" x14ac:dyDescent="0.25">
      <c r="A98" s="54">
        <v>97</v>
      </c>
      <c r="B98" s="54" t="s">
        <v>136</v>
      </c>
      <c r="C98" s="54" t="s">
        <v>135</v>
      </c>
      <c r="D98" s="54" t="s">
        <v>19</v>
      </c>
      <c r="E98" s="54">
        <v>42</v>
      </c>
      <c r="F98" s="54">
        <v>2</v>
      </c>
      <c r="G98" t="str">
        <f t="shared" si="4"/>
        <v>42_2</v>
      </c>
      <c r="H98" t="str">
        <f>IF(COUNTIFS($G:$G,G98)=1,G98,G98&amp;"-"&amp;COUNTIFS(G$2:G98,G98))</f>
        <v>42_2</v>
      </c>
      <c r="I98" s="54">
        <v>170</v>
      </c>
      <c r="J98" s="54">
        <v>144</v>
      </c>
      <c r="K98" s="54">
        <v>215</v>
      </c>
      <c r="L98" s="54" t="s">
        <v>98</v>
      </c>
      <c r="M98" s="54" t="s">
        <v>19</v>
      </c>
      <c r="N98" s="54">
        <v>0</v>
      </c>
      <c r="O98" s="54">
        <v>3</v>
      </c>
      <c r="Q98" s="59">
        <f>IF(COUNTIFS(Q$2:Q97,Q97)=COUNTIFS($E:$E,Q97),1,0)+Q97</f>
        <v>39</v>
      </c>
      <c r="R98" s="60">
        <f t="shared" si="6"/>
        <v>1</v>
      </c>
      <c r="S98" s="59">
        <f t="shared" si="7"/>
        <v>0</v>
      </c>
      <c r="T98" s="59" t="str">
        <f t="shared" si="5"/>
        <v>Shellder</v>
      </c>
    </row>
    <row r="99" spans="1:20" x14ac:dyDescent="0.25">
      <c r="A99" s="54">
        <v>98</v>
      </c>
      <c r="B99" s="54" t="s">
        <v>137</v>
      </c>
      <c r="C99" s="54" t="s">
        <v>19</v>
      </c>
      <c r="D99" s="54" t="s">
        <v>138</v>
      </c>
      <c r="E99" s="54">
        <v>43</v>
      </c>
      <c r="F99" s="54">
        <v>1</v>
      </c>
      <c r="G99" t="str">
        <f t="shared" si="4"/>
        <v>43_1</v>
      </c>
      <c r="H99" t="str">
        <f>IF(COUNTIFS($G:$G,G99)=1,G99,G99&amp;"-"&amp;COUNTIFS(G$2:G99,G99))</f>
        <v>43_1</v>
      </c>
      <c r="I99" s="54">
        <v>60</v>
      </c>
      <c r="J99" s="54">
        <v>181</v>
      </c>
      <c r="K99" s="54">
        <v>156</v>
      </c>
      <c r="L99" s="54" t="s">
        <v>31</v>
      </c>
      <c r="M99" s="54" t="s">
        <v>19</v>
      </c>
      <c r="N99" s="54">
        <v>50</v>
      </c>
      <c r="O99" s="54">
        <v>3</v>
      </c>
      <c r="Q99" s="59">
        <f>IF(COUNTIFS(Q$2:Q98,Q98)=COUNTIFS($E:$E,Q98),1,0)+Q98</f>
        <v>39</v>
      </c>
      <c r="R99" s="60">
        <f t="shared" si="6"/>
        <v>2</v>
      </c>
      <c r="S99" s="59">
        <f t="shared" si="7"/>
        <v>0</v>
      </c>
      <c r="T99" s="59" t="str">
        <f t="shared" si="5"/>
        <v>Cloyster</v>
      </c>
    </row>
    <row r="100" spans="1:20" x14ac:dyDescent="0.25">
      <c r="A100" s="54">
        <v>99</v>
      </c>
      <c r="B100" s="54" t="s">
        <v>138</v>
      </c>
      <c r="C100" s="54" t="s">
        <v>137</v>
      </c>
      <c r="D100" s="54" t="s">
        <v>19</v>
      </c>
      <c r="E100" s="54">
        <v>43</v>
      </c>
      <c r="F100" s="54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 s="54">
        <v>110</v>
      </c>
      <c r="J100" s="54">
        <v>240</v>
      </c>
      <c r="K100" s="54">
        <v>214</v>
      </c>
      <c r="L100" s="54" t="s">
        <v>31</v>
      </c>
      <c r="M100" s="54" t="s">
        <v>19</v>
      </c>
      <c r="N100" s="54">
        <v>0</v>
      </c>
      <c r="O100" s="54">
        <v>3</v>
      </c>
      <c r="Q100" s="59">
        <f>IF(COUNTIFS(Q$2:Q99,Q99)=COUNTIFS($E:$E,Q99),1,0)+Q99</f>
        <v>40</v>
      </c>
      <c r="R100" s="60">
        <f t="shared" si="6"/>
        <v>1</v>
      </c>
      <c r="S100" s="59">
        <f t="shared" si="7"/>
        <v>0</v>
      </c>
      <c r="T100" s="59" t="str">
        <f t="shared" si="5"/>
        <v>Gastly</v>
      </c>
    </row>
    <row r="101" spans="1:20" x14ac:dyDescent="0.25">
      <c r="A101" s="54">
        <v>100</v>
      </c>
      <c r="B101" s="54" t="s">
        <v>139</v>
      </c>
      <c r="C101" s="54" t="s">
        <v>19</v>
      </c>
      <c r="D101" s="54" t="s">
        <v>140</v>
      </c>
      <c r="E101" s="54">
        <v>44</v>
      </c>
      <c r="F101" s="54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 s="54">
        <v>80</v>
      </c>
      <c r="J101" s="54">
        <v>109</v>
      </c>
      <c r="K101" s="54">
        <v>114</v>
      </c>
      <c r="L101" s="54" t="s">
        <v>53</v>
      </c>
      <c r="M101" s="54" t="s">
        <v>19</v>
      </c>
      <c r="N101" s="54">
        <v>50</v>
      </c>
      <c r="O101" s="54">
        <v>3</v>
      </c>
      <c r="Q101" s="59">
        <f>IF(COUNTIFS(Q$2:Q100,Q100)=COUNTIFS($E:$E,Q100),1,0)+Q100</f>
        <v>40</v>
      </c>
      <c r="R101" s="60">
        <f t="shared" si="6"/>
        <v>2</v>
      </c>
      <c r="S101" s="59">
        <f t="shared" si="7"/>
        <v>0</v>
      </c>
      <c r="T101" s="59" t="str">
        <f t="shared" si="5"/>
        <v>Haunter</v>
      </c>
    </row>
    <row r="102" spans="1:20" x14ac:dyDescent="0.25">
      <c r="A102" s="54">
        <v>101</v>
      </c>
      <c r="B102" s="54" t="s">
        <v>140</v>
      </c>
      <c r="C102" s="54" t="s">
        <v>139</v>
      </c>
      <c r="D102" s="54" t="s">
        <v>19</v>
      </c>
      <c r="E102" s="54">
        <v>44</v>
      </c>
      <c r="F102" s="54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 s="54">
        <v>120</v>
      </c>
      <c r="J102" s="54">
        <v>173</v>
      </c>
      <c r="K102" s="54">
        <v>179</v>
      </c>
      <c r="L102" s="54" t="s">
        <v>53</v>
      </c>
      <c r="M102" s="54" t="s">
        <v>19</v>
      </c>
      <c r="N102" s="54">
        <v>0</v>
      </c>
      <c r="O102" s="54">
        <v>3</v>
      </c>
      <c r="Q102" s="59">
        <f>IF(COUNTIFS(Q$2:Q101,Q101)=COUNTIFS($E:$E,Q101),1,0)+Q101</f>
        <v>40</v>
      </c>
      <c r="R102" s="60">
        <f t="shared" si="6"/>
        <v>3</v>
      </c>
      <c r="S102" s="59">
        <f t="shared" si="7"/>
        <v>0</v>
      </c>
      <c r="T102" s="59" t="str">
        <f t="shared" si="5"/>
        <v>Gengar</v>
      </c>
    </row>
    <row r="103" spans="1:20" x14ac:dyDescent="0.25">
      <c r="A103" s="54">
        <v>102</v>
      </c>
      <c r="B103" s="54" t="s">
        <v>141</v>
      </c>
      <c r="C103" s="54" t="s">
        <v>19</v>
      </c>
      <c r="D103" s="54" t="s">
        <v>142</v>
      </c>
      <c r="E103" s="54">
        <v>45</v>
      </c>
      <c r="F103" s="54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 s="54">
        <v>120</v>
      </c>
      <c r="J103" s="54">
        <v>107</v>
      </c>
      <c r="K103" s="54">
        <v>140</v>
      </c>
      <c r="L103" s="54" t="s">
        <v>21</v>
      </c>
      <c r="M103" s="54" t="s">
        <v>98</v>
      </c>
      <c r="N103" s="54">
        <v>50</v>
      </c>
      <c r="O103" s="54">
        <v>3</v>
      </c>
      <c r="Q103" s="59">
        <f>IF(COUNTIFS(Q$2:Q102,Q102)=COUNTIFS($E:$E,Q102),1,0)+Q102</f>
        <v>41</v>
      </c>
      <c r="R103" s="60">
        <f t="shared" si="6"/>
        <v>1</v>
      </c>
      <c r="S103" s="59">
        <f t="shared" si="7"/>
        <v>0</v>
      </c>
      <c r="T103" s="59" t="str">
        <f t="shared" si="5"/>
        <v>Onix</v>
      </c>
    </row>
    <row r="104" spans="1:20" x14ac:dyDescent="0.25">
      <c r="A104" s="54">
        <v>103</v>
      </c>
      <c r="B104" s="54" t="s">
        <v>142</v>
      </c>
      <c r="C104" s="54" t="s">
        <v>141</v>
      </c>
      <c r="D104" s="54" t="s">
        <v>19</v>
      </c>
      <c r="E104" s="54">
        <v>45</v>
      </c>
      <c r="F104" s="5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 s="54">
        <v>190</v>
      </c>
      <c r="J104" s="54">
        <v>233</v>
      </c>
      <c r="K104" s="54">
        <v>158</v>
      </c>
      <c r="L104" s="54" t="s">
        <v>21</v>
      </c>
      <c r="M104" s="54" t="s">
        <v>98</v>
      </c>
      <c r="N104" s="54">
        <v>0</v>
      </c>
      <c r="O104" s="54">
        <v>3</v>
      </c>
      <c r="Q104" s="59">
        <f>IF(COUNTIFS(Q$2:Q103,Q103)=COUNTIFS($E:$E,Q103),1,0)+Q103</f>
        <v>41</v>
      </c>
      <c r="R104" s="60">
        <f t="shared" si="6"/>
        <v>2</v>
      </c>
      <c r="S104" s="59">
        <f t="shared" si="7"/>
        <v>0</v>
      </c>
      <c r="T104" s="59" t="str">
        <f t="shared" si="5"/>
        <v>Steelix</v>
      </c>
    </row>
    <row r="105" spans="1:20" x14ac:dyDescent="0.25">
      <c r="A105" s="54">
        <v>104</v>
      </c>
      <c r="B105" s="54" t="s">
        <v>143</v>
      </c>
      <c r="C105" s="54" t="s">
        <v>19</v>
      </c>
      <c r="D105" s="54" t="s">
        <v>144</v>
      </c>
      <c r="E105" s="54">
        <v>46</v>
      </c>
      <c r="F105" s="54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 s="54">
        <v>100</v>
      </c>
      <c r="J105" s="54">
        <v>90</v>
      </c>
      <c r="K105" s="54">
        <v>165</v>
      </c>
      <c r="L105" s="54" t="s">
        <v>56</v>
      </c>
      <c r="M105" s="54" t="s">
        <v>19</v>
      </c>
      <c r="N105" s="54">
        <v>50</v>
      </c>
      <c r="O105" s="54">
        <v>3</v>
      </c>
      <c r="Q105" s="59">
        <f>IF(COUNTIFS(Q$2:Q104,Q104)=COUNTIFS($E:$E,Q104),1,0)+Q104</f>
        <v>42</v>
      </c>
      <c r="R105" s="60">
        <f t="shared" si="6"/>
        <v>1</v>
      </c>
      <c r="S105" s="59">
        <f t="shared" si="7"/>
        <v>0</v>
      </c>
      <c r="T105" s="59" t="str">
        <f t="shared" si="5"/>
        <v>Drowzee</v>
      </c>
    </row>
    <row r="106" spans="1:20" x14ac:dyDescent="0.25">
      <c r="A106" s="54">
        <v>105</v>
      </c>
      <c r="B106" s="54" t="s">
        <v>144</v>
      </c>
      <c r="C106" s="54" t="s">
        <v>143</v>
      </c>
      <c r="D106" s="54" t="s">
        <v>19</v>
      </c>
      <c r="E106" s="54">
        <v>46</v>
      </c>
      <c r="F106" s="54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 s="54">
        <v>120</v>
      </c>
      <c r="J106" s="54">
        <v>144</v>
      </c>
      <c r="K106" s="54">
        <v>200</v>
      </c>
      <c r="L106" s="54" t="s">
        <v>56</v>
      </c>
      <c r="M106" s="54" t="s">
        <v>19</v>
      </c>
      <c r="N106" s="54">
        <v>0</v>
      </c>
      <c r="O106" s="54">
        <v>3</v>
      </c>
      <c r="Q106" s="59">
        <f>IF(COUNTIFS(Q$2:Q105,Q105)=COUNTIFS($E:$E,Q105),1,0)+Q105</f>
        <v>42</v>
      </c>
      <c r="R106" s="60">
        <f t="shared" si="6"/>
        <v>2</v>
      </c>
      <c r="S106" s="59">
        <f t="shared" si="7"/>
        <v>0</v>
      </c>
      <c r="T106" s="59" t="str">
        <f t="shared" si="5"/>
        <v>Hypno</v>
      </c>
    </row>
    <row r="107" spans="1:20" x14ac:dyDescent="0.25">
      <c r="A107" s="54">
        <v>106</v>
      </c>
      <c r="B107" s="54" t="s">
        <v>145</v>
      </c>
      <c r="C107" s="54" t="s">
        <v>276</v>
      </c>
      <c r="D107" s="54" t="s">
        <v>19</v>
      </c>
      <c r="E107" s="54">
        <v>121</v>
      </c>
      <c r="F107" s="54">
        <v>2</v>
      </c>
      <c r="G107" t="str">
        <f t="shared" si="4"/>
        <v>121_2</v>
      </c>
      <c r="H107" t="str">
        <f>IF(COUNTIFS($G:$G,G107)=1,G107,G107&amp;"-"&amp;COUNTIFS(G$2:G107,G107))</f>
        <v>121_2-1</v>
      </c>
      <c r="I107" s="54">
        <v>100</v>
      </c>
      <c r="J107" s="54">
        <v>224</v>
      </c>
      <c r="K107" s="54">
        <v>211</v>
      </c>
      <c r="L107" s="54" t="s">
        <v>90</v>
      </c>
      <c r="M107" s="54" t="s">
        <v>19</v>
      </c>
      <c r="N107" s="54">
        <v>0</v>
      </c>
      <c r="O107" s="54">
        <v>5</v>
      </c>
      <c r="Q107" s="59">
        <f>IF(COUNTIFS(Q$2:Q106,Q106)=COUNTIFS($E:$E,Q106),1,0)+Q106</f>
        <v>43</v>
      </c>
      <c r="R107" s="60">
        <f t="shared" si="6"/>
        <v>1</v>
      </c>
      <c r="S107" s="59">
        <f t="shared" si="7"/>
        <v>0</v>
      </c>
      <c r="T107" s="59" t="str">
        <f t="shared" si="5"/>
        <v>Krabby</v>
      </c>
    </row>
    <row r="108" spans="1:20" x14ac:dyDescent="0.25">
      <c r="A108" s="54">
        <v>107</v>
      </c>
      <c r="B108" s="54" t="s">
        <v>146</v>
      </c>
      <c r="C108" s="54" t="s">
        <v>276</v>
      </c>
      <c r="D108" s="54" t="s">
        <v>19</v>
      </c>
      <c r="E108" s="54">
        <v>121</v>
      </c>
      <c r="F108" s="54">
        <v>2</v>
      </c>
      <c r="G108" t="str">
        <f t="shared" si="4"/>
        <v>121_2</v>
      </c>
      <c r="H108" t="str">
        <f>IF(COUNTIFS($G:$G,G108)=1,G108,G108&amp;"-"&amp;COUNTIFS(G$2:G108,G108))</f>
        <v>121_2-2</v>
      </c>
      <c r="I108" s="54">
        <v>100</v>
      </c>
      <c r="J108" s="54">
        <v>193</v>
      </c>
      <c r="K108" s="54">
        <v>212</v>
      </c>
      <c r="L108" s="54" t="s">
        <v>90</v>
      </c>
      <c r="M108" s="54" t="s">
        <v>19</v>
      </c>
      <c r="N108" s="54">
        <v>0</v>
      </c>
      <c r="O108" s="54">
        <v>5</v>
      </c>
      <c r="Q108" s="59">
        <f>IF(COUNTIFS(Q$2:Q107,Q107)=COUNTIFS($E:$E,Q107),1,0)+Q107</f>
        <v>43</v>
      </c>
      <c r="R108" s="60">
        <f t="shared" si="6"/>
        <v>2</v>
      </c>
      <c r="S108" s="59">
        <f t="shared" si="7"/>
        <v>0</v>
      </c>
      <c r="T108" s="59" t="str">
        <f t="shared" si="5"/>
        <v>Kingler</v>
      </c>
    </row>
    <row r="109" spans="1:20" x14ac:dyDescent="0.25">
      <c r="A109" s="54">
        <v>108</v>
      </c>
      <c r="B109" s="54" t="s">
        <v>147</v>
      </c>
      <c r="C109" s="54" t="s">
        <v>19</v>
      </c>
      <c r="D109" s="54" t="s">
        <v>19</v>
      </c>
      <c r="E109" s="54">
        <v>47</v>
      </c>
      <c r="F109" s="54">
        <v>1</v>
      </c>
      <c r="G109" t="str">
        <f t="shared" si="4"/>
        <v>47_1</v>
      </c>
      <c r="H109" t="str">
        <f>IF(COUNTIFS($G:$G,G109)=1,G109,G109&amp;"-"&amp;COUNTIFS(G$2:G109,G109))</f>
        <v>47_1</v>
      </c>
      <c r="I109" s="54">
        <v>180</v>
      </c>
      <c r="J109" s="54">
        <v>108</v>
      </c>
      <c r="K109" s="54">
        <v>137</v>
      </c>
      <c r="L109" s="54" t="s">
        <v>42</v>
      </c>
      <c r="M109" s="54" t="s">
        <v>19</v>
      </c>
      <c r="N109" s="54">
        <v>0</v>
      </c>
      <c r="O109" s="54">
        <v>3</v>
      </c>
      <c r="Q109" s="59">
        <f>IF(COUNTIFS(Q$2:Q108,Q108)=COUNTIFS($E:$E,Q108),1,0)+Q108</f>
        <v>44</v>
      </c>
      <c r="R109" s="60">
        <f t="shared" si="6"/>
        <v>1</v>
      </c>
      <c r="S109" s="59">
        <f t="shared" si="7"/>
        <v>0</v>
      </c>
      <c r="T109" s="59" t="str">
        <f t="shared" si="5"/>
        <v>Voltorb</v>
      </c>
    </row>
    <row r="110" spans="1:20" x14ac:dyDescent="0.25">
      <c r="A110" s="54">
        <v>109</v>
      </c>
      <c r="B110" s="54" t="s">
        <v>148</v>
      </c>
      <c r="C110" s="54" t="s">
        <v>19</v>
      </c>
      <c r="D110" s="54" t="s">
        <v>149</v>
      </c>
      <c r="E110" s="54">
        <v>48</v>
      </c>
      <c r="F110" s="54">
        <v>1</v>
      </c>
      <c r="G110" t="str">
        <f t="shared" si="4"/>
        <v>48_1</v>
      </c>
      <c r="H110" t="str">
        <f>IF(COUNTIFS($G:$G,G110)=1,G110,G110&amp;"-"&amp;COUNTIFS(G$2:G110,G110))</f>
        <v>48_1</v>
      </c>
      <c r="I110" s="54">
        <v>80</v>
      </c>
      <c r="J110" s="54">
        <v>119</v>
      </c>
      <c r="K110" s="54">
        <v>164</v>
      </c>
      <c r="L110" s="54" t="s">
        <v>22</v>
      </c>
      <c r="M110" s="54" t="s">
        <v>19</v>
      </c>
      <c r="N110" s="54">
        <v>50</v>
      </c>
      <c r="O110" s="54">
        <v>3</v>
      </c>
      <c r="Q110" s="59">
        <f>IF(COUNTIFS(Q$2:Q109,Q109)=COUNTIFS($E:$E,Q109),1,0)+Q109</f>
        <v>44</v>
      </c>
      <c r="R110" s="60">
        <f t="shared" si="6"/>
        <v>2</v>
      </c>
      <c r="S110" s="59">
        <f t="shared" si="7"/>
        <v>0</v>
      </c>
      <c r="T110" s="59" t="str">
        <f t="shared" si="5"/>
        <v>Electrode</v>
      </c>
    </row>
    <row r="111" spans="1:20" x14ac:dyDescent="0.25">
      <c r="A111" s="54">
        <v>110</v>
      </c>
      <c r="B111" s="54" t="s">
        <v>149</v>
      </c>
      <c r="C111" s="54" t="s">
        <v>148</v>
      </c>
      <c r="D111" s="54" t="s">
        <v>19</v>
      </c>
      <c r="E111" s="54">
        <v>48</v>
      </c>
      <c r="F111" s="54">
        <v>2</v>
      </c>
      <c r="G111" t="str">
        <f t="shared" si="4"/>
        <v>48_2</v>
      </c>
      <c r="H111" t="str">
        <f>IF(COUNTIFS($G:$G,G111)=1,G111,G111&amp;"-"&amp;COUNTIFS(G$2:G111,G111))</f>
        <v>48_2</v>
      </c>
      <c r="I111" s="54">
        <v>130</v>
      </c>
      <c r="J111" s="54">
        <v>174</v>
      </c>
      <c r="K111" s="54">
        <v>221</v>
      </c>
      <c r="L111" s="54" t="s">
        <v>22</v>
      </c>
      <c r="M111" s="54" t="s">
        <v>19</v>
      </c>
      <c r="N111" s="54">
        <v>0</v>
      </c>
      <c r="O111" s="54">
        <v>3</v>
      </c>
      <c r="Q111" s="59">
        <f>IF(COUNTIFS(Q$2:Q110,Q110)=COUNTIFS($E:$E,Q110),1,0)+Q110</f>
        <v>45</v>
      </c>
      <c r="R111" s="60">
        <f t="shared" si="6"/>
        <v>1</v>
      </c>
      <c r="S111" s="59">
        <f t="shared" si="7"/>
        <v>0</v>
      </c>
      <c r="T111" s="59" t="str">
        <f t="shared" si="5"/>
        <v>Exeggcute</v>
      </c>
    </row>
    <row r="112" spans="1:20" x14ac:dyDescent="0.25">
      <c r="A112" s="54">
        <v>111</v>
      </c>
      <c r="B112" s="54" t="s">
        <v>150</v>
      </c>
      <c r="C112" s="54" t="s">
        <v>19</v>
      </c>
      <c r="D112" s="54" t="s">
        <v>151</v>
      </c>
      <c r="E112" s="54">
        <v>49</v>
      </c>
      <c r="F112" s="54">
        <v>1</v>
      </c>
      <c r="G112" t="str">
        <f t="shared" si="4"/>
        <v>49_1</v>
      </c>
      <c r="H112" t="str">
        <f>IF(COUNTIFS($G:$G,G112)=1,G112,G112&amp;"-"&amp;COUNTIFS(G$2:G112,G112))</f>
        <v>49_1</v>
      </c>
      <c r="I112" s="54">
        <v>160</v>
      </c>
      <c r="J112" s="54">
        <v>140</v>
      </c>
      <c r="K112" s="54">
        <v>157</v>
      </c>
      <c r="L112" s="54" t="s">
        <v>56</v>
      </c>
      <c r="M112" s="54" t="s">
        <v>110</v>
      </c>
      <c r="N112" s="54">
        <v>50</v>
      </c>
      <c r="O112" s="54">
        <v>3</v>
      </c>
      <c r="Q112" s="59">
        <f>IF(COUNTIFS(Q$2:Q111,Q111)=COUNTIFS($E:$E,Q111),1,0)+Q111</f>
        <v>45</v>
      </c>
      <c r="R112" s="60">
        <f t="shared" si="6"/>
        <v>2</v>
      </c>
      <c r="S112" s="59">
        <f t="shared" si="7"/>
        <v>0</v>
      </c>
      <c r="T112" s="59" t="str">
        <f t="shared" si="5"/>
        <v>Exeggutor</v>
      </c>
    </row>
    <row r="113" spans="1:20" x14ac:dyDescent="0.25">
      <c r="A113" s="54">
        <v>112</v>
      </c>
      <c r="B113" s="54" t="s">
        <v>151</v>
      </c>
      <c r="C113" s="54" t="s">
        <v>150</v>
      </c>
      <c r="D113" s="54" t="s">
        <v>19</v>
      </c>
      <c r="E113" s="54">
        <v>49</v>
      </c>
      <c r="F113" s="54">
        <v>2</v>
      </c>
      <c r="G113" t="str">
        <f t="shared" si="4"/>
        <v>49_2</v>
      </c>
      <c r="H113" t="str">
        <f>IF(COUNTIFS($G:$G,G113)=1,G113,G113&amp;"-"&amp;COUNTIFS(G$2:G113,G113))</f>
        <v>49_2</v>
      </c>
      <c r="I113" s="54">
        <v>210</v>
      </c>
      <c r="J113" s="54">
        <v>222</v>
      </c>
      <c r="K113" s="54">
        <v>206</v>
      </c>
      <c r="L113" s="54" t="s">
        <v>56</v>
      </c>
      <c r="M113" s="54" t="s">
        <v>110</v>
      </c>
      <c r="N113" s="54">
        <v>0</v>
      </c>
      <c r="O113" s="54">
        <v>3</v>
      </c>
      <c r="Q113" s="59">
        <f>IF(COUNTIFS(Q$2:Q112,Q112)=COUNTIFS($E:$E,Q112),1,0)+Q112</f>
        <v>46</v>
      </c>
      <c r="R113" s="60">
        <f t="shared" si="6"/>
        <v>1</v>
      </c>
      <c r="S113" s="59">
        <f t="shared" si="7"/>
        <v>0</v>
      </c>
      <c r="T113" s="59" t="str">
        <f t="shared" si="5"/>
        <v>Cubone</v>
      </c>
    </row>
    <row r="114" spans="1:20" x14ac:dyDescent="0.25">
      <c r="A114" s="54">
        <v>113</v>
      </c>
      <c r="B114" s="54" t="s">
        <v>152</v>
      </c>
      <c r="C114" s="54" t="s">
        <v>19</v>
      </c>
      <c r="D114" s="54" t="s">
        <v>153</v>
      </c>
      <c r="E114" s="54">
        <v>50</v>
      </c>
      <c r="F114" s="54">
        <v>1</v>
      </c>
      <c r="G114" t="str">
        <f t="shared" si="4"/>
        <v>50_1</v>
      </c>
      <c r="H114" t="str">
        <f>IF(COUNTIFS($G:$G,G114)=1,G114,G114&amp;"-"&amp;COUNTIFS(G$2:G114,G114))</f>
        <v>50_1</v>
      </c>
      <c r="I114" s="54">
        <v>500</v>
      </c>
      <c r="J114" s="54">
        <v>60</v>
      </c>
      <c r="K114" s="54">
        <v>176</v>
      </c>
      <c r="L114" s="54" t="s">
        <v>42</v>
      </c>
      <c r="M114" s="54" t="s">
        <v>19</v>
      </c>
      <c r="N114" s="54">
        <v>50</v>
      </c>
      <c r="O114" s="54">
        <v>5</v>
      </c>
      <c r="Q114" s="59">
        <f>IF(COUNTIFS(Q$2:Q113,Q113)=COUNTIFS($E:$E,Q113),1,0)+Q113</f>
        <v>46</v>
      </c>
      <c r="R114" s="60">
        <f t="shared" si="6"/>
        <v>2</v>
      </c>
      <c r="S114" s="59">
        <f t="shared" si="7"/>
        <v>0</v>
      </c>
      <c r="T114" s="59" t="str">
        <f t="shared" si="5"/>
        <v>Marowak</v>
      </c>
    </row>
    <row r="115" spans="1:20" x14ac:dyDescent="0.25">
      <c r="A115" s="54">
        <v>114</v>
      </c>
      <c r="B115" s="54" t="s">
        <v>154</v>
      </c>
      <c r="C115" s="54" t="s">
        <v>19</v>
      </c>
      <c r="D115" s="54" t="s">
        <v>19</v>
      </c>
      <c r="E115" s="54">
        <v>51</v>
      </c>
      <c r="F115" s="54">
        <v>1</v>
      </c>
      <c r="G115" t="str">
        <f t="shared" si="4"/>
        <v>51_1</v>
      </c>
      <c r="H115" t="str">
        <f>IF(COUNTIFS($G:$G,G115)=1,G115,G115&amp;"-"&amp;COUNTIFS(G$2:G115,G115))</f>
        <v>51_1</v>
      </c>
      <c r="I115" s="54">
        <v>130</v>
      </c>
      <c r="J115" s="54">
        <v>183</v>
      </c>
      <c r="K115" s="54">
        <v>205</v>
      </c>
      <c r="L115" s="54" t="s">
        <v>21</v>
      </c>
      <c r="M115" s="54" t="s">
        <v>19</v>
      </c>
      <c r="N115" s="54">
        <v>0</v>
      </c>
      <c r="O115" s="54">
        <v>3</v>
      </c>
      <c r="Q115" s="59">
        <f>IF(COUNTIFS(Q$2:Q114,Q114)=COUNTIFS($E:$E,Q114),1,0)+Q114</f>
        <v>47</v>
      </c>
      <c r="R115" s="60">
        <f t="shared" si="6"/>
        <v>1</v>
      </c>
      <c r="S115" s="59">
        <f t="shared" si="7"/>
        <v>0</v>
      </c>
      <c r="T115" s="59" t="str">
        <f t="shared" si="5"/>
        <v>Lickitung</v>
      </c>
    </row>
    <row r="116" spans="1:20" x14ac:dyDescent="0.25">
      <c r="A116" s="54">
        <v>115</v>
      </c>
      <c r="B116" s="54" t="s">
        <v>155</v>
      </c>
      <c r="C116" s="54" t="s">
        <v>19</v>
      </c>
      <c r="D116" s="54" t="s">
        <v>19</v>
      </c>
      <c r="E116" s="54">
        <v>52</v>
      </c>
      <c r="F116" s="54">
        <v>1</v>
      </c>
      <c r="G116" t="str">
        <f t="shared" si="4"/>
        <v>52_1</v>
      </c>
      <c r="H116" t="str">
        <f>IF(COUNTIFS($G:$G,G116)=1,G116,G116&amp;"-"&amp;COUNTIFS(G$2:G116,G116))</f>
        <v>52_1</v>
      </c>
      <c r="I116" s="54">
        <v>210</v>
      </c>
      <c r="J116" s="54">
        <v>181</v>
      </c>
      <c r="K116" s="54">
        <v>165</v>
      </c>
      <c r="L116" s="54" t="s">
        <v>42</v>
      </c>
      <c r="M116" s="54" t="s">
        <v>19</v>
      </c>
      <c r="N116" s="54">
        <v>0</v>
      </c>
      <c r="O116" s="54">
        <v>3</v>
      </c>
      <c r="Q116" s="59">
        <f>IF(COUNTIFS(Q$2:Q115,Q115)=COUNTIFS($E:$E,Q115),1,0)+Q115</f>
        <v>48</v>
      </c>
      <c r="R116" s="60">
        <f t="shared" si="6"/>
        <v>1</v>
      </c>
      <c r="S116" s="59">
        <f t="shared" si="7"/>
        <v>0</v>
      </c>
      <c r="T116" s="59" t="str">
        <f t="shared" si="5"/>
        <v>Koffing</v>
      </c>
    </row>
    <row r="117" spans="1:20" x14ac:dyDescent="0.25">
      <c r="A117" s="54">
        <v>116</v>
      </c>
      <c r="B117" s="54" t="s">
        <v>156</v>
      </c>
      <c r="C117" s="54" t="s">
        <v>19</v>
      </c>
      <c r="D117" s="54" t="s">
        <v>157</v>
      </c>
      <c r="E117" s="54">
        <v>53</v>
      </c>
      <c r="F117" s="54">
        <v>1</v>
      </c>
      <c r="G117" t="str">
        <f t="shared" si="4"/>
        <v>53_1</v>
      </c>
      <c r="H117" t="str">
        <f>IF(COUNTIFS($G:$G,G117)=1,G117,G117&amp;"-"&amp;COUNTIFS(G$2:G117,G117))</f>
        <v>53_1</v>
      </c>
      <c r="I117" s="54">
        <v>60</v>
      </c>
      <c r="J117" s="54">
        <v>129</v>
      </c>
      <c r="K117" s="54">
        <v>125</v>
      </c>
      <c r="L117" s="54" t="s">
        <v>31</v>
      </c>
      <c r="M117" s="54" t="s">
        <v>19</v>
      </c>
      <c r="N117" s="54">
        <v>25</v>
      </c>
      <c r="O117" s="54">
        <v>3</v>
      </c>
      <c r="Q117" s="59">
        <f>IF(COUNTIFS(Q$2:Q116,Q116)=COUNTIFS($E:$E,Q116),1,0)+Q116</f>
        <v>48</v>
      </c>
      <c r="R117" s="60">
        <f t="shared" si="6"/>
        <v>2</v>
      </c>
      <c r="S117" s="59">
        <f t="shared" si="7"/>
        <v>0</v>
      </c>
      <c r="T117" s="59" t="str">
        <f t="shared" si="5"/>
        <v>Weezing</v>
      </c>
    </row>
    <row r="118" spans="1:20" x14ac:dyDescent="0.25">
      <c r="A118" s="54">
        <v>117</v>
      </c>
      <c r="B118" s="54" t="s">
        <v>157</v>
      </c>
      <c r="C118" s="54" t="s">
        <v>156</v>
      </c>
      <c r="D118" s="54" t="s">
        <v>271</v>
      </c>
      <c r="E118" s="54">
        <v>53</v>
      </c>
      <c r="F118" s="54">
        <v>2</v>
      </c>
      <c r="G118" t="str">
        <f t="shared" si="4"/>
        <v>53_2</v>
      </c>
      <c r="H118" t="str">
        <f>IF(COUNTIFS($G:$G,G118)=1,G118,G118&amp;"-"&amp;COUNTIFS(G$2:G118,G118))</f>
        <v>53_2</v>
      </c>
      <c r="I118" s="54">
        <v>110</v>
      </c>
      <c r="J118" s="54">
        <v>187</v>
      </c>
      <c r="K118" s="54">
        <v>182</v>
      </c>
      <c r="L118" s="54" t="s">
        <v>31</v>
      </c>
      <c r="M118" s="54" t="s">
        <v>19</v>
      </c>
      <c r="N118" s="54">
        <v>100</v>
      </c>
      <c r="O118" s="54">
        <v>3</v>
      </c>
      <c r="Q118" s="59">
        <f>IF(COUNTIFS(Q$2:Q117,Q117)=COUNTIFS($E:$E,Q117),1,0)+Q117</f>
        <v>49</v>
      </c>
      <c r="R118" s="60">
        <f t="shared" si="6"/>
        <v>1</v>
      </c>
      <c r="S118" s="59">
        <f t="shared" si="7"/>
        <v>0</v>
      </c>
      <c r="T118" s="59" t="str">
        <f t="shared" si="5"/>
        <v>Rhyhorn</v>
      </c>
    </row>
    <row r="119" spans="1:20" x14ac:dyDescent="0.25">
      <c r="A119" s="54">
        <v>118</v>
      </c>
      <c r="B119" s="54" t="s">
        <v>158</v>
      </c>
      <c r="C119" s="54" t="s">
        <v>19</v>
      </c>
      <c r="D119" s="54" t="s">
        <v>159</v>
      </c>
      <c r="E119" s="54">
        <v>54</v>
      </c>
      <c r="F119" s="54">
        <v>1</v>
      </c>
      <c r="G119" t="str">
        <f t="shared" si="4"/>
        <v>54_1</v>
      </c>
      <c r="H119" t="str">
        <f>IF(COUNTIFS($G:$G,G119)=1,G119,G119&amp;"-"&amp;COUNTIFS(G$2:G119,G119))</f>
        <v>54_1</v>
      </c>
      <c r="I119" s="54">
        <v>90</v>
      </c>
      <c r="J119" s="54">
        <v>123</v>
      </c>
      <c r="K119" s="54">
        <v>115</v>
      </c>
      <c r="L119" s="54" t="s">
        <v>31</v>
      </c>
      <c r="M119" s="54" t="s">
        <v>19</v>
      </c>
      <c r="N119" s="54">
        <v>50</v>
      </c>
      <c r="O119" s="54">
        <v>3</v>
      </c>
      <c r="Q119" s="59">
        <f>IF(COUNTIFS(Q$2:Q118,Q118)=COUNTIFS($E:$E,Q118),1,0)+Q118</f>
        <v>49</v>
      </c>
      <c r="R119" s="60">
        <f t="shared" si="6"/>
        <v>2</v>
      </c>
      <c r="S119" s="59">
        <f t="shared" si="7"/>
        <v>0</v>
      </c>
      <c r="T119" s="59" t="str">
        <f t="shared" si="5"/>
        <v>Rhydon</v>
      </c>
    </row>
    <row r="120" spans="1:20" x14ac:dyDescent="0.25">
      <c r="A120" s="54">
        <v>119</v>
      </c>
      <c r="B120" s="54" t="s">
        <v>159</v>
      </c>
      <c r="C120" s="54" t="s">
        <v>158</v>
      </c>
      <c r="D120" s="54" t="s">
        <v>19</v>
      </c>
      <c r="E120" s="54">
        <v>54</v>
      </c>
      <c r="F120" s="54">
        <v>2</v>
      </c>
      <c r="G120" t="str">
        <f t="shared" si="4"/>
        <v>54_2</v>
      </c>
      <c r="H120" t="str">
        <f>IF(COUNTIFS($G:$G,G120)=1,G120,G120&amp;"-"&amp;COUNTIFS(G$2:G120,G120))</f>
        <v>54_2</v>
      </c>
      <c r="I120" s="54">
        <v>160</v>
      </c>
      <c r="J120" s="54">
        <v>175</v>
      </c>
      <c r="K120" s="54">
        <v>154</v>
      </c>
      <c r="L120" s="54" t="s">
        <v>31</v>
      </c>
      <c r="M120" s="54" t="s">
        <v>19</v>
      </c>
      <c r="N120" s="54">
        <v>0</v>
      </c>
      <c r="O120" s="54">
        <v>3</v>
      </c>
      <c r="Q120" s="59">
        <f>IF(COUNTIFS(Q$2:Q119,Q119)=COUNTIFS($E:$E,Q119),1,0)+Q119</f>
        <v>50</v>
      </c>
      <c r="R120" s="60">
        <f t="shared" si="6"/>
        <v>1</v>
      </c>
      <c r="S120" s="59">
        <f t="shared" si="7"/>
        <v>0</v>
      </c>
      <c r="T120" s="59" t="str">
        <f t="shared" si="5"/>
        <v>Chansey</v>
      </c>
    </row>
    <row r="121" spans="1:20" x14ac:dyDescent="0.25">
      <c r="A121" s="54">
        <v>120</v>
      </c>
      <c r="B121" s="54" t="s">
        <v>160</v>
      </c>
      <c r="C121" s="54" t="s">
        <v>19</v>
      </c>
      <c r="D121" s="54" t="s">
        <v>161</v>
      </c>
      <c r="E121" s="54">
        <v>55</v>
      </c>
      <c r="F121" s="54">
        <v>1</v>
      </c>
      <c r="G121" t="str">
        <f t="shared" si="4"/>
        <v>55_1</v>
      </c>
      <c r="H121" t="str">
        <f>IF(COUNTIFS($G:$G,G121)=1,G121,G121&amp;"-"&amp;COUNTIFS(G$2:G121,G121))</f>
        <v>55_1</v>
      </c>
      <c r="I121" s="54">
        <v>60</v>
      </c>
      <c r="J121" s="54">
        <v>137</v>
      </c>
      <c r="K121" s="54">
        <v>112</v>
      </c>
      <c r="L121" s="54" t="s">
        <v>31</v>
      </c>
      <c r="M121" s="54" t="s">
        <v>19</v>
      </c>
      <c r="N121" s="54">
        <v>50</v>
      </c>
      <c r="O121" s="54">
        <v>3</v>
      </c>
      <c r="Q121" s="59">
        <f>IF(COUNTIFS(Q$2:Q120,Q120)=COUNTIFS($E:$E,Q120),1,0)+Q120</f>
        <v>50</v>
      </c>
      <c r="R121" s="60">
        <f t="shared" si="6"/>
        <v>2</v>
      </c>
      <c r="S121" s="59">
        <f t="shared" si="7"/>
        <v>0</v>
      </c>
      <c r="T121" s="59" t="str">
        <f t="shared" si="5"/>
        <v>Blissey</v>
      </c>
    </row>
    <row r="122" spans="1:20" x14ac:dyDescent="0.25">
      <c r="A122" s="54">
        <v>121</v>
      </c>
      <c r="B122" s="54" t="s">
        <v>161</v>
      </c>
      <c r="C122" s="54" t="s">
        <v>160</v>
      </c>
      <c r="D122" s="54" t="s">
        <v>19</v>
      </c>
      <c r="E122" s="54">
        <v>55</v>
      </c>
      <c r="F122" s="54">
        <v>2</v>
      </c>
      <c r="G122" t="str">
        <f t="shared" si="4"/>
        <v>55_2</v>
      </c>
      <c r="H122" t="str">
        <f>IF(COUNTIFS($G:$G,G122)=1,G122,G122&amp;"-"&amp;COUNTIFS(G$2:G122,G122))</f>
        <v>55_2</v>
      </c>
      <c r="I122" s="54">
        <v>120</v>
      </c>
      <c r="J122" s="54">
        <v>210</v>
      </c>
      <c r="K122" s="54">
        <v>184</v>
      </c>
      <c r="L122" s="54" t="s">
        <v>31</v>
      </c>
      <c r="M122" s="54" t="s">
        <v>98</v>
      </c>
      <c r="N122" s="54">
        <v>0</v>
      </c>
      <c r="O122" s="54">
        <v>3</v>
      </c>
      <c r="Q122" s="59">
        <f>IF(COUNTIFS(Q$2:Q121,Q121)=COUNTIFS($E:$E,Q121),1,0)+Q121</f>
        <v>51</v>
      </c>
      <c r="R122" s="60">
        <f t="shared" si="6"/>
        <v>1</v>
      </c>
      <c r="S122" s="59">
        <f t="shared" si="7"/>
        <v>0</v>
      </c>
      <c r="T122" s="59" t="str">
        <f t="shared" si="5"/>
        <v>Tangela</v>
      </c>
    </row>
    <row r="123" spans="1:20" x14ac:dyDescent="0.25">
      <c r="A123" s="54">
        <v>122</v>
      </c>
      <c r="B123" s="54" t="s">
        <v>162</v>
      </c>
      <c r="C123" s="54" t="s">
        <v>19</v>
      </c>
      <c r="D123" s="54" t="s">
        <v>19</v>
      </c>
      <c r="E123" s="54">
        <v>56</v>
      </c>
      <c r="F123" s="54">
        <v>1</v>
      </c>
      <c r="G123" t="str">
        <f t="shared" si="4"/>
        <v>56_1</v>
      </c>
      <c r="H123" t="str">
        <f>IF(COUNTIFS($G:$G,G123)=1,G123,G123&amp;"-"&amp;COUNTIFS(G$2:G123,G123))</f>
        <v>56_1</v>
      </c>
      <c r="I123" s="54">
        <v>80</v>
      </c>
      <c r="J123" s="54">
        <v>192</v>
      </c>
      <c r="K123" s="54">
        <v>233</v>
      </c>
      <c r="L123" s="54" t="s">
        <v>98</v>
      </c>
      <c r="M123" s="54" t="s">
        <v>66</v>
      </c>
      <c r="N123" s="54">
        <v>0</v>
      </c>
      <c r="O123" s="54">
        <v>5</v>
      </c>
      <c r="Q123" s="59">
        <f>IF(COUNTIFS(Q$2:Q122,Q122)=COUNTIFS($E:$E,Q122),1,0)+Q122</f>
        <v>52</v>
      </c>
      <c r="R123" s="60">
        <f t="shared" si="6"/>
        <v>1</v>
      </c>
      <c r="S123" s="59">
        <f t="shared" si="7"/>
        <v>0</v>
      </c>
      <c r="T123" s="59" t="str">
        <f t="shared" si="5"/>
        <v>Kangaskhan</v>
      </c>
    </row>
    <row r="124" spans="1:20" x14ac:dyDescent="0.25">
      <c r="A124" s="54">
        <v>123</v>
      </c>
      <c r="B124" s="54" t="s">
        <v>163</v>
      </c>
      <c r="C124" s="54" t="s">
        <v>19</v>
      </c>
      <c r="D124" s="54" t="s">
        <v>164</v>
      </c>
      <c r="E124" s="54">
        <v>57</v>
      </c>
      <c r="F124" s="54">
        <v>1</v>
      </c>
      <c r="G124" t="str">
        <f t="shared" si="4"/>
        <v>57_1</v>
      </c>
      <c r="H124" t="str">
        <f>IF(COUNTIFS($G:$G,G124)=1,G124,G124&amp;"-"&amp;COUNTIFS(G$2:G124,G124))</f>
        <v>57_1</v>
      </c>
      <c r="I124" s="54">
        <v>140</v>
      </c>
      <c r="J124" s="54">
        <v>218</v>
      </c>
      <c r="K124" s="54">
        <v>170</v>
      </c>
      <c r="L124" s="54" t="s">
        <v>35</v>
      </c>
      <c r="M124" s="54" t="s">
        <v>28</v>
      </c>
      <c r="N124" s="54">
        <v>50</v>
      </c>
      <c r="O124" s="54">
        <v>5</v>
      </c>
      <c r="Q124" s="59">
        <f>IF(COUNTIFS(Q$2:Q123,Q123)=COUNTIFS($E:$E,Q123),1,0)+Q123</f>
        <v>53</v>
      </c>
      <c r="R124" s="60">
        <f t="shared" si="6"/>
        <v>1</v>
      </c>
      <c r="S124" s="59">
        <f t="shared" si="7"/>
        <v>0</v>
      </c>
      <c r="T124" s="59" t="str">
        <f t="shared" si="5"/>
        <v>Horsea</v>
      </c>
    </row>
    <row r="125" spans="1:20" x14ac:dyDescent="0.25">
      <c r="A125" s="54">
        <v>124</v>
      </c>
      <c r="B125" s="54" t="s">
        <v>165</v>
      </c>
      <c r="C125" s="54" t="s">
        <v>166</v>
      </c>
      <c r="D125" s="54" t="s">
        <v>19</v>
      </c>
      <c r="E125" s="54">
        <v>58</v>
      </c>
      <c r="F125" s="54">
        <v>2</v>
      </c>
      <c r="G125" t="str">
        <f t="shared" si="4"/>
        <v>58_2</v>
      </c>
      <c r="H125" t="str">
        <f>IF(COUNTIFS($G:$G,G125)=1,G125,G125&amp;"-"&amp;COUNTIFS(G$2:G125,G125))</f>
        <v>58_2</v>
      </c>
      <c r="I125" s="54">
        <v>130</v>
      </c>
      <c r="J125" s="54">
        <v>223</v>
      </c>
      <c r="K125" s="54">
        <v>182</v>
      </c>
      <c r="L125" s="54" t="s">
        <v>124</v>
      </c>
      <c r="M125" s="54" t="s">
        <v>98</v>
      </c>
      <c r="N125" s="54">
        <v>0</v>
      </c>
      <c r="O125" s="54">
        <v>5</v>
      </c>
      <c r="Q125" s="59">
        <f>IF(COUNTIFS(Q$2:Q124,Q124)=COUNTIFS($E:$E,Q124),1,0)+Q124</f>
        <v>53</v>
      </c>
      <c r="R125" s="60">
        <f t="shared" si="6"/>
        <v>2</v>
      </c>
      <c r="S125" s="59">
        <f t="shared" si="7"/>
        <v>0</v>
      </c>
      <c r="T125" s="59" t="str">
        <f t="shared" si="5"/>
        <v>Seadra</v>
      </c>
    </row>
    <row r="126" spans="1:20" x14ac:dyDescent="0.25">
      <c r="A126" s="54">
        <v>125</v>
      </c>
      <c r="B126" s="54" t="s">
        <v>167</v>
      </c>
      <c r="C126" s="54" t="s">
        <v>168</v>
      </c>
      <c r="D126" s="54" t="s">
        <v>19</v>
      </c>
      <c r="E126" s="54">
        <v>59</v>
      </c>
      <c r="F126" s="54">
        <v>2</v>
      </c>
      <c r="G126" t="str">
        <f t="shared" si="4"/>
        <v>59_2</v>
      </c>
      <c r="H126" t="str">
        <f>IF(COUNTIFS($G:$G,G126)=1,G126,G126&amp;"-"&amp;COUNTIFS(G$2:G126,G126))</f>
        <v>59_2</v>
      </c>
      <c r="I126" s="54">
        <v>130</v>
      </c>
      <c r="J126" s="54">
        <v>198</v>
      </c>
      <c r="K126" s="54">
        <v>173</v>
      </c>
      <c r="L126" s="54" t="s">
        <v>53</v>
      </c>
      <c r="M126" s="54" t="s">
        <v>19</v>
      </c>
      <c r="N126" s="54">
        <v>0</v>
      </c>
      <c r="O126" s="54">
        <v>5</v>
      </c>
      <c r="Q126" s="59">
        <f>IF(COUNTIFS(Q$2:Q125,Q125)=COUNTIFS($E:$E,Q125),1,0)+Q125</f>
        <v>53</v>
      </c>
      <c r="R126" s="60">
        <f t="shared" si="6"/>
        <v>3</v>
      </c>
      <c r="S126" s="59">
        <f t="shared" si="7"/>
        <v>0</v>
      </c>
      <c r="T126" s="59" t="str">
        <f t="shared" si="5"/>
        <v>Kingdra</v>
      </c>
    </row>
    <row r="127" spans="1:20" x14ac:dyDescent="0.25">
      <c r="A127" s="54">
        <v>126</v>
      </c>
      <c r="B127" s="54" t="s">
        <v>169</v>
      </c>
      <c r="C127" s="54" t="s">
        <v>170</v>
      </c>
      <c r="D127" s="54" t="s">
        <v>19</v>
      </c>
      <c r="E127" s="54">
        <v>60</v>
      </c>
      <c r="F127" s="54">
        <v>2</v>
      </c>
      <c r="G127" t="str">
        <f t="shared" si="4"/>
        <v>60_2</v>
      </c>
      <c r="H127" t="str">
        <f>IF(COUNTIFS($G:$G,G127)=1,G127,G127&amp;"-"&amp;COUNTIFS(G$2:G127,G127))</f>
        <v>60_2</v>
      </c>
      <c r="I127" s="54">
        <v>130</v>
      </c>
      <c r="J127" s="54">
        <v>206</v>
      </c>
      <c r="K127" s="54">
        <v>169</v>
      </c>
      <c r="L127" s="54" t="s">
        <v>26</v>
      </c>
      <c r="M127" s="54" t="s">
        <v>19</v>
      </c>
      <c r="N127" s="54">
        <v>0</v>
      </c>
      <c r="O127" s="54">
        <v>5</v>
      </c>
      <c r="Q127" s="59">
        <f>IF(COUNTIFS(Q$2:Q126,Q126)=COUNTIFS($E:$E,Q126),1,0)+Q126</f>
        <v>54</v>
      </c>
      <c r="R127" s="60">
        <f t="shared" si="6"/>
        <v>1</v>
      </c>
      <c r="S127" s="59">
        <f t="shared" si="7"/>
        <v>0</v>
      </c>
      <c r="T127" s="59" t="str">
        <f t="shared" si="5"/>
        <v>Goldeen</v>
      </c>
    </row>
    <row r="128" spans="1:20" x14ac:dyDescent="0.25">
      <c r="A128" s="54">
        <v>127</v>
      </c>
      <c r="B128" s="54" t="s">
        <v>171</v>
      </c>
      <c r="C128" s="54" t="s">
        <v>19</v>
      </c>
      <c r="D128" s="54" t="s">
        <v>19</v>
      </c>
      <c r="E128" s="54">
        <v>61</v>
      </c>
      <c r="F128" s="54">
        <v>1</v>
      </c>
      <c r="G128" t="str">
        <f t="shared" si="4"/>
        <v>61_1</v>
      </c>
      <c r="H128" t="str">
        <f>IF(COUNTIFS($G:$G,G128)=1,G128,G128&amp;"-"&amp;COUNTIFS(G$2:G128,G128))</f>
        <v>61_1</v>
      </c>
      <c r="I128" s="54">
        <v>130</v>
      </c>
      <c r="J128" s="54">
        <v>238</v>
      </c>
      <c r="K128" s="54">
        <v>197</v>
      </c>
      <c r="L128" s="54" t="s">
        <v>35</v>
      </c>
      <c r="M128" s="54" t="s">
        <v>19</v>
      </c>
      <c r="N128" s="54">
        <v>0</v>
      </c>
      <c r="O128" s="54">
        <v>5</v>
      </c>
      <c r="Q128" s="59">
        <f>IF(COUNTIFS(Q$2:Q127,Q127)=COUNTIFS($E:$E,Q127),1,0)+Q127</f>
        <v>54</v>
      </c>
      <c r="R128" s="60">
        <f t="shared" si="6"/>
        <v>2</v>
      </c>
      <c r="S128" s="59">
        <f t="shared" si="7"/>
        <v>0</v>
      </c>
      <c r="T128" s="59" t="str">
        <f t="shared" si="5"/>
        <v>Seaking</v>
      </c>
    </row>
    <row r="129" spans="1:20" x14ac:dyDescent="0.25">
      <c r="A129" s="54">
        <v>128</v>
      </c>
      <c r="B129" s="54" t="s">
        <v>172</v>
      </c>
      <c r="C129" s="54" t="s">
        <v>19</v>
      </c>
      <c r="D129" s="54" t="s">
        <v>19</v>
      </c>
      <c r="E129" s="54">
        <v>62</v>
      </c>
      <c r="F129" s="54">
        <v>1</v>
      </c>
      <c r="G129" t="str">
        <f t="shared" si="4"/>
        <v>62_1</v>
      </c>
      <c r="H129" t="str">
        <f>IF(COUNTIFS($G:$G,G129)=1,G129,G129&amp;"-"&amp;COUNTIFS(G$2:G129,G129))</f>
        <v>62_1</v>
      </c>
      <c r="I129" s="54">
        <v>150</v>
      </c>
      <c r="J129" s="54">
        <v>198</v>
      </c>
      <c r="K129" s="54">
        <v>197</v>
      </c>
      <c r="L129" s="54" t="s">
        <v>42</v>
      </c>
      <c r="M129" s="54" t="s">
        <v>19</v>
      </c>
      <c r="N129" s="54">
        <v>0</v>
      </c>
      <c r="O129" s="54">
        <v>3</v>
      </c>
      <c r="Q129" s="59">
        <f>IF(COUNTIFS(Q$2:Q128,Q128)=COUNTIFS($E:$E,Q128),1,0)+Q128</f>
        <v>55</v>
      </c>
      <c r="R129" s="60">
        <f t="shared" si="6"/>
        <v>1</v>
      </c>
      <c r="S129" s="59">
        <f t="shared" si="7"/>
        <v>0</v>
      </c>
      <c r="T129" s="59" t="str">
        <f t="shared" si="5"/>
        <v>Staryu</v>
      </c>
    </row>
    <row r="130" spans="1:20" x14ac:dyDescent="0.25">
      <c r="A130" s="54">
        <v>129</v>
      </c>
      <c r="B130" s="54" t="s">
        <v>173</v>
      </c>
      <c r="C130" s="54" t="s">
        <v>19</v>
      </c>
      <c r="D130" s="54" t="s">
        <v>174</v>
      </c>
      <c r="E130" s="54">
        <v>63</v>
      </c>
      <c r="F130" s="54">
        <v>1</v>
      </c>
      <c r="G130" t="str">
        <f t="shared" si="4"/>
        <v>63_1</v>
      </c>
      <c r="H130" t="str">
        <f>IF(COUNTIFS($G:$G,G130)=1,G130,G130&amp;"-"&amp;COUNTIFS(G$2:G130,G130))</f>
        <v>63_1</v>
      </c>
      <c r="I130" s="54">
        <v>40</v>
      </c>
      <c r="J130" s="54">
        <v>29</v>
      </c>
      <c r="K130" s="54">
        <v>102</v>
      </c>
      <c r="L130" s="54" t="s">
        <v>31</v>
      </c>
      <c r="M130" s="54" t="s">
        <v>19</v>
      </c>
      <c r="N130" s="54">
        <v>400</v>
      </c>
      <c r="O130" s="54">
        <v>1</v>
      </c>
      <c r="Q130" s="59">
        <f>IF(COUNTIFS(Q$2:Q129,Q129)=COUNTIFS($E:$E,Q129),1,0)+Q129</f>
        <v>55</v>
      </c>
      <c r="R130" s="60">
        <f t="shared" si="6"/>
        <v>2</v>
      </c>
      <c r="S130" s="59">
        <f t="shared" si="7"/>
        <v>0</v>
      </c>
      <c r="T130" s="59" t="str">
        <f t="shared" si="5"/>
        <v>Starmie</v>
      </c>
    </row>
    <row r="131" spans="1:20" x14ac:dyDescent="0.25">
      <c r="A131" s="54">
        <v>130</v>
      </c>
      <c r="B131" s="54" t="s">
        <v>174</v>
      </c>
      <c r="C131" s="54" t="s">
        <v>173</v>
      </c>
      <c r="D131" s="54" t="s">
        <v>19</v>
      </c>
      <c r="E131" s="54">
        <v>63</v>
      </c>
      <c r="F131" s="54">
        <v>2</v>
      </c>
      <c r="G131" t="str">
        <f t="shared" ref="G131:G194" si="8">E131&amp;"_"&amp;F131</f>
        <v>63_2</v>
      </c>
      <c r="H131" t="str">
        <f>IF(COUNTIFS($G:$G,G131)=1,G131,G131&amp;"-"&amp;COUNTIFS(G$2:G131,G131))</f>
        <v>63_2</v>
      </c>
      <c r="I131" s="54">
        <v>190</v>
      </c>
      <c r="J131" s="54">
        <v>237</v>
      </c>
      <c r="K131" s="54">
        <v>197</v>
      </c>
      <c r="L131" s="54" t="s">
        <v>31</v>
      </c>
      <c r="M131" s="54" t="s">
        <v>28</v>
      </c>
      <c r="N131" s="54">
        <v>0</v>
      </c>
      <c r="O131" s="54">
        <v>1</v>
      </c>
      <c r="Q131" s="59">
        <f>IF(COUNTIFS(Q$2:Q130,Q130)=COUNTIFS($E:$E,Q130),1,0)+Q130</f>
        <v>56</v>
      </c>
      <c r="R131" s="60">
        <f t="shared" si="6"/>
        <v>1</v>
      </c>
      <c r="S131" s="59">
        <f t="shared" si="7"/>
        <v>0</v>
      </c>
      <c r="T131" s="59" t="str">
        <f t="shared" ref="T131:T194" si="9">INDEX($B:$B,MATCH(Q131&amp;"_"&amp;R131&amp;IF(S131,"-"&amp;S131,""),H:H,0))</f>
        <v>Mr. Mime</v>
      </c>
    </row>
    <row r="132" spans="1:20" x14ac:dyDescent="0.25">
      <c r="A132" s="54">
        <v>131</v>
      </c>
      <c r="B132" s="54" t="s">
        <v>175</v>
      </c>
      <c r="C132" s="54" t="s">
        <v>19</v>
      </c>
      <c r="D132" s="54" t="s">
        <v>19</v>
      </c>
      <c r="E132" s="54">
        <v>64</v>
      </c>
      <c r="F132" s="54">
        <v>1</v>
      </c>
      <c r="G132" t="str">
        <f t="shared" si="8"/>
        <v>64_1</v>
      </c>
      <c r="H132" t="str">
        <f>IF(COUNTIFS($G:$G,G132)=1,G132,G132&amp;"-"&amp;COUNTIFS(G$2:G132,G132))</f>
        <v>64_1</v>
      </c>
      <c r="I132" s="54">
        <v>260</v>
      </c>
      <c r="J132" s="54">
        <v>165</v>
      </c>
      <c r="K132" s="54">
        <v>180</v>
      </c>
      <c r="L132" s="54" t="s">
        <v>31</v>
      </c>
      <c r="M132" s="54" t="s">
        <v>124</v>
      </c>
      <c r="N132" s="54">
        <v>0</v>
      </c>
      <c r="O132" s="54">
        <v>5</v>
      </c>
      <c r="Q132" s="59">
        <f>IF(COUNTIFS(Q$2:Q131,Q131)=COUNTIFS($E:$E,Q131),1,0)+Q131</f>
        <v>57</v>
      </c>
      <c r="R132" s="60">
        <f t="shared" ref="R132:R195" si="10">IF(Q132=Q131,R131+IF(COUNTIFS($G:$G,Q131&amp;"_"&amp;R131)=1,1,0),1)</f>
        <v>1</v>
      </c>
      <c r="S132" s="59">
        <f t="shared" ref="S132:S195" si="11">IF(Q132=Q131,IF(COUNTIFS($G:$G,Q131&amp;"_"&amp;(R131+1))=1,0,S131+1),0)</f>
        <v>0</v>
      </c>
      <c r="T132" s="59" t="str">
        <f t="shared" si="9"/>
        <v>Scyther</v>
      </c>
    </row>
    <row r="133" spans="1:20" x14ac:dyDescent="0.25">
      <c r="A133" s="54">
        <v>132</v>
      </c>
      <c r="B133" s="54" t="s">
        <v>176</v>
      </c>
      <c r="C133" s="54" t="s">
        <v>19</v>
      </c>
      <c r="D133" s="54" t="s">
        <v>19</v>
      </c>
      <c r="E133" s="54">
        <v>65</v>
      </c>
      <c r="F133" s="54">
        <v>1</v>
      </c>
      <c r="G133" t="str">
        <f t="shared" si="8"/>
        <v>65_1</v>
      </c>
      <c r="H133" t="str">
        <f>IF(COUNTIFS($G:$G,G133)=1,G133,G133&amp;"-"&amp;COUNTIFS(G$2:G133,G133))</f>
        <v>65_1</v>
      </c>
      <c r="I133" s="54">
        <v>96</v>
      </c>
      <c r="J133" s="54">
        <v>91</v>
      </c>
      <c r="K133" s="54">
        <v>91</v>
      </c>
      <c r="L133" s="54" t="s">
        <v>42</v>
      </c>
      <c r="M133" s="54" t="s">
        <v>19</v>
      </c>
      <c r="N133" s="54">
        <v>0</v>
      </c>
      <c r="O133" s="54">
        <v>3</v>
      </c>
      <c r="Q133" s="59">
        <f>IF(COUNTIFS(Q$2:Q132,Q132)=COUNTIFS($E:$E,Q132),1,0)+Q132</f>
        <v>57</v>
      </c>
      <c r="R133" s="60">
        <f t="shared" si="10"/>
        <v>2</v>
      </c>
      <c r="S133" s="59">
        <f t="shared" si="11"/>
        <v>0</v>
      </c>
      <c r="T133" s="59" t="str">
        <f t="shared" si="9"/>
        <v>Scizor</v>
      </c>
    </row>
    <row r="134" spans="1:20" x14ac:dyDescent="0.25">
      <c r="A134" s="54">
        <v>133</v>
      </c>
      <c r="B134" s="54" t="s">
        <v>177</v>
      </c>
      <c r="C134" s="54" t="s">
        <v>19</v>
      </c>
      <c r="D134" s="54" t="s">
        <v>178</v>
      </c>
      <c r="E134" s="54">
        <v>66</v>
      </c>
      <c r="F134" s="54">
        <v>1</v>
      </c>
      <c r="G134" t="str">
        <f t="shared" si="8"/>
        <v>66_1</v>
      </c>
      <c r="H134" t="str">
        <f>IF(COUNTIFS($G:$G,G134)=1,G134,G134&amp;"-"&amp;COUNTIFS(G$2:G134,G134))</f>
        <v>66_1</v>
      </c>
      <c r="I134" s="54">
        <v>110</v>
      </c>
      <c r="J134" s="54">
        <v>104</v>
      </c>
      <c r="K134" s="54">
        <v>121</v>
      </c>
      <c r="L134" s="54" t="s">
        <v>42</v>
      </c>
      <c r="M134" s="54" t="s">
        <v>19</v>
      </c>
      <c r="N134" s="54">
        <v>25</v>
      </c>
      <c r="O134" s="54">
        <v>5</v>
      </c>
      <c r="Q134" s="59">
        <f>IF(COUNTIFS(Q$2:Q133,Q133)=COUNTIFS($E:$E,Q133),1,0)+Q133</f>
        <v>58</v>
      </c>
      <c r="R134" s="60">
        <f t="shared" si="10"/>
        <v>1</v>
      </c>
      <c r="S134" s="59">
        <f t="shared" si="11"/>
        <v>0</v>
      </c>
      <c r="T134" s="59" t="str">
        <f t="shared" si="9"/>
        <v>Smoochum</v>
      </c>
    </row>
    <row r="135" spans="1:20" x14ac:dyDescent="0.25">
      <c r="A135" s="54">
        <v>134</v>
      </c>
      <c r="B135" s="54" t="s">
        <v>178</v>
      </c>
      <c r="C135" s="54" t="s">
        <v>177</v>
      </c>
      <c r="D135" s="54" t="s">
        <v>19</v>
      </c>
      <c r="E135" s="54">
        <v>66</v>
      </c>
      <c r="F135" s="54">
        <v>2</v>
      </c>
      <c r="G135" t="str">
        <f t="shared" si="8"/>
        <v>66_2</v>
      </c>
      <c r="H135" t="str">
        <f>IF(COUNTIFS($G:$G,G135)=1,G135,G135&amp;"-"&amp;COUNTIFS(G$2:G135,G135))</f>
        <v>66_2-1</v>
      </c>
      <c r="I135" s="54">
        <v>260</v>
      </c>
      <c r="J135" s="54">
        <v>205</v>
      </c>
      <c r="K135" s="54">
        <v>177</v>
      </c>
      <c r="L135" s="54" t="s">
        <v>31</v>
      </c>
      <c r="M135" s="54" t="s">
        <v>19</v>
      </c>
      <c r="N135" s="54">
        <v>0</v>
      </c>
      <c r="O135" s="54">
        <v>5</v>
      </c>
      <c r="Q135" s="59">
        <f>IF(COUNTIFS(Q$2:Q134,Q134)=COUNTIFS($E:$E,Q134),1,0)+Q134</f>
        <v>58</v>
      </c>
      <c r="R135" s="60">
        <f t="shared" si="10"/>
        <v>2</v>
      </c>
      <c r="S135" s="59">
        <f t="shared" si="11"/>
        <v>0</v>
      </c>
      <c r="T135" s="59" t="str">
        <f t="shared" si="9"/>
        <v>Jynx</v>
      </c>
    </row>
    <row r="136" spans="1:20" x14ac:dyDescent="0.25">
      <c r="A136" s="54">
        <v>135</v>
      </c>
      <c r="B136" s="54" t="s">
        <v>179</v>
      </c>
      <c r="C136" s="54" t="s">
        <v>177</v>
      </c>
      <c r="D136" s="54" t="s">
        <v>19</v>
      </c>
      <c r="E136" s="54">
        <v>66</v>
      </c>
      <c r="F136" s="54">
        <v>2</v>
      </c>
      <c r="G136" t="str">
        <f t="shared" si="8"/>
        <v>66_2</v>
      </c>
      <c r="H136" t="str">
        <f>IF(COUNTIFS($G:$G,G136)=1,G136,G136&amp;"-"&amp;COUNTIFS(G$2:G136,G136))</f>
        <v>66_2-2</v>
      </c>
      <c r="I136" s="54">
        <v>130</v>
      </c>
      <c r="J136" s="54">
        <v>232</v>
      </c>
      <c r="K136" s="54">
        <v>201</v>
      </c>
      <c r="L136" s="54" t="s">
        <v>53</v>
      </c>
      <c r="M136" s="54" t="s">
        <v>19</v>
      </c>
      <c r="N136" s="54">
        <v>0</v>
      </c>
      <c r="O136" s="54">
        <v>5</v>
      </c>
      <c r="Q136" s="59">
        <f>IF(COUNTIFS(Q$2:Q135,Q135)=COUNTIFS($E:$E,Q135),1,0)+Q135</f>
        <v>59</v>
      </c>
      <c r="R136" s="60">
        <f t="shared" si="10"/>
        <v>1</v>
      </c>
      <c r="S136" s="59">
        <f t="shared" si="11"/>
        <v>0</v>
      </c>
      <c r="T136" s="59" t="str">
        <f t="shared" si="9"/>
        <v>Elekid</v>
      </c>
    </row>
    <row r="137" spans="1:20" x14ac:dyDescent="0.25">
      <c r="A137" s="54">
        <v>136</v>
      </c>
      <c r="B137" s="54" t="s">
        <v>180</v>
      </c>
      <c r="C137" s="54" t="s">
        <v>177</v>
      </c>
      <c r="D137" s="54" t="s">
        <v>19</v>
      </c>
      <c r="E137" s="54">
        <v>66</v>
      </c>
      <c r="F137" s="54">
        <v>2</v>
      </c>
      <c r="G137" t="str">
        <f t="shared" si="8"/>
        <v>66_2</v>
      </c>
      <c r="H137" t="str">
        <f>IF(COUNTIFS($G:$G,G137)=1,G137,G137&amp;"-"&amp;COUNTIFS(G$2:G137,G137))</f>
        <v>66_2-3</v>
      </c>
      <c r="I137" s="54">
        <v>130</v>
      </c>
      <c r="J137" s="54">
        <v>246</v>
      </c>
      <c r="K137" s="54">
        <v>204</v>
      </c>
      <c r="L137" s="54" t="s">
        <v>26</v>
      </c>
      <c r="M137" s="54" t="s">
        <v>19</v>
      </c>
      <c r="N137" s="54">
        <v>0</v>
      </c>
      <c r="O137" s="54">
        <v>5</v>
      </c>
      <c r="Q137" s="59">
        <f>IF(COUNTIFS(Q$2:Q136,Q136)=COUNTIFS($E:$E,Q136),1,0)+Q136</f>
        <v>59</v>
      </c>
      <c r="R137" s="60">
        <f t="shared" si="10"/>
        <v>2</v>
      </c>
      <c r="S137" s="59">
        <f t="shared" si="11"/>
        <v>0</v>
      </c>
      <c r="T137" s="59" t="str">
        <f t="shared" si="9"/>
        <v>Electabuzz</v>
      </c>
    </row>
    <row r="138" spans="1:20" x14ac:dyDescent="0.25">
      <c r="A138" s="54">
        <v>137</v>
      </c>
      <c r="B138" s="54" t="s">
        <v>181</v>
      </c>
      <c r="C138" s="54" t="s">
        <v>19</v>
      </c>
      <c r="D138" s="54" t="s">
        <v>182</v>
      </c>
      <c r="E138" s="54">
        <v>67</v>
      </c>
      <c r="F138" s="54">
        <v>1</v>
      </c>
      <c r="G138" t="str">
        <f t="shared" si="8"/>
        <v>67_1</v>
      </c>
      <c r="H138" t="str">
        <f>IF(COUNTIFS($G:$G,G138)=1,G138,G138&amp;"-"&amp;COUNTIFS(G$2:G138,G138))</f>
        <v>67_1</v>
      </c>
      <c r="I138" s="54">
        <v>130</v>
      </c>
      <c r="J138" s="54">
        <v>153</v>
      </c>
      <c r="K138" s="54">
        <v>139</v>
      </c>
      <c r="L138" s="54" t="s">
        <v>42</v>
      </c>
      <c r="M138" s="54" t="s">
        <v>19</v>
      </c>
      <c r="N138" s="54">
        <v>50</v>
      </c>
      <c r="O138" s="54">
        <v>3</v>
      </c>
      <c r="Q138" s="59">
        <f>IF(COUNTIFS(Q$2:Q137,Q137)=COUNTIFS($E:$E,Q137),1,0)+Q137</f>
        <v>60</v>
      </c>
      <c r="R138" s="60">
        <f t="shared" si="10"/>
        <v>1</v>
      </c>
      <c r="S138" s="59">
        <f t="shared" si="11"/>
        <v>0</v>
      </c>
      <c r="T138" s="59" t="str">
        <f t="shared" si="9"/>
        <v>Magby</v>
      </c>
    </row>
    <row r="139" spans="1:20" x14ac:dyDescent="0.25">
      <c r="A139" s="54">
        <v>138</v>
      </c>
      <c r="B139" s="54" t="s">
        <v>183</v>
      </c>
      <c r="C139" s="54" t="s">
        <v>19</v>
      </c>
      <c r="D139" s="54" t="s">
        <v>184</v>
      </c>
      <c r="E139" s="54">
        <v>68</v>
      </c>
      <c r="F139" s="54">
        <v>1</v>
      </c>
      <c r="G139" t="str">
        <f t="shared" si="8"/>
        <v>68_1</v>
      </c>
      <c r="H139" t="str">
        <f>IF(COUNTIFS($G:$G,G139)=1,G139,G139&amp;"-"&amp;COUNTIFS(G$2:G139,G139))</f>
        <v>68_1</v>
      </c>
      <c r="I139" s="54">
        <v>70</v>
      </c>
      <c r="J139" s="54">
        <v>155</v>
      </c>
      <c r="K139" s="54">
        <v>174</v>
      </c>
      <c r="L139" s="54" t="s">
        <v>110</v>
      </c>
      <c r="M139" s="54" t="s">
        <v>31</v>
      </c>
      <c r="N139" s="54">
        <v>50</v>
      </c>
      <c r="O139" s="54">
        <v>5</v>
      </c>
      <c r="Q139" s="59">
        <f>IF(COUNTIFS(Q$2:Q138,Q138)=COUNTIFS($E:$E,Q138),1,0)+Q138</f>
        <v>60</v>
      </c>
      <c r="R139" s="60">
        <f t="shared" si="10"/>
        <v>2</v>
      </c>
      <c r="S139" s="59">
        <f t="shared" si="11"/>
        <v>0</v>
      </c>
      <c r="T139" s="59" t="str">
        <f t="shared" si="9"/>
        <v>Magmar</v>
      </c>
    </row>
    <row r="140" spans="1:20" x14ac:dyDescent="0.25">
      <c r="A140" s="54">
        <v>139</v>
      </c>
      <c r="B140" s="54" t="s">
        <v>184</v>
      </c>
      <c r="C140" s="54" t="s">
        <v>183</v>
      </c>
      <c r="D140" s="54" t="s">
        <v>19</v>
      </c>
      <c r="E140" s="54">
        <v>68</v>
      </c>
      <c r="F140" s="54">
        <v>2</v>
      </c>
      <c r="G140" t="str">
        <f t="shared" si="8"/>
        <v>68_2</v>
      </c>
      <c r="H140" t="str">
        <f>IF(COUNTIFS($G:$G,G140)=1,G140,G140&amp;"-"&amp;COUNTIFS(G$2:G140,G140))</f>
        <v>68_2</v>
      </c>
      <c r="I140" s="54">
        <v>140</v>
      </c>
      <c r="J140" s="54">
        <v>207</v>
      </c>
      <c r="K140" s="54">
        <v>227</v>
      </c>
      <c r="L140" s="54" t="s">
        <v>110</v>
      </c>
      <c r="M140" s="54" t="s">
        <v>31</v>
      </c>
      <c r="N140" s="54">
        <v>0</v>
      </c>
      <c r="O140" s="54">
        <v>5</v>
      </c>
      <c r="Q140" s="59">
        <f>IF(COUNTIFS(Q$2:Q139,Q139)=COUNTIFS($E:$E,Q139),1,0)+Q139</f>
        <v>61</v>
      </c>
      <c r="R140" s="60">
        <f t="shared" si="10"/>
        <v>1</v>
      </c>
      <c r="S140" s="59">
        <f t="shared" si="11"/>
        <v>0</v>
      </c>
      <c r="T140" s="59" t="str">
        <f t="shared" si="9"/>
        <v>Pinsir</v>
      </c>
    </row>
    <row r="141" spans="1:20" x14ac:dyDescent="0.25">
      <c r="A141" s="54">
        <v>140</v>
      </c>
      <c r="B141" s="54" t="s">
        <v>185</v>
      </c>
      <c r="C141" s="54" t="s">
        <v>19</v>
      </c>
      <c r="D141" s="54" t="s">
        <v>186</v>
      </c>
      <c r="E141" s="54">
        <v>69</v>
      </c>
      <c r="F141" s="54">
        <v>1</v>
      </c>
      <c r="G141" t="str">
        <f t="shared" si="8"/>
        <v>69_1</v>
      </c>
      <c r="H141" t="str">
        <f>IF(COUNTIFS($G:$G,G141)=1,G141,G141&amp;"-"&amp;COUNTIFS(G$2:G141,G141))</f>
        <v>69_1</v>
      </c>
      <c r="I141" s="54">
        <v>60</v>
      </c>
      <c r="J141" s="54">
        <v>148</v>
      </c>
      <c r="K141" s="54">
        <v>162</v>
      </c>
      <c r="L141" s="54" t="s">
        <v>110</v>
      </c>
      <c r="M141" s="54" t="s">
        <v>31</v>
      </c>
      <c r="N141" s="54">
        <v>50</v>
      </c>
      <c r="O141" s="54">
        <v>5</v>
      </c>
      <c r="Q141" s="59">
        <f>IF(COUNTIFS(Q$2:Q140,Q140)=COUNTIFS($E:$E,Q140),1,0)+Q140</f>
        <v>62</v>
      </c>
      <c r="R141" s="60">
        <f t="shared" si="10"/>
        <v>1</v>
      </c>
      <c r="S141" s="59">
        <f t="shared" si="11"/>
        <v>0</v>
      </c>
      <c r="T141" s="59" t="str">
        <f t="shared" si="9"/>
        <v>Tauros</v>
      </c>
    </row>
    <row r="142" spans="1:20" x14ac:dyDescent="0.25">
      <c r="A142" s="54">
        <v>141</v>
      </c>
      <c r="B142" s="54" t="s">
        <v>186</v>
      </c>
      <c r="C142" s="54" t="s">
        <v>185</v>
      </c>
      <c r="D142" s="54" t="s">
        <v>19</v>
      </c>
      <c r="E142" s="54">
        <v>69</v>
      </c>
      <c r="F142" s="54">
        <v>2</v>
      </c>
      <c r="G142" t="str">
        <f t="shared" si="8"/>
        <v>69_2</v>
      </c>
      <c r="H142" t="str">
        <f>IF(COUNTIFS($G:$G,G142)=1,G142,G142&amp;"-"&amp;COUNTIFS(G$2:G142,G142))</f>
        <v>69_2</v>
      </c>
      <c r="I142" s="54">
        <v>120</v>
      </c>
      <c r="J142" s="54">
        <v>220</v>
      </c>
      <c r="K142" s="54">
        <v>203</v>
      </c>
      <c r="L142" s="54" t="s">
        <v>110</v>
      </c>
      <c r="M142" s="54" t="s">
        <v>31</v>
      </c>
      <c r="N142" s="54">
        <v>0</v>
      </c>
      <c r="O142" s="54">
        <v>5</v>
      </c>
      <c r="Q142" s="59">
        <f>IF(COUNTIFS(Q$2:Q141,Q141)=COUNTIFS($E:$E,Q141),1,0)+Q141</f>
        <v>63</v>
      </c>
      <c r="R142" s="60">
        <f t="shared" si="10"/>
        <v>1</v>
      </c>
      <c r="S142" s="59">
        <f t="shared" si="11"/>
        <v>0</v>
      </c>
      <c r="T142" s="59" t="str">
        <f t="shared" si="9"/>
        <v>Magikarp</v>
      </c>
    </row>
    <row r="143" spans="1:20" x14ac:dyDescent="0.25">
      <c r="A143" s="54">
        <v>142</v>
      </c>
      <c r="B143" s="54" t="s">
        <v>187</v>
      </c>
      <c r="C143" s="54" t="s">
        <v>19</v>
      </c>
      <c r="D143" s="54" t="s">
        <v>19</v>
      </c>
      <c r="E143" s="54">
        <v>70</v>
      </c>
      <c r="F143" s="54">
        <v>1</v>
      </c>
      <c r="G143" t="str">
        <f t="shared" si="8"/>
        <v>70_1</v>
      </c>
      <c r="H143" t="str">
        <f>IF(COUNTIFS($G:$G,G143)=1,G143,G143&amp;"-"&amp;COUNTIFS(G$2:G143,G143))</f>
        <v>70_1</v>
      </c>
      <c r="I143" s="54">
        <v>160</v>
      </c>
      <c r="J143" s="54">
        <v>221</v>
      </c>
      <c r="K143" s="54">
        <v>164</v>
      </c>
      <c r="L143" s="54" t="s">
        <v>110</v>
      </c>
      <c r="M143" s="54" t="s">
        <v>28</v>
      </c>
      <c r="N143" s="54">
        <v>0</v>
      </c>
      <c r="O143" s="54">
        <v>5</v>
      </c>
      <c r="Q143" s="59">
        <f>IF(COUNTIFS(Q$2:Q142,Q142)=COUNTIFS($E:$E,Q142),1,0)+Q142</f>
        <v>63</v>
      </c>
      <c r="R143" s="60">
        <f t="shared" si="10"/>
        <v>2</v>
      </c>
      <c r="S143" s="59">
        <f t="shared" si="11"/>
        <v>0</v>
      </c>
      <c r="T143" s="59" t="str">
        <f t="shared" si="9"/>
        <v>Gyarados</v>
      </c>
    </row>
    <row r="144" spans="1:20" x14ac:dyDescent="0.25">
      <c r="A144" s="54">
        <v>143</v>
      </c>
      <c r="B144" s="54" t="s">
        <v>188</v>
      </c>
      <c r="C144" s="54" t="s">
        <v>19</v>
      </c>
      <c r="D144" s="54" t="s">
        <v>19</v>
      </c>
      <c r="E144" s="54">
        <v>71</v>
      </c>
      <c r="F144" s="54">
        <v>1</v>
      </c>
      <c r="G144" t="str">
        <f t="shared" si="8"/>
        <v>71_1</v>
      </c>
      <c r="H144" t="str">
        <f>IF(COUNTIFS($G:$G,G144)=1,G144,G144&amp;"-"&amp;COUNTIFS(G$2:G144,G144))</f>
        <v>71_1</v>
      </c>
      <c r="I144" s="54">
        <v>320</v>
      </c>
      <c r="J144" s="54">
        <v>190</v>
      </c>
      <c r="K144" s="54">
        <v>190</v>
      </c>
      <c r="L144" s="54" t="s">
        <v>42</v>
      </c>
      <c r="M144" s="54" t="s">
        <v>19</v>
      </c>
      <c r="N144" s="54">
        <v>0</v>
      </c>
      <c r="O144" s="54">
        <v>5</v>
      </c>
      <c r="Q144" s="59">
        <f>IF(COUNTIFS(Q$2:Q143,Q143)=COUNTIFS($E:$E,Q143),1,0)+Q143</f>
        <v>64</v>
      </c>
      <c r="R144" s="60">
        <f t="shared" si="10"/>
        <v>1</v>
      </c>
      <c r="S144" s="59">
        <f t="shared" si="11"/>
        <v>0</v>
      </c>
      <c r="T144" s="59" t="str">
        <f t="shared" si="9"/>
        <v>Lapras</v>
      </c>
    </row>
    <row r="145" spans="1:20" x14ac:dyDescent="0.25">
      <c r="A145" s="54">
        <v>144</v>
      </c>
      <c r="B145" s="54" t="s">
        <v>189</v>
      </c>
      <c r="C145" s="54" t="s">
        <v>19</v>
      </c>
      <c r="D145" s="54" t="s">
        <v>19</v>
      </c>
      <c r="E145" s="54">
        <v>72</v>
      </c>
      <c r="F145" s="54">
        <v>1</v>
      </c>
      <c r="G145" t="str">
        <f t="shared" si="8"/>
        <v>72_1</v>
      </c>
      <c r="H145" t="str">
        <f>IF(COUNTIFS($G:$G,G145)=1,G145,G145&amp;"-"&amp;COUNTIFS(G$2:G145,G145))</f>
        <v>72_1</v>
      </c>
      <c r="I145" s="54">
        <v>180</v>
      </c>
      <c r="J145" s="54">
        <v>192</v>
      </c>
      <c r="K145" s="54">
        <v>249</v>
      </c>
      <c r="L145" s="54" t="s">
        <v>124</v>
      </c>
      <c r="M145" s="54" t="s">
        <v>28</v>
      </c>
      <c r="N145" s="54">
        <v>0</v>
      </c>
      <c r="O145" s="54">
        <v>5</v>
      </c>
      <c r="Q145" s="59">
        <f>IF(COUNTIFS(Q$2:Q144,Q144)=COUNTIFS($E:$E,Q144),1,0)+Q144</f>
        <v>65</v>
      </c>
      <c r="R145" s="60">
        <f t="shared" si="10"/>
        <v>1</v>
      </c>
      <c r="S145" s="59">
        <f t="shared" si="11"/>
        <v>0</v>
      </c>
      <c r="T145" s="59" t="str">
        <f t="shared" si="9"/>
        <v>Ditto</v>
      </c>
    </row>
    <row r="146" spans="1:20" x14ac:dyDescent="0.25">
      <c r="A146" s="54">
        <v>145</v>
      </c>
      <c r="B146" s="54" t="s">
        <v>190</v>
      </c>
      <c r="C146" s="54" t="s">
        <v>19</v>
      </c>
      <c r="D146" s="54" t="s">
        <v>19</v>
      </c>
      <c r="E146" s="54">
        <v>73</v>
      </c>
      <c r="F146" s="54">
        <v>1</v>
      </c>
      <c r="G146" t="str">
        <f t="shared" si="8"/>
        <v>73_1</v>
      </c>
      <c r="H146" t="str">
        <f>IF(COUNTIFS($G:$G,G146)=1,G146,G146&amp;"-"&amp;COUNTIFS(G$2:G146,G146))</f>
        <v>73_1</v>
      </c>
      <c r="I146" s="54">
        <v>180</v>
      </c>
      <c r="J146" s="54">
        <v>253</v>
      </c>
      <c r="K146" s="54">
        <v>188</v>
      </c>
      <c r="L146" s="54" t="s">
        <v>53</v>
      </c>
      <c r="M146" s="54" t="s">
        <v>28</v>
      </c>
      <c r="N146" s="54">
        <v>0</v>
      </c>
      <c r="O146" s="54">
        <v>5</v>
      </c>
      <c r="Q146" s="59">
        <f>IF(COUNTIFS(Q$2:Q145,Q145)=COUNTIFS($E:$E,Q145),1,0)+Q145</f>
        <v>66</v>
      </c>
      <c r="R146" s="60">
        <f t="shared" si="10"/>
        <v>1</v>
      </c>
      <c r="S146" s="59">
        <f t="shared" si="11"/>
        <v>0</v>
      </c>
      <c r="T146" s="59" t="str">
        <f t="shared" si="9"/>
        <v>Eevee</v>
      </c>
    </row>
    <row r="147" spans="1:20" x14ac:dyDescent="0.25">
      <c r="A147" s="54">
        <v>146</v>
      </c>
      <c r="B147" s="54" t="s">
        <v>191</v>
      </c>
      <c r="C147" s="54" t="s">
        <v>19</v>
      </c>
      <c r="D147" s="54" t="s">
        <v>19</v>
      </c>
      <c r="E147" s="54">
        <v>74</v>
      </c>
      <c r="F147" s="54">
        <v>1</v>
      </c>
      <c r="G147" t="str">
        <f t="shared" si="8"/>
        <v>74_1</v>
      </c>
      <c r="H147" t="str">
        <f>IF(COUNTIFS($G:$G,G147)=1,G147,G147&amp;"-"&amp;COUNTIFS(G$2:G147,G147))</f>
        <v>74_1</v>
      </c>
      <c r="I147" s="54">
        <v>180</v>
      </c>
      <c r="J147" s="54">
        <v>251</v>
      </c>
      <c r="K147" s="54">
        <v>184</v>
      </c>
      <c r="L147" s="54" t="s">
        <v>26</v>
      </c>
      <c r="M147" s="54" t="s">
        <v>28</v>
      </c>
      <c r="N147" s="54">
        <v>0</v>
      </c>
      <c r="O147" s="54">
        <v>5</v>
      </c>
      <c r="Q147" s="59">
        <f>IF(COUNTIFS(Q$2:Q146,Q146)=COUNTIFS($E:$E,Q146),1,0)+Q146</f>
        <v>66</v>
      </c>
      <c r="R147" s="60">
        <f t="shared" si="10"/>
        <v>2</v>
      </c>
      <c r="S147" s="59">
        <f t="shared" si="11"/>
        <v>1</v>
      </c>
      <c r="T147" s="59" t="str">
        <f t="shared" si="9"/>
        <v>Vaporeon</v>
      </c>
    </row>
    <row r="148" spans="1:20" x14ac:dyDescent="0.25">
      <c r="A148" s="54">
        <v>147</v>
      </c>
      <c r="B148" s="54" t="s">
        <v>192</v>
      </c>
      <c r="C148" s="54" t="s">
        <v>19</v>
      </c>
      <c r="D148" s="54" t="s">
        <v>193</v>
      </c>
      <c r="E148" s="54">
        <v>75</v>
      </c>
      <c r="F148" s="54">
        <v>1</v>
      </c>
      <c r="G148" t="str">
        <f t="shared" si="8"/>
        <v>75_1</v>
      </c>
      <c r="H148" t="str">
        <f>IF(COUNTIFS($G:$G,G148)=1,G148,G148&amp;"-"&amp;COUNTIFS(G$2:G148,G148))</f>
        <v>75_1</v>
      </c>
      <c r="I148" s="54">
        <v>82</v>
      </c>
      <c r="J148" s="54">
        <v>119</v>
      </c>
      <c r="K148" s="54">
        <v>94</v>
      </c>
      <c r="L148" s="54" t="s">
        <v>194</v>
      </c>
      <c r="M148" s="54" t="s">
        <v>19</v>
      </c>
      <c r="N148" s="54">
        <v>25</v>
      </c>
      <c r="O148" s="54">
        <v>5</v>
      </c>
      <c r="Q148" s="59">
        <f>IF(COUNTIFS(Q$2:Q147,Q147)=COUNTIFS($E:$E,Q147),1,0)+Q147</f>
        <v>66</v>
      </c>
      <c r="R148" s="60">
        <f t="shared" si="10"/>
        <v>2</v>
      </c>
      <c r="S148" s="59">
        <f t="shared" si="11"/>
        <v>2</v>
      </c>
      <c r="T148" s="59" t="str">
        <f t="shared" si="9"/>
        <v>Jolteon</v>
      </c>
    </row>
    <row r="149" spans="1:20" x14ac:dyDescent="0.25">
      <c r="A149" s="54">
        <v>148</v>
      </c>
      <c r="B149" s="54" t="s">
        <v>193</v>
      </c>
      <c r="C149" s="54" t="s">
        <v>192</v>
      </c>
      <c r="D149" s="54" t="s">
        <v>195</v>
      </c>
      <c r="E149" s="54">
        <v>75</v>
      </c>
      <c r="F149" s="54">
        <v>2</v>
      </c>
      <c r="G149" t="str">
        <f t="shared" si="8"/>
        <v>75_2</v>
      </c>
      <c r="H149" t="str">
        <f>IF(COUNTIFS($G:$G,G149)=1,G149,G149&amp;"-"&amp;COUNTIFS(G$2:G149,G149))</f>
        <v>75_2</v>
      </c>
      <c r="I149" s="54">
        <v>122</v>
      </c>
      <c r="J149" s="54">
        <v>163</v>
      </c>
      <c r="K149" s="54">
        <v>138</v>
      </c>
      <c r="L149" s="54" t="s">
        <v>194</v>
      </c>
      <c r="M149" s="54" t="s">
        <v>19</v>
      </c>
      <c r="N149" s="54">
        <v>100</v>
      </c>
      <c r="O149" s="54">
        <v>5</v>
      </c>
      <c r="Q149" s="59">
        <f>IF(COUNTIFS(Q$2:Q148,Q148)=COUNTIFS($E:$E,Q148),1,0)+Q148</f>
        <v>66</v>
      </c>
      <c r="R149" s="60">
        <f t="shared" si="10"/>
        <v>2</v>
      </c>
      <c r="S149" s="59">
        <f t="shared" si="11"/>
        <v>3</v>
      </c>
      <c r="T149" s="59" t="str">
        <f t="shared" si="9"/>
        <v>Flareon</v>
      </c>
    </row>
    <row r="150" spans="1:20" x14ac:dyDescent="0.25">
      <c r="A150" s="54">
        <v>149</v>
      </c>
      <c r="B150" s="54" t="s">
        <v>195</v>
      </c>
      <c r="C150" s="54" t="s">
        <v>193</v>
      </c>
      <c r="D150" s="54" t="s">
        <v>19</v>
      </c>
      <c r="E150" s="54">
        <v>75</v>
      </c>
      <c r="F150" s="54">
        <v>3</v>
      </c>
      <c r="G150" t="str">
        <f t="shared" si="8"/>
        <v>75_3</v>
      </c>
      <c r="H150" t="str">
        <f>IF(COUNTIFS($G:$G,G150)=1,G150,G150&amp;"-"&amp;COUNTIFS(G$2:G150,G150))</f>
        <v>75_3</v>
      </c>
      <c r="I150" s="54">
        <v>182</v>
      </c>
      <c r="J150" s="54">
        <v>263</v>
      </c>
      <c r="K150" s="54">
        <v>201</v>
      </c>
      <c r="L150" s="54" t="s">
        <v>194</v>
      </c>
      <c r="M150" s="54" t="s">
        <v>28</v>
      </c>
      <c r="N150" s="54">
        <v>0</v>
      </c>
      <c r="O150" s="54">
        <v>5</v>
      </c>
      <c r="Q150" s="59">
        <f>IF(COUNTIFS(Q$2:Q149,Q149)=COUNTIFS($E:$E,Q149),1,0)+Q149</f>
        <v>66</v>
      </c>
      <c r="R150" s="60">
        <f t="shared" si="10"/>
        <v>2</v>
      </c>
      <c r="S150" s="59">
        <f t="shared" si="11"/>
        <v>4</v>
      </c>
      <c r="T150" s="59" t="str">
        <f t="shared" si="9"/>
        <v>Espeon</v>
      </c>
    </row>
    <row r="151" spans="1:20" x14ac:dyDescent="0.25">
      <c r="A151" s="54">
        <v>150</v>
      </c>
      <c r="B151" s="54" t="s">
        <v>196</v>
      </c>
      <c r="C151" s="54" t="s">
        <v>19</v>
      </c>
      <c r="D151" s="54" t="s">
        <v>19</v>
      </c>
      <c r="E151" s="54">
        <v>76</v>
      </c>
      <c r="F151" s="54">
        <v>1</v>
      </c>
      <c r="G151" t="str">
        <f t="shared" si="8"/>
        <v>76_1</v>
      </c>
      <c r="H151" t="str">
        <f>IF(COUNTIFS($G:$G,G151)=1,G151,G151&amp;"-"&amp;COUNTIFS(G$2:G151,G151))</f>
        <v>76_1</v>
      </c>
      <c r="I151" s="54">
        <v>212</v>
      </c>
      <c r="J151" s="54">
        <v>330</v>
      </c>
      <c r="K151" s="54">
        <v>200</v>
      </c>
      <c r="L151" s="54" t="s">
        <v>98</v>
      </c>
      <c r="M151" s="54" t="s">
        <v>19</v>
      </c>
      <c r="N151" s="54">
        <v>0</v>
      </c>
      <c r="O151" s="54">
        <v>5</v>
      </c>
      <c r="Q151" s="59">
        <f>IF(COUNTIFS(Q$2:Q150,Q150)=COUNTIFS($E:$E,Q150),1,0)+Q150</f>
        <v>66</v>
      </c>
      <c r="R151" s="60">
        <f t="shared" si="10"/>
        <v>2</v>
      </c>
      <c r="S151" s="59">
        <f t="shared" si="11"/>
        <v>5</v>
      </c>
      <c r="T151" s="59" t="str">
        <f t="shared" si="9"/>
        <v>Umbreon</v>
      </c>
    </row>
    <row r="152" spans="1:20" x14ac:dyDescent="0.25">
      <c r="A152" s="54">
        <v>151</v>
      </c>
      <c r="B152" s="54" t="s">
        <v>197</v>
      </c>
      <c r="C152" s="54" t="s">
        <v>19</v>
      </c>
      <c r="D152" s="54" t="s">
        <v>19</v>
      </c>
      <c r="E152" s="54">
        <v>77</v>
      </c>
      <c r="F152" s="54">
        <v>1</v>
      </c>
      <c r="G152" t="str">
        <f t="shared" si="8"/>
        <v>77_1</v>
      </c>
      <c r="H152" t="str">
        <f>IF(COUNTIFS($G:$G,G152)=1,G152,G152&amp;"-"&amp;COUNTIFS(G$2:G152,G152))</f>
        <v>77_1</v>
      </c>
      <c r="I152" s="54">
        <v>200</v>
      </c>
      <c r="J152" s="54">
        <v>210</v>
      </c>
      <c r="K152" s="54">
        <v>210</v>
      </c>
      <c r="L152" s="54" t="s">
        <v>98</v>
      </c>
      <c r="M152" s="54" t="s">
        <v>19</v>
      </c>
      <c r="N152" s="54">
        <v>0</v>
      </c>
      <c r="O152" s="54">
        <v>5</v>
      </c>
      <c r="Q152" s="59">
        <f>IF(COUNTIFS(Q$2:Q151,Q151)=COUNTIFS($E:$E,Q151),1,0)+Q151</f>
        <v>67</v>
      </c>
      <c r="R152" s="60">
        <f t="shared" si="10"/>
        <v>1</v>
      </c>
      <c r="S152" s="59">
        <f t="shared" si="11"/>
        <v>0</v>
      </c>
      <c r="T152" s="59" t="str">
        <f t="shared" si="9"/>
        <v>Porygon</v>
      </c>
    </row>
    <row r="153" spans="1:20" x14ac:dyDescent="0.25">
      <c r="A153" s="54">
        <v>152</v>
      </c>
      <c r="B153" s="54" t="s">
        <v>198</v>
      </c>
      <c r="C153" s="54" t="s">
        <v>19</v>
      </c>
      <c r="D153" s="54" t="s">
        <v>199</v>
      </c>
      <c r="E153" s="54">
        <v>78</v>
      </c>
      <c r="F153" s="54">
        <v>1</v>
      </c>
      <c r="G153" t="str">
        <f t="shared" si="8"/>
        <v>78_1</v>
      </c>
      <c r="H153" t="str">
        <f>IF(COUNTIFS($G:$G,G153)=1,G153,G153&amp;"-"&amp;COUNTIFS(G$2:G153,G153))</f>
        <v>78_1</v>
      </c>
      <c r="I153" s="54">
        <v>90</v>
      </c>
      <c r="J153" s="54">
        <v>92</v>
      </c>
      <c r="K153" s="54">
        <v>122</v>
      </c>
      <c r="L153" s="54" t="s">
        <v>21</v>
      </c>
      <c r="M153" s="54" t="s">
        <v>19</v>
      </c>
      <c r="N153" s="54">
        <v>25</v>
      </c>
      <c r="O153" s="54">
        <v>3</v>
      </c>
      <c r="Q153" s="59">
        <f>IF(COUNTIFS(Q$2:Q152,Q152)=COUNTIFS($E:$E,Q152),1,0)+Q152</f>
        <v>67</v>
      </c>
      <c r="R153" s="60">
        <f t="shared" si="10"/>
        <v>2</v>
      </c>
      <c r="S153" s="59">
        <f t="shared" si="11"/>
        <v>0</v>
      </c>
      <c r="T153" s="59" t="str">
        <f t="shared" si="9"/>
        <v>Porygon2</v>
      </c>
    </row>
    <row r="154" spans="1:20" x14ac:dyDescent="0.25">
      <c r="A154" s="54">
        <v>153</v>
      </c>
      <c r="B154" s="54" t="s">
        <v>199</v>
      </c>
      <c r="C154" s="54" t="s">
        <v>198</v>
      </c>
      <c r="D154" s="54" t="s">
        <v>200</v>
      </c>
      <c r="E154" s="54">
        <v>78</v>
      </c>
      <c r="F154" s="54">
        <v>2</v>
      </c>
      <c r="G154" t="str">
        <f t="shared" si="8"/>
        <v>78_2</v>
      </c>
      <c r="H154" t="str">
        <f>IF(COUNTIFS($G:$G,G154)=1,G154,G154&amp;"-"&amp;COUNTIFS(G$2:G154,G154))</f>
        <v>78_2</v>
      </c>
      <c r="I154" s="54">
        <v>120</v>
      </c>
      <c r="J154" s="54">
        <v>122</v>
      </c>
      <c r="K154" s="54">
        <v>155</v>
      </c>
      <c r="L154" s="54" t="s">
        <v>21</v>
      </c>
      <c r="M154" s="54" t="s">
        <v>19</v>
      </c>
      <c r="N154" s="54">
        <v>100</v>
      </c>
      <c r="O154" s="54">
        <v>3</v>
      </c>
      <c r="Q154" s="59">
        <f>IF(COUNTIFS(Q$2:Q153,Q153)=COUNTIFS($E:$E,Q153),1,0)+Q153</f>
        <v>68</v>
      </c>
      <c r="R154" s="60">
        <f t="shared" si="10"/>
        <v>1</v>
      </c>
      <c r="S154" s="59">
        <f t="shared" si="11"/>
        <v>0</v>
      </c>
      <c r="T154" s="59" t="str">
        <f t="shared" si="9"/>
        <v>Omanyte</v>
      </c>
    </row>
    <row r="155" spans="1:20" x14ac:dyDescent="0.25">
      <c r="A155" s="54">
        <v>154</v>
      </c>
      <c r="B155" s="54" t="s">
        <v>200</v>
      </c>
      <c r="C155" s="54" t="s">
        <v>199</v>
      </c>
      <c r="D155" s="54" t="s">
        <v>19</v>
      </c>
      <c r="E155" s="54">
        <v>78</v>
      </c>
      <c r="F155" s="54">
        <v>3</v>
      </c>
      <c r="G155" t="str">
        <f t="shared" si="8"/>
        <v>78_3</v>
      </c>
      <c r="H155" t="str">
        <f>IF(COUNTIFS($G:$G,G155)=1,G155,G155&amp;"-"&amp;COUNTIFS(G$2:G155,G155))</f>
        <v>78_3</v>
      </c>
      <c r="I155" s="54">
        <v>160</v>
      </c>
      <c r="J155" s="54">
        <v>168</v>
      </c>
      <c r="K155" s="54">
        <v>202</v>
      </c>
      <c r="L155" s="54" t="s">
        <v>21</v>
      </c>
      <c r="M155" s="54" t="s">
        <v>19</v>
      </c>
      <c r="N155" s="54">
        <v>0</v>
      </c>
      <c r="O155" s="54">
        <v>3</v>
      </c>
      <c r="Q155" s="59">
        <f>IF(COUNTIFS(Q$2:Q154,Q154)=COUNTIFS($E:$E,Q154),1,0)+Q154</f>
        <v>68</v>
      </c>
      <c r="R155" s="60">
        <f t="shared" si="10"/>
        <v>2</v>
      </c>
      <c r="S155" s="59">
        <f t="shared" si="11"/>
        <v>0</v>
      </c>
      <c r="T155" s="59" t="str">
        <f t="shared" si="9"/>
        <v>Omastar</v>
      </c>
    </row>
    <row r="156" spans="1:20" x14ac:dyDescent="0.25">
      <c r="A156" s="54">
        <v>155</v>
      </c>
      <c r="B156" s="54" t="s">
        <v>201</v>
      </c>
      <c r="C156" s="54" t="s">
        <v>19</v>
      </c>
      <c r="D156" s="54" t="s">
        <v>202</v>
      </c>
      <c r="E156" s="54">
        <v>79</v>
      </c>
      <c r="F156" s="54">
        <v>1</v>
      </c>
      <c r="G156" t="str">
        <f t="shared" si="8"/>
        <v>79_1</v>
      </c>
      <c r="H156" t="str">
        <f>IF(COUNTIFS($G:$G,G156)=1,G156,G156&amp;"-"&amp;COUNTIFS(G$2:G156,G156))</f>
        <v>79_1</v>
      </c>
      <c r="I156" s="54">
        <v>78</v>
      </c>
      <c r="J156" s="54">
        <v>116</v>
      </c>
      <c r="K156" s="54">
        <v>96</v>
      </c>
      <c r="L156" s="54" t="s">
        <v>26</v>
      </c>
      <c r="M156" s="54" t="s">
        <v>19</v>
      </c>
      <c r="N156" s="54">
        <v>25</v>
      </c>
      <c r="O156" s="54">
        <v>3</v>
      </c>
      <c r="Q156" s="59">
        <f>IF(COUNTIFS(Q$2:Q155,Q155)=COUNTIFS($E:$E,Q155),1,0)+Q155</f>
        <v>69</v>
      </c>
      <c r="R156" s="60">
        <f t="shared" si="10"/>
        <v>1</v>
      </c>
      <c r="S156" s="59">
        <f t="shared" si="11"/>
        <v>0</v>
      </c>
      <c r="T156" s="59" t="str">
        <f t="shared" si="9"/>
        <v>Kabuto</v>
      </c>
    </row>
    <row r="157" spans="1:20" x14ac:dyDescent="0.25">
      <c r="A157" s="54">
        <v>156</v>
      </c>
      <c r="B157" s="54" t="s">
        <v>202</v>
      </c>
      <c r="C157" s="54" t="s">
        <v>201</v>
      </c>
      <c r="D157" s="54" t="s">
        <v>203</v>
      </c>
      <c r="E157" s="54">
        <v>79</v>
      </c>
      <c r="F157" s="54">
        <v>2</v>
      </c>
      <c r="G157" t="str">
        <f t="shared" si="8"/>
        <v>79_2</v>
      </c>
      <c r="H157" t="str">
        <f>IF(COUNTIFS($G:$G,G157)=1,G157,G157&amp;"-"&amp;COUNTIFS(G$2:G157,G157))</f>
        <v>79_2</v>
      </c>
      <c r="I157" s="54">
        <v>116</v>
      </c>
      <c r="J157" s="54">
        <v>158</v>
      </c>
      <c r="K157" s="54">
        <v>129</v>
      </c>
      <c r="L157" s="54" t="s">
        <v>26</v>
      </c>
      <c r="M157" s="54" t="s">
        <v>19</v>
      </c>
      <c r="N157" s="54">
        <v>100</v>
      </c>
      <c r="O157" s="54">
        <v>3</v>
      </c>
      <c r="Q157" s="59">
        <f>IF(COUNTIFS(Q$2:Q156,Q156)=COUNTIFS($E:$E,Q156),1,0)+Q156</f>
        <v>69</v>
      </c>
      <c r="R157" s="60">
        <f t="shared" si="10"/>
        <v>2</v>
      </c>
      <c r="S157" s="59">
        <f t="shared" si="11"/>
        <v>0</v>
      </c>
      <c r="T157" s="59" t="str">
        <f t="shared" si="9"/>
        <v>Kabutops</v>
      </c>
    </row>
    <row r="158" spans="1:20" x14ac:dyDescent="0.25">
      <c r="A158" s="54">
        <v>157</v>
      </c>
      <c r="B158" s="54" t="s">
        <v>203</v>
      </c>
      <c r="C158" s="54" t="s">
        <v>202</v>
      </c>
      <c r="D158" s="54" t="s">
        <v>19</v>
      </c>
      <c r="E158" s="54">
        <v>79</v>
      </c>
      <c r="F158" s="54">
        <v>3</v>
      </c>
      <c r="G158" t="str">
        <f t="shared" si="8"/>
        <v>79_3</v>
      </c>
      <c r="H158" t="str">
        <f>IF(COUNTIFS($G:$G,G158)=1,G158,G158&amp;"-"&amp;COUNTIFS(G$2:G158,G158))</f>
        <v>79_3</v>
      </c>
      <c r="I158" s="54">
        <v>156</v>
      </c>
      <c r="J158" s="54">
        <v>223</v>
      </c>
      <c r="K158" s="54">
        <v>176</v>
      </c>
      <c r="L158" s="54" t="s">
        <v>26</v>
      </c>
      <c r="M158" s="54" t="s">
        <v>19</v>
      </c>
      <c r="N158" s="54">
        <v>0</v>
      </c>
      <c r="O158" s="54">
        <v>3</v>
      </c>
      <c r="Q158" s="59">
        <f>IF(COUNTIFS(Q$2:Q157,Q157)=COUNTIFS($E:$E,Q157),1,0)+Q157</f>
        <v>70</v>
      </c>
      <c r="R158" s="60">
        <f t="shared" si="10"/>
        <v>1</v>
      </c>
      <c r="S158" s="59">
        <f t="shared" si="11"/>
        <v>0</v>
      </c>
      <c r="T158" s="59" t="str">
        <f t="shared" si="9"/>
        <v>Aerodactyl</v>
      </c>
    </row>
    <row r="159" spans="1:20" x14ac:dyDescent="0.25">
      <c r="A159" s="54">
        <v>158</v>
      </c>
      <c r="B159" s="54" t="s">
        <v>204</v>
      </c>
      <c r="C159" s="54" t="s">
        <v>19</v>
      </c>
      <c r="D159" s="54" t="s">
        <v>205</v>
      </c>
      <c r="E159" s="54">
        <v>80</v>
      </c>
      <c r="F159" s="54">
        <v>1</v>
      </c>
      <c r="G159" t="str">
        <f t="shared" si="8"/>
        <v>80_1</v>
      </c>
      <c r="H159" t="str">
        <f>IF(COUNTIFS($G:$G,G159)=1,G159,G159&amp;"-"&amp;COUNTIFS(G$2:G159,G159))</f>
        <v>80_1</v>
      </c>
      <c r="I159" s="54">
        <v>100</v>
      </c>
      <c r="J159" s="54">
        <v>117</v>
      </c>
      <c r="K159" s="54">
        <v>116</v>
      </c>
      <c r="L159" s="54" t="s">
        <v>31</v>
      </c>
      <c r="M159" s="54" t="s">
        <v>19</v>
      </c>
      <c r="N159" s="54">
        <v>25</v>
      </c>
      <c r="O159" s="54">
        <v>3</v>
      </c>
      <c r="Q159" s="59">
        <f>IF(COUNTIFS(Q$2:Q158,Q158)=COUNTIFS($E:$E,Q158),1,0)+Q158</f>
        <v>71</v>
      </c>
      <c r="R159" s="60">
        <f t="shared" si="10"/>
        <v>1</v>
      </c>
      <c r="S159" s="59">
        <f t="shared" si="11"/>
        <v>0</v>
      </c>
      <c r="T159" s="59" t="str">
        <f t="shared" si="9"/>
        <v>Snorlax</v>
      </c>
    </row>
    <row r="160" spans="1:20" x14ac:dyDescent="0.25">
      <c r="A160" s="54">
        <v>159</v>
      </c>
      <c r="B160" s="54" t="s">
        <v>205</v>
      </c>
      <c r="C160" s="54" t="s">
        <v>204</v>
      </c>
      <c r="D160" s="54" t="s">
        <v>206</v>
      </c>
      <c r="E160" s="54">
        <v>80</v>
      </c>
      <c r="F160" s="54">
        <v>2</v>
      </c>
      <c r="G160" t="str">
        <f t="shared" si="8"/>
        <v>80_2</v>
      </c>
      <c r="H160" t="str">
        <f>IF(COUNTIFS($G:$G,G160)=1,G160,G160&amp;"-"&amp;COUNTIFS(G$2:G160,G160))</f>
        <v>80_2</v>
      </c>
      <c r="I160" s="54">
        <v>130</v>
      </c>
      <c r="J160" s="54">
        <v>150</v>
      </c>
      <c r="K160" s="54">
        <v>151</v>
      </c>
      <c r="L160" s="54" t="s">
        <v>31</v>
      </c>
      <c r="M160" s="54" t="s">
        <v>19</v>
      </c>
      <c r="N160" s="54">
        <v>100</v>
      </c>
      <c r="O160" s="54">
        <v>3</v>
      </c>
      <c r="Q160" s="59">
        <f>IF(COUNTIFS(Q$2:Q159,Q159)=COUNTIFS($E:$E,Q159),1,0)+Q159</f>
        <v>72</v>
      </c>
      <c r="R160" s="60">
        <f t="shared" si="10"/>
        <v>1</v>
      </c>
      <c r="S160" s="59">
        <f t="shared" si="11"/>
        <v>0</v>
      </c>
      <c r="T160" s="59" t="str">
        <f t="shared" si="9"/>
        <v>Articuno</v>
      </c>
    </row>
    <row r="161" spans="1:20" x14ac:dyDescent="0.25">
      <c r="A161" s="54">
        <v>160</v>
      </c>
      <c r="B161" s="54" t="s">
        <v>206</v>
      </c>
      <c r="C161" s="54" t="s">
        <v>205</v>
      </c>
      <c r="D161" s="54" t="s">
        <v>19</v>
      </c>
      <c r="E161" s="54">
        <v>80</v>
      </c>
      <c r="F161" s="54">
        <v>3</v>
      </c>
      <c r="G161" t="str">
        <f t="shared" si="8"/>
        <v>80_3</v>
      </c>
      <c r="H161" t="str">
        <f>IF(COUNTIFS($G:$G,G161)=1,G161,G161&amp;"-"&amp;COUNTIFS(G$2:G161,G161))</f>
        <v>80_3</v>
      </c>
      <c r="I161" s="54">
        <v>170</v>
      </c>
      <c r="J161" s="54">
        <v>205</v>
      </c>
      <c r="K161" s="54">
        <v>197</v>
      </c>
      <c r="L161" s="54" t="s">
        <v>31</v>
      </c>
      <c r="M161" s="54" t="s">
        <v>19</v>
      </c>
      <c r="N161" s="54">
        <v>0</v>
      </c>
      <c r="O161" s="54">
        <v>3</v>
      </c>
      <c r="Q161" s="59">
        <f>IF(COUNTIFS(Q$2:Q160,Q160)=COUNTIFS($E:$E,Q160),1,0)+Q160</f>
        <v>73</v>
      </c>
      <c r="R161" s="60">
        <f t="shared" si="10"/>
        <v>1</v>
      </c>
      <c r="S161" s="59">
        <f t="shared" si="11"/>
        <v>0</v>
      </c>
      <c r="T161" s="59" t="str">
        <f t="shared" si="9"/>
        <v>Zapdos</v>
      </c>
    </row>
    <row r="162" spans="1:20" x14ac:dyDescent="0.25">
      <c r="A162" s="54">
        <v>161</v>
      </c>
      <c r="B162" s="54" t="s">
        <v>207</v>
      </c>
      <c r="C162" s="54" t="s">
        <v>19</v>
      </c>
      <c r="D162" s="54" t="s">
        <v>208</v>
      </c>
      <c r="E162" s="54">
        <v>81</v>
      </c>
      <c r="F162" s="54">
        <v>1</v>
      </c>
      <c r="G162" t="str">
        <f t="shared" si="8"/>
        <v>81_1</v>
      </c>
      <c r="H162" t="str">
        <f>IF(COUNTIFS($G:$G,G162)=1,G162,G162&amp;"-"&amp;COUNTIFS(G$2:G162,G162))</f>
        <v>81_1</v>
      </c>
      <c r="I162" s="54">
        <v>70</v>
      </c>
      <c r="J162" s="54">
        <v>79</v>
      </c>
      <c r="K162" s="54">
        <v>77</v>
      </c>
      <c r="L162" s="54" t="s">
        <v>42</v>
      </c>
      <c r="M162" s="54" t="s">
        <v>19</v>
      </c>
      <c r="N162" s="54">
        <v>25</v>
      </c>
      <c r="O162" s="54">
        <v>1</v>
      </c>
      <c r="Q162" s="59">
        <f>IF(COUNTIFS(Q$2:Q161,Q161)=COUNTIFS($E:$E,Q161),1,0)+Q161</f>
        <v>74</v>
      </c>
      <c r="R162" s="60">
        <f t="shared" si="10"/>
        <v>1</v>
      </c>
      <c r="S162" s="59">
        <f t="shared" si="11"/>
        <v>0</v>
      </c>
      <c r="T162" s="59" t="str">
        <f t="shared" si="9"/>
        <v>Moltres</v>
      </c>
    </row>
    <row r="163" spans="1:20" x14ac:dyDescent="0.25">
      <c r="A163" s="54">
        <v>162</v>
      </c>
      <c r="B163" s="54" t="s">
        <v>208</v>
      </c>
      <c r="C163" s="54" t="s">
        <v>207</v>
      </c>
      <c r="D163" s="54" t="s">
        <v>19</v>
      </c>
      <c r="E163" s="54">
        <v>81</v>
      </c>
      <c r="F163" s="54">
        <v>2</v>
      </c>
      <c r="G163" t="str">
        <f t="shared" si="8"/>
        <v>81_2</v>
      </c>
      <c r="H163" t="str">
        <f>IF(COUNTIFS($G:$G,G163)=1,G163,G163&amp;"-"&amp;COUNTIFS(G$2:G163,G163))</f>
        <v>81_2</v>
      </c>
      <c r="I163" s="54">
        <v>170</v>
      </c>
      <c r="J163" s="54">
        <v>148</v>
      </c>
      <c r="K163" s="54">
        <v>130</v>
      </c>
      <c r="L163" s="54" t="s">
        <v>42</v>
      </c>
      <c r="M163" s="54" t="s">
        <v>19</v>
      </c>
      <c r="N163" s="54">
        <v>0</v>
      </c>
      <c r="O163" s="54">
        <v>1</v>
      </c>
      <c r="Q163" s="59">
        <f>IF(COUNTIFS(Q$2:Q162,Q162)=COUNTIFS($E:$E,Q162),1,0)+Q162</f>
        <v>75</v>
      </c>
      <c r="R163" s="60">
        <f t="shared" si="10"/>
        <v>1</v>
      </c>
      <c r="S163" s="59">
        <f t="shared" si="11"/>
        <v>0</v>
      </c>
      <c r="T163" s="59" t="str">
        <f t="shared" si="9"/>
        <v>Dratini</v>
      </c>
    </row>
    <row r="164" spans="1:20" x14ac:dyDescent="0.25">
      <c r="A164" s="54">
        <v>163</v>
      </c>
      <c r="B164" s="54" t="s">
        <v>209</v>
      </c>
      <c r="C164" s="54" t="s">
        <v>19</v>
      </c>
      <c r="D164" s="54" t="s">
        <v>210</v>
      </c>
      <c r="E164" s="54">
        <v>82</v>
      </c>
      <c r="F164" s="54">
        <v>1</v>
      </c>
      <c r="G164" t="str">
        <f t="shared" si="8"/>
        <v>82_1</v>
      </c>
      <c r="H164" t="str">
        <f>IF(COUNTIFS($G:$G,G164)=1,G164,G164&amp;"-"&amp;COUNTIFS(G$2:G164,G164))</f>
        <v>82_1</v>
      </c>
      <c r="I164" s="54">
        <v>120</v>
      </c>
      <c r="J164" s="54">
        <v>67</v>
      </c>
      <c r="K164" s="54">
        <v>101</v>
      </c>
      <c r="L164" s="54" t="s">
        <v>42</v>
      </c>
      <c r="M164" s="54" t="s">
        <v>28</v>
      </c>
      <c r="N164" s="54">
        <v>50</v>
      </c>
      <c r="O164" s="54">
        <v>1</v>
      </c>
      <c r="Q164" s="59">
        <f>IF(COUNTIFS(Q$2:Q163,Q163)=COUNTIFS($E:$E,Q163),1,0)+Q163</f>
        <v>75</v>
      </c>
      <c r="R164" s="60">
        <f t="shared" si="10"/>
        <v>2</v>
      </c>
      <c r="S164" s="59">
        <f t="shared" si="11"/>
        <v>0</v>
      </c>
      <c r="T164" s="59" t="str">
        <f t="shared" si="9"/>
        <v>Dragonair</v>
      </c>
    </row>
    <row r="165" spans="1:20" x14ac:dyDescent="0.25">
      <c r="A165" s="54">
        <v>164</v>
      </c>
      <c r="B165" s="54" t="s">
        <v>210</v>
      </c>
      <c r="C165" s="54" t="s">
        <v>209</v>
      </c>
      <c r="D165" s="54" t="s">
        <v>19</v>
      </c>
      <c r="E165" s="54">
        <v>82</v>
      </c>
      <c r="F165" s="54">
        <v>2</v>
      </c>
      <c r="G165" t="str">
        <f t="shared" si="8"/>
        <v>82_2</v>
      </c>
      <c r="H165" t="str">
        <f>IF(COUNTIFS($G:$G,G165)=1,G165,G165&amp;"-"&amp;COUNTIFS(G$2:G165,G165))</f>
        <v>82_2</v>
      </c>
      <c r="I165" s="54">
        <v>200</v>
      </c>
      <c r="J165" s="54">
        <v>145</v>
      </c>
      <c r="K165" s="54">
        <v>179</v>
      </c>
      <c r="L165" s="54" t="s">
        <v>42</v>
      </c>
      <c r="M165" s="54" t="s">
        <v>28</v>
      </c>
      <c r="N165" s="54">
        <v>0</v>
      </c>
      <c r="O165" s="54">
        <v>1</v>
      </c>
      <c r="Q165" s="59">
        <f>IF(COUNTIFS(Q$2:Q164,Q164)=COUNTIFS($E:$E,Q164),1,0)+Q164</f>
        <v>75</v>
      </c>
      <c r="R165" s="60">
        <f t="shared" si="10"/>
        <v>3</v>
      </c>
      <c r="S165" s="59">
        <f t="shared" si="11"/>
        <v>0</v>
      </c>
      <c r="T165" s="59" t="str">
        <f t="shared" si="9"/>
        <v>Dragonite</v>
      </c>
    </row>
    <row r="166" spans="1:20" x14ac:dyDescent="0.25">
      <c r="A166" s="54">
        <v>165</v>
      </c>
      <c r="B166" s="54" t="s">
        <v>211</v>
      </c>
      <c r="C166" s="54" t="s">
        <v>19</v>
      </c>
      <c r="D166" s="54" t="s">
        <v>212</v>
      </c>
      <c r="E166" s="54">
        <v>83</v>
      </c>
      <c r="F166" s="54">
        <v>1</v>
      </c>
      <c r="G166" t="str">
        <f t="shared" si="8"/>
        <v>83_1</v>
      </c>
      <c r="H166" t="str">
        <f>IF(COUNTIFS($G:$G,G166)=1,G166,G166&amp;"-"&amp;COUNTIFS(G$2:G166,G166))</f>
        <v>83_1</v>
      </c>
      <c r="I166" s="54">
        <v>80</v>
      </c>
      <c r="J166" s="54">
        <v>72</v>
      </c>
      <c r="K166" s="54">
        <v>142</v>
      </c>
      <c r="L166" s="54" t="s">
        <v>35</v>
      </c>
      <c r="M166" s="54" t="s">
        <v>28</v>
      </c>
      <c r="N166" s="54">
        <v>25</v>
      </c>
      <c r="O166" s="54">
        <v>1</v>
      </c>
      <c r="Q166" s="59">
        <f>IF(COUNTIFS(Q$2:Q165,Q165)=COUNTIFS($E:$E,Q165),1,0)+Q165</f>
        <v>76</v>
      </c>
      <c r="R166" s="60">
        <f t="shared" si="10"/>
        <v>1</v>
      </c>
      <c r="S166" s="59">
        <f t="shared" si="11"/>
        <v>0</v>
      </c>
      <c r="T166" s="59" t="str">
        <f t="shared" si="9"/>
        <v>Mewtwo</v>
      </c>
    </row>
    <row r="167" spans="1:20" x14ac:dyDescent="0.25">
      <c r="A167" s="54">
        <v>166</v>
      </c>
      <c r="B167" s="54" t="s">
        <v>212</v>
      </c>
      <c r="C167" s="54" t="s">
        <v>211</v>
      </c>
      <c r="D167" s="54" t="s">
        <v>19</v>
      </c>
      <c r="E167" s="54">
        <v>83</v>
      </c>
      <c r="F167" s="54">
        <v>2</v>
      </c>
      <c r="G167" t="str">
        <f t="shared" si="8"/>
        <v>83_2</v>
      </c>
      <c r="H167" t="str">
        <f>IF(COUNTIFS($G:$G,G167)=1,G167,G167&amp;"-"&amp;COUNTIFS(G$2:G167,G167))</f>
        <v>83_2</v>
      </c>
      <c r="I167" s="54">
        <v>110</v>
      </c>
      <c r="J167" s="54">
        <v>107</v>
      </c>
      <c r="K167" s="54">
        <v>209</v>
      </c>
      <c r="L167" s="54" t="s">
        <v>35</v>
      </c>
      <c r="M167" s="54" t="s">
        <v>28</v>
      </c>
      <c r="N167" s="54">
        <v>0</v>
      </c>
      <c r="O167" s="54">
        <v>1</v>
      </c>
      <c r="Q167" s="59">
        <f>IF(COUNTIFS(Q$2:Q166,Q166)=COUNTIFS($E:$E,Q166),1,0)+Q166</f>
        <v>77</v>
      </c>
      <c r="R167" s="60">
        <f t="shared" si="10"/>
        <v>1</v>
      </c>
      <c r="S167" s="59">
        <f t="shared" si="11"/>
        <v>0</v>
      </c>
      <c r="T167" s="59" t="str">
        <f t="shared" si="9"/>
        <v>Mew</v>
      </c>
    </row>
    <row r="168" spans="1:20" x14ac:dyDescent="0.25">
      <c r="A168" s="54">
        <v>167</v>
      </c>
      <c r="B168" s="54" t="s">
        <v>213</v>
      </c>
      <c r="C168" s="54" t="s">
        <v>19</v>
      </c>
      <c r="D168" s="54" t="s">
        <v>214</v>
      </c>
      <c r="E168" s="54">
        <v>84</v>
      </c>
      <c r="F168" s="54">
        <v>1</v>
      </c>
      <c r="G168" t="str">
        <f t="shared" si="8"/>
        <v>84_1</v>
      </c>
      <c r="H168" t="str">
        <f>IF(COUNTIFS($G:$G,G168)=1,G168,G168&amp;"-"&amp;COUNTIFS(G$2:G168,G168))</f>
        <v>84_1</v>
      </c>
      <c r="I168" s="54">
        <v>80</v>
      </c>
      <c r="J168" s="54">
        <v>105</v>
      </c>
      <c r="K168" s="54">
        <v>73</v>
      </c>
      <c r="L168" s="54" t="s">
        <v>35</v>
      </c>
      <c r="M168" s="54" t="s">
        <v>22</v>
      </c>
      <c r="N168" s="54">
        <v>50</v>
      </c>
      <c r="O168" s="54">
        <v>1</v>
      </c>
      <c r="Q168" s="59">
        <f>IF(COUNTIFS(Q$2:Q167,Q167)=COUNTIFS($E:$E,Q167),1,0)+Q167</f>
        <v>78</v>
      </c>
      <c r="R168" s="60">
        <f t="shared" si="10"/>
        <v>1</v>
      </c>
      <c r="S168" s="59">
        <f t="shared" si="11"/>
        <v>0</v>
      </c>
      <c r="T168" s="59" t="str">
        <f t="shared" si="9"/>
        <v>Chikorita</v>
      </c>
    </row>
    <row r="169" spans="1:20" x14ac:dyDescent="0.25">
      <c r="A169" s="54">
        <v>168</v>
      </c>
      <c r="B169" s="54" t="s">
        <v>214</v>
      </c>
      <c r="C169" s="54" t="s">
        <v>213</v>
      </c>
      <c r="D169" s="54" t="s">
        <v>19</v>
      </c>
      <c r="E169" s="54">
        <v>84</v>
      </c>
      <c r="F169" s="54">
        <v>2</v>
      </c>
      <c r="G169" t="str">
        <f t="shared" si="8"/>
        <v>84_2</v>
      </c>
      <c r="H169" t="str">
        <f>IF(COUNTIFS($G:$G,G169)=1,G169,G169&amp;"-"&amp;COUNTIFS(G$2:G169,G169))</f>
        <v>84_2</v>
      </c>
      <c r="I169" s="54">
        <v>140</v>
      </c>
      <c r="J169" s="54">
        <v>161</v>
      </c>
      <c r="K169" s="54">
        <v>128</v>
      </c>
      <c r="L169" s="54" t="s">
        <v>35</v>
      </c>
      <c r="M169" s="54" t="s">
        <v>22</v>
      </c>
      <c r="N169" s="54">
        <v>0</v>
      </c>
      <c r="O169" s="54">
        <v>1</v>
      </c>
      <c r="Q169" s="59">
        <f>IF(COUNTIFS(Q$2:Q168,Q168)=COUNTIFS($E:$E,Q168),1,0)+Q168</f>
        <v>78</v>
      </c>
      <c r="R169" s="60">
        <f t="shared" si="10"/>
        <v>2</v>
      </c>
      <c r="S169" s="59">
        <f t="shared" si="11"/>
        <v>0</v>
      </c>
      <c r="T169" s="59" t="str">
        <f t="shared" si="9"/>
        <v>Bayleef</v>
      </c>
    </row>
    <row r="170" spans="1:20" x14ac:dyDescent="0.25">
      <c r="A170" s="54">
        <v>169</v>
      </c>
      <c r="B170" s="54" t="s">
        <v>74</v>
      </c>
      <c r="C170" s="54" t="s">
        <v>73</v>
      </c>
      <c r="D170" s="54" t="s">
        <v>19</v>
      </c>
      <c r="E170" s="54">
        <v>17</v>
      </c>
      <c r="F170" s="54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 s="54">
        <v>170</v>
      </c>
      <c r="J170" s="54">
        <v>194</v>
      </c>
      <c r="K170" s="54">
        <v>178</v>
      </c>
      <c r="L170" s="54" t="s">
        <v>22</v>
      </c>
      <c r="M170" s="54" t="s">
        <v>28</v>
      </c>
      <c r="N170" s="54">
        <v>0</v>
      </c>
      <c r="O170" s="54">
        <v>1</v>
      </c>
      <c r="Q170" s="59">
        <f>IF(COUNTIFS(Q$2:Q169,Q169)=COUNTIFS($E:$E,Q169),1,0)+Q169</f>
        <v>78</v>
      </c>
      <c r="R170" s="60">
        <f t="shared" si="10"/>
        <v>3</v>
      </c>
      <c r="S170" s="59">
        <f t="shared" si="11"/>
        <v>0</v>
      </c>
      <c r="T170" s="59" t="str">
        <f t="shared" si="9"/>
        <v>Meganium</v>
      </c>
    </row>
    <row r="171" spans="1:20" x14ac:dyDescent="0.25">
      <c r="A171" s="54">
        <v>170</v>
      </c>
      <c r="B171" s="54" t="s">
        <v>215</v>
      </c>
      <c r="C171" s="54" t="s">
        <v>19</v>
      </c>
      <c r="D171" s="54" t="s">
        <v>216</v>
      </c>
      <c r="E171" s="54">
        <v>85</v>
      </c>
      <c r="F171" s="54">
        <v>1</v>
      </c>
      <c r="G171" t="str">
        <f t="shared" si="8"/>
        <v>85_1</v>
      </c>
      <c r="H171" t="str">
        <f>IF(COUNTIFS($G:$G,G171)=1,G171,G171&amp;"-"&amp;COUNTIFS(G$2:G171,G171))</f>
        <v>85_1</v>
      </c>
      <c r="I171" s="54">
        <v>150</v>
      </c>
      <c r="J171" s="54">
        <v>106</v>
      </c>
      <c r="K171" s="54">
        <v>106</v>
      </c>
      <c r="L171" s="54" t="s">
        <v>31</v>
      </c>
      <c r="M171" s="54" t="s">
        <v>53</v>
      </c>
      <c r="N171" s="54">
        <v>50</v>
      </c>
      <c r="O171" s="54">
        <v>3</v>
      </c>
      <c r="Q171" s="59">
        <f>IF(COUNTIFS(Q$2:Q170,Q170)=COUNTIFS($E:$E,Q170),1,0)+Q170</f>
        <v>79</v>
      </c>
      <c r="R171" s="60">
        <f t="shared" si="10"/>
        <v>1</v>
      </c>
      <c r="S171" s="59">
        <f t="shared" si="11"/>
        <v>0</v>
      </c>
      <c r="T171" s="59" t="str">
        <f t="shared" si="9"/>
        <v>Cyndaquil</v>
      </c>
    </row>
    <row r="172" spans="1:20" x14ac:dyDescent="0.25">
      <c r="A172" s="54">
        <v>171</v>
      </c>
      <c r="B172" s="54" t="s">
        <v>216</v>
      </c>
      <c r="C172" s="54" t="s">
        <v>215</v>
      </c>
      <c r="D172" s="54" t="s">
        <v>19</v>
      </c>
      <c r="E172" s="54">
        <v>85</v>
      </c>
      <c r="F172" s="54">
        <v>2</v>
      </c>
      <c r="G172" t="str">
        <f t="shared" si="8"/>
        <v>85_2</v>
      </c>
      <c r="H172" t="str">
        <f>IF(COUNTIFS($G:$G,G172)=1,G172,G172&amp;"-"&amp;COUNTIFS(G$2:G172,G172))</f>
        <v>85_2</v>
      </c>
      <c r="I172" s="54">
        <v>250</v>
      </c>
      <c r="J172" s="54">
        <v>146</v>
      </c>
      <c r="K172" s="54">
        <v>146</v>
      </c>
      <c r="L172" s="54" t="s">
        <v>31</v>
      </c>
      <c r="M172" s="54" t="s">
        <v>53</v>
      </c>
      <c r="N172" s="54">
        <v>0</v>
      </c>
      <c r="O172" s="54">
        <v>3</v>
      </c>
      <c r="Q172" s="59">
        <f>IF(COUNTIFS(Q$2:Q171,Q171)=COUNTIFS($E:$E,Q171),1,0)+Q171</f>
        <v>79</v>
      </c>
      <c r="R172" s="60">
        <f t="shared" si="10"/>
        <v>2</v>
      </c>
      <c r="S172" s="59">
        <f t="shared" si="11"/>
        <v>0</v>
      </c>
      <c r="T172" s="59" t="str">
        <f t="shared" si="9"/>
        <v>Quilava</v>
      </c>
    </row>
    <row r="173" spans="1:20" x14ac:dyDescent="0.25">
      <c r="A173" s="54">
        <v>172</v>
      </c>
      <c r="B173" s="54" t="s">
        <v>51</v>
      </c>
      <c r="C173" s="54" t="s">
        <v>19</v>
      </c>
      <c r="D173" s="54" t="s">
        <v>50</v>
      </c>
      <c r="E173" s="54">
        <v>10</v>
      </c>
      <c r="F173" s="54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 s="54">
        <v>40</v>
      </c>
      <c r="J173" s="54">
        <v>77</v>
      </c>
      <c r="K173" s="54">
        <v>63</v>
      </c>
      <c r="L173" s="54" t="s">
        <v>53</v>
      </c>
      <c r="M173" s="54" t="s">
        <v>19</v>
      </c>
      <c r="N173" s="54">
        <v>25</v>
      </c>
      <c r="O173" s="54">
        <v>1</v>
      </c>
      <c r="Q173" s="59">
        <f>IF(COUNTIFS(Q$2:Q172,Q172)=COUNTIFS($E:$E,Q172),1,0)+Q172</f>
        <v>79</v>
      </c>
      <c r="R173" s="60">
        <f t="shared" si="10"/>
        <v>3</v>
      </c>
      <c r="S173" s="59">
        <f t="shared" si="11"/>
        <v>0</v>
      </c>
      <c r="T173" s="59" t="str">
        <f t="shared" si="9"/>
        <v>Typhlosion</v>
      </c>
    </row>
    <row r="174" spans="1:20" x14ac:dyDescent="0.25">
      <c r="A174" s="54">
        <v>173</v>
      </c>
      <c r="B174" s="54" t="s">
        <v>64</v>
      </c>
      <c r="C174" s="54" t="s">
        <v>19</v>
      </c>
      <c r="D174" s="54" t="s">
        <v>63</v>
      </c>
      <c r="E174" s="54">
        <v>14</v>
      </c>
      <c r="F174" s="5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 s="54">
        <v>100</v>
      </c>
      <c r="J174" s="54">
        <v>75</v>
      </c>
      <c r="K174" s="54">
        <v>91</v>
      </c>
      <c r="L174" s="54" t="s">
        <v>66</v>
      </c>
      <c r="M174" s="54" t="s">
        <v>19</v>
      </c>
      <c r="N174" s="54">
        <v>25</v>
      </c>
      <c r="O174" s="54">
        <v>1</v>
      </c>
      <c r="Q174" s="59">
        <f>IF(COUNTIFS(Q$2:Q173,Q173)=COUNTIFS($E:$E,Q173),1,0)+Q173</f>
        <v>80</v>
      </c>
      <c r="R174" s="60">
        <f t="shared" si="10"/>
        <v>1</v>
      </c>
      <c r="S174" s="59">
        <f t="shared" si="11"/>
        <v>0</v>
      </c>
      <c r="T174" s="59" t="str">
        <f t="shared" si="9"/>
        <v>Totodile</v>
      </c>
    </row>
    <row r="175" spans="1:20" x14ac:dyDescent="0.25">
      <c r="A175" s="54">
        <v>174</v>
      </c>
      <c r="B175" s="54" t="s">
        <v>70</v>
      </c>
      <c r="C175" s="54" t="s">
        <v>19</v>
      </c>
      <c r="D175" s="54" t="s">
        <v>69</v>
      </c>
      <c r="E175" s="54">
        <v>16</v>
      </c>
      <c r="F175" s="54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 s="54">
        <v>180</v>
      </c>
      <c r="J175" s="54">
        <v>69</v>
      </c>
      <c r="K175" s="54">
        <v>34</v>
      </c>
      <c r="L175" s="54" t="s">
        <v>42</v>
      </c>
      <c r="M175" s="54" t="s">
        <v>66</v>
      </c>
      <c r="N175" s="54">
        <v>25</v>
      </c>
      <c r="O175" s="54">
        <v>1</v>
      </c>
      <c r="Q175" s="59">
        <f>IF(COUNTIFS(Q$2:Q174,Q174)=COUNTIFS($E:$E,Q174),1,0)+Q174</f>
        <v>80</v>
      </c>
      <c r="R175" s="60">
        <f t="shared" si="10"/>
        <v>2</v>
      </c>
      <c r="S175" s="59">
        <f t="shared" si="11"/>
        <v>0</v>
      </c>
      <c r="T175" s="59" t="str">
        <f t="shared" si="9"/>
        <v>Croconaw</v>
      </c>
    </row>
    <row r="176" spans="1:20" x14ac:dyDescent="0.25">
      <c r="A176" s="54">
        <v>175</v>
      </c>
      <c r="B176" s="54" t="s">
        <v>217</v>
      </c>
      <c r="C176" s="54" t="s">
        <v>19</v>
      </c>
      <c r="D176" s="54" t="s">
        <v>218</v>
      </c>
      <c r="E176" s="54">
        <v>86</v>
      </c>
      <c r="F176" s="54">
        <v>1</v>
      </c>
      <c r="G176" t="str">
        <f t="shared" si="8"/>
        <v>86_1</v>
      </c>
      <c r="H176" t="str">
        <f>IF(COUNTIFS($G:$G,G176)=1,G176,G176&amp;"-"&amp;COUNTIFS(G$2:G176,G176))</f>
        <v>86_1</v>
      </c>
      <c r="I176" s="54">
        <v>70</v>
      </c>
      <c r="J176" s="54">
        <v>67</v>
      </c>
      <c r="K176" s="54">
        <v>116</v>
      </c>
      <c r="L176" s="54" t="s">
        <v>66</v>
      </c>
      <c r="M176" s="54" t="s">
        <v>19</v>
      </c>
      <c r="N176" s="54">
        <v>50</v>
      </c>
      <c r="O176" s="54">
        <v>3</v>
      </c>
      <c r="Q176" s="59">
        <f>IF(COUNTIFS(Q$2:Q175,Q175)=COUNTIFS($E:$E,Q175),1,0)+Q175</f>
        <v>80</v>
      </c>
      <c r="R176" s="60">
        <f t="shared" si="10"/>
        <v>3</v>
      </c>
      <c r="S176" s="59">
        <f t="shared" si="11"/>
        <v>0</v>
      </c>
      <c r="T176" s="59" t="str">
        <f t="shared" si="9"/>
        <v>Feraligatr</v>
      </c>
    </row>
    <row r="177" spans="1:20" x14ac:dyDescent="0.25">
      <c r="A177" s="54">
        <v>176</v>
      </c>
      <c r="B177" s="54" t="s">
        <v>218</v>
      </c>
      <c r="C177" s="54" t="s">
        <v>217</v>
      </c>
      <c r="D177" s="54" t="s">
        <v>19</v>
      </c>
      <c r="E177" s="54">
        <v>86</v>
      </c>
      <c r="F177" s="54">
        <v>2</v>
      </c>
      <c r="G177" t="str">
        <f t="shared" si="8"/>
        <v>86_2</v>
      </c>
      <c r="H177" t="str">
        <f>IF(COUNTIFS($G:$G,G177)=1,G177,G177&amp;"-"&amp;COUNTIFS(G$2:G177,G177))</f>
        <v>86_2</v>
      </c>
      <c r="I177" s="54">
        <v>110</v>
      </c>
      <c r="J177" s="54">
        <v>139</v>
      </c>
      <c r="K177" s="54">
        <v>191</v>
      </c>
      <c r="L177" s="54" t="s">
        <v>66</v>
      </c>
      <c r="M177" s="54" t="s">
        <v>28</v>
      </c>
      <c r="N177" s="54">
        <v>0</v>
      </c>
      <c r="O177" s="54">
        <v>3</v>
      </c>
      <c r="Q177" s="59">
        <f>IF(COUNTIFS(Q$2:Q176,Q176)=COUNTIFS($E:$E,Q176),1,0)+Q176</f>
        <v>81</v>
      </c>
      <c r="R177" s="60">
        <f t="shared" si="10"/>
        <v>1</v>
      </c>
      <c r="S177" s="59">
        <f t="shared" si="11"/>
        <v>0</v>
      </c>
      <c r="T177" s="59" t="str">
        <f t="shared" si="9"/>
        <v>Sentret</v>
      </c>
    </row>
    <row r="178" spans="1:20" x14ac:dyDescent="0.25">
      <c r="A178" s="54">
        <v>177</v>
      </c>
      <c r="B178" s="54" t="s">
        <v>219</v>
      </c>
      <c r="C178" s="54" t="s">
        <v>19</v>
      </c>
      <c r="D178" s="54" t="s">
        <v>220</v>
      </c>
      <c r="E178" s="54">
        <v>87</v>
      </c>
      <c r="F178" s="54">
        <v>1</v>
      </c>
      <c r="G178" t="str">
        <f t="shared" si="8"/>
        <v>87_1</v>
      </c>
      <c r="H178" t="str">
        <f>IF(COUNTIFS($G:$G,G178)=1,G178,G178&amp;"-"&amp;COUNTIFS(G$2:G178,G178))</f>
        <v>87_1</v>
      </c>
      <c r="I178" s="54">
        <v>80</v>
      </c>
      <c r="J178" s="54">
        <v>134</v>
      </c>
      <c r="K178" s="54">
        <v>89</v>
      </c>
      <c r="L178" s="54" t="s">
        <v>98</v>
      </c>
      <c r="M178" s="54" t="s">
        <v>28</v>
      </c>
      <c r="N178" s="54">
        <v>50</v>
      </c>
      <c r="O178" s="54">
        <v>3</v>
      </c>
      <c r="Q178" s="59">
        <f>IF(COUNTIFS(Q$2:Q177,Q177)=COUNTIFS($E:$E,Q177),1,0)+Q177</f>
        <v>81</v>
      </c>
      <c r="R178" s="60">
        <f t="shared" si="10"/>
        <v>2</v>
      </c>
      <c r="S178" s="59">
        <f t="shared" si="11"/>
        <v>0</v>
      </c>
      <c r="T178" s="59" t="str">
        <f t="shared" si="9"/>
        <v>Furret</v>
      </c>
    </row>
    <row r="179" spans="1:20" x14ac:dyDescent="0.25">
      <c r="A179" s="54">
        <v>178</v>
      </c>
      <c r="B179" s="54" t="s">
        <v>220</v>
      </c>
      <c r="C179" s="54" t="s">
        <v>219</v>
      </c>
      <c r="D179" s="54" t="s">
        <v>19</v>
      </c>
      <c r="E179" s="54">
        <v>87</v>
      </c>
      <c r="F179" s="54">
        <v>2</v>
      </c>
      <c r="G179" t="str">
        <f t="shared" si="8"/>
        <v>87_2</v>
      </c>
      <c r="H179" t="str">
        <f>IF(COUNTIFS($G:$G,G179)=1,G179,G179&amp;"-"&amp;COUNTIFS(G$2:G179,G179))</f>
        <v>87_2</v>
      </c>
      <c r="I179" s="54">
        <v>130</v>
      </c>
      <c r="J179" s="54">
        <v>192</v>
      </c>
      <c r="K179" s="54">
        <v>146</v>
      </c>
      <c r="L179" s="54" t="s">
        <v>98</v>
      </c>
      <c r="M179" s="54" t="s">
        <v>28</v>
      </c>
      <c r="N179" s="54">
        <v>0</v>
      </c>
      <c r="O179" s="54">
        <v>3</v>
      </c>
      <c r="Q179" s="59">
        <f>IF(COUNTIFS(Q$2:Q178,Q178)=COUNTIFS($E:$E,Q178),1,0)+Q178</f>
        <v>82</v>
      </c>
      <c r="R179" s="60">
        <f t="shared" si="10"/>
        <v>1</v>
      </c>
      <c r="S179" s="59">
        <f t="shared" si="11"/>
        <v>0</v>
      </c>
      <c r="T179" s="59" t="str">
        <f t="shared" si="9"/>
        <v>Hoothoot</v>
      </c>
    </row>
    <row r="180" spans="1:20" x14ac:dyDescent="0.25">
      <c r="A180" s="54">
        <v>179</v>
      </c>
      <c r="B180" s="54" t="s">
        <v>221</v>
      </c>
      <c r="C180" s="54" t="s">
        <v>19</v>
      </c>
      <c r="D180" s="54" t="s">
        <v>222</v>
      </c>
      <c r="E180" s="54">
        <v>88</v>
      </c>
      <c r="F180" s="54">
        <v>1</v>
      </c>
      <c r="G180" t="str">
        <f t="shared" si="8"/>
        <v>88_1</v>
      </c>
      <c r="H180" t="str">
        <f>IF(COUNTIFS($G:$G,G180)=1,G180,G180&amp;"-"&amp;COUNTIFS(G$2:G180,G180))</f>
        <v>88_1</v>
      </c>
      <c r="I180" s="54">
        <v>110</v>
      </c>
      <c r="J180" s="54">
        <v>114</v>
      </c>
      <c r="K180" s="54">
        <v>82</v>
      </c>
      <c r="L180" s="54" t="s">
        <v>53</v>
      </c>
      <c r="M180" s="54" t="s">
        <v>19</v>
      </c>
      <c r="N180" s="54">
        <v>25</v>
      </c>
      <c r="O180" s="54">
        <v>5</v>
      </c>
      <c r="Q180" s="59">
        <f>IF(COUNTIFS(Q$2:Q179,Q179)=COUNTIFS($E:$E,Q179),1,0)+Q179</f>
        <v>82</v>
      </c>
      <c r="R180" s="60">
        <f t="shared" si="10"/>
        <v>2</v>
      </c>
      <c r="S180" s="59">
        <f t="shared" si="11"/>
        <v>0</v>
      </c>
      <c r="T180" s="59" t="str">
        <f t="shared" si="9"/>
        <v>Noctowl</v>
      </c>
    </row>
    <row r="181" spans="1:20" x14ac:dyDescent="0.25">
      <c r="A181" s="54">
        <v>180</v>
      </c>
      <c r="B181" s="54" t="s">
        <v>222</v>
      </c>
      <c r="C181" s="54" t="s">
        <v>221</v>
      </c>
      <c r="D181" s="54" t="s">
        <v>223</v>
      </c>
      <c r="E181" s="54">
        <v>88</v>
      </c>
      <c r="F181" s="54">
        <v>2</v>
      </c>
      <c r="G181" t="str">
        <f t="shared" si="8"/>
        <v>88_2</v>
      </c>
      <c r="H181" t="str">
        <f>IF(COUNTIFS($G:$G,G181)=1,G181,G181&amp;"-"&amp;COUNTIFS(G$2:G181,G181))</f>
        <v>88_2</v>
      </c>
      <c r="I181" s="54">
        <v>140</v>
      </c>
      <c r="J181" s="54">
        <v>145</v>
      </c>
      <c r="K181" s="54">
        <v>112</v>
      </c>
      <c r="L181" s="54" t="s">
        <v>53</v>
      </c>
      <c r="M181" s="54" t="s">
        <v>19</v>
      </c>
      <c r="N181" s="54">
        <v>100</v>
      </c>
      <c r="O181" s="54">
        <v>5</v>
      </c>
      <c r="Q181" s="59">
        <f>IF(COUNTIFS(Q$2:Q180,Q180)=COUNTIFS($E:$E,Q180),1,0)+Q180</f>
        <v>83</v>
      </c>
      <c r="R181" s="60">
        <f t="shared" si="10"/>
        <v>1</v>
      </c>
      <c r="S181" s="59">
        <f t="shared" si="11"/>
        <v>0</v>
      </c>
      <c r="T181" s="59" t="str">
        <f t="shared" si="9"/>
        <v>Ledyba</v>
      </c>
    </row>
    <row r="182" spans="1:20" x14ac:dyDescent="0.25">
      <c r="A182" s="54">
        <v>181</v>
      </c>
      <c r="B182" s="54" t="s">
        <v>223</v>
      </c>
      <c r="C182" s="54" t="s">
        <v>222</v>
      </c>
      <c r="D182" s="54" t="s">
        <v>19</v>
      </c>
      <c r="E182" s="54">
        <v>88</v>
      </c>
      <c r="F182" s="54">
        <v>3</v>
      </c>
      <c r="G182" t="str">
        <f t="shared" si="8"/>
        <v>88_3</v>
      </c>
      <c r="H182" t="str">
        <f>IF(COUNTIFS($G:$G,G182)=1,G182,G182&amp;"-"&amp;COUNTIFS(G$2:G182,G182))</f>
        <v>88_3</v>
      </c>
      <c r="I182" s="54">
        <v>180</v>
      </c>
      <c r="J182" s="54">
        <v>211</v>
      </c>
      <c r="K182" s="54">
        <v>172</v>
      </c>
      <c r="L182" s="54" t="s">
        <v>53</v>
      </c>
      <c r="M182" s="54" t="s">
        <v>19</v>
      </c>
      <c r="N182" s="54">
        <v>0</v>
      </c>
      <c r="O182" s="54">
        <v>5</v>
      </c>
      <c r="Q182" s="59">
        <f>IF(COUNTIFS(Q$2:Q181,Q181)=COUNTIFS($E:$E,Q181),1,0)+Q181</f>
        <v>83</v>
      </c>
      <c r="R182" s="60">
        <f t="shared" si="10"/>
        <v>2</v>
      </c>
      <c r="S182" s="59">
        <f t="shared" si="11"/>
        <v>0</v>
      </c>
      <c r="T182" s="59" t="str">
        <f t="shared" si="9"/>
        <v>Ledian</v>
      </c>
    </row>
    <row r="183" spans="1:20" x14ac:dyDescent="0.25">
      <c r="A183" s="54">
        <v>182</v>
      </c>
      <c r="B183" s="54" t="s">
        <v>224</v>
      </c>
      <c r="C183" s="54" t="s">
        <v>76</v>
      </c>
      <c r="D183" s="54" t="s">
        <v>19</v>
      </c>
      <c r="E183" s="54">
        <v>18</v>
      </c>
      <c r="F183" s="54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 s="54">
        <v>150</v>
      </c>
      <c r="J183" s="54">
        <v>169</v>
      </c>
      <c r="K183" s="54">
        <v>189</v>
      </c>
      <c r="L183" s="54" t="s">
        <v>21</v>
      </c>
      <c r="M183" s="54" t="s">
        <v>19</v>
      </c>
      <c r="N183" s="54">
        <v>0</v>
      </c>
      <c r="O183" s="54">
        <v>1</v>
      </c>
      <c r="Q183" s="59">
        <f>IF(COUNTIFS(Q$2:Q182,Q182)=COUNTIFS($E:$E,Q182),1,0)+Q182</f>
        <v>84</v>
      </c>
      <c r="R183" s="60">
        <f t="shared" si="10"/>
        <v>1</v>
      </c>
      <c r="S183" s="59">
        <f t="shared" si="11"/>
        <v>0</v>
      </c>
      <c r="T183" s="59" t="str">
        <f t="shared" si="9"/>
        <v>Spinarak</v>
      </c>
    </row>
    <row r="184" spans="1:20" x14ac:dyDescent="0.25">
      <c r="A184" s="54">
        <v>183</v>
      </c>
      <c r="B184" s="54" t="s">
        <v>225</v>
      </c>
      <c r="C184" s="54" t="s">
        <v>19</v>
      </c>
      <c r="D184" s="54" t="s">
        <v>226</v>
      </c>
      <c r="E184" s="54">
        <v>89</v>
      </c>
      <c r="F184" s="54">
        <v>1</v>
      </c>
      <c r="G184" t="str">
        <f t="shared" si="8"/>
        <v>89_1</v>
      </c>
      <c r="H184" t="str">
        <f>IF(COUNTIFS($G:$G,G184)=1,G184,G184&amp;"-"&amp;COUNTIFS(G$2:G184,G184))</f>
        <v>89_1</v>
      </c>
      <c r="I184" s="54">
        <v>140</v>
      </c>
      <c r="J184" s="54">
        <v>37</v>
      </c>
      <c r="K184" s="54">
        <v>93</v>
      </c>
      <c r="L184" s="54" t="s">
        <v>31</v>
      </c>
      <c r="M184" s="54" t="s">
        <v>66</v>
      </c>
      <c r="N184" s="54">
        <v>25</v>
      </c>
      <c r="O184" s="54">
        <v>3</v>
      </c>
      <c r="Q184" s="59">
        <f>IF(COUNTIFS(Q$2:Q183,Q183)=COUNTIFS($E:$E,Q183),1,0)+Q183</f>
        <v>84</v>
      </c>
      <c r="R184" s="60">
        <f t="shared" si="10"/>
        <v>2</v>
      </c>
      <c r="S184" s="59">
        <f t="shared" si="11"/>
        <v>0</v>
      </c>
      <c r="T184" s="59" t="str">
        <f t="shared" si="9"/>
        <v>Ariados</v>
      </c>
    </row>
    <row r="185" spans="1:20" x14ac:dyDescent="0.25">
      <c r="A185" s="54">
        <v>184</v>
      </c>
      <c r="B185" s="54" t="s">
        <v>226</v>
      </c>
      <c r="C185" s="54" t="s">
        <v>225</v>
      </c>
      <c r="D185" s="54" t="s">
        <v>19</v>
      </c>
      <c r="E185" s="54">
        <v>89</v>
      </c>
      <c r="F185" s="54">
        <v>2</v>
      </c>
      <c r="G185" t="str">
        <f t="shared" si="8"/>
        <v>89_2</v>
      </c>
      <c r="H185" t="str">
        <f>IF(COUNTIFS($G:$G,G185)=1,G185,G185&amp;"-"&amp;COUNTIFS(G$2:G185,G185))</f>
        <v>89_2</v>
      </c>
      <c r="I185" s="54">
        <v>200</v>
      </c>
      <c r="J185" s="54">
        <v>112</v>
      </c>
      <c r="K185" s="54">
        <v>152</v>
      </c>
      <c r="L185" s="54" t="s">
        <v>31</v>
      </c>
      <c r="M185" s="54" t="s">
        <v>66</v>
      </c>
      <c r="N185" s="54">
        <v>0</v>
      </c>
      <c r="O185" s="54">
        <v>3</v>
      </c>
      <c r="Q185" s="59">
        <f>IF(COUNTIFS(Q$2:Q184,Q184)=COUNTIFS($E:$E,Q184),1,0)+Q184</f>
        <v>85</v>
      </c>
      <c r="R185" s="60">
        <f t="shared" si="10"/>
        <v>1</v>
      </c>
      <c r="S185" s="59">
        <f t="shared" si="11"/>
        <v>0</v>
      </c>
      <c r="T185" s="59" t="str">
        <f t="shared" si="9"/>
        <v>Chinchou</v>
      </c>
    </row>
    <row r="186" spans="1:20" x14ac:dyDescent="0.25">
      <c r="A186" s="54">
        <v>185</v>
      </c>
      <c r="B186" s="54" t="s">
        <v>227</v>
      </c>
      <c r="C186" s="54" t="s">
        <v>19</v>
      </c>
      <c r="D186" s="54" t="s">
        <v>19</v>
      </c>
      <c r="E186" s="54">
        <v>90</v>
      </c>
      <c r="F186" s="54">
        <v>1</v>
      </c>
      <c r="G186" t="str">
        <f t="shared" si="8"/>
        <v>90_1</v>
      </c>
      <c r="H186" t="str">
        <f>IF(COUNTIFS($G:$G,G186)=1,G186,G186&amp;"-"&amp;COUNTIFS(G$2:G186,G186))</f>
        <v>90_1</v>
      </c>
      <c r="I186" s="54">
        <v>140</v>
      </c>
      <c r="J186" s="54">
        <v>167</v>
      </c>
      <c r="K186" s="54">
        <v>198</v>
      </c>
      <c r="L186" s="54" t="s">
        <v>110</v>
      </c>
      <c r="M186" s="54" t="s">
        <v>19</v>
      </c>
      <c r="N186" s="54">
        <v>0</v>
      </c>
      <c r="O186" s="54">
        <v>5</v>
      </c>
      <c r="Q186" s="59">
        <f>IF(COUNTIFS(Q$2:Q185,Q185)=COUNTIFS($E:$E,Q185),1,0)+Q185</f>
        <v>85</v>
      </c>
      <c r="R186" s="60">
        <f t="shared" si="10"/>
        <v>2</v>
      </c>
      <c r="S186" s="59">
        <f t="shared" si="11"/>
        <v>0</v>
      </c>
      <c r="T186" s="59" t="str">
        <f t="shared" si="9"/>
        <v>Lanturn</v>
      </c>
    </row>
    <row r="187" spans="1:20" x14ac:dyDescent="0.25">
      <c r="A187" s="54">
        <v>186</v>
      </c>
      <c r="B187" s="54" t="s">
        <v>228</v>
      </c>
      <c r="C187" s="54" t="s">
        <v>94</v>
      </c>
      <c r="D187" s="54" t="s">
        <v>19</v>
      </c>
      <c r="E187" s="54">
        <v>26</v>
      </c>
      <c r="F187" s="54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 s="54">
        <v>180</v>
      </c>
      <c r="J187" s="54">
        <v>174</v>
      </c>
      <c r="K187" s="54">
        <v>192</v>
      </c>
      <c r="L187" s="54" t="s">
        <v>31</v>
      </c>
      <c r="M187" s="54" t="s">
        <v>19</v>
      </c>
      <c r="N187" s="54">
        <v>0</v>
      </c>
      <c r="O187" s="54">
        <v>3</v>
      </c>
      <c r="Q187" s="59">
        <f>IF(COUNTIFS(Q$2:Q186,Q186)=COUNTIFS($E:$E,Q186),1,0)+Q186</f>
        <v>86</v>
      </c>
      <c r="R187" s="60">
        <f t="shared" si="10"/>
        <v>1</v>
      </c>
      <c r="S187" s="59">
        <f t="shared" si="11"/>
        <v>0</v>
      </c>
      <c r="T187" s="59" t="str">
        <f t="shared" si="9"/>
        <v>Togepi</v>
      </c>
    </row>
    <row r="188" spans="1:20" x14ac:dyDescent="0.25">
      <c r="A188" s="54">
        <v>187</v>
      </c>
      <c r="B188" s="54" t="s">
        <v>229</v>
      </c>
      <c r="C188" s="54"/>
      <c r="D188" s="54" t="s">
        <v>231</v>
      </c>
      <c r="E188" s="54">
        <v>91</v>
      </c>
      <c r="F188" s="54">
        <v>1</v>
      </c>
      <c r="G188" t="str">
        <f t="shared" si="8"/>
        <v>91_1</v>
      </c>
      <c r="H188" t="str">
        <f>IF(COUNTIFS($G:$G,G188)=1,G188,G188&amp;"-"&amp;COUNTIFS(G$2:G188,G188))</f>
        <v>91_1</v>
      </c>
      <c r="I188" s="54">
        <v>70</v>
      </c>
      <c r="J188" s="54">
        <v>67</v>
      </c>
      <c r="K188" s="54">
        <v>101</v>
      </c>
      <c r="L188" s="54" t="s">
        <v>21</v>
      </c>
      <c r="M188" s="54" t="s">
        <v>28</v>
      </c>
      <c r="N188" s="54">
        <v>25</v>
      </c>
      <c r="O188" s="54">
        <v>3</v>
      </c>
      <c r="Q188" s="59">
        <f>IF(COUNTIFS(Q$2:Q187,Q187)=COUNTIFS($E:$E,Q187),1,0)+Q187</f>
        <v>86</v>
      </c>
      <c r="R188" s="60">
        <f t="shared" si="10"/>
        <v>2</v>
      </c>
      <c r="S188" s="59">
        <f t="shared" si="11"/>
        <v>0</v>
      </c>
      <c r="T188" s="59" t="str">
        <f t="shared" si="9"/>
        <v>Togetic</v>
      </c>
    </row>
    <row r="189" spans="1:20" x14ac:dyDescent="0.25">
      <c r="A189" s="54">
        <v>188</v>
      </c>
      <c r="B189" s="54" t="s">
        <v>230</v>
      </c>
      <c r="C189" s="54" t="s">
        <v>231</v>
      </c>
      <c r="D189" s="54" t="s">
        <v>229</v>
      </c>
      <c r="E189" s="54">
        <v>91</v>
      </c>
      <c r="F189" s="54">
        <v>2</v>
      </c>
      <c r="G189" t="str">
        <f t="shared" si="8"/>
        <v>91_2</v>
      </c>
      <c r="H189" t="str">
        <f>IF(COUNTIFS($G:$G,G189)=1,G189,G189&amp;"-"&amp;COUNTIFS(G$2:G189,G189))</f>
        <v>91_2</v>
      </c>
      <c r="I189" s="54">
        <v>110</v>
      </c>
      <c r="J189" s="54">
        <v>91</v>
      </c>
      <c r="K189" s="54">
        <v>127</v>
      </c>
      <c r="L189" s="54" t="s">
        <v>21</v>
      </c>
      <c r="M189" s="54" t="s">
        <v>28</v>
      </c>
      <c r="N189" s="54">
        <v>100</v>
      </c>
      <c r="O189" s="54">
        <v>3</v>
      </c>
      <c r="Q189" s="59">
        <f>IF(COUNTIFS(Q$2:Q188,Q188)=COUNTIFS($E:$E,Q188),1,0)+Q188</f>
        <v>87</v>
      </c>
      <c r="R189" s="60">
        <f t="shared" si="10"/>
        <v>1</v>
      </c>
      <c r="S189" s="59">
        <f t="shared" si="11"/>
        <v>0</v>
      </c>
      <c r="T189" s="59" t="str">
        <f t="shared" si="9"/>
        <v>Natu</v>
      </c>
    </row>
    <row r="190" spans="1:20" x14ac:dyDescent="0.25">
      <c r="A190" s="54">
        <v>189</v>
      </c>
      <c r="B190" s="54" t="s">
        <v>231</v>
      </c>
      <c r="C190" s="54" t="s">
        <v>230</v>
      </c>
      <c r="D190" s="54"/>
      <c r="E190" s="54">
        <v>91</v>
      </c>
      <c r="F190" s="54">
        <v>3</v>
      </c>
      <c r="G190" t="str">
        <f t="shared" si="8"/>
        <v>91_3</v>
      </c>
      <c r="H190" t="str">
        <f>IF(COUNTIFS($G:$G,G190)=1,G190,G190&amp;"-"&amp;COUNTIFS(G$2:G190,G190))</f>
        <v>91_3</v>
      </c>
      <c r="I190" s="54">
        <v>150</v>
      </c>
      <c r="J190" s="54">
        <v>118</v>
      </c>
      <c r="K190" s="54">
        <v>197</v>
      </c>
      <c r="L190" s="54" t="s">
        <v>21</v>
      </c>
      <c r="M190" s="54" t="s">
        <v>28</v>
      </c>
      <c r="N190" s="54">
        <v>0</v>
      </c>
      <c r="O190" s="54">
        <v>3</v>
      </c>
      <c r="Q190" s="59">
        <f>IF(COUNTIFS(Q$2:Q189,Q189)=COUNTIFS($E:$E,Q189),1,0)+Q189</f>
        <v>87</v>
      </c>
      <c r="R190" s="60">
        <f t="shared" si="10"/>
        <v>2</v>
      </c>
      <c r="S190" s="59">
        <f t="shared" si="11"/>
        <v>0</v>
      </c>
      <c r="T190" s="59" t="str">
        <f t="shared" si="9"/>
        <v>Xatu</v>
      </c>
    </row>
    <row r="191" spans="1:20" x14ac:dyDescent="0.25">
      <c r="A191" s="54">
        <v>190</v>
      </c>
      <c r="B191" s="54" t="s">
        <v>232</v>
      </c>
      <c r="C191" s="54" t="s">
        <v>19</v>
      </c>
      <c r="D191" s="54" t="s">
        <v>19</v>
      </c>
      <c r="E191" s="54">
        <v>92</v>
      </c>
      <c r="F191" s="54">
        <v>1</v>
      </c>
      <c r="G191" t="str">
        <f t="shared" si="8"/>
        <v>92_1</v>
      </c>
      <c r="H191" t="str">
        <f>IF(COUNTIFS($G:$G,G191)=1,G191,G191&amp;"-"&amp;COUNTIFS(G$2:G191,G191))</f>
        <v>92_1</v>
      </c>
      <c r="I191" s="54">
        <v>110</v>
      </c>
      <c r="J191" s="54">
        <v>136</v>
      </c>
      <c r="K191" s="54">
        <v>112</v>
      </c>
      <c r="L191" s="54" t="s">
        <v>42</v>
      </c>
      <c r="M191" s="54" t="s">
        <v>19</v>
      </c>
      <c r="N191" s="54">
        <v>0</v>
      </c>
      <c r="O191" s="54">
        <v>3</v>
      </c>
      <c r="Q191" s="59">
        <f>IF(COUNTIFS(Q$2:Q190,Q190)=COUNTIFS($E:$E,Q190),1,0)+Q190</f>
        <v>88</v>
      </c>
      <c r="R191" s="60">
        <f t="shared" si="10"/>
        <v>1</v>
      </c>
      <c r="S191" s="59">
        <f t="shared" si="11"/>
        <v>0</v>
      </c>
      <c r="T191" s="59" t="str">
        <f t="shared" si="9"/>
        <v>Mareep</v>
      </c>
    </row>
    <row r="192" spans="1:20" x14ac:dyDescent="0.25">
      <c r="A192" s="54">
        <v>191</v>
      </c>
      <c r="B192" s="54" t="s">
        <v>233</v>
      </c>
      <c r="C192" s="54"/>
      <c r="D192" s="54" t="s">
        <v>234</v>
      </c>
      <c r="E192" s="54">
        <v>93</v>
      </c>
      <c r="F192" s="54">
        <v>1</v>
      </c>
      <c r="G192" t="str">
        <f t="shared" si="8"/>
        <v>93_1</v>
      </c>
      <c r="H192" t="str">
        <f>IF(COUNTIFS($G:$G,G192)=1,G192,G192&amp;"-"&amp;COUNTIFS(G$2:G192,G192))</f>
        <v>93_1</v>
      </c>
      <c r="I192" s="54">
        <v>60</v>
      </c>
      <c r="J192" s="54">
        <v>55</v>
      </c>
      <c r="K192" s="54">
        <v>55</v>
      </c>
      <c r="L192" s="54" t="s">
        <v>21</v>
      </c>
      <c r="M192" s="54" t="s">
        <v>19</v>
      </c>
      <c r="N192" s="54">
        <v>50</v>
      </c>
      <c r="O192" s="54">
        <v>3</v>
      </c>
      <c r="Q192" s="59">
        <f>IF(COUNTIFS(Q$2:Q191,Q191)=COUNTIFS($E:$E,Q191),1,0)+Q191</f>
        <v>88</v>
      </c>
      <c r="R192" s="60">
        <f t="shared" si="10"/>
        <v>2</v>
      </c>
      <c r="S192" s="59">
        <f t="shared" si="11"/>
        <v>0</v>
      </c>
      <c r="T192" s="59" t="str">
        <f t="shared" si="9"/>
        <v>Flaaffy</v>
      </c>
    </row>
    <row r="193" spans="1:20" x14ac:dyDescent="0.25">
      <c r="A193" s="54">
        <v>192</v>
      </c>
      <c r="B193" s="54" t="s">
        <v>234</v>
      </c>
      <c r="C193" s="54" t="s">
        <v>233</v>
      </c>
      <c r="D193" s="54"/>
      <c r="E193" s="54">
        <v>93</v>
      </c>
      <c r="F193" s="54">
        <v>2</v>
      </c>
      <c r="G193" t="str">
        <f t="shared" si="8"/>
        <v>93_2</v>
      </c>
      <c r="H193" t="str">
        <f>IF(COUNTIFS($G:$G,G193)=1,G193,G193&amp;"-"&amp;COUNTIFS(G$2:G193,G193))</f>
        <v>93_2</v>
      </c>
      <c r="I193" s="54">
        <v>150</v>
      </c>
      <c r="J193" s="54">
        <v>185</v>
      </c>
      <c r="K193" s="54">
        <v>148</v>
      </c>
      <c r="L193" s="54" t="s">
        <v>21</v>
      </c>
      <c r="M193" s="54" t="s">
        <v>19</v>
      </c>
      <c r="N193" s="54">
        <v>0</v>
      </c>
      <c r="O193" s="54">
        <v>3</v>
      </c>
      <c r="Q193" s="59">
        <f>IF(COUNTIFS(Q$2:Q192,Q192)=COUNTIFS($E:$E,Q192),1,0)+Q192</f>
        <v>88</v>
      </c>
      <c r="R193" s="60">
        <f t="shared" si="10"/>
        <v>3</v>
      </c>
      <c r="S193" s="59">
        <f t="shared" si="11"/>
        <v>0</v>
      </c>
      <c r="T193" s="59" t="str">
        <f t="shared" si="9"/>
        <v>Ampharos</v>
      </c>
    </row>
    <row r="194" spans="1:20" x14ac:dyDescent="0.25">
      <c r="A194" s="54">
        <v>193</v>
      </c>
      <c r="B194" s="54" t="s">
        <v>235</v>
      </c>
      <c r="C194" s="54" t="s">
        <v>19</v>
      </c>
      <c r="D194" s="54" t="s">
        <v>19</v>
      </c>
      <c r="E194" s="54">
        <v>94</v>
      </c>
      <c r="F194" s="54">
        <v>1</v>
      </c>
      <c r="G194" t="str">
        <f t="shared" si="8"/>
        <v>94_1</v>
      </c>
      <c r="H194" t="str">
        <f>IF(COUNTIFS($G:$G,G194)=1,G194,G194&amp;"-"&amp;COUNTIFS(G$2:G194,G194))</f>
        <v>94_1</v>
      </c>
      <c r="I194" s="54">
        <v>130</v>
      </c>
      <c r="J194" s="54">
        <v>154</v>
      </c>
      <c r="K194" s="54">
        <v>94</v>
      </c>
      <c r="L194" s="54" t="s">
        <v>35</v>
      </c>
      <c r="M194" s="54" t="s">
        <v>28</v>
      </c>
      <c r="N194" s="54">
        <v>0</v>
      </c>
      <c r="O194" s="54">
        <v>3</v>
      </c>
      <c r="Q194" s="59">
        <f>IF(COUNTIFS(Q$2:Q193,Q193)=COUNTIFS($E:$E,Q193),1,0)+Q193</f>
        <v>89</v>
      </c>
      <c r="R194" s="60">
        <f t="shared" si="10"/>
        <v>1</v>
      </c>
      <c r="S194" s="59">
        <f t="shared" si="11"/>
        <v>0</v>
      </c>
      <c r="T194" s="59" t="str">
        <f t="shared" si="9"/>
        <v>Marill</v>
      </c>
    </row>
    <row r="195" spans="1:20" x14ac:dyDescent="0.25">
      <c r="A195" s="54">
        <v>194</v>
      </c>
      <c r="B195" s="54" t="s">
        <v>236</v>
      </c>
      <c r="C195" s="54"/>
      <c r="D195" s="54" t="s">
        <v>237</v>
      </c>
      <c r="E195" s="54">
        <v>95</v>
      </c>
      <c r="F195" s="54">
        <v>1</v>
      </c>
      <c r="G195" t="str">
        <f t="shared" ref="G195:G252" si="12">E195&amp;"_"&amp;F195</f>
        <v>95_1</v>
      </c>
      <c r="H195" t="str">
        <f>IF(COUNTIFS($G:$G,G195)=1,G195,G195&amp;"-"&amp;COUNTIFS(G$2:G195,G195))</f>
        <v>95_1</v>
      </c>
      <c r="I195" s="54">
        <v>110</v>
      </c>
      <c r="J195" s="54">
        <v>75</v>
      </c>
      <c r="K195" s="54">
        <v>75</v>
      </c>
      <c r="L195" s="54" t="s">
        <v>31</v>
      </c>
      <c r="M195" s="54" t="s">
        <v>56</v>
      </c>
      <c r="N195" s="54">
        <v>50</v>
      </c>
      <c r="O195" s="54">
        <v>3</v>
      </c>
      <c r="Q195" s="59">
        <f>IF(COUNTIFS(Q$2:Q194,Q194)=COUNTIFS($E:$E,Q194),1,0)+Q194</f>
        <v>89</v>
      </c>
      <c r="R195" s="60">
        <f t="shared" si="10"/>
        <v>2</v>
      </c>
      <c r="S195" s="59">
        <f t="shared" si="11"/>
        <v>0</v>
      </c>
      <c r="T195" s="59" t="str">
        <f t="shared" ref="T195:T252" si="13">INDEX($B:$B,MATCH(Q195&amp;"_"&amp;R195&amp;IF(S195,"-"&amp;S195,""),H:H,0))</f>
        <v>Azumarill</v>
      </c>
    </row>
    <row r="196" spans="1:20" x14ac:dyDescent="0.25">
      <c r="A196" s="54">
        <v>195</v>
      </c>
      <c r="B196" s="54" t="s">
        <v>237</v>
      </c>
      <c r="C196" s="54" t="s">
        <v>236</v>
      </c>
      <c r="D196" s="54"/>
      <c r="E196" s="54">
        <v>95</v>
      </c>
      <c r="F196" s="54">
        <v>2</v>
      </c>
      <c r="G196" t="str">
        <f t="shared" si="12"/>
        <v>95_2</v>
      </c>
      <c r="H196" t="str">
        <f>IF(COUNTIFS($G:$G,G196)=1,G196,G196&amp;"-"&amp;COUNTIFS(G$2:G196,G196))</f>
        <v>95_2</v>
      </c>
      <c r="I196" s="54">
        <v>190</v>
      </c>
      <c r="J196" s="54">
        <v>152</v>
      </c>
      <c r="K196" s="54">
        <v>152</v>
      </c>
      <c r="L196" s="54" t="s">
        <v>31</v>
      </c>
      <c r="M196" s="54" t="s">
        <v>56</v>
      </c>
      <c r="N196" s="54">
        <v>0</v>
      </c>
      <c r="O196" s="54">
        <v>3</v>
      </c>
      <c r="Q196" s="59">
        <f>IF(COUNTIFS(Q$2:Q195,Q195)=COUNTIFS($E:$E,Q195),1,0)+Q195</f>
        <v>90</v>
      </c>
      <c r="R196" s="60">
        <f t="shared" ref="R196:R252" si="14">IF(Q196=Q195,R195+IF(COUNTIFS($G:$G,Q195&amp;"_"&amp;R195)=1,1,0),1)</f>
        <v>1</v>
      </c>
      <c r="S196" s="59">
        <f t="shared" ref="S196:S252" si="15">IF(Q196=Q195,IF(COUNTIFS($G:$G,Q195&amp;"_"&amp;(R195+1))=1,0,S195+1),0)</f>
        <v>0</v>
      </c>
      <c r="T196" s="59" t="str">
        <f t="shared" si="13"/>
        <v>Sudowoodo</v>
      </c>
    </row>
    <row r="197" spans="1:20" x14ac:dyDescent="0.25">
      <c r="A197" s="54">
        <v>196</v>
      </c>
      <c r="B197" s="54" t="s">
        <v>238</v>
      </c>
      <c r="C197" s="54" t="s">
        <v>177</v>
      </c>
      <c r="D197" s="54" t="s">
        <v>19</v>
      </c>
      <c r="E197" s="54">
        <v>66</v>
      </c>
      <c r="F197" s="54">
        <v>2</v>
      </c>
      <c r="G197" t="str">
        <f t="shared" si="12"/>
        <v>66_2</v>
      </c>
      <c r="H197" t="str">
        <f>IF(COUNTIFS($G:$G,G197)=1,G197,G197&amp;"-"&amp;COUNTIFS(G$2:G197,G197))</f>
        <v>66_2-4</v>
      </c>
      <c r="I197" s="54">
        <v>130</v>
      </c>
      <c r="J197" s="54">
        <v>261</v>
      </c>
      <c r="K197" s="54">
        <v>194</v>
      </c>
      <c r="L197" s="54" t="s">
        <v>98</v>
      </c>
      <c r="M197" s="54" t="s">
        <v>19</v>
      </c>
      <c r="N197" s="54">
        <v>0</v>
      </c>
      <c r="O197" s="54">
        <v>5</v>
      </c>
      <c r="Q197" s="59">
        <f>IF(COUNTIFS(Q$2:Q196,Q196)=COUNTIFS($E:$E,Q196),1,0)+Q196</f>
        <v>91</v>
      </c>
      <c r="R197" s="60">
        <f t="shared" si="14"/>
        <v>1</v>
      </c>
      <c r="S197" s="59">
        <f t="shared" si="15"/>
        <v>0</v>
      </c>
      <c r="T197" s="59" t="str">
        <f t="shared" si="13"/>
        <v>Hoppip</v>
      </c>
    </row>
    <row r="198" spans="1:20" x14ac:dyDescent="0.25">
      <c r="A198" s="54">
        <v>197</v>
      </c>
      <c r="B198" s="54" t="s">
        <v>239</v>
      </c>
      <c r="C198" s="54" t="s">
        <v>177</v>
      </c>
      <c r="D198" s="54" t="s">
        <v>19</v>
      </c>
      <c r="E198" s="54">
        <v>66</v>
      </c>
      <c r="F198" s="54">
        <v>2</v>
      </c>
      <c r="G198" t="str">
        <f t="shared" si="12"/>
        <v>66_2</v>
      </c>
      <c r="H198" t="str">
        <f>IF(COUNTIFS($G:$G,G198)=1,G198,G198&amp;"-"&amp;COUNTIFS(G$2:G198,G198))</f>
        <v>66_2-5</v>
      </c>
      <c r="I198" s="54">
        <v>190</v>
      </c>
      <c r="J198" s="54">
        <v>126</v>
      </c>
      <c r="K198" s="54">
        <v>250</v>
      </c>
      <c r="L198" s="54" t="s">
        <v>240</v>
      </c>
      <c r="M198" s="54" t="s">
        <v>19</v>
      </c>
      <c r="N198" s="54">
        <v>0</v>
      </c>
      <c r="O198" s="54">
        <v>5</v>
      </c>
      <c r="Q198" s="59">
        <f>IF(COUNTIFS(Q$2:Q197,Q197)=COUNTIFS($E:$E,Q197),1,0)+Q197</f>
        <v>91</v>
      </c>
      <c r="R198" s="60">
        <f t="shared" si="14"/>
        <v>2</v>
      </c>
      <c r="S198" s="59">
        <f t="shared" si="15"/>
        <v>0</v>
      </c>
      <c r="T198" s="59" t="str">
        <f t="shared" si="13"/>
        <v>Skiploom</v>
      </c>
    </row>
    <row r="199" spans="1:20" x14ac:dyDescent="0.25">
      <c r="A199" s="54">
        <v>198</v>
      </c>
      <c r="B199" s="54" t="s">
        <v>241</v>
      </c>
      <c r="C199" s="54" t="s">
        <v>19</v>
      </c>
      <c r="D199" s="54" t="s">
        <v>19</v>
      </c>
      <c r="E199" s="54">
        <v>96</v>
      </c>
      <c r="F199" s="54">
        <v>1</v>
      </c>
      <c r="G199" t="str">
        <f t="shared" si="12"/>
        <v>96_1</v>
      </c>
      <c r="H199" t="str">
        <f>IF(COUNTIFS($G:$G,G199)=1,G199,G199&amp;"-"&amp;COUNTIFS(G$2:G199,G199))</f>
        <v>96_1</v>
      </c>
      <c r="I199" s="54">
        <v>120</v>
      </c>
      <c r="J199" s="54">
        <v>175</v>
      </c>
      <c r="K199" s="54">
        <v>87</v>
      </c>
      <c r="L199" s="54" t="s">
        <v>240</v>
      </c>
      <c r="M199" s="54" t="s">
        <v>28</v>
      </c>
      <c r="N199" s="54">
        <v>0</v>
      </c>
      <c r="O199" s="54">
        <v>3</v>
      </c>
      <c r="Q199" s="59">
        <f>IF(COUNTIFS(Q$2:Q198,Q198)=COUNTIFS($E:$E,Q198),1,0)+Q198</f>
        <v>91</v>
      </c>
      <c r="R199" s="60">
        <f t="shared" si="14"/>
        <v>3</v>
      </c>
      <c r="S199" s="59">
        <f t="shared" si="15"/>
        <v>0</v>
      </c>
      <c r="T199" s="59" t="str">
        <f t="shared" si="13"/>
        <v>Jumpluff</v>
      </c>
    </row>
    <row r="200" spans="1:20" x14ac:dyDescent="0.25">
      <c r="A200" s="54">
        <v>199</v>
      </c>
      <c r="B200" s="54" t="s">
        <v>242</v>
      </c>
      <c r="C200" s="54" t="s">
        <v>114</v>
      </c>
      <c r="D200" s="54" t="s">
        <v>19</v>
      </c>
      <c r="E200" s="54">
        <v>33</v>
      </c>
      <c r="F200" s="54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 s="54">
        <v>190</v>
      </c>
      <c r="J200" s="54">
        <v>177</v>
      </c>
      <c r="K200" s="54">
        <v>194</v>
      </c>
      <c r="L200" s="54" t="s">
        <v>31</v>
      </c>
      <c r="M200" s="54" t="s">
        <v>98</v>
      </c>
      <c r="N200" s="54">
        <v>0</v>
      </c>
      <c r="O200" s="54">
        <v>3</v>
      </c>
      <c r="Q200" s="59">
        <f>IF(COUNTIFS(Q$2:Q199,Q199)=COUNTIFS($E:$E,Q199),1,0)+Q199</f>
        <v>92</v>
      </c>
      <c r="R200" s="60">
        <f t="shared" si="14"/>
        <v>1</v>
      </c>
      <c r="S200" s="59">
        <f t="shared" si="15"/>
        <v>0</v>
      </c>
      <c r="T200" s="59" t="str">
        <f t="shared" si="13"/>
        <v>Aipom</v>
      </c>
    </row>
    <row r="201" spans="1:20" x14ac:dyDescent="0.25">
      <c r="A201" s="54">
        <v>200</v>
      </c>
      <c r="B201" s="54" t="s">
        <v>243</v>
      </c>
      <c r="C201" s="54" t="s">
        <v>19</v>
      </c>
      <c r="D201" s="54" t="s">
        <v>19</v>
      </c>
      <c r="E201" s="54">
        <v>97</v>
      </c>
      <c r="F201" s="54">
        <v>1</v>
      </c>
      <c r="G201" t="str">
        <f t="shared" si="12"/>
        <v>97_1</v>
      </c>
      <c r="H201" t="str">
        <f>IF(COUNTIFS($G:$G,G201)=1,G201,G201&amp;"-"&amp;COUNTIFS(G$2:G201,G201))</f>
        <v>97_1</v>
      </c>
      <c r="I201" s="54">
        <v>120</v>
      </c>
      <c r="J201" s="54">
        <v>167</v>
      </c>
      <c r="K201" s="54">
        <v>167</v>
      </c>
      <c r="L201" s="54" t="s">
        <v>131</v>
      </c>
      <c r="M201" s="54" t="s">
        <v>19</v>
      </c>
      <c r="N201" s="54">
        <v>0</v>
      </c>
      <c r="O201" s="54">
        <v>3</v>
      </c>
      <c r="Q201" s="59">
        <f>IF(COUNTIFS(Q$2:Q200,Q200)=COUNTIFS($E:$E,Q200),1,0)+Q200</f>
        <v>93</v>
      </c>
      <c r="R201" s="60">
        <f t="shared" si="14"/>
        <v>1</v>
      </c>
      <c r="S201" s="59">
        <f t="shared" si="15"/>
        <v>0</v>
      </c>
      <c r="T201" s="59" t="str">
        <f t="shared" si="13"/>
        <v>Sunkern</v>
      </c>
    </row>
    <row r="202" spans="1:20" x14ac:dyDescent="0.25">
      <c r="A202" s="54">
        <v>201</v>
      </c>
      <c r="B202" s="54" t="s">
        <v>244</v>
      </c>
      <c r="C202" s="54" t="s">
        <v>19</v>
      </c>
      <c r="D202" s="54" t="s">
        <v>19</v>
      </c>
      <c r="E202" s="54">
        <v>98</v>
      </c>
      <c r="F202" s="54">
        <v>1</v>
      </c>
      <c r="G202" t="str">
        <f t="shared" si="12"/>
        <v>98_1</v>
      </c>
      <c r="H202" t="str">
        <f>IF(COUNTIFS($G:$G,G202)=1,G202,G202&amp;"-"&amp;COUNTIFS(G$2:G202,G202))</f>
        <v>98_1</v>
      </c>
      <c r="I202" s="54">
        <v>96</v>
      </c>
      <c r="J202" s="54">
        <v>136</v>
      </c>
      <c r="K202" s="54">
        <v>91</v>
      </c>
      <c r="L202" s="54" t="s">
        <v>98</v>
      </c>
      <c r="M202" s="54" t="s">
        <v>19</v>
      </c>
      <c r="N202" s="54">
        <v>0</v>
      </c>
      <c r="O202" s="54">
        <v>5</v>
      </c>
      <c r="Q202" s="59">
        <f>IF(COUNTIFS(Q$2:Q201,Q201)=COUNTIFS($E:$E,Q201),1,0)+Q201</f>
        <v>93</v>
      </c>
      <c r="R202" s="60">
        <f t="shared" si="14"/>
        <v>2</v>
      </c>
      <c r="S202" s="59">
        <f t="shared" si="15"/>
        <v>0</v>
      </c>
      <c r="T202" s="59" t="str">
        <f t="shared" si="13"/>
        <v>Sunflora</v>
      </c>
    </row>
    <row r="203" spans="1:20" x14ac:dyDescent="0.25">
      <c r="A203" s="54">
        <v>202</v>
      </c>
      <c r="B203" s="54" t="s">
        <v>245</v>
      </c>
      <c r="C203" s="54" t="s">
        <v>19</v>
      </c>
      <c r="D203" s="54" t="s">
        <v>19</v>
      </c>
      <c r="E203" s="54">
        <v>99</v>
      </c>
      <c r="F203" s="54">
        <v>1</v>
      </c>
      <c r="G203" t="str">
        <f t="shared" si="12"/>
        <v>99_1</v>
      </c>
      <c r="H203" t="str">
        <f>IF(COUNTIFS($G:$G,G203)=1,G203,G203&amp;"-"&amp;COUNTIFS(G$2:G203,G203))</f>
        <v>99_1</v>
      </c>
      <c r="I203" s="54">
        <v>380</v>
      </c>
      <c r="J203" s="54">
        <v>60</v>
      </c>
      <c r="K203" s="54">
        <v>106</v>
      </c>
      <c r="L203" s="54" t="s">
        <v>98</v>
      </c>
      <c r="M203" s="54" t="s">
        <v>19</v>
      </c>
      <c r="N203" s="54">
        <v>0</v>
      </c>
      <c r="O203" s="54">
        <v>3</v>
      </c>
      <c r="Q203" s="59">
        <f>IF(COUNTIFS(Q$2:Q202,Q202)=COUNTIFS($E:$E,Q202),1,0)+Q202</f>
        <v>94</v>
      </c>
      <c r="R203" s="60">
        <f t="shared" si="14"/>
        <v>1</v>
      </c>
      <c r="S203" s="59">
        <f t="shared" si="15"/>
        <v>0</v>
      </c>
      <c r="T203" s="59" t="str">
        <f t="shared" si="13"/>
        <v>Yanma</v>
      </c>
    </row>
    <row r="204" spans="1:20" x14ac:dyDescent="0.25">
      <c r="A204" s="54">
        <v>203</v>
      </c>
      <c r="B204" s="54" t="s">
        <v>246</v>
      </c>
      <c r="C204" s="54" t="s">
        <v>19</v>
      </c>
      <c r="D204" s="54" t="s">
        <v>19</v>
      </c>
      <c r="E204" s="54">
        <v>100</v>
      </c>
      <c r="F204" s="54">
        <v>1</v>
      </c>
      <c r="G204" t="str">
        <f t="shared" si="12"/>
        <v>100_1</v>
      </c>
      <c r="H204" t="str">
        <f>IF(COUNTIFS($G:$G,G204)=1,G204,G204&amp;"-"&amp;COUNTIFS(G$2:G204,G204))</f>
        <v>100_1</v>
      </c>
      <c r="I204" s="54">
        <v>140</v>
      </c>
      <c r="J204" s="54">
        <v>182</v>
      </c>
      <c r="K204" s="54">
        <v>133</v>
      </c>
      <c r="L204" s="54" t="s">
        <v>42</v>
      </c>
      <c r="M204" s="54" t="s">
        <v>98</v>
      </c>
      <c r="N204" s="54">
        <v>0</v>
      </c>
      <c r="O204" s="54">
        <v>3</v>
      </c>
      <c r="Q204" s="59">
        <f>IF(COUNTIFS(Q$2:Q203,Q203)=COUNTIFS($E:$E,Q203),1,0)+Q203</f>
        <v>95</v>
      </c>
      <c r="R204" s="60">
        <f t="shared" si="14"/>
        <v>1</v>
      </c>
      <c r="S204" s="59">
        <f t="shared" si="15"/>
        <v>0</v>
      </c>
      <c r="T204" s="59" t="str">
        <f t="shared" si="13"/>
        <v>Wooper</v>
      </c>
    </row>
    <row r="205" spans="1:20" x14ac:dyDescent="0.25">
      <c r="A205" s="54">
        <v>204</v>
      </c>
      <c r="B205" s="54" t="s">
        <v>247</v>
      </c>
      <c r="C205" s="54" t="s">
        <v>19</v>
      </c>
      <c r="D205" s="54" t="s">
        <v>248</v>
      </c>
      <c r="E205" s="54">
        <v>101</v>
      </c>
      <c r="F205" s="54">
        <v>1</v>
      </c>
      <c r="G205" t="str">
        <f t="shared" si="12"/>
        <v>101_1</v>
      </c>
      <c r="H205" t="str">
        <f>IF(COUNTIFS($G:$G,G205)=1,G205,G205&amp;"-"&amp;COUNTIFS(G$2:G205,G205))</f>
        <v>101_1</v>
      </c>
      <c r="I205" s="54">
        <v>100</v>
      </c>
      <c r="J205" s="54">
        <v>108</v>
      </c>
      <c r="K205" s="54">
        <v>146</v>
      </c>
      <c r="L205" s="54" t="s">
        <v>35</v>
      </c>
      <c r="M205" s="54" t="s">
        <v>19</v>
      </c>
      <c r="N205" s="54">
        <v>50</v>
      </c>
      <c r="O205" s="54">
        <v>5</v>
      </c>
      <c r="Q205" s="59">
        <f>IF(COUNTIFS(Q$2:Q204,Q204)=COUNTIFS($E:$E,Q204),1,0)+Q204</f>
        <v>95</v>
      </c>
      <c r="R205" s="60">
        <f t="shared" si="14"/>
        <v>2</v>
      </c>
      <c r="S205" s="59">
        <f t="shared" si="15"/>
        <v>0</v>
      </c>
      <c r="T205" s="59" t="str">
        <f t="shared" si="13"/>
        <v>Quagsire</v>
      </c>
    </row>
    <row r="206" spans="1:20" x14ac:dyDescent="0.25">
      <c r="A206" s="54">
        <v>205</v>
      </c>
      <c r="B206" s="54" t="s">
        <v>248</v>
      </c>
      <c r="C206" s="54" t="s">
        <v>247</v>
      </c>
      <c r="D206" s="54" t="s">
        <v>19</v>
      </c>
      <c r="E206" s="54">
        <v>101</v>
      </c>
      <c r="F206" s="54">
        <v>2</v>
      </c>
      <c r="G206" t="str">
        <f t="shared" si="12"/>
        <v>101_2</v>
      </c>
      <c r="H206" t="str">
        <f>IF(COUNTIFS($G:$G,G206)=1,G206,G206&amp;"-"&amp;COUNTIFS(G$2:G206,G206))</f>
        <v>101_2</v>
      </c>
      <c r="I206" s="54">
        <v>150</v>
      </c>
      <c r="J206" s="54">
        <v>161</v>
      </c>
      <c r="K206" s="54">
        <v>242</v>
      </c>
      <c r="L206" s="54" t="s">
        <v>35</v>
      </c>
      <c r="M206" s="54" t="s">
        <v>118</v>
      </c>
      <c r="N206" s="54">
        <v>0</v>
      </c>
      <c r="O206" s="54">
        <v>5</v>
      </c>
      <c r="Q206" s="59">
        <f>IF(COUNTIFS(Q$2:Q205,Q205)=COUNTIFS($E:$E,Q205),1,0)+Q205</f>
        <v>96</v>
      </c>
      <c r="R206" s="60">
        <f t="shared" si="14"/>
        <v>1</v>
      </c>
      <c r="S206" s="59">
        <f t="shared" si="15"/>
        <v>0</v>
      </c>
      <c r="T206" s="59" t="str">
        <f t="shared" si="13"/>
        <v>Murkrow</v>
      </c>
    </row>
    <row r="207" spans="1:20" x14ac:dyDescent="0.25">
      <c r="A207" s="54">
        <v>206</v>
      </c>
      <c r="B207" s="54" t="s">
        <v>249</v>
      </c>
      <c r="C207" s="54" t="s">
        <v>19</v>
      </c>
      <c r="D207" s="54" t="s">
        <v>19</v>
      </c>
      <c r="E207" s="54">
        <v>102</v>
      </c>
      <c r="F207" s="54">
        <v>1</v>
      </c>
      <c r="G207" t="str">
        <f t="shared" si="12"/>
        <v>102_1</v>
      </c>
      <c r="H207" t="str">
        <f>IF(COUNTIFS($G:$G,G207)=1,G207,G207&amp;"-"&amp;COUNTIFS(G$2:G207,G207))</f>
        <v>102_1</v>
      </c>
      <c r="I207" s="54">
        <v>200</v>
      </c>
      <c r="J207" s="54">
        <v>131</v>
      </c>
      <c r="K207" s="54">
        <v>131</v>
      </c>
      <c r="L207" s="54" t="s">
        <v>42</v>
      </c>
      <c r="M207" s="54" t="s">
        <v>19</v>
      </c>
      <c r="N207" s="54">
        <v>0</v>
      </c>
      <c r="O207" s="54">
        <v>3</v>
      </c>
      <c r="Q207" s="59">
        <f>IF(COUNTIFS(Q$2:Q206,Q206)=COUNTIFS($E:$E,Q206),1,0)+Q206</f>
        <v>97</v>
      </c>
      <c r="R207" s="60">
        <f t="shared" si="14"/>
        <v>1</v>
      </c>
      <c r="S207" s="59">
        <f t="shared" si="15"/>
        <v>0</v>
      </c>
      <c r="T207" s="59" t="str">
        <f t="shared" si="13"/>
        <v>Misdreavus</v>
      </c>
    </row>
    <row r="208" spans="1:20" x14ac:dyDescent="0.25">
      <c r="A208" s="54">
        <v>207</v>
      </c>
      <c r="B208" s="54" t="s">
        <v>250</v>
      </c>
      <c r="C208" s="54" t="s">
        <v>19</v>
      </c>
      <c r="D208" s="54" t="s">
        <v>19</v>
      </c>
      <c r="E208" s="54">
        <v>103</v>
      </c>
      <c r="F208" s="54">
        <v>1</v>
      </c>
      <c r="G208" t="str">
        <f t="shared" si="12"/>
        <v>103_1</v>
      </c>
      <c r="H208" t="str">
        <f>IF(COUNTIFS($G:$G,G208)=1,G208,G208&amp;"-"&amp;COUNTIFS(G$2:G208,G208))</f>
        <v>103_1</v>
      </c>
      <c r="I208" s="54">
        <v>130</v>
      </c>
      <c r="J208" s="54">
        <v>143</v>
      </c>
      <c r="K208" s="54">
        <v>204</v>
      </c>
      <c r="L208" s="54" t="s">
        <v>56</v>
      </c>
      <c r="M208" s="54" t="s">
        <v>28</v>
      </c>
      <c r="N208" s="54">
        <v>0</v>
      </c>
      <c r="O208" s="54">
        <v>5</v>
      </c>
      <c r="Q208" s="59">
        <f>IF(COUNTIFS(Q$2:Q207,Q207)=COUNTIFS($E:$E,Q207),1,0)+Q207</f>
        <v>98</v>
      </c>
      <c r="R208" s="60">
        <f t="shared" si="14"/>
        <v>1</v>
      </c>
      <c r="S208" s="59">
        <f t="shared" si="15"/>
        <v>0</v>
      </c>
      <c r="T208" s="59" t="str">
        <f t="shared" si="13"/>
        <v>Unown</v>
      </c>
    </row>
    <row r="209" spans="1:20" x14ac:dyDescent="0.25">
      <c r="A209" s="54">
        <v>208</v>
      </c>
      <c r="B209" s="54" t="s">
        <v>134</v>
      </c>
      <c r="C209" s="54" t="s">
        <v>133</v>
      </c>
      <c r="D209" s="54" t="s">
        <v>19</v>
      </c>
      <c r="E209" s="54">
        <v>41</v>
      </c>
      <c r="F209" s="54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 s="54">
        <v>150</v>
      </c>
      <c r="J209" s="54">
        <v>148</v>
      </c>
      <c r="K209" s="54">
        <v>333</v>
      </c>
      <c r="L209" s="54" t="s">
        <v>118</v>
      </c>
      <c r="M209" s="54" t="s">
        <v>56</v>
      </c>
      <c r="N209" s="54">
        <v>0</v>
      </c>
      <c r="O209" s="54">
        <v>5</v>
      </c>
      <c r="Q209" s="59">
        <f>IF(COUNTIFS(Q$2:Q208,Q208)=COUNTIFS($E:$E,Q208),1,0)+Q208</f>
        <v>99</v>
      </c>
      <c r="R209" s="60">
        <f t="shared" si="14"/>
        <v>1</v>
      </c>
      <c r="S209" s="59">
        <f t="shared" si="15"/>
        <v>0</v>
      </c>
      <c r="T209" s="59" t="str">
        <f t="shared" si="13"/>
        <v>Wobbuffet</v>
      </c>
    </row>
    <row r="210" spans="1:20" x14ac:dyDescent="0.25">
      <c r="A210" s="54">
        <v>209</v>
      </c>
      <c r="B210" s="54" t="s">
        <v>251</v>
      </c>
      <c r="C210" s="54" t="s">
        <v>19</v>
      </c>
      <c r="D210" s="54" t="s">
        <v>252</v>
      </c>
      <c r="E210" s="54">
        <v>104</v>
      </c>
      <c r="F210" s="54">
        <v>1</v>
      </c>
      <c r="G210" t="str">
        <f t="shared" si="12"/>
        <v>104_1</v>
      </c>
      <c r="H210" t="str">
        <f>IF(COUNTIFS($G:$G,G210)=1,G210,G210&amp;"-"&amp;COUNTIFS(G$2:G210,G210))</f>
        <v>104_1</v>
      </c>
      <c r="I210" s="54">
        <v>120</v>
      </c>
      <c r="J210" s="54">
        <v>137</v>
      </c>
      <c r="K210" s="54">
        <v>89</v>
      </c>
      <c r="L210" s="54" t="s">
        <v>66</v>
      </c>
      <c r="M210" s="54" t="s">
        <v>19</v>
      </c>
      <c r="N210" s="54">
        <v>50</v>
      </c>
      <c r="O210" s="54">
        <v>3</v>
      </c>
      <c r="Q210" s="59">
        <f>IF(COUNTIFS(Q$2:Q209,Q209)=COUNTIFS($E:$E,Q209),1,0)+Q209</f>
        <v>100</v>
      </c>
      <c r="R210" s="60">
        <f t="shared" si="14"/>
        <v>1</v>
      </c>
      <c r="S210" s="59">
        <f t="shared" si="15"/>
        <v>0</v>
      </c>
      <c r="T210" s="59" t="str">
        <f t="shared" si="13"/>
        <v>Girafarig</v>
      </c>
    </row>
    <row r="211" spans="1:20" x14ac:dyDescent="0.25">
      <c r="A211" s="54">
        <v>210</v>
      </c>
      <c r="B211" s="54" t="s">
        <v>252</v>
      </c>
      <c r="C211" s="54" t="s">
        <v>251</v>
      </c>
      <c r="D211" s="54" t="s">
        <v>19</v>
      </c>
      <c r="E211" s="54">
        <v>104</v>
      </c>
      <c r="F211" s="54">
        <v>2</v>
      </c>
      <c r="G211" t="str">
        <f t="shared" si="12"/>
        <v>104_2</v>
      </c>
      <c r="H211" t="str">
        <f>IF(COUNTIFS($G:$G,G211)=1,G211,G211&amp;"-"&amp;COUNTIFS(G$2:G211,G211))</f>
        <v>104_2</v>
      </c>
      <c r="I211" s="54">
        <v>180</v>
      </c>
      <c r="J211" s="54">
        <v>212</v>
      </c>
      <c r="K211" s="54">
        <v>137</v>
      </c>
      <c r="L211" s="54" t="s">
        <v>66</v>
      </c>
      <c r="M211" s="54" t="s">
        <v>19</v>
      </c>
      <c r="N211" s="54">
        <v>0</v>
      </c>
      <c r="O211" s="54">
        <v>3</v>
      </c>
      <c r="Q211" s="59">
        <f>IF(COUNTIFS(Q$2:Q210,Q210)=COUNTIFS($E:$E,Q210),1,0)+Q210</f>
        <v>101</v>
      </c>
      <c r="R211" s="60">
        <f t="shared" si="14"/>
        <v>1</v>
      </c>
      <c r="S211" s="59">
        <f t="shared" si="15"/>
        <v>0</v>
      </c>
      <c r="T211" s="59" t="str">
        <f t="shared" si="13"/>
        <v>Pineco</v>
      </c>
    </row>
    <row r="212" spans="1:20" x14ac:dyDescent="0.25">
      <c r="A212" s="54">
        <v>211</v>
      </c>
      <c r="B212" s="54" t="s">
        <v>253</v>
      </c>
      <c r="C212" s="54" t="s">
        <v>19</v>
      </c>
      <c r="D212" s="54" t="s">
        <v>19</v>
      </c>
      <c r="E212" s="54">
        <v>105</v>
      </c>
      <c r="F212" s="54">
        <v>1</v>
      </c>
      <c r="G212" t="str">
        <f t="shared" si="12"/>
        <v>105_1</v>
      </c>
      <c r="H212" t="str">
        <f>IF(COUNTIFS($G:$G,G212)=1,G212,G212&amp;"-"&amp;COUNTIFS(G$2:G212,G212))</f>
        <v>105_1</v>
      </c>
      <c r="I212" s="54">
        <v>130</v>
      </c>
      <c r="J212" s="54">
        <v>184</v>
      </c>
      <c r="K212" s="54">
        <v>148</v>
      </c>
      <c r="L212" s="54" t="s">
        <v>31</v>
      </c>
      <c r="M212" s="54" t="s">
        <v>22</v>
      </c>
      <c r="N212" s="54">
        <v>0</v>
      </c>
      <c r="O212" s="54">
        <v>3</v>
      </c>
      <c r="Q212" s="59">
        <f>IF(COUNTIFS(Q$2:Q211,Q211)=COUNTIFS($E:$E,Q211),1,0)+Q211</f>
        <v>101</v>
      </c>
      <c r="R212" s="60">
        <f t="shared" si="14"/>
        <v>2</v>
      </c>
      <c r="S212" s="59">
        <f t="shared" si="15"/>
        <v>0</v>
      </c>
      <c r="T212" s="59" t="str">
        <f t="shared" si="13"/>
        <v>Forretress</v>
      </c>
    </row>
    <row r="213" spans="1:20" x14ac:dyDescent="0.25">
      <c r="A213" s="54">
        <v>212</v>
      </c>
      <c r="B213" s="54" t="s">
        <v>164</v>
      </c>
      <c r="C213" s="54" t="s">
        <v>163</v>
      </c>
      <c r="D213" s="54" t="s">
        <v>19</v>
      </c>
      <c r="E213" s="54">
        <v>57</v>
      </c>
      <c r="F213" s="54">
        <v>2</v>
      </c>
      <c r="G213" t="str">
        <f t="shared" si="12"/>
        <v>57_2</v>
      </c>
      <c r="H213" t="str">
        <f>IF(COUNTIFS($G:$G,G213)=1,G213,G213&amp;"-"&amp;COUNTIFS(G$2:G213,G213))</f>
        <v>57_2</v>
      </c>
      <c r="I213" s="54">
        <v>140</v>
      </c>
      <c r="J213" s="54">
        <v>236</v>
      </c>
      <c r="K213" s="54">
        <v>191</v>
      </c>
      <c r="L213" s="54" t="s">
        <v>35</v>
      </c>
      <c r="M213" s="54" t="s">
        <v>118</v>
      </c>
      <c r="N213" s="54">
        <v>0</v>
      </c>
      <c r="O213" s="54">
        <v>5</v>
      </c>
      <c r="Q213" s="59">
        <f>IF(COUNTIFS(Q$2:Q212,Q212)=COUNTIFS($E:$E,Q212),1,0)+Q212</f>
        <v>102</v>
      </c>
      <c r="R213" s="60">
        <f t="shared" si="14"/>
        <v>1</v>
      </c>
      <c r="S213" s="59">
        <f t="shared" si="15"/>
        <v>0</v>
      </c>
      <c r="T213" s="59" t="str">
        <f t="shared" si="13"/>
        <v>Dunsparce</v>
      </c>
    </row>
    <row r="214" spans="1:20" x14ac:dyDescent="0.25">
      <c r="A214" s="54">
        <v>213</v>
      </c>
      <c r="B214" s="54" t="s">
        <v>254</v>
      </c>
      <c r="C214" s="54" t="s">
        <v>19</v>
      </c>
      <c r="D214" s="54" t="s">
        <v>19</v>
      </c>
      <c r="E214" s="54">
        <v>106</v>
      </c>
      <c r="F214" s="54">
        <v>1</v>
      </c>
      <c r="G214" t="str">
        <f t="shared" si="12"/>
        <v>106_1</v>
      </c>
      <c r="H214" t="str">
        <f>IF(COUNTIFS($G:$G,G214)=1,G214,G214&amp;"-"&amp;COUNTIFS(G$2:G214,G214))</f>
        <v>106_1</v>
      </c>
      <c r="I214" s="54">
        <v>40</v>
      </c>
      <c r="J214" s="54">
        <v>17</v>
      </c>
      <c r="K214" s="54">
        <v>396</v>
      </c>
      <c r="L214" s="54" t="s">
        <v>35</v>
      </c>
      <c r="M214" s="54" t="s">
        <v>110</v>
      </c>
      <c r="N214" s="54">
        <v>0</v>
      </c>
      <c r="O214" s="54">
        <v>3</v>
      </c>
      <c r="Q214" s="59">
        <f>IF(COUNTIFS(Q$2:Q213,Q213)=COUNTIFS($E:$E,Q213),1,0)+Q213</f>
        <v>103</v>
      </c>
      <c r="R214" s="60">
        <f t="shared" si="14"/>
        <v>1</v>
      </c>
      <c r="S214" s="59">
        <f t="shared" si="15"/>
        <v>0</v>
      </c>
      <c r="T214" s="59" t="str">
        <f t="shared" si="13"/>
        <v>Gligar</v>
      </c>
    </row>
    <row r="215" spans="1:20" x14ac:dyDescent="0.25">
      <c r="A215" s="54">
        <v>214</v>
      </c>
      <c r="B215" s="54" t="s">
        <v>255</v>
      </c>
      <c r="C215" s="54" t="s">
        <v>19</v>
      </c>
      <c r="D215" s="54" t="s">
        <v>19</v>
      </c>
      <c r="E215" s="54">
        <v>107</v>
      </c>
      <c r="F215" s="54">
        <v>1</v>
      </c>
      <c r="G215" t="str">
        <f t="shared" si="12"/>
        <v>107_1</v>
      </c>
      <c r="H215" t="str">
        <f>IF(COUNTIFS($G:$G,G215)=1,G215,G215&amp;"-"&amp;COUNTIFS(G$2:G215,G215))</f>
        <v>107_1</v>
      </c>
      <c r="I215" s="54">
        <v>160</v>
      </c>
      <c r="J215" s="54">
        <v>234</v>
      </c>
      <c r="K215" s="54">
        <v>189</v>
      </c>
      <c r="L215" s="54" t="s">
        <v>35</v>
      </c>
      <c r="M215" s="54" t="s">
        <v>90</v>
      </c>
      <c r="N215" s="54">
        <v>0</v>
      </c>
      <c r="O215" s="54">
        <v>3</v>
      </c>
      <c r="Q215" s="59">
        <f>IF(COUNTIFS(Q$2:Q214,Q214)=COUNTIFS($E:$E,Q214),1,0)+Q214</f>
        <v>104</v>
      </c>
      <c r="R215" s="60">
        <f t="shared" si="14"/>
        <v>1</v>
      </c>
      <c r="S215" s="59">
        <f t="shared" si="15"/>
        <v>0</v>
      </c>
      <c r="T215" s="59" t="str">
        <f t="shared" si="13"/>
        <v>Snubbull</v>
      </c>
    </row>
    <row r="216" spans="1:20" x14ac:dyDescent="0.25">
      <c r="A216" s="54">
        <v>215</v>
      </c>
      <c r="B216" s="54" t="s">
        <v>256</v>
      </c>
      <c r="C216" s="54" t="s">
        <v>19</v>
      </c>
      <c r="D216" s="54" t="s">
        <v>19</v>
      </c>
      <c r="E216" s="54">
        <v>108</v>
      </c>
      <c r="F216" s="54">
        <v>1</v>
      </c>
      <c r="G216" t="str">
        <f t="shared" si="12"/>
        <v>108_1</v>
      </c>
      <c r="H216" t="str">
        <f>IF(COUNTIFS($G:$G,G216)=1,G216,G216&amp;"-"&amp;COUNTIFS(G$2:G216,G216))</f>
        <v>108_1</v>
      </c>
      <c r="I216" s="54">
        <v>110</v>
      </c>
      <c r="J216" s="54">
        <v>189</v>
      </c>
      <c r="K216" s="54">
        <v>157</v>
      </c>
      <c r="L216" s="54" t="s">
        <v>240</v>
      </c>
      <c r="M216" s="54" t="s">
        <v>124</v>
      </c>
      <c r="N216" s="54">
        <v>0</v>
      </c>
      <c r="O216" s="54">
        <v>3</v>
      </c>
      <c r="Q216" s="59">
        <f>IF(COUNTIFS(Q$2:Q215,Q215)=COUNTIFS($E:$E,Q215),1,0)+Q215</f>
        <v>104</v>
      </c>
      <c r="R216" s="60">
        <f t="shared" si="14"/>
        <v>2</v>
      </c>
      <c r="S216" s="59">
        <f t="shared" si="15"/>
        <v>0</v>
      </c>
      <c r="T216" s="59" t="str">
        <f t="shared" si="13"/>
        <v>Granbull</v>
      </c>
    </row>
    <row r="217" spans="1:20" x14ac:dyDescent="0.25">
      <c r="A217" s="54">
        <v>216</v>
      </c>
      <c r="B217" s="54" t="s">
        <v>257</v>
      </c>
      <c r="C217" s="54" t="s">
        <v>19</v>
      </c>
      <c r="D217" s="54" t="s">
        <v>258</v>
      </c>
      <c r="E217" s="54">
        <v>109</v>
      </c>
      <c r="F217" s="54">
        <v>1</v>
      </c>
      <c r="G217" t="str">
        <f t="shared" si="12"/>
        <v>109_1</v>
      </c>
      <c r="H217" t="str">
        <f>IF(COUNTIFS($G:$G,G217)=1,G217,G217&amp;"-"&amp;COUNTIFS(G$2:G217,G217))</f>
        <v>109_1</v>
      </c>
      <c r="I217" s="54">
        <v>120</v>
      </c>
      <c r="J217" s="54">
        <v>142</v>
      </c>
      <c r="K217" s="54">
        <v>93</v>
      </c>
      <c r="L217" s="54" t="s">
        <v>42</v>
      </c>
      <c r="M217" s="54" t="s">
        <v>19</v>
      </c>
      <c r="N217" s="54">
        <v>50</v>
      </c>
      <c r="O217" s="54">
        <v>3</v>
      </c>
      <c r="Q217" s="59">
        <f>IF(COUNTIFS(Q$2:Q216,Q216)=COUNTIFS($E:$E,Q216),1,0)+Q216</f>
        <v>105</v>
      </c>
      <c r="R217" s="60">
        <f t="shared" si="14"/>
        <v>1</v>
      </c>
      <c r="S217" s="59">
        <f t="shared" si="15"/>
        <v>0</v>
      </c>
      <c r="T217" s="59" t="str">
        <f t="shared" si="13"/>
        <v>Qwilfish</v>
      </c>
    </row>
    <row r="218" spans="1:20" x14ac:dyDescent="0.25">
      <c r="A218" s="54">
        <v>217</v>
      </c>
      <c r="B218" s="54" t="s">
        <v>258</v>
      </c>
      <c r="C218" s="54" t="s">
        <v>257</v>
      </c>
      <c r="D218" s="54" t="s">
        <v>19</v>
      </c>
      <c r="E218" s="54">
        <v>109</v>
      </c>
      <c r="F218" s="54">
        <v>2</v>
      </c>
      <c r="G218" t="str">
        <f t="shared" si="12"/>
        <v>109_2</v>
      </c>
      <c r="H218" t="str">
        <f>IF(COUNTIFS($G:$G,G218)=1,G218,G218&amp;"-"&amp;COUNTIFS(G$2:G218,G218))</f>
        <v>109_2</v>
      </c>
      <c r="I218" s="54">
        <v>180</v>
      </c>
      <c r="J218" s="54">
        <v>236</v>
      </c>
      <c r="K218" s="54">
        <v>144</v>
      </c>
      <c r="L218" s="54" t="s">
        <v>42</v>
      </c>
      <c r="M218" s="54" t="s">
        <v>19</v>
      </c>
      <c r="N218" s="54">
        <v>0</v>
      </c>
      <c r="O218" s="54">
        <v>3</v>
      </c>
      <c r="Q218" s="59">
        <f>IF(COUNTIFS(Q$2:Q217,Q217)=COUNTIFS($E:$E,Q217),1,0)+Q217</f>
        <v>106</v>
      </c>
      <c r="R218" s="60">
        <f t="shared" si="14"/>
        <v>1</v>
      </c>
      <c r="S218" s="59">
        <f t="shared" si="15"/>
        <v>0</v>
      </c>
      <c r="T218" s="59" t="str">
        <f t="shared" si="13"/>
        <v>Shuckle</v>
      </c>
    </row>
    <row r="219" spans="1:20" x14ac:dyDescent="0.25">
      <c r="A219" s="54">
        <v>218</v>
      </c>
      <c r="B219" s="54" t="s">
        <v>259</v>
      </c>
      <c r="C219" s="54" t="s">
        <v>19</v>
      </c>
      <c r="D219" s="54" t="s">
        <v>260</v>
      </c>
      <c r="E219" s="54">
        <v>110</v>
      </c>
      <c r="F219" s="54">
        <v>1</v>
      </c>
      <c r="G219" t="str">
        <f t="shared" si="12"/>
        <v>110_1</v>
      </c>
      <c r="H219" t="str">
        <f>IF(COUNTIFS($G:$G,G219)=1,G219,G219&amp;"-"&amp;COUNTIFS(G$2:G219,G219))</f>
        <v>110_1</v>
      </c>
      <c r="I219" s="54">
        <v>80</v>
      </c>
      <c r="J219" s="54">
        <v>118</v>
      </c>
      <c r="K219" s="54">
        <v>71</v>
      </c>
      <c r="L219" s="54" t="s">
        <v>26</v>
      </c>
      <c r="M219" s="54" t="s">
        <v>19</v>
      </c>
      <c r="N219" s="54">
        <v>50</v>
      </c>
      <c r="O219" s="54">
        <v>1</v>
      </c>
      <c r="Q219" s="59">
        <f>IF(COUNTIFS(Q$2:Q218,Q218)=COUNTIFS($E:$E,Q218),1,0)+Q218</f>
        <v>107</v>
      </c>
      <c r="R219" s="60">
        <f t="shared" si="14"/>
        <v>1</v>
      </c>
      <c r="S219" s="59">
        <f t="shared" si="15"/>
        <v>0</v>
      </c>
      <c r="T219" s="59" t="str">
        <f t="shared" si="13"/>
        <v>Heracross</v>
      </c>
    </row>
    <row r="220" spans="1:20" x14ac:dyDescent="0.25">
      <c r="A220" s="54">
        <v>219</v>
      </c>
      <c r="B220" s="54" t="s">
        <v>260</v>
      </c>
      <c r="C220" s="54" t="s">
        <v>259</v>
      </c>
      <c r="D220" s="54" t="s">
        <v>19</v>
      </c>
      <c r="E220" s="54">
        <v>110</v>
      </c>
      <c r="F220" s="54">
        <v>2</v>
      </c>
      <c r="G220" t="str">
        <f t="shared" si="12"/>
        <v>110_2</v>
      </c>
      <c r="H220" t="str">
        <f>IF(COUNTIFS($G:$G,G220)=1,G220,G220&amp;"-"&amp;COUNTIFS(G$2:G220,G220))</f>
        <v>110_2</v>
      </c>
      <c r="I220" s="54">
        <v>100</v>
      </c>
      <c r="J220" s="54">
        <v>139</v>
      </c>
      <c r="K220" s="54">
        <v>209</v>
      </c>
      <c r="L220" s="54" t="s">
        <v>26</v>
      </c>
      <c r="M220" s="54" t="s">
        <v>110</v>
      </c>
      <c r="N220" s="54">
        <v>0</v>
      </c>
      <c r="O220" s="54">
        <v>1</v>
      </c>
      <c r="Q220" s="59">
        <f>IF(COUNTIFS(Q$2:Q219,Q219)=COUNTIFS($E:$E,Q219),1,0)+Q219</f>
        <v>108</v>
      </c>
      <c r="R220" s="60">
        <f t="shared" si="14"/>
        <v>1</v>
      </c>
      <c r="S220" s="59">
        <f t="shared" si="15"/>
        <v>0</v>
      </c>
      <c r="T220" s="59" t="str">
        <f t="shared" si="13"/>
        <v>Sneasel</v>
      </c>
    </row>
    <row r="221" spans="1:20" x14ac:dyDescent="0.25">
      <c r="A221" s="54">
        <v>220</v>
      </c>
      <c r="B221" s="54" t="s">
        <v>261</v>
      </c>
      <c r="C221" s="54" t="s">
        <v>19</v>
      </c>
      <c r="D221" s="54" t="s">
        <v>262</v>
      </c>
      <c r="E221" s="54">
        <v>111</v>
      </c>
      <c r="F221" s="54">
        <v>1</v>
      </c>
      <c r="G221" t="str">
        <f t="shared" si="12"/>
        <v>111_1</v>
      </c>
      <c r="H221" t="str">
        <f>IF(COUNTIFS($G:$G,G221)=1,G221,G221&amp;"-"&amp;COUNTIFS(G$2:G221,G221))</f>
        <v>111_1</v>
      </c>
      <c r="I221" s="54">
        <v>100</v>
      </c>
      <c r="J221" s="54">
        <v>90</v>
      </c>
      <c r="K221" s="54">
        <v>74</v>
      </c>
      <c r="L221" s="54" t="s">
        <v>124</v>
      </c>
      <c r="M221" s="54" t="s">
        <v>56</v>
      </c>
      <c r="N221" s="54">
        <v>50</v>
      </c>
      <c r="O221" s="54">
        <v>3</v>
      </c>
      <c r="Q221" s="59">
        <f>IF(COUNTIFS(Q$2:Q220,Q220)=COUNTIFS($E:$E,Q220),1,0)+Q220</f>
        <v>109</v>
      </c>
      <c r="R221" s="60">
        <f t="shared" si="14"/>
        <v>1</v>
      </c>
      <c r="S221" s="59">
        <f t="shared" si="15"/>
        <v>0</v>
      </c>
      <c r="T221" s="59" t="str">
        <f t="shared" si="13"/>
        <v>Teddiursa</v>
      </c>
    </row>
    <row r="222" spans="1:20" x14ac:dyDescent="0.25">
      <c r="A222" s="54">
        <v>221</v>
      </c>
      <c r="B222" s="54" t="s">
        <v>262</v>
      </c>
      <c r="C222" s="54" t="s">
        <v>261</v>
      </c>
      <c r="D222" s="54" t="s">
        <v>19</v>
      </c>
      <c r="E222" s="54">
        <v>111</v>
      </c>
      <c r="F222" s="54">
        <v>2</v>
      </c>
      <c r="G222" t="str">
        <f t="shared" si="12"/>
        <v>111_2</v>
      </c>
      <c r="H222" t="str">
        <f>IF(COUNTIFS($G:$G,G222)=1,G222,G222&amp;"-"&amp;COUNTIFS(G$2:G222,G222))</f>
        <v>111_2</v>
      </c>
      <c r="I222" s="54">
        <v>200</v>
      </c>
      <c r="J222" s="54">
        <v>181</v>
      </c>
      <c r="K222" s="54">
        <v>147</v>
      </c>
      <c r="L222" s="54" t="s">
        <v>124</v>
      </c>
      <c r="M222" s="54" t="s">
        <v>56</v>
      </c>
      <c r="N222" s="54">
        <v>0</v>
      </c>
      <c r="O222" s="54">
        <v>3</v>
      </c>
      <c r="Q222" s="59">
        <f>IF(COUNTIFS(Q$2:Q221,Q221)=COUNTIFS($E:$E,Q221),1,0)+Q221</f>
        <v>109</v>
      </c>
      <c r="R222" s="60">
        <f t="shared" si="14"/>
        <v>2</v>
      </c>
      <c r="S222" s="59">
        <f t="shared" si="15"/>
        <v>0</v>
      </c>
      <c r="T222" s="59" t="str">
        <f t="shared" si="13"/>
        <v>Ursaring</v>
      </c>
    </row>
    <row r="223" spans="1:20" x14ac:dyDescent="0.25">
      <c r="A223" s="54">
        <v>222</v>
      </c>
      <c r="B223" s="54" t="s">
        <v>263</v>
      </c>
      <c r="C223" s="54" t="s">
        <v>19</v>
      </c>
      <c r="D223" s="54" t="s">
        <v>19</v>
      </c>
      <c r="E223" s="54">
        <v>112</v>
      </c>
      <c r="F223" s="54">
        <v>1</v>
      </c>
      <c r="G223" t="str">
        <f t="shared" si="12"/>
        <v>112_1</v>
      </c>
      <c r="H223" t="str">
        <f>IF(COUNTIFS($G:$G,G223)=1,G223,G223&amp;"-"&amp;COUNTIFS(G$2:G223,G223))</f>
        <v>112_1</v>
      </c>
      <c r="I223" s="54">
        <v>110</v>
      </c>
      <c r="J223" s="54">
        <v>118</v>
      </c>
      <c r="K223" s="54">
        <v>156</v>
      </c>
      <c r="L223" s="54" t="s">
        <v>31</v>
      </c>
      <c r="M223" s="54" t="s">
        <v>110</v>
      </c>
      <c r="N223" s="54">
        <v>0</v>
      </c>
      <c r="O223" s="54">
        <v>3</v>
      </c>
      <c r="Q223" s="59">
        <f>IF(COUNTIFS(Q$2:Q222,Q222)=COUNTIFS($E:$E,Q222),1,0)+Q222</f>
        <v>110</v>
      </c>
      <c r="R223" s="60">
        <f t="shared" si="14"/>
        <v>1</v>
      </c>
      <c r="S223" s="59">
        <f t="shared" si="15"/>
        <v>0</v>
      </c>
      <c r="T223" s="59" t="str">
        <f t="shared" si="13"/>
        <v>Slugma</v>
      </c>
    </row>
    <row r="224" spans="1:20" x14ac:dyDescent="0.25">
      <c r="A224" s="54">
        <v>223</v>
      </c>
      <c r="B224" s="54" t="s">
        <v>264</v>
      </c>
      <c r="C224" s="54" t="s">
        <v>19</v>
      </c>
      <c r="D224" s="54" t="s">
        <v>265</v>
      </c>
      <c r="E224" s="54">
        <v>113</v>
      </c>
      <c r="F224" s="54">
        <v>1</v>
      </c>
      <c r="G224" t="str">
        <f t="shared" si="12"/>
        <v>113_1</v>
      </c>
      <c r="H224" t="str">
        <f>IF(COUNTIFS($G:$G,G224)=1,G224,G224&amp;"-"&amp;COUNTIFS(G$2:G224,G224))</f>
        <v>113_1</v>
      </c>
      <c r="I224" s="54">
        <v>70</v>
      </c>
      <c r="J224" s="54">
        <v>127</v>
      </c>
      <c r="K224" s="54">
        <v>69</v>
      </c>
      <c r="L224" s="54" t="s">
        <v>31</v>
      </c>
      <c r="M224" s="54" t="s">
        <v>19</v>
      </c>
      <c r="N224" s="54">
        <v>50</v>
      </c>
      <c r="O224" s="54">
        <v>1</v>
      </c>
      <c r="Q224" s="59">
        <f>IF(COUNTIFS(Q$2:Q223,Q223)=COUNTIFS($E:$E,Q223),1,0)+Q223</f>
        <v>110</v>
      </c>
      <c r="R224" s="60">
        <f t="shared" si="14"/>
        <v>2</v>
      </c>
      <c r="S224" s="59">
        <f t="shared" si="15"/>
        <v>0</v>
      </c>
      <c r="T224" s="59" t="str">
        <f t="shared" si="13"/>
        <v>Magcargo</v>
      </c>
    </row>
    <row r="225" spans="1:20" x14ac:dyDescent="0.25">
      <c r="A225" s="54">
        <v>224</v>
      </c>
      <c r="B225" s="54" t="s">
        <v>265</v>
      </c>
      <c r="C225" s="54" t="s">
        <v>264</v>
      </c>
      <c r="D225" s="54" t="s">
        <v>19</v>
      </c>
      <c r="E225" s="54">
        <v>113</v>
      </c>
      <c r="F225" s="54">
        <v>2</v>
      </c>
      <c r="G225" t="str">
        <f t="shared" si="12"/>
        <v>113_2</v>
      </c>
      <c r="H225" t="str">
        <f>IF(COUNTIFS($G:$G,G225)=1,G225,G225&amp;"-"&amp;COUNTIFS(G$2:G225,G225))</f>
        <v>113_2</v>
      </c>
      <c r="I225" s="54">
        <v>150</v>
      </c>
      <c r="J225" s="54">
        <v>197</v>
      </c>
      <c r="K225" s="54">
        <v>141</v>
      </c>
      <c r="L225" s="54" t="s">
        <v>31</v>
      </c>
      <c r="M225" s="54" t="s">
        <v>19</v>
      </c>
      <c r="N225" s="54">
        <v>0</v>
      </c>
      <c r="O225" s="54">
        <v>1</v>
      </c>
      <c r="Q225" s="59">
        <f>IF(COUNTIFS(Q$2:Q224,Q224)=COUNTIFS($E:$E,Q224),1,0)+Q224</f>
        <v>111</v>
      </c>
      <c r="R225" s="60">
        <f t="shared" si="14"/>
        <v>1</v>
      </c>
      <c r="S225" s="59">
        <f t="shared" si="15"/>
        <v>0</v>
      </c>
      <c r="T225" s="59" t="str">
        <f t="shared" si="13"/>
        <v>Swinub</v>
      </c>
    </row>
    <row r="226" spans="1:20" x14ac:dyDescent="0.25">
      <c r="A226" s="54">
        <v>225</v>
      </c>
      <c r="B226" s="54" t="s">
        <v>266</v>
      </c>
      <c r="C226" s="54" t="s">
        <v>19</v>
      </c>
      <c r="D226" s="54" t="s">
        <v>19</v>
      </c>
      <c r="E226" s="54">
        <v>114</v>
      </c>
      <c r="F226" s="54">
        <v>1</v>
      </c>
      <c r="G226" t="str">
        <f t="shared" si="12"/>
        <v>114_1</v>
      </c>
      <c r="H226" t="str">
        <f>IF(COUNTIFS($G:$G,G226)=1,G226,G226&amp;"-"&amp;COUNTIFS(G$2:G226,G226))</f>
        <v>114_1</v>
      </c>
      <c r="I226" s="54">
        <v>90</v>
      </c>
      <c r="J226" s="54">
        <v>128</v>
      </c>
      <c r="K226" s="54">
        <v>90</v>
      </c>
      <c r="L226" s="54" t="s">
        <v>124</v>
      </c>
      <c r="M226" s="54" t="s">
        <v>28</v>
      </c>
      <c r="N226" s="54">
        <v>0</v>
      </c>
      <c r="O226" s="54">
        <v>5</v>
      </c>
      <c r="Q226" s="59">
        <f>IF(COUNTIFS(Q$2:Q225,Q225)=COUNTIFS($E:$E,Q225),1,0)+Q225</f>
        <v>111</v>
      </c>
      <c r="R226" s="60">
        <f t="shared" si="14"/>
        <v>2</v>
      </c>
      <c r="S226" s="59">
        <f t="shared" si="15"/>
        <v>0</v>
      </c>
      <c r="T226" s="59" t="str">
        <f t="shared" si="13"/>
        <v>Piloswine</v>
      </c>
    </row>
    <row r="227" spans="1:20" x14ac:dyDescent="0.25">
      <c r="A227" s="54">
        <v>226</v>
      </c>
      <c r="B227" s="54" t="s">
        <v>267</v>
      </c>
      <c r="C227" s="54" t="s">
        <v>19</v>
      </c>
      <c r="D227" s="54" t="s">
        <v>19</v>
      </c>
      <c r="E227" s="54">
        <v>115</v>
      </c>
      <c r="F227" s="54">
        <v>1</v>
      </c>
      <c r="G227" t="str">
        <f t="shared" si="12"/>
        <v>115_1</v>
      </c>
      <c r="H227" t="str">
        <f>IF(COUNTIFS($G:$G,G227)=1,G227,G227&amp;"-"&amp;COUNTIFS(G$2:G227,G227))</f>
        <v>115_1</v>
      </c>
      <c r="I227" s="54">
        <v>130</v>
      </c>
      <c r="J227" s="54">
        <v>148</v>
      </c>
      <c r="K227" s="54">
        <v>260</v>
      </c>
      <c r="L227" s="54" t="s">
        <v>31</v>
      </c>
      <c r="M227" s="54" t="s">
        <v>28</v>
      </c>
      <c r="N227" s="54">
        <v>0</v>
      </c>
      <c r="O227" s="54">
        <v>5</v>
      </c>
      <c r="Q227" s="59">
        <f>IF(COUNTIFS(Q$2:Q226,Q226)=COUNTIFS($E:$E,Q226),1,0)+Q226</f>
        <v>112</v>
      </c>
      <c r="R227" s="60">
        <f t="shared" si="14"/>
        <v>1</v>
      </c>
      <c r="S227" s="59">
        <f t="shared" si="15"/>
        <v>0</v>
      </c>
      <c r="T227" s="59" t="str">
        <f t="shared" si="13"/>
        <v>Corsola</v>
      </c>
    </row>
    <row r="228" spans="1:20" x14ac:dyDescent="0.25">
      <c r="A228" s="54">
        <v>227</v>
      </c>
      <c r="B228" s="54" t="s">
        <v>268</v>
      </c>
      <c r="C228" s="54" t="s">
        <v>19</v>
      </c>
      <c r="D228" s="54" t="s">
        <v>19</v>
      </c>
      <c r="E228" s="54">
        <v>116</v>
      </c>
      <c r="F228" s="54">
        <v>1</v>
      </c>
      <c r="G228" t="str">
        <f t="shared" si="12"/>
        <v>116_1</v>
      </c>
      <c r="H228" t="str">
        <f>IF(COUNTIFS($G:$G,G228)=1,G228,G228&amp;"-"&amp;COUNTIFS(G$2:G228,G228))</f>
        <v>116_1</v>
      </c>
      <c r="I228" s="54">
        <v>130</v>
      </c>
      <c r="J228" s="54">
        <v>148</v>
      </c>
      <c r="K228" s="54">
        <v>260</v>
      </c>
      <c r="L228" s="54" t="s">
        <v>118</v>
      </c>
      <c r="M228" s="54" t="s">
        <v>28</v>
      </c>
      <c r="N228" s="54">
        <v>0</v>
      </c>
      <c r="O228" s="54">
        <v>5</v>
      </c>
      <c r="Q228" s="59">
        <f>IF(COUNTIFS(Q$2:Q227,Q227)=COUNTIFS($E:$E,Q227),1,0)+Q227</f>
        <v>113</v>
      </c>
      <c r="R228" s="60">
        <f t="shared" si="14"/>
        <v>1</v>
      </c>
      <c r="S228" s="59">
        <f t="shared" si="15"/>
        <v>0</v>
      </c>
      <c r="T228" s="59" t="str">
        <f t="shared" si="13"/>
        <v>Remoraid</v>
      </c>
    </row>
    <row r="229" spans="1:20" x14ac:dyDescent="0.25">
      <c r="A229" s="54">
        <v>228</v>
      </c>
      <c r="B229" s="54" t="s">
        <v>269</v>
      </c>
      <c r="C229" s="54" t="s">
        <v>19</v>
      </c>
      <c r="D229" s="54" t="s">
        <v>270</v>
      </c>
      <c r="E229" s="54">
        <v>117</v>
      </c>
      <c r="F229" s="54">
        <v>1</v>
      </c>
      <c r="G229" t="str">
        <f t="shared" si="12"/>
        <v>117_1</v>
      </c>
      <c r="H229" t="str">
        <f>IF(COUNTIFS($G:$G,G229)=1,G229,G229&amp;"-"&amp;COUNTIFS(G$2:G229,G229))</f>
        <v>117_1</v>
      </c>
      <c r="I229" s="54">
        <v>90</v>
      </c>
      <c r="J229" s="54">
        <v>152</v>
      </c>
      <c r="K229" s="54">
        <v>93</v>
      </c>
      <c r="L229" s="54" t="s">
        <v>240</v>
      </c>
      <c r="M229" s="54" t="s">
        <v>26</v>
      </c>
      <c r="N229" s="54">
        <v>50</v>
      </c>
      <c r="O229" s="54">
        <v>3</v>
      </c>
      <c r="Q229" s="59">
        <f>IF(COUNTIFS(Q$2:Q228,Q228)=COUNTIFS($E:$E,Q228),1,0)+Q228</f>
        <v>113</v>
      </c>
      <c r="R229" s="60">
        <f t="shared" si="14"/>
        <v>2</v>
      </c>
      <c r="S229" s="59">
        <f t="shared" si="15"/>
        <v>0</v>
      </c>
      <c r="T229" s="59" t="str">
        <f t="shared" si="13"/>
        <v>Octillery</v>
      </c>
    </row>
    <row r="230" spans="1:20" x14ac:dyDescent="0.25">
      <c r="A230" s="54">
        <v>229</v>
      </c>
      <c r="B230" s="54" t="s">
        <v>270</v>
      </c>
      <c r="C230" s="54" t="s">
        <v>269</v>
      </c>
      <c r="D230" s="54" t="s">
        <v>19</v>
      </c>
      <c r="E230" s="54">
        <v>117</v>
      </c>
      <c r="F230" s="54">
        <v>2</v>
      </c>
      <c r="G230" t="str">
        <f t="shared" si="12"/>
        <v>117_2</v>
      </c>
      <c r="H230" t="str">
        <f>IF(COUNTIFS($G:$G,G230)=1,G230,G230&amp;"-"&amp;COUNTIFS(G$2:G230,G230))</f>
        <v>117_2</v>
      </c>
      <c r="I230" s="54">
        <v>150</v>
      </c>
      <c r="J230" s="54">
        <v>224</v>
      </c>
      <c r="K230" s="54">
        <v>159</v>
      </c>
      <c r="L230" s="54" t="s">
        <v>240</v>
      </c>
      <c r="M230" s="54" t="s">
        <v>26</v>
      </c>
      <c r="N230" s="54">
        <v>0</v>
      </c>
      <c r="O230" s="54">
        <v>3</v>
      </c>
      <c r="Q230" s="59">
        <f>IF(COUNTIFS(Q$2:Q229,Q229)=COUNTIFS($E:$E,Q229),1,0)+Q229</f>
        <v>114</v>
      </c>
      <c r="R230" s="60">
        <f t="shared" si="14"/>
        <v>1</v>
      </c>
      <c r="S230" s="59">
        <f t="shared" si="15"/>
        <v>0</v>
      </c>
      <c r="T230" s="59" t="str">
        <f t="shared" si="13"/>
        <v>Delibird</v>
      </c>
    </row>
    <row r="231" spans="1:20" x14ac:dyDescent="0.25">
      <c r="A231" s="54">
        <v>230</v>
      </c>
      <c r="B231" s="54" t="s">
        <v>271</v>
      </c>
      <c r="C231" s="54" t="s">
        <v>19</v>
      </c>
      <c r="D231" s="54" t="s">
        <v>19</v>
      </c>
      <c r="E231" s="54">
        <v>53</v>
      </c>
      <c r="F231" s="54">
        <v>3</v>
      </c>
      <c r="G231" t="str">
        <f t="shared" si="12"/>
        <v>53_3</v>
      </c>
      <c r="H231" t="str">
        <f>IF(COUNTIFS($G:$G,G231)=1,G231,G231&amp;"-"&amp;COUNTIFS(G$2:G231,G231))</f>
        <v>53_3</v>
      </c>
      <c r="I231" s="54">
        <v>150</v>
      </c>
      <c r="J231" s="54">
        <v>194</v>
      </c>
      <c r="K231" s="54">
        <v>194</v>
      </c>
      <c r="L231" s="54" t="s">
        <v>31</v>
      </c>
      <c r="M231" s="54" t="s">
        <v>194</v>
      </c>
      <c r="N231" s="54">
        <v>0</v>
      </c>
      <c r="O231" s="54">
        <v>3</v>
      </c>
      <c r="Q231" s="59">
        <f>IF(COUNTIFS(Q$2:Q230,Q230)=COUNTIFS($E:$E,Q230),1,0)+Q230</f>
        <v>115</v>
      </c>
      <c r="R231" s="60">
        <f t="shared" si="14"/>
        <v>1</v>
      </c>
      <c r="S231" s="59">
        <f t="shared" si="15"/>
        <v>0</v>
      </c>
      <c r="T231" s="59" t="str">
        <f t="shared" si="13"/>
        <v>Mantine</v>
      </c>
    </row>
    <row r="232" spans="1:20" x14ac:dyDescent="0.25">
      <c r="A232" s="54">
        <v>231</v>
      </c>
      <c r="B232" s="54" t="s">
        <v>272</v>
      </c>
      <c r="C232" s="54" t="s">
        <v>19</v>
      </c>
      <c r="D232" s="54" t="s">
        <v>273</v>
      </c>
      <c r="E232" s="54">
        <v>118</v>
      </c>
      <c r="F232" s="54">
        <v>1</v>
      </c>
      <c r="G232" t="str">
        <f t="shared" si="12"/>
        <v>118_1</v>
      </c>
      <c r="H232" t="str">
        <f>IF(COUNTIFS($G:$G,G232)=1,G232,G232&amp;"-"&amp;COUNTIFS(G$2:G232,G232))</f>
        <v>118_1</v>
      </c>
      <c r="I232" s="54">
        <v>180</v>
      </c>
      <c r="J232" s="54">
        <v>107</v>
      </c>
      <c r="K232" s="54">
        <v>107</v>
      </c>
      <c r="L232" s="54" t="s">
        <v>56</v>
      </c>
      <c r="M232" s="54" t="s">
        <v>19</v>
      </c>
      <c r="N232" s="54">
        <v>50</v>
      </c>
      <c r="O232" s="54">
        <v>3</v>
      </c>
      <c r="Q232" s="59">
        <f>IF(COUNTIFS(Q$2:Q231,Q231)=COUNTIFS($E:$E,Q231),1,0)+Q231</f>
        <v>116</v>
      </c>
      <c r="R232" s="60">
        <f t="shared" si="14"/>
        <v>1</v>
      </c>
      <c r="S232" s="59">
        <f t="shared" si="15"/>
        <v>0</v>
      </c>
      <c r="T232" s="59" t="str">
        <f t="shared" si="13"/>
        <v>Skarmory</v>
      </c>
    </row>
    <row r="233" spans="1:20" x14ac:dyDescent="0.25">
      <c r="A233" s="54">
        <v>232</v>
      </c>
      <c r="B233" s="54" t="s">
        <v>273</v>
      </c>
      <c r="C233" s="54" t="s">
        <v>272</v>
      </c>
      <c r="D233" s="54" t="s">
        <v>19</v>
      </c>
      <c r="E233" s="54">
        <v>118</v>
      </c>
      <c r="F233" s="54">
        <v>2</v>
      </c>
      <c r="G233" t="str">
        <f t="shared" si="12"/>
        <v>118_2</v>
      </c>
      <c r="H233" t="str">
        <f>IF(COUNTIFS($G:$G,G233)=1,G233,G233&amp;"-"&amp;COUNTIFS(G$2:G233,G233))</f>
        <v>118_2</v>
      </c>
      <c r="I233" s="54">
        <v>180</v>
      </c>
      <c r="J233" s="54">
        <v>214</v>
      </c>
      <c r="K233" s="54">
        <v>214</v>
      </c>
      <c r="L233" s="54" t="s">
        <v>56</v>
      </c>
      <c r="M233" s="54" t="s">
        <v>19</v>
      </c>
      <c r="N233" s="54">
        <v>0</v>
      </c>
      <c r="O233" s="54">
        <v>3</v>
      </c>
      <c r="Q233" s="59">
        <f>IF(COUNTIFS(Q$2:Q232,Q232)=COUNTIFS($E:$E,Q232),1,0)+Q232</f>
        <v>117</v>
      </c>
      <c r="R233" s="60">
        <f t="shared" si="14"/>
        <v>1</v>
      </c>
      <c r="S233" s="59">
        <f t="shared" si="15"/>
        <v>0</v>
      </c>
      <c r="T233" s="59" t="str">
        <f t="shared" si="13"/>
        <v>Houndour</v>
      </c>
    </row>
    <row r="234" spans="1:20" x14ac:dyDescent="0.25">
      <c r="A234" s="54">
        <v>233</v>
      </c>
      <c r="B234" s="54" t="s">
        <v>182</v>
      </c>
      <c r="C234" s="54" t="s">
        <v>181</v>
      </c>
      <c r="D234" s="54" t="s">
        <v>19</v>
      </c>
      <c r="E234" s="54">
        <v>67</v>
      </c>
      <c r="F234" s="54">
        <v>2</v>
      </c>
      <c r="G234" t="str">
        <f t="shared" si="12"/>
        <v>67_2</v>
      </c>
      <c r="H234" t="str">
        <f>IF(COUNTIFS($G:$G,G234)=1,G234,G234&amp;"-"&amp;COUNTIFS(G$2:G234,G234))</f>
        <v>67_2</v>
      </c>
      <c r="I234" s="54">
        <v>170</v>
      </c>
      <c r="J234" s="54">
        <v>198</v>
      </c>
      <c r="K234" s="54">
        <v>183</v>
      </c>
      <c r="L234" s="54" t="s">
        <v>42</v>
      </c>
      <c r="M234" s="54" t="s">
        <v>19</v>
      </c>
      <c r="N234" s="54">
        <v>0</v>
      </c>
      <c r="O234" s="54">
        <v>3</v>
      </c>
      <c r="Q234" s="59">
        <f>IF(COUNTIFS(Q$2:Q233,Q233)=COUNTIFS($E:$E,Q233),1,0)+Q233</f>
        <v>117</v>
      </c>
      <c r="R234" s="60">
        <f t="shared" si="14"/>
        <v>2</v>
      </c>
      <c r="S234" s="59">
        <f t="shared" si="15"/>
        <v>0</v>
      </c>
      <c r="T234" s="59" t="str">
        <f t="shared" si="13"/>
        <v>Houndoom</v>
      </c>
    </row>
    <row r="235" spans="1:20" x14ac:dyDescent="0.25">
      <c r="A235" s="54">
        <v>234</v>
      </c>
      <c r="B235" s="54" t="s">
        <v>274</v>
      </c>
      <c r="C235" s="54" t="s">
        <v>19</v>
      </c>
      <c r="D235" s="54" t="s">
        <v>19</v>
      </c>
      <c r="E235" s="54">
        <v>119</v>
      </c>
      <c r="F235" s="54">
        <v>1</v>
      </c>
      <c r="G235" t="str">
        <f t="shared" si="12"/>
        <v>119_1</v>
      </c>
      <c r="H235" t="str">
        <f>IF(COUNTIFS($G:$G,G235)=1,G235,G235&amp;"-"&amp;COUNTIFS(G$2:G235,G235))</f>
        <v>119_1</v>
      </c>
      <c r="I235" s="54">
        <v>146</v>
      </c>
      <c r="J235" s="54">
        <v>192</v>
      </c>
      <c r="K235" s="54">
        <v>132</v>
      </c>
      <c r="L235" s="54" t="s">
        <v>42</v>
      </c>
      <c r="M235" s="54" t="s">
        <v>19</v>
      </c>
      <c r="N235" s="54">
        <v>0</v>
      </c>
      <c r="O235" s="54">
        <v>3</v>
      </c>
      <c r="Q235" s="59">
        <f>IF(COUNTIFS(Q$2:Q234,Q234)=COUNTIFS($E:$E,Q234),1,0)+Q234</f>
        <v>118</v>
      </c>
      <c r="R235" s="60">
        <f t="shared" si="14"/>
        <v>1</v>
      </c>
      <c r="S235" s="59">
        <f t="shared" si="15"/>
        <v>0</v>
      </c>
      <c r="T235" s="59" t="str">
        <f t="shared" si="13"/>
        <v>Phanpy</v>
      </c>
    </row>
    <row r="236" spans="1:20" x14ac:dyDescent="0.25">
      <c r="A236" s="54">
        <v>235</v>
      </c>
      <c r="B236" s="54" t="s">
        <v>275</v>
      </c>
      <c r="C236" s="54" t="s">
        <v>19</v>
      </c>
      <c r="D236" s="54" t="s">
        <v>19</v>
      </c>
      <c r="E236" s="54">
        <v>120</v>
      </c>
      <c r="F236" s="54">
        <v>1</v>
      </c>
      <c r="G236" t="str">
        <f t="shared" si="12"/>
        <v>120_1</v>
      </c>
      <c r="H236" t="str">
        <f>IF(COUNTIFS($G:$G,G236)=1,G236,G236&amp;"-"&amp;COUNTIFS(G$2:G236,G236))</f>
        <v>120_1</v>
      </c>
      <c r="I236" s="54">
        <v>110</v>
      </c>
      <c r="J236" s="54">
        <v>40</v>
      </c>
      <c r="K236" s="54">
        <v>88</v>
      </c>
      <c r="L236" s="54" t="s">
        <v>42</v>
      </c>
      <c r="M236" s="54" t="s">
        <v>19</v>
      </c>
      <c r="N236" s="54">
        <v>0</v>
      </c>
      <c r="O236" s="54">
        <v>3</v>
      </c>
      <c r="Q236" s="59">
        <f>IF(COUNTIFS(Q$2:Q235,Q235)=COUNTIFS($E:$E,Q235),1,0)+Q235</f>
        <v>118</v>
      </c>
      <c r="R236" s="60">
        <f t="shared" si="14"/>
        <v>2</v>
      </c>
      <c r="S236" s="59">
        <f t="shared" si="15"/>
        <v>0</v>
      </c>
      <c r="T236" s="59" t="str">
        <f t="shared" si="13"/>
        <v>Donphan</v>
      </c>
    </row>
    <row r="237" spans="1:20" x14ac:dyDescent="0.25">
      <c r="A237" s="54">
        <v>236</v>
      </c>
      <c r="B237" s="54" t="s">
        <v>276</v>
      </c>
      <c r="C237" s="54" t="s">
        <v>19</v>
      </c>
      <c r="D237" s="54" t="s">
        <v>277</v>
      </c>
      <c r="E237" s="54">
        <v>121</v>
      </c>
      <c r="F237" s="54">
        <v>1</v>
      </c>
      <c r="G237" t="str">
        <f t="shared" si="12"/>
        <v>121_1</v>
      </c>
      <c r="H237" t="str">
        <f>IF(COUNTIFS($G:$G,G237)=1,G237,G237&amp;"-"&amp;COUNTIFS(G$2:G237,G237))</f>
        <v>121_1</v>
      </c>
      <c r="I237" s="54">
        <v>70</v>
      </c>
      <c r="J237" s="54">
        <v>64</v>
      </c>
      <c r="K237" s="54">
        <v>64</v>
      </c>
      <c r="L237" s="54" t="s">
        <v>90</v>
      </c>
      <c r="M237" s="54" t="s">
        <v>19</v>
      </c>
      <c r="N237" s="54">
        <v>25</v>
      </c>
      <c r="O237" s="54">
        <v>5</v>
      </c>
      <c r="Q237" s="59">
        <f>IF(COUNTIFS(Q$2:Q236,Q236)=COUNTIFS($E:$E,Q236),1,0)+Q236</f>
        <v>119</v>
      </c>
      <c r="R237" s="60">
        <f t="shared" si="14"/>
        <v>1</v>
      </c>
      <c r="S237" s="59">
        <f t="shared" si="15"/>
        <v>0</v>
      </c>
      <c r="T237" s="59" t="str">
        <f t="shared" si="13"/>
        <v>Stantler</v>
      </c>
    </row>
    <row r="238" spans="1:20" x14ac:dyDescent="0.25">
      <c r="A238" s="54">
        <v>237</v>
      </c>
      <c r="B238" s="54" t="s">
        <v>277</v>
      </c>
      <c r="C238" s="54" t="s">
        <v>276</v>
      </c>
      <c r="D238" s="54" t="s">
        <v>19</v>
      </c>
      <c r="E238" s="54">
        <v>121</v>
      </c>
      <c r="F238" s="54">
        <v>2</v>
      </c>
      <c r="G238" t="str">
        <f t="shared" si="12"/>
        <v>121_2</v>
      </c>
      <c r="H238" t="str">
        <f>IF(COUNTIFS($G:$G,G238)=1,G238,G238&amp;"-"&amp;COUNTIFS(G$2:G238,G238))</f>
        <v>121_2-3</v>
      </c>
      <c r="I238" s="54">
        <v>100</v>
      </c>
      <c r="J238" s="54">
        <v>173</v>
      </c>
      <c r="K238" s="54">
        <v>214</v>
      </c>
      <c r="L238" s="54" t="s">
        <v>90</v>
      </c>
      <c r="M238" s="54" t="s">
        <v>19</v>
      </c>
      <c r="N238" s="54">
        <v>0</v>
      </c>
      <c r="O238" s="54">
        <v>5</v>
      </c>
      <c r="Q238" s="59">
        <f>IF(COUNTIFS(Q$2:Q237,Q237)=COUNTIFS($E:$E,Q237),1,0)+Q237</f>
        <v>120</v>
      </c>
      <c r="R238" s="60">
        <f t="shared" si="14"/>
        <v>1</v>
      </c>
      <c r="S238" s="59">
        <f t="shared" si="15"/>
        <v>0</v>
      </c>
      <c r="T238" s="59" t="str">
        <f t="shared" si="13"/>
        <v>Smeargle</v>
      </c>
    </row>
    <row r="239" spans="1:20" x14ac:dyDescent="0.25">
      <c r="A239" s="54">
        <v>238</v>
      </c>
      <c r="B239" s="54" t="s">
        <v>166</v>
      </c>
      <c r="C239" s="54" t="s">
        <v>19</v>
      </c>
      <c r="D239" s="54" t="s">
        <v>165</v>
      </c>
      <c r="E239" s="54">
        <v>58</v>
      </c>
      <c r="F239" s="54">
        <v>1</v>
      </c>
      <c r="G239" t="str">
        <f t="shared" si="12"/>
        <v>58_1</v>
      </c>
      <c r="H239" t="str">
        <f>IF(COUNTIFS($G:$G,G239)=1,G239,G239&amp;"-"&amp;COUNTIFS(G$2:G239,G239))</f>
        <v>58_1</v>
      </c>
      <c r="I239" s="54">
        <v>90</v>
      </c>
      <c r="J239" s="54">
        <v>153</v>
      </c>
      <c r="K239" s="54">
        <v>116</v>
      </c>
      <c r="L239" s="54" t="s">
        <v>124</v>
      </c>
      <c r="M239" s="54" t="s">
        <v>98</v>
      </c>
      <c r="N239" s="54">
        <v>25</v>
      </c>
      <c r="O239" s="54">
        <v>5</v>
      </c>
      <c r="Q239" s="59">
        <f>IF(COUNTIFS(Q$2:Q238,Q238)=COUNTIFS($E:$E,Q238),1,0)+Q238</f>
        <v>121</v>
      </c>
      <c r="R239" s="60">
        <f t="shared" si="14"/>
        <v>1</v>
      </c>
      <c r="S239" s="59">
        <f t="shared" si="15"/>
        <v>0</v>
      </c>
      <c r="T239" s="59" t="str">
        <f t="shared" si="13"/>
        <v>Tyrogue</v>
      </c>
    </row>
    <row r="240" spans="1:20" x14ac:dyDescent="0.25">
      <c r="A240" s="54">
        <v>239</v>
      </c>
      <c r="B240" s="54" t="s">
        <v>168</v>
      </c>
      <c r="C240" s="54" t="s">
        <v>19</v>
      </c>
      <c r="D240" s="54" t="s">
        <v>167</v>
      </c>
      <c r="E240" s="54">
        <v>59</v>
      </c>
      <c r="F240" s="54">
        <v>1</v>
      </c>
      <c r="G240" t="str">
        <f t="shared" si="12"/>
        <v>59_1</v>
      </c>
      <c r="H240" t="str">
        <f>IF(COUNTIFS($G:$G,G240)=1,G240,G240&amp;"-"&amp;COUNTIFS(G$2:G240,G240))</f>
        <v>59_1</v>
      </c>
      <c r="I240" s="54">
        <v>90</v>
      </c>
      <c r="J240" s="54">
        <v>135</v>
      </c>
      <c r="K240" s="54">
        <v>110</v>
      </c>
      <c r="L240" s="54" t="s">
        <v>53</v>
      </c>
      <c r="M240" s="54" t="s">
        <v>19</v>
      </c>
      <c r="N240" s="54">
        <v>25</v>
      </c>
      <c r="O240" s="54">
        <v>5</v>
      </c>
      <c r="Q240" s="59">
        <f>IF(COUNTIFS(Q$2:Q239,Q239)=COUNTIFS($E:$E,Q239),1,0)+Q239</f>
        <v>121</v>
      </c>
      <c r="R240" s="60">
        <f t="shared" si="14"/>
        <v>2</v>
      </c>
      <c r="S240" s="59">
        <f t="shared" si="15"/>
        <v>1</v>
      </c>
      <c r="T240" s="59" t="str">
        <f t="shared" si="13"/>
        <v>Hitmonlee</v>
      </c>
    </row>
    <row r="241" spans="1:20" x14ac:dyDescent="0.25">
      <c r="A241" s="54">
        <v>240</v>
      </c>
      <c r="B241" s="54" t="s">
        <v>170</v>
      </c>
      <c r="C241" s="54" t="s">
        <v>19</v>
      </c>
      <c r="D241" s="54" t="s">
        <v>169</v>
      </c>
      <c r="E241" s="54">
        <v>60</v>
      </c>
      <c r="F241" s="54">
        <v>1</v>
      </c>
      <c r="G241" t="str">
        <f t="shared" si="12"/>
        <v>60_1</v>
      </c>
      <c r="H241" t="str">
        <f>IF(COUNTIFS($G:$G,G241)=1,G241,G241&amp;"-"&amp;COUNTIFS(G$2:G241,G241))</f>
        <v>60_1</v>
      </c>
      <c r="I241" s="54">
        <v>90</v>
      </c>
      <c r="J241" s="54">
        <v>151</v>
      </c>
      <c r="K241" s="54">
        <v>108</v>
      </c>
      <c r="L241" s="54" t="s">
        <v>26</v>
      </c>
      <c r="M241" s="54" t="s">
        <v>19</v>
      </c>
      <c r="N241" s="54">
        <v>25</v>
      </c>
      <c r="O241" s="54">
        <v>5</v>
      </c>
      <c r="Q241" s="59">
        <f>IF(COUNTIFS(Q$2:Q240,Q240)=COUNTIFS($E:$E,Q240),1,0)+Q240</f>
        <v>121</v>
      </c>
      <c r="R241" s="60">
        <f t="shared" si="14"/>
        <v>2</v>
      </c>
      <c r="S241" s="59">
        <f t="shared" si="15"/>
        <v>2</v>
      </c>
      <c r="T241" s="59" t="str">
        <f t="shared" si="13"/>
        <v>Hitmonchan</v>
      </c>
    </row>
    <row r="242" spans="1:20" x14ac:dyDescent="0.25">
      <c r="A242" s="54">
        <v>241</v>
      </c>
      <c r="B242" s="54" t="s">
        <v>278</v>
      </c>
      <c r="C242" s="54" t="s">
        <v>19</v>
      </c>
      <c r="D242" s="54" t="s">
        <v>19</v>
      </c>
      <c r="E242" s="54">
        <v>122</v>
      </c>
      <c r="F242" s="54">
        <v>1</v>
      </c>
      <c r="G242" t="str">
        <f t="shared" si="12"/>
        <v>122_1</v>
      </c>
      <c r="H242" t="str">
        <f>IF(COUNTIFS($G:$G,G242)=1,G242,G242&amp;"-"&amp;COUNTIFS(G$2:G242,G242))</f>
        <v>122_1</v>
      </c>
      <c r="I242" s="54">
        <v>190</v>
      </c>
      <c r="J242" s="54">
        <v>157</v>
      </c>
      <c r="K242" s="54">
        <v>211</v>
      </c>
      <c r="L242" s="54" t="s">
        <v>42</v>
      </c>
      <c r="M242" s="54" t="s">
        <v>19</v>
      </c>
      <c r="N242" s="54">
        <v>0</v>
      </c>
      <c r="O242" s="54">
        <v>5</v>
      </c>
      <c r="Q242" s="59">
        <f>IF(COUNTIFS(Q$2:Q241,Q241)=COUNTIFS($E:$E,Q241),1,0)+Q241</f>
        <v>121</v>
      </c>
      <c r="R242" s="60">
        <f t="shared" si="14"/>
        <v>2</v>
      </c>
      <c r="S242" s="59">
        <f t="shared" si="15"/>
        <v>3</v>
      </c>
      <c r="T242" s="59" t="str">
        <f t="shared" si="13"/>
        <v>Hitmontop</v>
      </c>
    </row>
    <row r="243" spans="1:20" x14ac:dyDescent="0.25">
      <c r="A243" s="54">
        <v>242</v>
      </c>
      <c r="B243" s="54" t="s">
        <v>153</v>
      </c>
      <c r="C243" s="54" t="s">
        <v>152</v>
      </c>
      <c r="D243" s="54" t="s">
        <v>19</v>
      </c>
      <c r="E243" s="54">
        <v>50</v>
      </c>
      <c r="F243" s="54">
        <v>2</v>
      </c>
      <c r="G243" t="str">
        <f t="shared" si="12"/>
        <v>50_2</v>
      </c>
      <c r="H243" t="str">
        <f>IF(COUNTIFS($G:$G,G243)=1,G243,G243&amp;"-"&amp;COUNTIFS(G$2:G243,G243))</f>
        <v>50_2</v>
      </c>
      <c r="I243" s="54">
        <v>510</v>
      </c>
      <c r="J243" s="54">
        <v>129</v>
      </c>
      <c r="K243" s="54">
        <v>229</v>
      </c>
      <c r="L243" s="54" t="s">
        <v>42</v>
      </c>
      <c r="M243" s="54" t="s">
        <v>19</v>
      </c>
      <c r="N243" s="54">
        <v>0</v>
      </c>
      <c r="O243" s="54">
        <v>5</v>
      </c>
      <c r="Q243" s="59">
        <f>IF(COUNTIFS(Q$2:Q242,Q242)=COUNTIFS($E:$E,Q242),1,0)+Q242</f>
        <v>122</v>
      </c>
      <c r="R243" s="60">
        <f t="shared" si="14"/>
        <v>1</v>
      </c>
      <c r="S243" s="59">
        <f t="shared" si="15"/>
        <v>0</v>
      </c>
      <c r="T243" s="59" t="str">
        <f t="shared" si="13"/>
        <v>Miltank</v>
      </c>
    </row>
    <row r="244" spans="1:20" x14ac:dyDescent="0.25">
      <c r="A244" s="54">
        <v>243</v>
      </c>
      <c r="B244" s="54" t="s">
        <v>279</v>
      </c>
      <c r="C244" s="54" t="s">
        <v>19</v>
      </c>
      <c r="D244" s="54" t="s">
        <v>19</v>
      </c>
      <c r="E244" s="54">
        <v>123</v>
      </c>
      <c r="F244" s="54">
        <v>1</v>
      </c>
      <c r="G244" t="str">
        <f t="shared" si="12"/>
        <v>123_1</v>
      </c>
      <c r="H244" t="str">
        <f>IF(COUNTIFS($G:$G,G244)=1,G244,G244&amp;"-"&amp;COUNTIFS(G$2:G244,G244))</f>
        <v>123_1</v>
      </c>
      <c r="I244" s="54">
        <v>180</v>
      </c>
      <c r="J244" s="54">
        <v>241</v>
      </c>
      <c r="K244" s="54">
        <v>210</v>
      </c>
      <c r="L244" s="54" t="s">
        <v>53</v>
      </c>
      <c r="M244" s="54" t="s">
        <v>19</v>
      </c>
      <c r="N244" s="54">
        <v>0</v>
      </c>
      <c r="O244" s="54">
        <v>5</v>
      </c>
      <c r="Q244" s="59">
        <f>IF(COUNTIFS(Q$2:Q243,Q243)=COUNTIFS($E:$E,Q243),1,0)+Q243</f>
        <v>123</v>
      </c>
      <c r="R244" s="60">
        <f t="shared" si="14"/>
        <v>1</v>
      </c>
      <c r="S244" s="59">
        <f t="shared" si="15"/>
        <v>0</v>
      </c>
      <c r="T244" s="59" t="str">
        <f t="shared" si="13"/>
        <v>Raikou</v>
      </c>
    </row>
    <row r="245" spans="1:20" x14ac:dyDescent="0.25">
      <c r="A245" s="54">
        <v>244</v>
      </c>
      <c r="B245" s="54" t="s">
        <v>280</v>
      </c>
      <c r="C245" s="54" t="s">
        <v>19</v>
      </c>
      <c r="D245" s="54" t="s">
        <v>19</v>
      </c>
      <c r="E245" s="54">
        <v>124</v>
      </c>
      <c r="F245" s="54">
        <v>1</v>
      </c>
      <c r="G245" t="str">
        <f t="shared" si="12"/>
        <v>124_1</v>
      </c>
      <c r="H245" t="str">
        <f>IF(COUNTIFS($G:$G,G245)=1,G245,G245&amp;"-"&amp;COUNTIFS(G$2:G245,G245))</f>
        <v>124_1</v>
      </c>
      <c r="I245" s="54">
        <v>230</v>
      </c>
      <c r="J245" s="54">
        <v>235</v>
      </c>
      <c r="K245" s="54">
        <v>176</v>
      </c>
      <c r="L245" s="54" t="s">
        <v>26</v>
      </c>
      <c r="M245" s="54" t="s">
        <v>19</v>
      </c>
      <c r="N245" s="54">
        <v>0</v>
      </c>
      <c r="O245" s="54">
        <v>5</v>
      </c>
      <c r="Q245" s="59">
        <f>IF(COUNTIFS(Q$2:Q244,Q244)=COUNTIFS($E:$E,Q244),1,0)+Q244</f>
        <v>124</v>
      </c>
      <c r="R245" s="60">
        <f t="shared" si="14"/>
        <v>1</v>
      </c>
      <c r="S245" s="59">
        <f t="shared" si="15"/>
        <v>0</v>
      </c>
      <c r="T245" s="59" t="str">
        <f t="shared" si="13"/>
        <v>Entei</v>
      </c>
    </row>
    <row r="246" spans="1:20" x14ac:dyDescent="0.25">
      <c r="A246" s="54">
        <v>245</v>
      </c>
      <c r="B246" s="54" t="s">
        <v>281</v>
      </c>
      <c r="C246" s="54" t="s">
        <v>19</v>
      </c>
      <c r="D246" s="54" t="s">
        <v>19</v>
      </c>
      <c r="E246" s="54">
        <v>125</v>
      </c>
      <c r="F246" s="54">
        <v>1</v>
      </c>
      <c r="G246" t="str">
        <f t="shared" si="12"/>
        <v>125_1</v>
      </c>
      <c r="H246" t="str">
        <f>IF(COUNTIFS($G:$G,G246)=1,G246,G246&amp;"-"&amp;COUNTIFS(G$2:G246,G246))</f>
        <v>125_1</v>
      </c>
      <c r="I246" s="54">
        <v>200</v>
      </c>
      <c r="J246" s="54">
        <v>180</v>
      </c>
      <c r="K246" s="54">
        <v>235</v>
      </c>
      <c r="L246" s="54" t="s">
        <v>31</v>
      </c>
      <c r="M246" s="54" t="s">
        <v>19</v>
      </c>
      <c r="N246" s="54">
        <v>0</v>
      </c>
      <c r="O246" s="54">
        <v>5</v>
      </c>
      <c r="Q246" s="59">
        <f>IF(COUNTIFS(Q$2:Q245,Q245)=COUNTIFS($E:$E,Q245),1,0)+Q245</f>
        <v>125</v>
      </c>
      <c r="R246" s="60">
        <f t="shared" si="14"/>
        <v>1</v>
      </c>
      <c r="S246" s="59">
        <f t="shared" si="15"/>
        <v>0</v>
      </c>
      <c r="T246" s="59" t="str">
        <f t="shared" si="13"/>
        <v>Suicune</v>
      </c>
    </row>
    <row r="247" spans="1:20" x14ac:dyDescent="0.25">
      <c r="A247" s="54">
        <v>246</v>
      </c>
      <c r="B247" s="54" t="s">
        <v>282</v>
      </c>
      <c r="C247" s="54" t="s">
        <v>19</v>
      </c>
      <c r="D247" s="54" t="s">
        <v>283</v>
      </c>
      <c r="E247" s="54">
        <v>126</v>
      </c>
      <c r="F247" s="54">
        <v>1</v>
      </c>
      <c r="G247" t="str">
        <f t="shared" si="12"/>
        <v>126_1</v>
      </c>
      <c r="H247" t="str">
        <f>IF(COUNTIFS($G:$G,G247)=1,G247,G247&amp;"-"&amp;COUNTIFS(G$2:G247,G247))</f>
        <v>126_1</v>
      </c>
      <c r="I247" s="54">
        <v>100</v>
      </c>
      <c r="J247" s="54">
        <v>115</v>
      </c>
      <c r="K247" s="54">
        <v>93</v>
      </c>
      <c r="L247" s="54" t="s">
        <v>110</v>
      </c>
      <c r="M247" s="54" t="s">
        <v>56</v>
      </c>
      <c r="N247" s="54">
        <v>25</v>
      </c>
      <c r="O247" s="54">
        <v>5</v>
      </c>
      <c r="Q247" s="59">
        <f>IF(COUNTIFS(Q$2:Q246,Q246)=COUNTIFS($E:$E,Q246),1,0)+Q246</f>
        <v>126</v>
      </c>
      <c r="R247" s="60">
        <f t="shared" si="14"/>
        <v>1</v>
      </c>
      <c r="S247" s="59">
        <f t="shared" si="15"/>
        <v>0</v>
      </c>
      <c r="T247" s="59" t="str">
        <f t="shared" si="13"/>
        <v>Larvitar</v>
      </c>
    </row>
    <row r="248" spans="1:20" x14ac:dyDescent="0.25">
      <c r="A248" s="54">
        <v>247</v>
      </c>
      <c r="B248" s="54" t="s">
        <v>283</v>
      </c>
      <c r="C248" s="54" t="s">
        <v>282</v>
      </c>
      <c r="D248" s="54" t="s">
        <v>284</v>
      </c>
      <c r="E248" s="54">
        <v>126</v>
      </c>
      <c r="F248" s="54">
        <v>2</v>
      </c>
      <c r="G248" t="str">
        <f t="shared" si="12"/>
        <v>126_2</v>
      </c>
      <c r="H248" t="str">
        <f>IF(COUNTIFS($G:$G,G248)=1,G248,G248&amp;"-"&amp;COUNTIFS(G$2:G248,G248))</f>
        <v>126_2</v>
      </c>
      <c r="I248" s="54">
        <v>140</v>
      </c>
      <c r="J248" s="54">
        <v>155</v>
      </c>
      <c r="K248" s="54">
        <v>133</v>
      </c>
      <c r="L248" s="54" t="s">
        <v>110</v>
      </c>
      <c r="M248" s="54" t="s">
        <v>56</v>
      </c>
      <c r="N248" s="54">
        <v>100</v>
      </c>
      <c r="O248" s="54">
        <v>5</v>
      </c>
      <c r="Q248" s="59">
        <f>IF(COUNTIFS(Q$2:Q247,Q247)=COUNTIFS($E:$E,Q247),1,0)+Q247</f>
        <v>126</v>
      </c>
      <c r="R248" s="60">
        <f t="shared" si="14"/>
        <v>2</v>
      </c>
      <c r="S248" s="59">
        <f t="shared" si="15"/>
        <v>0</v>
      </c>
      <c r="T248" s="59" t="str">
        <f t="shared" si="13"/>
        <v>Pupitar</v>
      </c>
    </row>
    <row r="249" spans="1:20" x14ac:dyDescent="0.25">
      <c r="A249" s="54">
        <v>248</v>
      </c>
      <c r="B249" s="54" t="s">
        <v>284</v>
      </c>
      <c r="C249" s="54" t="s">
        <v>283</v>
      </c>
      <c r="D249" s="54" t="s">
        <v>19</v>
      </c>
      <c r="E249" s="54">
        <v>126</v>
      </c>
      <c r="F249" s="54">
        <v>3</v>
      </c>
      <c r="G249" t="str">
        <f t="shared" si="12"/>
        <v>126_3</v>
      </c>
      <c r="H249" t="str">
        <f>IF(COUNTIFS($G:$G,G249)=1,G249,G249&amp;"-"&amp;COUNTIFS(G$2:G249,G249))</f>
        <v>126_3</v>
      </c>
      <c r="I249" s="54">
        <v>200</v>
      </c>
      <c r="J249" s="54">
        <v>251</v>
      </c>
      <c r="K249" s="54">
        <v>212</v>
      </c>
      <c r="L249" s="54" t="s">
        <v>110</v>
      </c>
      <c r="M249" s="54" t="s">
        <v>240</v>
      </c>
      <c r="N249" s="54">
        <v>0</v>
      </c>
      <c r="O249" s="54">
        <v>5</v>
      </c>
      <c r="Q249" s="59">
        <f>IF(COUNTIFS(Q$2:Q248,Q248)=COUNTIFS($E:$E,Q248),1,0)+Q248</f>
        <v>126</v>
      </c>
      <c r="R249" s="60">
        <f t="shared" si="14"/>
        <v>3</v>
      </c>
      <c r="S249" s="59">
        <f t="shared" si="15"/>
        <v>0</v>
      </c>
      <c r="T249" s="59" t="str">
        <f t="shared" si="13"/>
        <v>Tyranitar</v>
      </c>
    </row>
    <row r="250" spans="1:20" x14ac:dyDescent="0.25">
      <c r="A250" s="54">
        <v>249</v>
      </c>
      <c r="B250" s="54" t="s">
        <v>285</v>
      </c>
      <c r="C250" s="54" t="s">
        <v>19</v>
      </c>
      <c r="D250" s="54" t="s">
        <v>19</v>
      </c>
      <c r="E250" s="54">
        <v>127</v>
      </c>
      <c r="F250" s="54">
        <v>1</v>
      </c>
      <c r="G250" t="str">
        <f t="shared" si="12"/>
        <v>127_1</v>
      </c>
      <c r="H250" t="str">
        <f>IF(COUNTIFS($G:$G,G250)=1,G250,G250&amp;"-"&amp;COUNTIFS(G$2:G250,G250))</f>
        <v>127_1</v>
      </c>
      <c r="I250" s="54">
        <v>212</v>
      </c>
      <c r="J250" s="54">
        <v>193</v>
      </c>
      <c r="K250" s="54">
        <v>323</v>
      </c>
      <c r="L250" s="54" t="s">
        <v>98</v>
      </c>
      <c r="M250" s="54" t="s">
        <v>28</v>
      </c>
      <c r="N250" s="54">
        <v>0</v>
      </c>
      <c r="O250" s="54">
        <v>5</v>
      </c>
      <c r="Q250" s="59">
        <f>IF(COUNTIFS(Q$2:Q249,Q249)=COUNTIFS($E:$E,Q249),1,0)+Q249</f>
        <v>127</v>
      </c>
      <c r="R250" s="60">
        <f t="shared" si="14"/>
        <v>1</v>
      </c>
      <c r="S250" s="59">
        <f t="shared" si="15"/>
        <v>0</v>
      </c>
      <c r="T250" s="59" t="str">
        <f t="shared" si="13"/>
        <v>Lugia</v>
      </c>
    </row>
    <row r="251" spans="1:20" x14ac:dyDescent="0.25">
      <c r="A251" s="54">
        <v>250</v>
      </c>
      <c r="B251" s="54" t="s">
        <v>286</v>
      </c>
      <c r="C251" s="54" t="s">
        <v>19</v>
      </c>
      <c r="D251" s="54" t="s">
        <v>19</v>
      </c>
      <c r="E251" s="54">
        <v>128</v>
      </c>
      <c r="F251" s="54">
        <v>1</v>
      </c>
      <c r="G251" t="str">
        <f t="shared" si="12"/>
        <v>128_1</v>
      </c>
      <c r="H251" t="str">
        <f>IF(COUNTIFS($G:$G,G251)=1,G251,G251&amp;"-"&amp;COUNTIFS(G$2:G251,G251))</f>
        <v>128_1</v>
      </c>
      <c r="I251" s="54">
        <v>212</v>
      </c>
      <c r="J251" s="54">
        <v>263</v>
      </c>
      <c r="K251" s="54">
        <v>301</v>
      </c>
      <c r="L251" s="54" t="s">
        <v>26</v>
      </c>
      <c r="M251" s="54" t="s">
        <v>28</v>
      </c>
      <c r="N251" s="54">
        <v>0</v>
      </c>
      <c r="O251" s="54">
        <v>5</v>
      </c>
      <c r="Q251" s="59">
        <f>IF(COUNTIFS(Q$2:Q250,Q250)=COUNTIFS($E:$E,Q250),1,0)+Q250</f>
        <v>128</v>
      </c>
      <c r="R251" s="60">
        <f t="shared" si="14"/>
        <v>1</v>
      </c>
      <c r="S251" s="59">
        <f t="shared" si="15"/>
        <v>0</v>
      </c>
      <c r="T251" s="59" t="str">
        <f t="shared" si="13"/>
        <v>Ho-Oh</v>
      </c>
    </row>
    <row r="252" spans="1:20" x14ac:dyDescent="0.25">
      <c r="A252" s="54">
        <v>251</v>
      </c>
      <c r="B252" s="54" t="s">
        <v>287</v>
      </c>
      <c r="C252" s="54" t="s">
        <v>19</v>
      </c>
      <c r="D252" s="54" t="s">
        <v>19</v>
      </c>
      <c r="E252" s="54">
        <v>129</v>
      </c>
      <c r="F252" s="54">
        <v>1</v>
      </c>
      <c r="G252" t="str">
        <f t="shared" si="12"/>
        <v>129_1</v>
      </c>
      <c r="H252" t="str">
        <f>IF(COUNTIFS($G:$G,G252)=1,G252,G252&amp;"-"&amp;COUNTIFS(G$2:G252,G252))</f>
        <v>129_1</v>
      </c>
      <c r="I252" s="54">
        <v>200</v>
      </c>
      <c r="J252" s="54">
        <v>210</v>
      </c>
      <c r="K252" s="54">
        <v>210</v>
      </c>
      <c r="L252" s="54" t="s">
        <v>98</v>
      </c>
      <c r="M252" s="54" t="s">
        <v>21</v>
      </c>
      <c r="N252" s="54">
        <v>0</v>
      </c>
      <c r="O252" s="54">
        <v>5</v>
      </c>
      <c r="Q252" s="59">
        <f>IF(COUNTIFS(Q$2:Q251,Q251)=COUNTIFS($E:$E,Q251),1,0)+Q251</f>
        <v>129</v>
      </c>
      <c r="R252" s="60">
        <f t="shared" si="14"/>
        <v>1</v>
      </c>
      <c r="S252" s="59">
        <f t="shared" si="15"/>
        <v>0</v>
      </c>
      <c r="T252" s="59" t="str">
        <f t="shared" si="13"/>
        <v>Celebi</v>
      </c>
    </row>
  </sheetData>
  <autoFilter ref="A1:O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2017-02-19T13:41:07Z</dcterms:modified>
</cp:coreProperties>
</file>