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800" windowHeight="11730" activeTab="2"/>
  </bookViews>
  <sheets>
    <sheet name="My Pokemon" sheetId="7" r:id="rId1"/>
    <sheet name="Evolver" sheetId="8" r:id="rId2"/>
    <sheet name="Perfect IV Tables" sheetId="10" r:id="rId3"/>
    <sheet name="Pokemon Data" sheetId="6" state="hidden" r:id="rId4"/>
    <sheet name="Level Multiplier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Pokemon'!$A$2:$CW$352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G249" i="10"/>
  <c r="I249" i="10"/>
  <c r="H249" i="10"/>
  <c r="I248" i="10"/>
  <c r="H248" i="10"/>
  <c r="G248" i="10"/>
  <c r="I247" i="10"/>
  <c r="H247" i="10"/>
  <c r="G247" i="10"/>
  <c r="G246" i="10"/>
  <c r="I246" i="10"/>
  <c r="H246" i="10"/>
  <c r="I245" i="10"/>
  <c r="H245" i="10"/>
  <c r="G245" i="10"/>
  <c r="I244" i="10"/>
  <c r="H244" i="10"/>
  <c r="G244" i="10"/>
  <c r="H243" i="10"/>
  <c r="I243" i="10"/>
  <c r="G243" i="10"/>
  <c r="I242" i="10"/>
  <c r="H242" i="10"/>
  <c r="G242" i="10"/>
  <c r="I241" i="10"/>
  <c r="H241" i="10"/>
  <c r="G241" i="10"/>
  <c r="I240" i="10"/>
  <c r="H240" i="10"/>
  <c r="G240" i="10"/>
  <c r="H239" i="10"/>
  <c r="I239" i="10"/>
  <c r="G239" i="10"/>
  <c r="G238" i="10"/>
  <c r="I238" i="10"/>
  <c r="H238" i="10"/>
  <c r="I237" i="10"/>
  <c r="H237" i="10"/>
  <c r="G237" i="10"/>
  <c r="I236" i="10"/>
  <c r="H236" i="10"/>
  <c r="G236" i="10"/>
  <c r="I235" i="10"/>
  <c r="H235" i="10"/>
  <c r="G235" i="10"/>
  <c r="I234" i="10"/>
  <c r="H234" i="10"/>
  <c r="G234" i="10"/>
  <c r="I233" i="10"/>
  <c r="H233" i="10"/>
  <c r="G233" i="10"/>
  <c r="I232" i="10"/>
  <c r="H232" i="10"/>
  <c r="G232" i="10"/>
  <c r="I231" i="10"/>
  <c r="H231" i="10"/>
  <c r="G231" i="10"/>
  <c r="I230" i="10"/>
  <c r="H230" i="10"/>
  <c r="G230" i="10"/>
  <c r="G229" i="10"/>
  <c r="I229" i="10"/>
  <c r="H229" i="10"/>
  <c r="I228" i="10"/>
  <c r="H228" i="10"/>
  <c r="G228" i="10"/>
  <c r="I227" i="10"/>
  <c r="H227" i="10"/>
  <c r="G227" i="10"/>
  <c r="I226" i="10"/>
  <c r="H226" i="10"/>
  <c r="G226" i="10"/>
  <c r="G225" i="10"/>
  <c r="I225" i="10"/>
  <c r="H225" i="10"/>
  <c r="I224" i="10"/>
  <c r="H224" i="10"/>
  <c r="G224" i="10"/>
  <c r="I223" i="10"/>
  <c r="H223" i="10"/>
  <c r="G223" i="10"/>
  <c r="H222" i="10"/>
  <c r="G222" i="10"/>
  <c r="I222" i="10"/>
  <c r="G221" i="10"/>
  <c r="I221" i="10"/>
  <c r="H221" i="10"/>
  <c r="I220" i="10"/>
  <c r="H220" i="10"/>
  <c r="G220" i="10"/>
  <c r="I219" i="10"/>
  <c r="H219" i="10"/>
  <c r="G219" i="10"/>
  <c r="I218" i="10"/>
  <c r="H218" i="10"/>
  <c r="G218" i="10"/>
  <c r="G217" i="10"/>
  <c r="I217" i="10"/>
  <c r="H217" i="10"/>
  <c r="I216" i="10"/>
  <c r="H216" i="10"/>
  <c r="G216" i="10"/>
  <c r="H215" i="10"/>
  <c r="G215" i="10"/>
  <c r="I215" i="10"/>
  <c r="I214" i="10"/>
  <c r="H214" i="10"/>
  <c r="G214" i="10"/>
  <c r="I213" i="10"/>
  <c r="H213" i="10"/>
  <c r="G213" i="10"/>
  <c r="I212" i="10"/>
  <c r="H212" i="10"/>
  <c r="G212" i="10"/>
  <c r="G211" i="10"/>
  <c r="I211" i="10"/>
  <c r="H211" i="10"/>
  <c r="I210" i="10"/>
  <c r="H210" i="10"/>
  <c r="G210" i="10"/>
  <c r="I209" i="10"/>
  <c r="H209" i="10"/>
  <c r="G209" i="10"/>
  <c r="H208" i="10"/>
  <c r="I208" i="10"/>
  <c r="G208" i="10"/>
  <c r="G207" i="10"/>
  <c r="I207" i="10"/>
  <c r="H207" i="10"/>
  <c r="I206" i="10"/>
  <c r="H206" i="10"/>
  <c r="G206" i="10"/>
  <c r="I205" i="10"/>
  <c r="H205" i="10"/>
  <c r="G205" i="10"/>
  <c r="I204" i="10"/>
  <c r="H204" i="10"/>
  <c r="G204" i="10"/>
  <c r="G203" i="10"/>
  <c r="I203" i="10"/>
  <c r="H203" i="10"/>
  <c r="I202" i="10"/>
  <c r="H202" i="10"/>
  <c r="G202" i="10"/>
  <c r="I201" i="10"/>
  <c r="H201" i="10"/>
  <c r="G201" i="10"/>
  <c r="H200" i="10"/>
  <c r="I200" i="10"/>
  <c r="G200" i="10"/>
  <c r="G199" i="10"/>
  <c r="I199" i="10"/>
  <c r="H199" i="10"/>
  <c r="H198" i="10"/>
  <c r="I198" i="10"/>
  <c r="G198" i="10"/>
  <c r="G197" i="10"/>
  <c r="I197" i="10"/>
  <c r="H197" i="10"/>
  <c r="I196" i="10"/>
  <c r="H196" i="10"/>
  <c r="G196" i="10"/>
  <c r="I195" i="10"/>
  <c r="H195" i="10"/>
  <c r="G195" i="10"/>
  <c r="I194" i="10"/>
  <c r="H194" i="10"/>
  <c r="G194" i="10"/>
  <c r="G193" i="10"/>
  <c r="I193" i="10"/>
  <c r="H193" i="10"/>
  <c r="I192" i="10"/>
  <c r="H192" i="10"/>
  <c r="G192" i="10"/>
  <c r="I191" i="10"/>
  <c r="H191" i="10"/>
  <c r="G191" i="10"/>
  <c r="H190" i="10"/>
  <c r="I190" i="10"/>
  <c r="G190" i="10"/>
  <c r="G189" i="10"/>
  <c r="I189" i="10"/>
  <c r="H189" i="10"/>
  <c r="I188" i="10"/>
  <c r="H188" i="10"/>
  <c r="G188" i="10"/>
  <c r="I187" i="10"/>
  <c r="H187" i="10"/>
  <c r="G187" i="10"/>
  <c r="H186" i="10"/>
  <c r="I186" i="10"/>
  <c r="G186" i="10"/>
  <c r="G185" i="10"/>
  <c r="I185" i="10"/>
  <c r="H185" i="10"/>
  <c r="I184" i="10"/>
  <c r="H184" i="10"/>
  <c r="G184" i="10"/>
  <c r="I183" i="10"/>
  <c r="H183" i="10"/>
  <c r="G183" i="10"/>
  <c r="H182" i="10"/>
  <c r="I182" i="10"/>
  <c r="G182" i="10"/>
  <c r="G181" i="10"/>
  <c r="I181" i="10"/>
  <c r="H181" i="10"/>
  <c r="I180" i="10"/>
  <c r="H180" i="10"/>
  <c r="G180" i="10"/>
  <c r="I179" i="10"/>
  <c r="H179" i="10"/>
  <c r="G179" i="10"/>
  <c r="H178" i="10"/>
  <c r="G178" i="10"/>
  <c r="I178" i="10"/>
  <c r="G177" i="10"/>
  <c r="I177" i="10"/>
  <c r="H177" i="10"/>
  <c r="H176" i="10"/>
  <c r="I176" i="10"/>
  <c r="G176" i="10"/>
  <c r="G175" i="10"/>
  <c r="I175" i="10"/>
  <c r="H175" i="10"/>
  <c r="I174" i="10"/>
  <c r="H174" i="10"/>
  <c r="G174" i="10"/>
  <c r="I173" i="10"/>
  <c r="H173" i="10"/>
  <c r="G173" i="10"/>
  <c r="H172" i="10"/>
  <c r="I172" i="10"/>
  <c r="G172" i="10"/>
  <c r="G171" i="10"/>
  <c r="I171" i="10"/>
  <c r="H171" i="10"/>
  <c r="I170" i="10"/>
  <c r="H170" i="10"/>
  <c r="G170" i="10"/>
  <c r="I169" i="10"/>
  <c r="H169" i="10"/>
  <c r="G169" i="10"/>
  <c r="I168" i="10"/>
  <c r="H168" i="10"/>
  <c r="G168" i="10"/>
  <c r="G167" i="10"/>
  <c r="I167" i="10"/>
  <c r="H167" i="10"/>
  <c r="I166" i="10"/>
  <c r="H166" i="10"/>
  <c r="G166" i="10"/>
  <c r="I165" i="10"/>
  <c r="H165" i="10"/>
  <c r="G165" i="10"/>
  <c r="I164" i="10"/>
  <c r="H164" i="10"/>
  <c r="G164" i="10"/>
  <c r="G163" i="10"/>
  <c r="I163" i="10"/>
  <c r="H163" i="10"/>
  <c r="I162" i="10"/>
  <c r="H162" i="10"/>
  <c r="G162" i="10"/>
  <c r="I161" i="10"/>
  <c r="H161" i="10"/>
  <c r="G161" i="10"/>
  <c r="I160" i="10"/>
  <c r="H160" i="10"/>
  <c r="G160" i="10"/>
  <c r="G159" i="10"/>
  <c r="I159" i="10"/>
  <c r="H159" i="10"/>
  <c r="I158" i="10"/>
  <c r="H158" i="10"/>
  <c r="G158" i="10"/>
  <c r="I157" i="10"/>
  <c r="H157" i="10"/>
  <c r="G157" i="10"/>
  <c r="H156" i="10"/>
  <c r="I156" i="10"/>
  <c r="G156" i="10"/>
  <c r="G155" i="10"/>
  <c r="I155" i="10"/>
  <c r="H155" i="10"/>
  <c r="I154" i="10"/>
  <c r="H154" i="10"/>
  <c r="G154" i="10"/>
  <c r="I153" i="10"/>
  <c r="H153" i="10"/>
  <c r="G153" i="10"/>
  <c r="I152" i="10"/>
  <c r="H152" i="10"/>
  <c r="G152" i="10"/>
  <c r="I151" i="10"/>
  <c r="G151" i="10"/>
  <c r="H151" i="10"/>
  <c r="I150" i="10"/>
  <c r="H150" i="10"/>
  <c r="G150" i="10"/>
  <c r="I149" i="10"/>
  <c r="H149" i="10"/>
  <c r="G149" i="10"/>
  <c r="H148" i="10"/>
  <c r="G148" i="10"/>
  <c r="I148" i="10"/>
  <c r="I147" i="10"/>
  <c r="H147" i="10"/>
  <c r="G147" i="10"/>
  <c r="I146" i="10"/>
  <c r="H146" i="10"/>
  <c r="G146" i="10"/>
  <c r="H145" i="10"/>
  <c r="I145" i="10"/>
  <c r="G145" i="10"/>
  <c r="G144" i="10"/>
  <c r="I144" i="10"/>
  <c r="H144" i="10"/>
  <c r="I143" i="10"/>
  <c r="H143" i="10"/>
  <c r="G143" i="10"/>
  <c r="I142" i="10"/>
  <c r="H142" i="10"/>
  <c r="G142" i="10"/>
  <c r="I141" i="10"/>
  <c r="H141" i="10"/>
  <c r="G141" i="10"/>
  <c r="G140" i="10"/>
  <c r="I140" i="10"/>
  <c r="H140" i="10"/>
  <c r="I139" i="10"/>
  <c r="H139" i="10"/>
  <c r="G139" i="10"/>
  <c r="I138" i="10"/>
  <c r="H138" i="10"/>
  <c r="G138" i="10"/>
  <c r="H137" i="10"/>
  <c r="I137" i="10"/>
  <c r="G137" i="10"/>
  <c r="G136" i="10"/>
  <c r="I136" i="10"/>
  <c r="H136" i="10"/>
  <c r="I135" i="10"/>
  <c r="H135" i="10"/>
  <c r="G135" i="10"/>
  <c r="I134" i="10"/>
  <c r="H134" i="10"/>
  <c r="G134" i="10"/>
  <c r="H133" i="10"/>
  <c r="I133" i="10"/>
  <c r="G133" i="10"/>
  <c r="G132" i="10"/>
  <c r="I132" i="10"/>
  <c r="H132" i="10"/>
  <c r="I131" i="10"/>
  <c r="H131" i="10"/>
  <c r="G131" i="10"/>
  <c r="I130" i="10"/>
  <c r="H130" i="10"/>
  <c r="G130" i="10"/>
  <c r="H129" i="10"/>
  <c r="I129" i="10"/>
  <c r="G129" i="10"/>
  <c r="G128" i="10"/>
  <c r="I128" i="10"/>
  <c r="H128" i="10"/>
  <c r="I127" i="10"/>
  <c r="H127" i="10"/>
  <c r="G127" i="10"/>
  <c r="I126" i="10"/>
  <c r="H126" i="10"/>
  <c r="G126" i="10"/>
  <c r="I125" i="10"/>
  <c r="H125" i="10"/>
  <c r="G125" i="10"/>
  <c r="G124" i="10"/>
  <c r="I124" i="10"/>
  <c r="H124" i="10"/>
  <c r="I123" i="10"/>
  <c r="H123" i="10"/>
  <c r="G123" i="10"/>
  <c r="I122" i="10"/>
  <c r="H122" i="10"/>
  <c r="G122" i="10"/>
  <c r="H121" i="10"/>
  <c r="G121" i="10"/>
  <c r="I121" i="10"/>
  <c r="G120" i="10"/>
  <c r="I120" i="10"/>
  <c r="H120" i="10"/>
  <c r="I119" i="10"/>
  <c r="H119" i="10"/>
  <c r="G119" i="10"/>
  <c r="I118" i="10"/>
  <c r="H118" i="10"/>
  <c r="G118" i="10"/>
  <c r="H117" i="10"/>
  <c r="I117" i="10"/>
  <c r="G117" i="10"/>
  <c r="G116" i="10"/>
  <c r="I116" i="10"/>
  <c r="H116" i="10"/>
  <c r="I115" i="10"/>
  <c r="H115" i="10"/>
  <c r="G115" i="10"/>
  <c r="I114" i="10"/>
  <c r="H114" i="10"/>
  <c r="G114" i="10"/>
  <c r="H113" i="10"/>
  <c r="G113" i="10"/>
  <c r="I113" i="10"/>
  <c r="I112" i="10"/>
  <c r="H112" i="10"/>
  <c r="G112" i="10"/>
  <c r="I111" i="10"/>
  <c r="H111" i="10"/>
  <c r="G111" i="10"/>
  <c r="H110" i="10"/>
  <c r="I110" i="10"/>
  <c r="G110" i="10"/>
  <c r="I109" i="10"/>
  <c r="G109" i="10"/>
  <c r="H109" i="10"/>
  <c r="I108" i="10"/>
  <c r="H108" i="10"/>
  <c r="G108" i="10"/>
  <c r="I107" i="10"/>
  <c r="H107" i="10"/>
  <c r="G107" i="10"/>
  <c r="I106" i="10"/>
  <c r="H106" i="10"/>
  <c r="G106" i="10"/>
  <c r="I105" i="10"/>
  <c r="H105" i="10"/>
  <c r="G105" i="10"/>
  <c r="I104" i="10"/>
  <c r="H104" i="10"/>
  <c r="G104" i="10"/>
  <c r="I103" i="10"/>
  <c r="H103" i="10"/>
  <c r="G103" i="10"/>
  <c r="I102" i="10"/>
  <c r="H102" i="10"/>
  <c r="G102" i="10"/>
  <c r="I101" i="10"/>
  <c r="H101" i="10"/>
  <c r="G101" i="10"/>
  <c r="I100" i="10"/>
  <c r="H100" i="10"/>
  <c r="G100" i="10"/>
  <c r="I99" i="10"/>
  <c r="H99" i="10"/>
  <c r="G99" i="10"/>
  <c r="I98" i="10"/>
  <c r="H98" i="10"/>
  <c r="G98" i="10"/>
  <c r="I97" i="10"/>
  <c r="H97" i="10"/>
  <c r="G97" i="10"/>
  <c r="I96" i="10"/>
  <c r="H96" i="10"/>
  <c r="G96" i="10"/>
  <c r="I95" i="10"/>
  <c r="H95" i="10"/>
  <c r="G95" i="10"/>
  <c r="I94" i="10"/>
  <c r="H94" i="10"/>
  <c r="G94" i="10"/>
  <c r="I93" i="10"/>
  <c r="H93" i="10"/>
  <c r="G93" i="10"/>
  <c r="I92" i="10"/>
  <c r="H92" i="10"/>
  <c r="G92" i="10"/>
  <c r="I91" i="10"/>
  <c r="H91" i="10"/>
  <c r="G91" i="10"/>
  <c r="H90" i="10"/>
  <c r="I90" i="10"/>
  <c r="G90" i="10"/>
  <c r="I89" i="10"/>
  <c r="H89" i="10"/>
  <c r="G89" i="10"/>
  <c r="I88" i="10"/>
  <c r="H88" i="10"/>
  <c r="G88" i="10"/>
  <c r="I87" i="10"/>
  <c r="H87" i="10"/>
  <c r="G87" i="10"/>
  <c r="I86" i="10"/>
  <c r="H86" i="10"/>
  <c r="G86" i="10"/>
  <c r="I85" i="10"/>
  <c r="H85" i="10"/>
  <c r="G85" i="10"/>
  <c r="I84" i="10"/>
  <c r="H84" i="10"/>
  <c r="G84" i="10"/>
  <c r="I83" i="10"/>
  <c r="H83" i="10"/>
  <c r="G83" i="10"/>
  <c r="I82" i="10"/>
  <c r="H82" i="10"/>
  <c r="G82" i="10"/>
  <c r="I81" i="10"/>
  <c r="H81" i="10"/>
  <c r="G81" i="10"/>
  <c r="I80" i="10"/>
  <c r="H80" i="10"/>
  <c r="G80" i="10"/>
  <c r="I79" i="10"/>
  <c r="H79" i="10"/>
  <c r="G79" i="10"/>
  <c r="I78" i="10"/>
  <c r="H78" i="10"/>
  <c r="G78" i="10"/>
  <c r="I77" i="10"/>
  <c r="H77" i="10"/>
  <c r="G77" i="10"/>
  <c r="I76" i="10"/>
  <c r="H76" i="10"/>
  <c r="G76" i="10"/>
  <c r="I75" i="10"/>
  <c r="H75" i="10"/>
  <c r="G75" i="10"/>
  <c r="I74" i="10"/>
  <c r="H74" i="10"/>
  <c r="G74" i="10"/>
  <c r="I73" i="10"/>
  <c r="H73" i="10"/>
  <c r="G73" i="10"/>
  <c r="G72" i="10"/>
  <c r="I72" i="10"/>
  <c r="H72" i="10"/>
  <c r="I71" i="10"/>
  <c r="H71" i="10"/>
  <c r="G71" i="10"/>
  <c r="I70" i="10"/>
  <c r="H70" i="10"/>
  <c r="G70" i="10"/>
  <c r="I69" i="10"/>
  <c r="H69" i="10"/>
  <c r="G69" i="10"/>
  <c r="G68" i="10"/>
  <c r="I68" i="10"/>
  <c r="H68" i="10"/>
  <c r="I67" i="10"/>
  <c r="H67" i="10"/>
  <c r="G67" i="10"/>
  <c r="I66" i="10"/>
  <c r="H66" i="10"/>
  <c r="G66" i="10"/>
  <c r="H65" i="10"/>
  <c r="G65" i="10"/>
  <c r="I65" i="10"/>
  <c r="G64" i="10"/>
  <c r="I64" i="10"/>
  <c r="H64" i="10"/>
  <c r="I63" i="10"/>
  <c r="H63" i="10"/>
  <c r="G63" i="10"/>
  <c r="I62" i="10"/>
  <c r="H62" i="10"/>
  <c r="G62" i="10"/>
  <c r="H61" i="10"/>
  <c r="G61" i="10"/>
  <c r="I61" i="10"/>
  <c r="G60" i="10"/>
  <c r="I60" i="10"/>
  <c r="H60" i="10"/>
  <c r="I59" i="10"/>
  <c r="H59" i="10"/>
  <c r="G59" i="10"/>
  <c r="I58" i="10"/>
  <c r="H58" i="10"/>
  <c r="G58" i="10"/>
  <c r="I57" i="10"/>
  <c r="H57" i="10"/>
  <c r="G57" i="10"/>
  <c r="G56" i="10"/>
  <c r="I56" i="10"/>
  <c r="H56" i="10"/>
  <c r="I55" i="10"/>
  <c r="H55" i="10"/>
  <c r="G55" i="10"/>
  <c r="I54" i="10"/>
  <c r="H54" i="10"/>
  <c r="G54" i="10"/>
  <c r="I53" i="10"/>
  <c r="H53" i="10"/>
  <c r="G53" i="10"/>
  <c r="G52" i="10"/>
  <c r="I52" i="10"/>
  <c r="H52" i="10"/>
  <c r="I51" i="10"/>
  <c r="H51" i="10"/>
  <c r="G51" i="10"/>
  <c r="I50" i="10"/>
  <c r="H50" i="10"/>
  <c r="G50" i="10"/>
  <c r="H49" i="10"/>
  <c r="I49" i="10"/>
  <c r="G49" i="10"/>
  <c r="G48" i="10"/>
  <c r="I48" i="10"/>
  <c r="H48" i="10"/>
  <c r="I47" i="10"/>
  <c r="H47" i="10"/>
  <c r="G47" i="10"/>
  <c r="I46" i="10"/>
  <c r="H46" i="10"/>
  <c r="G46" i="10"/>
  <c r="I45" i="10"/>
  <c r="H45" i="10"/>
  <c r="G45" i="10"/>
  <c r="G44" i="10"/>
  <c r="I44" i="10"/>
  <c r="H44" i="10"/>
  <c r="I43" i="10"/>
  <c r="H43" i="10"/>
  <c r="G43" i="10"/>
  <c r="I42" i="10"/>
  <c r="H42" i="10"/>
  <c r="G42" i="10"/>
  <c r="H41" i="10"/>
  <c r="I41" i="10"/>
  <c r="G41" i="10"/>
  <c r="G40" i="10"/>
  <c r="I40" i="10"/>
  <c r="H40" i="10"/>
  <c r="I39" i="10"/>
  <c r="H39" i="10"/>
  <c r="G39" i="10"/>
  <c r="I38" i="10"/>
  <c r="H38" i="10"/>
  <c r="G38" i="10"/>
  <c r="I37" i="10"/>
  <c r="H37" i="10"/>
  <c r="G37" i="10"/>
  <c r="H36" i="10"/>
  <c r="G36" i="10"/>
  <c r="I36" i="10"/>
  <c r="I35" i="10"/>
  <c r="H35" i="10"/>
  <c r="G35" i="10"/>
  <c r="I34" i="10"/>
  <c r="H34" i="10"/>
  <c r="G34" i="10"/>
  <c r="I33" i="10"/>
  <c r="H33" i="10"/>
  <c r="G33" i="10"/>
  <c r="I32" i="10"/>
  <c r="H32" i="10"/>
  <c r="G32" i="10"/>
  <c r="H31" i="10"/>
  <c r="G31" i="10"/>
  <c r="I31" i="10"/>
  <c r="G30" i="10"/>
  <c r="I30" i="10"/>
  <c r="H30" i="10"/>
  <c r="I29" i="10"/>
  <c r="H29" i="10"/>
  <c r="G29" i="10"/>
  <c r="H28" i="10"/>
  <c r="I28" i="10"/>
  <c r="G28" i="10"/>
  <c r="G27" i="10"/>
  <c r="I27" i="10"/>
  <c r="H27" i="10"/>
  <c r="I26" i="10"/>
  <c r="H26" i="10"/>
  <c r="G26" i="10"/>
  <c r="I25" i="10"/>
  <c r="H25" i="10"/>
  <c r="G25" i="10"/>
  <c r="I24" i="10"/>
  <c r="H24" i="10"/>
  <c r="G24" i="10"/>
  <c r="G23" i="10"/>
  <c r="I23" i="10"/>
  <c r="H23" i="10"/>
  <c r="I22" i="10"/>
  <c r="H22" i="10"/>
  <c r="G22" i="10"/>
  <c r="I21" i="10"/>
  <c r="H21" i="10"/>
  <c r="G21" i="10"/>
  <c r="I20" i="10"/>
  <c r="H20" i="10"/>
  <c r="G20" i="10"/>
  <c r="G19" i="10"/>
  <c r="I19" i="10"/>
  <c r="H19" i="10"/>
  <c r="I18" i="10"/>
  <c r="H18" i="10"/>
  <c r="G18" i="10"/>
  <c r="I17" i="10"/>
  <c r="H17" i="10"/>
  <c r="G17" i="10"/>
  <c r="I16" i="10"/>
  <c r="H16" i="10"/>
  <c r="G16" i="10"/>
  <c r="G15" i="10"/>
  <c r="I15" i="10"/>
  <c r="H15" i="10"/>
  <c r="I14" i="10"/>
  <c r="H14" i="10"/>
  <c r="G14" i="10"/>
  <c r="I13" i="10"/>
  <c r="H13" i="10"/>
  <c r="G13" i="10"/>
  <c r="H12" i="10"/>
  <c r="I12" i="10"/>
  <c r="G12" i="10"/>
  <c r="G11" i="10"/>
  <c r="I11" i="10"/>
  <c r="H11" i="10"/>
  <c r="I10" i="10"/>
  <c r="H10" i="10"/>
  <c r="G10" i="10"/>
  <c r="I9" i="10"/>
  <c r="H9" i="10"/>
  <c r="G9" i="10"/>
  <c r="I8" i="10"/>
  <c r="H8" i="10"/>
  <c r="G8" i="10"/>
  <c r="G7" i="10"/>
  <c r="I7" i="10"/>
  <c r="H7" i="10"/>
  <c r="I6" i="10"/>
  <c r="H6" i="10"/>
  <c r="G6" i="10"/>
  <c r="I5" i="10"/>
  <c r="H5" i="10"/>
  <c r="G5" i="10"/>
  <c r="H4" i="10"/>
  <c r="G4" i="10"/>
  <c r="I4" i="10"/>
  <c r="G3" i="10"/>
  <c r="I3" i="10"/>
  <c r="H3" i="10"/>
  <c r="K2" i="10"/>
  <c r="L2" i="10" l="1"/>
  <c r="L1" i="10" s="1"/>
  <c r="K1" i="10"/>
  <c r="J199" i="10"/>
  <c r="K8" i="10"/>
  <c r="J8" i="10"/>
  <c r="J9" i="10"/>
  <c r="J12" i="10"/>
  <c r="J32" i="10"/>
  <c r="J33" i="10"/>
  <c r="J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K13" i="10"/>
  <c r="J13" i="10"/>
  <c r="J16" i="10"/>
  <c r="L17" i="10"/>
  <c r="K17" i="10"/>
  <c r="J17" i="10"/>
  <c r="K20" i="10"/>
  <c r="J20" i="10"/>
  <c r="K21" i="10"/>
  <c r="J21" i="10"/>
  <c r="L24" i="10"/>
  <c r="J24" i="10"/>
  <c r="K25" i="10"/>
  <c r="J25" i="10"/>
  <c r="L28" i="10"/>
  <c r="K28" i="10"/>
  <c r="J28" i="10"/>
  <c r="J30" i="10"/>
  <c r="K3" i="10"/>
  <c r="L3" i="10"/>
  <c r="L7" i="10"/>
  <c r="L15" i="10"/>
  <c r="L19" i="10"/>
  <c r="L23" i="10"/>
  <c r="K30" i="10"/>
  <c r="L31" i="10"/>
  <c r="K34" i="10"/>
  <c r="J34" i="10"/>
  <c r="K38" i="10"/>
  <c r="J38" i="10"/>
  <c r="L41" i="10"/>
  <c r="J41" i="10"/>
  <c r="L45" i="10"/>
  <c r="K45" i="10"/>
  <c r="J45" i="10"/>
  <c r="L46" i="10"/>
  <c r="K46" i="10"/>
  <c r="J46" i="10"/>
  <c r="K50" i="10"/>
  <c r="J50" i="10"/>
  <c r="J51" i="10"/>
  <c r="K51" i="10"/>
  <c r="J56" i="10"/>
  <c r="L62" i="10"/>
  <c r="J62" i="10"/>
  <c r="J63" i="10"/>
  <c r="L63" i="10"/>
  <c r="K218" i="10"/>
  <c r="K152" i="10"/>
  <c r="L4" i="10"/>
  <c r="J4" i="10"/>
  <c r="L30" i="10"/>
  <c r="L34" i="10"/>
  <c r="J36" i="10"/>
  <c r="L49" i="10"/>
  <c r="K49" i="10"/>
  <c r="J49" i="10"/>
  <c r="J52" i="10"/>
  <c r="J64" i="10"/>
  <c r="L70" i="10"/>
  <c r="K70" i="10"/>
  <c r="J70" i="10"/>
  <c r="J71" i="10"/>
  <c r="L71" i="10"/>
  <c r="K71" i="10"/>
  <c r="K4" i="10"/>
  <c r="J7" i="10"/>
  <c r="J11" i="10"/>
  <c r="J15" i="10"/>
  <c r="J19" i="10"/>
  <c r="J23" i="10"/>
  <c r="J27" i="10"/>
  <c r="J31" i="10"/>
  <c r="K35" i="10"/>
  <c r="J35" i="10"/>
  <c r="K36" i="10"/>
  <c r="K37" i="10"/>
  <c r="J39" i="10"/>
  <c r="L39" i="10"/>
  <c r="K39" i="10"/>
  <c r="J43" i="10"/>
  <c r="L43" i="10"/>
  <c r="K43" i="10"/>
  <c r="L58" i="10"/>
  <c r="K58" i="10"/>
  <c r="J58" i="10"/>
  <c r="J59" i="10"/>
  <c r="L59" i="10"/>
  <c r="K59" i="10"/>
  <c r="L66" i="10"/>
  <c r="K66" i="10"/>
  <c r="J66" i="10"/>
  <c r="J67" i="10"/>
  <c r="L67" i="10"/>
  <c r="K67" i="10"/>
  <c r="K7" i="10"/>
  <c r="K11" i="10"/>
  <c r="K15" i="10"/>
  <c r="K19" i="10"/>
  <c r="K23" i="10"/>
  <c r="K27" i="10"/>
  <c r="K31" i="10"/>
  <c r="L36" i="10"/>
  <c r="J37" i="10"/>
  <c r="L37" i="10"/>
  <c r="L42" i="10"/>
  <c r="K42" i="10"/>
  <c r="J42" i="10"/>
  <c r="J47" i="10"/>
  <c r="L47" i="10"/>
  <c r="K47" i="10"/>
  <c r="L54" i="10"/>
  <c r="K54" i="10"/>
  <c r="J54" i="10"/>
  <c r="J55" i="10"/>
  <c r="L55" i="10"/>
  <c r="K55" i="10"/>
  <c r="J60" i="10"/>
  <c r="J68" i="10"/>
  <c r="L73" i="10"/>
  <c r="K73" i="10"/>
  <c r="J73" i="10"/>
  <c r="L74" i="10"/>
  <c r="K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79" i="10"/>
  <c r="K84" i="10"/>
  <c r="J84" i="10"/>
  <c r="L84" i="10"/>
  <c r="L86" i="10"/>
  <c r="K86" i="10"/>
  <c r="J86" i="10"/>
  <c r="L89" i="10"/>
  <c r="K89" i="10"/>
  <c r="J89" i="10"/>
  <c r="K92" i="10"/>
  <c r="J92" i="10"/>
  <c r="L92" i="10"/>
  <c r="L97" i="10"/>
  <c r="K97" i="10"/>
  <c r="J97" i="10"/>
  <c r="J99" i="10"/>
  <c r="L99" i="10"/>
  <c r="K99" i="10"/>
  <c r="L101" i="10"/>
  <c r="K101" i="10"/>
  <c r="J101" i="10"/>
  <c r="K104" i="10"/>
  <c r="J104" i="10"/>
  <c r="L104" i="10"/>
  <c r="L106" i="10"/>
  <c r="K106" i="10"/>
  <c r="J106" i="10"/>
  <c r="L110" i="10"/>
  <c r="K110" i="10"/>
  <c r="J110" i="10"/>
  <c r="J53" i="10"/>
  <c r="J57" i="10"/>
  <c r="J61" i="10"/>
  <c r="J65" i="10"/>
  <c r="J69" i="10"/>
  <c r="K76" i="10"/>
  <c r="J76" i="10"/>
  <c r="L76" i="10"/>
  <c r="L81" i="10"/>
  <c r="K81" i="10"/>
  <c r="J81" i="10"/>
  <c r="K88" i="10"/>
  <c r="J88" i="10"/>
  <c r="L88" i="10"/>
  <c r="J91" i="10"/>
  <c r="L91" i="10"/>
  <c r="K91" i="10"/>
  <c r="L94" i="10"/>
  <c r="K94" i="10"/>
  <c r="J94" i="10"/>
  <c r="K96" i="10"/>
  <c r="J96" i="10"/>
  <c r="L96" i="10"/>
  <c r="J103" i="10"/>
  <c r="L103" i="10"/>
  <c r="K103" i="10"/>
  <c r="K108" i="10"/>
  <c r="J108" i="10"/>
  <c r="L108" i="10"/>
  <c r="J40" i="10"/>
  <c r="J44" i="10"/>
  <c r="J48" i="10"/>
  <c r="K53" i="10"/>
  <c r="K57" i="10"/>
  <c r="K61" i="10"/>
  <c r="K65" i="10"/>
  <c r="K69" i="10"/>
  <c r="J72" i="10"/>
  <c r="J75" i="10"/>
  <c r="L75" i="10"/>
  <c r="K75" i="10"/>
  <c r="L78" i="10"/>
  <c r="K78" i="10"/>
  <c r="J78" i="10"/>
  <c r="J83" i="10"/>
  <c r="L83" i="10"/>
  <c r="K83" i="10"/>
  <c r="L85" i="10"/>
  <c r="K85" i="10"/>
  <c r="J85" i="10"/>
  <c r="J87" i="10"/>
  <c r="L87" i="10"/>
  <c r="K87" i="10"/>
  <c r="L90" i="10"/>
  <c r="K90" i="10"/>
  <c r="J90" i="10"/>
  <c r="L93" i="10"/>
  <c r="K93" i="10"/>
  <c r="J93" i="10"/>
  <c r="L98" i="10"/>
  <c r="K98" i="10"/>
  <c r="J98" i="10"/>
  <c r="K100" i="10"/>
  <c r="J100" i="10"/>
  <c r="L100" i="10"/>
  <c r="L105" i="10"/>
  <c r="K105" i="10"/>
  <c r="J105" i="10"/>
  <c r="J107" i="10"/>
  <c r="L107" i="10"/>
  <c r="K107" i="10"/>
  <c r="K112" i="10"/>
  <c r="J112" i="10"/>
  <c r="L112" i="10"/>
  <c r="J117" i="10"/>
  <c r="L117" i="10"/>
  <c r="K117" i="10"/>
  <c r="K40" i="10"/>
  <c r="K44" i="10"/>
  <c r="K48" i="10"/>
  <c r="K52" i="10"/>
  <c r="L53" i="10"/>
  <c r="K56" i="10"/>
  <c r="L57" i="10"/>
  <c r="K60" i="10"/>
  <c r="L61" i="10"/>
  <c r="K64" i="10"/>
  <c r="L65" i="10"/>
  <c r="K68" i="10"/>
  <c r="L69" i="10"/>
  <c r="K72" i="10"/>
  <c r="L77" i="10"/>
  <c r="K77" i="10"/>
  <c r="J77" i="10"/>
  <c r="K80" i="10"/>
  <c r="J80" i="10"/>
  <c r="L80" i="10"/>
  <c r="L82" i="10"/>
  <c r="K82" i="10"/>
  <c r="J82" i="10"/>
  <c r="J95" i="10"/>
  <c r="L95" i="10"/>
  <c r="K95" i="10"/>
  <c r="L102" i="10"/>
  <c r="K102" i="10"/>
  <c r="J102" i="10"/>
  <c r="J111" i="10"/>
  <c r="L111" i="10"/>
  <c r="K111" i="10"/>
  <c r="L113" i="10"/>
  <c r="L116" i="10"/>
  <c r="J124" i="10"/>
  <c r="L129" i="10"/>
  <c r="K129" i="10"/>
  <c r="J129" i="10"/>
  <c r="L133" i="10"/>
  <c r="K133" i="10"/>
  <c r="J133" i="10"/>
  <c r="L137" i="10"/>
  <c r="K137" i="10"/>
  <c r="J137" i="10"/>
  <c r="L141" i="10"/>
  <c r="K141" i="10"/>
  <c r="J141" i="10"/>
  <c r="L142" i="10"/>
  <c r="K142" i="10"/>
  <c r="J142" i="10"/>
  <c r="L145" i="10"/>
  <c r="K145" i="10"/>
  <c r="J145" i="10"/>
  <c r="L149" i="10"/>
  <c r="K149" i="10"/>
  <c r="J149" i="10"/>
  <c r="L150" i="10"/>
  <c r="K150" i="10"/>
  <c r="J150" i="10"/>
  <c r="J109" i="10"/>
  <c r="J113" i="10"/>
  <c r="K114" i="10"/>
  <c r="J114" i="10"/>
  <c r="J116" i="10"/>
  <c r="L118" i="10"/>
  <c r="K118" i="10"/>
  <c r="J118" i="10"/>
  <c r="J119" i="10"/>
  <c r="L119" i="10"/>
  <c r="K119" i="10"/>
  <c r="K109" i="10"/>
  <c r="L114" i="10"/>
  <c r="K116" i="10"/>
  <c r="J120" i="10"/>
  <c r="L126" i="10"/>
  <c r="K126" i="10"/>
  <c r="J126" i="10"/>
  <c r="J127" i="10"/>
  <c r="L127" i="10"/>
  <c r="K127" i="10"/>
  <c r="J131" i="10"/>
  <c r="L131" i="10"/>
  <c r="K131" i="10"/>
  <c r="J135" i="10"/>
  <c r="L135" i="10"/>
  <c r="K135" i="10"/>
  <c r="J139" i="10"/>
  <c r="L139" i="10"/>
  <c r="K139" i="10"/>
  <c r="J147" i="10"/>
  <c r="L147" i="10"/>
  <c r="K147" i="10"/>
  <c r="L109" i="10"/>
  <c r="K113" i="10"/>
  <c r="L115" i="10"/>
  <c r="K115" i="10"/>
  <c r="J115" i="10"/>
  <c r="L122" i="10"/>
  <c r="K122" i="10"/>
  <c r="J122" i="10"/>
  <c r="J123" i="10"/>
  <c r="L123" i="10"/>
  <c r="K123" i="10"/>
  <c r="L130" i="10"/>
  <c r="K130" i="10"/>
  <c r="J130" i="10"/>
  <c r="L134" i="10"/>
  <c r="K134" i="10"/>
  <c r="J134" i="10"/>
  <c r="L138" i="10"/>
  <c r="K138" i="10"/>
  <c r="J138" i="10"/>
  <c r="J143" i="10"/>
  <c r="L143" i="10"/>
  <c r="K143" i="10"/>
  <c r="L146" i="10"/>
  <c r="K146" i="10"/>
  <c r="J146" i="10"/>
  <c r="L120" i="10"/>
  <c r="L124" i="10"/>
  <c r="L128" i="10"/>
  <c r="L132" i="10"/>
  <c r="L136" i="10"/>
  <c r="L140" i="10"/>
  <c r="L144" i="10"/>
  <c r="L148" i="10"/>
  <c r="K151" i="10"/>
  <c r="K153" i="10"/>
  <c r="J153" i="10"/>
  <c r="J155" i="10"/>
  <c r="L157" i="10"/>
  <c r="K157" i="10"/>
  <c r="J157" i="10"/>
  <c r="L160" i="10"/>
  <c r="K160" i="10"/>
  <c r="J160" i="10"/>
  <c r="L161" i="10"/>
  <c r="K161" i="10"/>
  <c r="J161" i="10"/>
  <c r="L164" i="10"/>
  <c r="K164" i="10"/>
  <c r="J164" i="10"/>
  <c r="L165" i="10"/>
  <c r="K165" i="10"/>
  <c r="J165" i="10"/>
  <c r="L168" i="10"/>
  <c r="K168" i="10"/>
  <c r="J168" i="10"/>
  <c r="L169" i="10"/>
  <c r="K169" i="10"/>
  <c r="J169" i="10"/>
  <c r="L172" i="10"/>
  <c r="K172" i="10"/>
  <c r="J172" i="10"/>
  <c r="J121" i="10"/>
  <c r="J125" i="10"/>
  <c r="L151" i="10"/>
  <c r="L153" i="10"/>
  <c r="K155" i="10"/>
  <c r="L156" i="10"/>
  <c r="K156" i="10"/>
  <c r="J156" i="10"/>
  <c r="K121" i="10"/>
  <c r="K125" i="10"/>
  <c r="J128" i="10"/>
  <c r="J132" i="10"/>
  <c r="J136" i="10"/>
  <c r="J140" i="10"/>
  <c r="J144" i="10"/>
  <c r="J148" i="10"/>
  <c r="L154" i="10"/>
  <c r="K154" i="10"/>
  <c r="J154" i="10"/>
  <c r="J174" i="10"/>
  <c r="L174" i="10"/>
  <c r="K174" i="10"/>
  <c r="K120" i="10"/>
  <c r="L121" i="10"/>
  <c r="K124" i="10"/>
  <c r="L125" i="10"/>
  <c r="K128" i="10"/>
  <c r="K132" i="10"/>
  <c r="K136" i="10"/>
  <c r="K140" i="10"/>
  <c r="K144" i="10"/>
  <c r="K148" i="10"/>
  <c r="J151" i="10"/>
  <c r="J152" i="10"/>
  <c r="L152" i="10"/>
  <c r="L155" i="10"/>
  <c r="J158" i="10"/>
  <c r="L158" i="10"/>
  <c r="K158" i="10"/>
  <c r="J162" i="10"/>
  <c r="L162" i="10"/>
  <c r="K162" i="10"/>
  <c r="J166" i="10"/>
  <c r="L166" i="10"/>
  <c r="K166" i="10"/>
  <c r="J170" i="10"/>
  <c r="L170" i="10"/>
  <c r="K170" i="10"/>
  <c r="L173" i="10"/>
  <c r="K173" i="10"/>
  <c r="J173" i="10"/>
  <c r="L176" i="10"/>
  <c r="K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K187" i="10"/>
  <c r="J187" i="10"/>
  <c r="L190" i="10"/>
  <c r="K190" i="10"/>
  <c r="J190" i="10"/>
  <c r="J177" i="10"/>
  <c r="K178" i="10"/>
  <c r="J180" i="10"/>
  <c r="L180" i="10"/>
  <c r="K180" i="10"/>
  <c r="L183" i="10"/>
  <c r="K183" i="10"/>
  <c r="J183" i="10"/>
  <c r="L186" i="10"/>
  <c r="K186" i="10"/>
  <c r="J186" i="10"/>
  <c r="J200" i="10"/>
  <c r="K200" i="10"/>
  <c r="L200" i="10"/>
  <c r="L201" i="10"/>
  <c r="J159" i="10"/>
  <c r="J163" i="10"/>
  <c r="J167" i="10"/>
  <c r="J171" i="10"/>
  <c r="J175" i="10"/>
  <c r="K177" i="10"/>
  <c r="L178" i="10"/>
  <c r="L182" i="10"/>
  <c r="K182" i="10"/>
  <c r="J182" i="10"/>
  <c r="J192" i="10"/>
  <c r="L192" i="10"/>
  <c r="K192" i="10"/>
  <c r="J196" i="10"/>
  <c r="L196" i="10"/>
  <c r="K196" i="10"/>
  <c r="K159" i="10"/>
  <c r="K163" i="10"/>
  <c r="K167" i="10"/>
  <c r="K171" i="10"/>
  <c r="K175" i="10"/>
  <c r="J178" i="10"/>
  <c r="K179" i="10"/>
  <c r="J179" i="10"/>
  <c r="J188" i="10"/>
  <c r="L188" i="10"/>
  <c r="K188" i="10"/>
  <c r="L191" i="10"/>
  <c r="K191" i="10"/>
  <c r="J191" i="10"/>
  <c r="L194" i="10"/>
  <c r="K194" i="10"/>
  <c r="J194" i="10"/>
  <c r="L195" i="10"/>
  <c r="K195" i="10"/>
  <c r="J195" i="10"/>
  <c r="L198" i="10"/>
  <c r="K198" i="10"/>
  <c r="J198" i="10"/>
  <c r="L181" i="10"/>
  <c r="L185" i="10"/>
  <c r="L189" i="10"/>
  <c r="L193" i="10"/>
  <c r="L197" i="10"/>
  <c r="K199" i="10"/>
  <c r="J203" i="10"/>
  <c r="L203" i="10"/>
  <c r="J206" i="10"/>
  <c r="L206" i="10"/>
  <c r="K206" i="10"/>
  <c r="L209" i="10"/>
  <c r="K209" i="10"/>
  <c r="J209" i="10"/>
  <c r="L212" i="10"/>
  <c r="K212" i="10"/>
  <c r="J212" i="10"/>
  <c r="L213" i="10"/>
  <c r="K213" i="10"/>
  <c r="J213" i="10"/>
  <c r="K201" i="10"/>
  <c r="J201" i="10"/>
  <c r="K203" i="10"/>
  <c r="L204" i="10"/>
  <c r="K204" i="10"/>
  <c r="J204" i="10"/>
  <c r="L205" i="10"/>
  <c r="K205" i="10"/>
  <c r="J205" i="10"/>
  <c r="L208" i="10"/>
  <c r="K208" i="10"/>
  <c r="J208" i="10"/>
  <c r="L219" i="10"/>
  <c r="J181" i="10"/>
  <c r="J185" i="10"/>
  <c r="J189" i="10"/>
  <c r="J193" i="10"/>
  <c r="J197" i="10"/>
  <c r="L199" i="10"/>
  <c r="K181" i="10"/>
  <c r="K185" i="10"/>
  <c r="K189" i="10"/>
  <c r="K193" i="10"/>
  <c r="K197" i="10"/>
  <c r="L202" i="10"/>
  <c r="K202" i="10"/>
  <c r="J202" i="10"/>
  <c r="J210" i="10"/>
  <c r="L210" i="10"/>
  <c r="K210" i="10"/>
  <c r="J214" i="10"/>
  <c r="L214" i="10"/>
  <c r="K214" i="10"/>
  <c r="L207" i="10"/>
  <c r="L211" i="10"/>
  <c r="L216" i="10"/>
  <c r="K216" i="10"/>
  <c r="J216" i="10"/>
  <c r="J218" i="10"/>
  <c r="L218" i="10"/>
  <c r="L221" i="10"/>
  <c r="J224" i="10"/>
  <c r="L224" i="10"/>
  <c r="K224" i="10"/>
  <c r="L217" i="10"/>
  <c r="K219" i="10"/>
  <c r="J219" i="10"/>
  <c r="J221" i="10"/>
  <c r="K222" i="10"/>
  <c r="L223" i="10"/>
  <c r="K223" i="10"/>
  <c r="J223" i="10"/>
  <c r="J228" i="10"/>
  <c r="L228" i="10"/>
  <c r="K228" i="10"/>
  <c r="J207" i="10"/>
  <c r="J211" i="10"/>
  <c r="K215" i="10"/>
  <c r="J217" i="10"/>
  <c r="K221" i="10"/>
  <c r="L222" i="10"/>
  <c r="L226" i="10"/>
  <c r="K226" i="10"/>
  <c r="J226" i="10"/>
  <c r="L227" i="10"/>
  <c r="K227" i="10"/>
  <c r="J227" i="10"/>
  <c r="J232" i="10"/>
  <c r="L232" i="10"/>
  <c r="K232" i="10"/>
  <c r="K207" i="10"/>
  <c r="K211" i="10"/>
  <c r="J215" i="10"/>
  <c r="L215" i="10"/>
  <c r="K217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K243" i="10"/>
  <c r="J243" i="10"/>
  <c r="L243" i="10"/>
  <c r="J242" i="10"/>
  <c r="L242" i="10"/>
  <c r="K242" i="10"/>
  <c r="J225" i="10"/>
  <c r="J229" i="10"/>
  <c r="L233" i="10"/>
  <c r="J234" i="10"/>
  <c r="L234" i="10"/>
  <c r="K234" i="10"/>
  <c r="L237" i="10"/>
  <c r="K237" i="10"/>
  <c r="J237" i="10"/>
  <c r="L240" i="10"/>
  <c r="K240" i="10"/>
  <c r="J240" i="10"/>
  <c r="L241" i="10"/>
  <c r="K241" i="10"/>
  <c r="J241" i="10"/>
  <c r="K225" i="10"/>
  <c r="K229" i="10"/>
  <c r="K233" i="10"/>
  <c r="J233" i="10"/>
  <c r="L236" i="10"/>
  <c r="K236" i="10"/>
  <c r="J236" i="10"/>
  <c r="K239" i="10"/>
  <c r="J239" i="10"/>
  <c r="L239" i="10"/>
  <c r="K238" i="10"/>
  <c r="J249" i="10"/>
  <c r="L238" i="10"/>
  <c r="K253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K247" i="10"/>
  <c r="J247" i="10"/>
  <c r="J248" i="10"/>
  <c r="L248" i="10"/>
  <c r="K248" i="10"/>
  <c r="L249" i="10"/>
  <c r="J246" i="10"/>
  <c r="J250" i="10"/>
  <c r="K246" i="10"/>
  <c r="K250" i="10"/>
  <c r="L246" i="10"/>
  <c r="K249" i="10"/>
  <c r="L250" i="10"/>
  <c r="L25" i="10" l="1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S1" i="10" s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R199" i="10" l="1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2" i="10"/>
  <c r="T1" i="10" s="1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G80" i="8" l="1"/>
  <c r="G79" i="8"/>
  <c r="G77" i="8"/>
  <c r="G76" i="8"/>
  <c r="G75" i="8"/>
  <c r="G74" i="8"/>
  <c r="G73" i="8"/>
  <c r="G70" i="8"/>
  <c r="G68" i="8"/>
  <c r="G67" i="8"/>
  <c r="G65" i="8"/>
  <c r="G64" i="8"/>
  <c r="G60" i="8"/>
  <c r="G59" i="8"/>
  <c r="G55" i="8"/>
  <c r="G54" i="8"/>
  <c r="G53" i="8"/>
  <c r="G50" i="8"/>
  <c r="G49" i="8"/>
  <c r="G48" i="8"/>
  <c r="G42" i="8"/>
  <c r="G36" i="8"/>
  <c r="G52" i="8"/>
  <c r="G28" i="8"/>
  <c r="G12" i="8"/>
  <c r="G33" i="8"/>
  <c r="G63" i="8"/>
  <c r="G39" i="8"/>
  <c r="G23" i="8"/>
  <c r="G7" i="8"/>
  <c r="G25" i="8"/>
  <c r="G62" i="8"/>
  <c r="G34" i="8"/>
  <c r="G18" i="8"/>
  <c r="G69" i="8"/>
  <c r="G17" i="8"/>
  <c r="G32" i="8"/>
  <c r="G71" i="8"/>
  <c r="G11" i="8"/>
  <c r="G38" i="8"/>
  <c r="G44" i="8"/>
  <c r="G24" i="8"/>
  <c r="G8" i="8"/>
  <c r="G21" i="8"/>
  <c r="G51" i="8"/>
  <c r="G35" i="8"/>
  <c r="G19" i="8"/>
  <c r="G3" i="8"/>
  <c r="G13" i="8"/>
  <c r="G58" i="8"/>
  <c r="G30" i="8"/>
  <c r="G14" i="8"/>
  <c r="G57" i="8"/>
  <c r="G5" i="8"/>
  <c r="G16" i="8"/>
  <c r="G27" i="8"/>
  <c r="G66" i="8"/>
  <c r="G6" i="8"/>
  <c r="G72" i="8"/>
  <c r="G40" i="8"/>
  <c r="G20" i="8"/>
  <c r="G4" i="8"/>
  <c r="G9" i="8"/>
  <c r="G47" i="8"/>
  <c r="G31" i="8"/>
  <c r="G15" i="8"/>
  <c r="G61" i="8"/>
  <c r="G78" i="8"/>
  <c r="G46" i="8"/>
  <c r="G26" i="8"/>
  <c r="G10" i="8"/>
  <c r="G41" i="8"/>
  <c r="G2" i="8"/>
  <c r="G56" i="8"/>
  <c r="G45" i="8"/>
  <c r="G43" i="8"/>
  <c r="G37" i="8"/>
  <c r="G22" i="8"/>
  <c r="G29" i="8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P3" i="6"/>
  <c r="I77" i="8" l="1"/>
  <c r="H77" i="8" s="1"/>
  <c r="I73" i="8"/>
  <c r="H73" i="8" s="1"/>
  <c r="I69" i="8"/>
  <c r="H69" i="8" s="1"/>
  <c r="I65" i="8"/>
  <c r="H65" i="8" s="1"/>
  <c r="I61" i="8"/>
  <c r="H61" i="8" s="1"/>
  <c r="I57" i="8"/>
  <c r="H57" i="8" s="1"/>
  <c r="I53" i="8"/>
  <c r="H53" i="8" s="1"/>
  <c r="I49" i="8"/>
  <c r="H49" i="8" s="1"/>
  <c r="I45" i="8"/>
  <c r="H45" i="8" s="1"/>
  <c r="I41" i="8"/>
  <c r="H41" i="8" s="1"/>
  <c r="I37" i="8"/>
  <c r="H37" i="8" s="1"/>
  <c r="I33" i="8"/>
  <c r="H33" i="8" s="1"/>
  <c r="I29" i="8"/>
  <c r="H29" i="8" s="1"/>
  <c r="I25" i="8"/>
  <c r="H25" i="8" s="1"/>
  <c r="I21" i="8"/>
  <c r="H21" i="8" s="1"/>
  <c r="I17" i="8"/>
  <c r="H17" i="8" s="1"/>
  <c r="I13" i="8"/>
  <c r="H13" i="8" s="1"/>
  <c r="I9" i="8"/>
  <c r="H9" i="8" s="1"/>
  <c r="I79" i="8"/>
  <c r="H79" i="8" s="1"/>
  <c r="I75" i="8"/>
  <c r="H75" i="8" s="1"/>
  <c r="I71" i="8"/>
  <c r="H71" i="8" s="1"/>
  <c r="I67" i="8"/>
  <c r="H67" i="8" s="1"/>
  <c r="I63" i="8"/>
  <c r="H63" i="8" s="1"/>
  <c r="I59" i="8"/>
  <c r="H59" i="8" s="1"/>
  <c r="I55" i="8"/>
  <c r="H55" i="8" s="1"/>
  <c r="I51" i="8"/>
  <c r="H51" i="8" s="1"/>
  <c r="I47" i="8"/>
  <c r="H47" i="8" s="1"/>
  <c r="I43" i="8"/>
  <c r="H43" i="8" s="1"/>
  <c r="I39" i="8"/>
  <c r="H39" i="8" s="1"/>
  <c r="I35" i="8"/>
  <c r="H35" i="8" s="1"/>
  <c r="I31" i="8"/>
  <c r="H31" i="8" s="1"/>
  <c r="I27" i="8"/>
  <c r="H27" i="8" s="1"/>
  <c r="I23" i="8"/>
  <c r="H23" i="8" s="1"/>
  <c r="I19" i="8"/>
  <c r="H19" i="8" s="1"/>
  <c r="I15" i="8"/>
  <c r="H15" i="8" s="1"/>
  <c r="I11" i="8"/>
  <c r="H11" i="8" s="1"/>
  <c r="R3" i="6"/>
  <c r="I80" i="8"/>
  <c r="H80" i="8" s="1"/>
  <c r="I76" i="8"/>
  <c r="H76" i="8" s="1"/>
  <c r="I72" i="8"/>
  <c r="H72" i="8" s="1"/>
  <c r="I68" i="8"/>
  <c r="H68" i="8" s="1"/>
  <c r="I64" i="8"/>
  <c r="H64" i="8" s="1"/>
  <c r="I60" i="8"/>
  <c r="H60" i="8" s="1"/>
  <c r="I56" i="8"/>
  <c r="H56" i="8" s="1"/>
  <c r="I52" i="8"/>
  <c r="H52" i="8" s="1"/>
  <c r="I48" i="8"/>
  <c r="H48" i="8" s="1"/>
  <c r="I44" i="8"/>
  <c r="H44" i="8" s="1"/>
  <c r="I40" i="8"/>
  <c r="H40" i="8" s="1"/>
  <c r="I36" i="8"/>
  <c r="H36" i="8" s="1"/>
  <c r="I32" i="8"/>
  <c r="H32" i="8" s="1"/>
  <c r="I28" i="8"/>
  <c r="H28" i="8" s="1"/>
  <c r="I24" i="8"/>
  <c r="H24" i="8" s="1"/>
  <c r="I20" i="8"/>
  <c r="H20" i="8" s="1"/>
  <c r="I16" i="8"/>
  <c r="H16" i="8" s="1"/>
  <c r="I12" i="8"/>
  <c r="H12" i="8" s="1"/>
  <c r="Q3" i="6"/>
  <c r="I78" i="8"/>
  <c r="H78" i="8" s="1"/>
  <c r="I74" i="8"/>
  <c r="H74" i="8" s="1"/>
  <c r="I70" i="8"/>
  <c r="H70" i="8" s="1"/>
  <c r="I66" i="8"/>
  <c r="H66" i="8" s="1"/>
  <c r="I62" i="8"/>
  <c r="H62" i="8" s="1"/>
  <c r="I58" i="8"/>
  <c r="H58" i="8" s="1"/>
  <c r="I54" i="8"/>
  <c r="H54" i="8" s="1"/>
  <c r="I50" i="8"/>
  <c r="H50" i="8" s="1"/>
  <c r="I46" i="8"/>
  <c r="H46" i="8" s="1"/>
  <c r="I42" i="8"/>
  <c r="H42" i="8" s="1"/>
  <c r="I38" i="8"/>
  <c r="H38" i="8" s="1"/>
  <c r="I34" i="8"/>
  <c r="H34" i="8" s="1"/>
  <c r="I30" i="8"/>
  <c r="H30" i="8" s="1"/>
  <c r="I26" i="8"/>
  <c r="H26" i="8" s="1"/>
  <c r="I22" i="8"/>
  <c r="H22" i="8" s="1"/>
  <c r="I14" i="8"/>
  <c r="H14" i="8" s="1"/>
  <c r="I10" i="8"/>
  <c r="H10" i="8" s="1"/>
  <c r="I18" i="8"/>
  <c r="H18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CZ2" i="7"/>
  <c r="Q4" i="6" l="1"/>
  <c r="R4" i="6"/>
  <c r="S3" i="6"/>
  <c r="P5" i="6"/>
  <c r="DA1" i="7"/>
  <c r="CY1" i="7" s="1"/>
  <c r="CW1" i="7"/>
  <c r="S4" i="6" l="1"/>
  <c r="P6" i="6"/>
  <c r="Q5" i="6"/>
  <c r="R5" i="6"/>
  <c r="S5" i="6" s="1"/>
  <c r="CY2" i="7"/>
  <c r="DA2" i="7" s="1"/>
  <c r="A1" i="7"/>
  <c r="L234" i="7"/>
  <c r="M234" i="7"/>
  <c r="N234" i="7"/>
  <c r="O234" i="7"/>
  <c r="P234" i="7"/>
  <c r="L106" i="7"/>
  <c r="M106" i="7"/>
  <c r="N106" i="7"/>
  <c r="O106" i="7"/>
  <c r="P106" i="7"/>
  <c r="L111" i="7"/>
  <c r="M111" i="7"/>
  <c r="N111" i="7"/>
  <c r="O111" i="7"/>
  <c r="P111" i="7"/>
  <c r="L210" i="7"/>
  <c r="M210" i="7"/>
  <c r="N210" i="7"/>
  <c r="O210" i="7"/>
  <c r="P210" i="7"/>
  <c r="L230" i="7"/>
  <c r="M230" i="7"/>
  <c r="N230" i="7"/>
  <c r="O230" i="7"/>
  <c r="P230" i="7"/>
  <c r="AH230" i="7" s="1"/>
  <c r="L98" i="7"/>
  <c r="M98" i="7"/>
  <c r="N98" i="7"/>
  <c r="O98" i="7"/>
  <c r="P98" i="7"/>
  <c r="L19" i="7"/>
  <c r="M19" i="7"/>
  <c r="N19" i="7"/>
  <c r="O19" i="7"/>
  <c r="P19" i="7"/>
  <c r="L195" i="7"/>
  <c r="M195" i="7"/>
  <c r="N195" i="7"/>
  <c r="O195" i="7"/>
  <c r="P195" i="7"/>
  <c r="L289" i="7"/>
  <c r="M289" i="7"/>
  <c r="N289" i="7"/>
  <c r="O289" i="7"/>
  <c r="P289" i="7"/>
  <c r="L196" i="7"/>
  <c r="M196" i="7"/>
  <c r="N196" i="7"/>
  <c r="O196" i="7"/>
  <c r="P196" i="7"/>
  <c r="L159" i="7"/>
  <c r="M159" i="7"/>
  <c r="N159" i="7"/>
  <c r="O159" i="7"/>
  <c r="P159" i="7"/>
  <c r="L281" i="7"/>
  <c r="M281" i="7"/>
  <c r="N281" i="7"/>
  <c r="O281" i="7"/>
  <c r="P281" i="7"/>
  <c r="L179" i="7"/>
  <c r="M179" i="7"/>
  <c r="N179" i="7"/>
  <c r="O179" i="7"/>
  <c r="P179" i="7"/>
  <c r="L155" i="7"/>
  <c r="M155" i="7"/>
  <c r="N155" i="7"/>
  <c r="O155" i="7"/>
  <c r="P155" i="7"/>
  <c r="AH155" i="7" s="1"/>
  <c r="L181" i="7"/>
  <c r="M181" i="7"/>
  <c r="N181" i="7"/>
  <c r="O181" i="7"/>
  <c r="P181" i="7"/>
  <c r="AH181" i="7" s="1"/>
  <c r="L291" i="7"/>
  <c r="M291" i="7"/>
  <c r="N291" i="7"/>
  <c r="O291" i="7"/>
  <c r="P291" i="7"/>
  <c r="L156" i="7"/>
  <c r="M156" i="7"/>
  <c r="N156" i="7"/>
  <c r="O156" i="7"/>
  <c r="P156" i="7"/>
  <c r="L206" i="7"/>
  <c r="M206" i="7"/>
  <c r="N206" i="7"/>
  <c r="O206" i="7"/>
  <c r="P206" i="7"/>
  <c r="L16" i="7"/>
  <c r="M16" i="7"/>
  <c r="N16" i="7"/>
  <c r="O16" i="7"/>
  <c r="P16" i="7"/>
  <c r="L260" i="7"/>
  <c r="M260" i="7"/>
  <c r="N260" i="7"/>
  <c r="O260" i="7"/>
  <c r="P260" i="7"/>
  <c r="L153" i="7"/>
  <c r="M153" i="7"/>
  <c r="N153" i="7"/>
  <c r="O153" i="7"/>
  <c r="P153" i="7"/>
  <c r="L157" i="7"/>
  <c r="M157" i="7"/>
  <c r="N157" i="7"/>
  <c r="O157" i="7"/>
  <c r="P157" i="7"/>
  <c r="L14" i="7"/>
  <c r="M14" i="7"/>
  <c r="N14" i="7"/>
  <c r="O14" i="7"/>
  <c r="P14" i="7"/>
  <c r="L34" i="7"/>
  <c r="M34" i="7"/>
  <c r="N34" i="7"/>
  <c r="O34" i="7"/>
  <c r="P34" i="7"/>
  <c r="L107" i="7"/>
  <c r="M107" i="7"/>
  <c r="N107" i="7"/>
  <c r="O107" i="7"/>
  <c r="P107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2" i="7"/>
  <c r="M82" i="7"/>
  <c r="N82" i="7"/>
  <c r="O82" i="7"/>
  <c r="P82" i="7"/>
  <c r="L279" i="7"/>
  <c r="M279" i="7"/>
  <c r="N279" i="7"/>
  <c r="O279" i="7"/>
  <c r="P279" i="7"/>
  <c r="L127" i="7"/>
  <c r="M127" i="7"/>
  <c r="N127" i="7"/>
  <c r="O127" i="7"/>
  <c r="P127" i="7"/>
  <c r="L63" i="7"/>
  <c r="M63" i="7"/>
  <c r="N63" i="7"/>
  <c r="O63" i="7"/>
  <c r="P63" i="7"/>
  <c r="L32" i="7"/>
  <c r="M32" i="7"/>
  <c r="N32" i="7"/>
  <c r="O32" i="7"/>
  <c r="P32" i="7"/>
  <c r="L112" i="7"/>
  <c r="M112" i="7"/>
  <c r="N112" i="7"/>
  <c r="O112" i="7"/>
  <c r="P112" i="7"/>
  <c r="L48" i="7"/>
  <c r="M48" i="7"/>
  <c r="N48" i="7"/>
  <c r="O48" i="7"/>
  <c r="P48" i="7"/>
  <c r="L71" i="7"/>
  <c r="M71" i="7"/>
  <c r="N71" i="7"/>
  <c r="O71" i="7"/>
  <c r="P71" i="7"/>
  <c r="L50" i="7"/>
  <c r="M50" i="7"/>
  <c r="N50" i="7"/>
  <c r="O50" i="7"/>
  <c r="P50" i="7"/>
  <c r="L105" i="7"/>
  <c r="M105" i="7"/>
  <c r="N105" i="7"/>
  <c r="O105" i="7"/>
  <c r="P105" i="7"/>
  <c r="L40" i="7"/>
  <c r="M40" i="7"/>
  <c r="N40" i="7"/>
  <c r="O40" i="7"/>
  <c r="P40" i="7"/>
  <c r="L221" i="7"/>
  <c r="M221" i="7"/>
  <c r="N221" i="7"/>
  <c r="O221" i="7"/>
  <c r="P221" i="7"/>
  <c r="L104" i="7"/>
  <c r="M104" i="7"/>
  <c r="N104" i="7"/>
  <c r="O104" i="7"/>
  <c r="P104" i="7"/>
  <c r="L57" i="7"/>
  <c r="M57" i="7"/>
  <c r="N57" i="7"/>
  <c r="O57" i="7"/>
  <c r="P57" i="7"/>
  <c r="L109" i="7"/>
  <c r="M109" i="7"/>
  <c r="N109" i="7"/>
  <c r="O109" i="7"/>
  <c r="P109" i="7"/>
  <c r="L85" i="7"/>
  <c r="M85" i="7"/>
  <c r="N85" i="7"/>
  <c r="O85" i="7"/>
  <c r="P85" i="7"/>
  <c r="L108" i="7"/>
  <c r="M108" i="7"/>
  <c r="N108" i="7"/>
  <c r="O108" i="7"/>
  <c r="P108" i="7"/>
  <c r="L64" i="7"/>
  <c r="M64" i="7"/>
  <c r="N64" i="7"/>
  <c r="O64" i="7"/>
  <c r="P64" i="7"/>
  <c r="L87" i="7"/>
  <c r="M87" i="7"/>
  <c r="N87" i="7"/>
  <c r="O87" i="7"/>
  <c r="P87" i="7"/>
  <c r="L36" i="7"/>
  <c r="M36" i="7"/>
  <c r="N36" i="7"/>
  <c r="O36" i="7"/>
  <c r="P36" i="7"/>
  <c r="L84" i="7"/>
  <c r="M84" i="7"/>
  <c r="N84" i="7"/>
  <c r="O84" i="7"/>
  <c r="P84" i="7"/>
  <c r="L30" i="7"/>
  <c r="M30" i="7"/>
  <c r="N30" i="7"/>
  <c r="O30" i="7"/>
  <c r="P30" i="7"/>
  <c r="L99" i="7"/>
  <c r="M99" i="7"/>
  <c r="N99" i="7"/>
  <c r="O99" i="7"/>
  <c r="P99" i="7"/>
  <c r="L100" i="7"/>
  <c r="M100" i="7"/>
  <c r="N100" i="7"/>
  <c r="O100" i="7"/>
  <c r="P100" i="7"/>
  <c r="L278" i="7"/>
  <c r="M278" i="7"/>
  <c r="N278" i="7"/>
  <c r="O278" i="7"/>
  <c r="P278" i="7"/>
  <c r="L24" i="7"/>
  <c r="M24" i="7"/>
  <c r="N24" i="7"/>
  <c r="O24" i="7"/>
  <c r="P24" i="7"/>
  <c r="L216" i="7"/>
  <c r="M216" i="7"/>
  <c r="N216" i="7"/>
  <c r="O216" i="7"/>
  <c r="P216" i="7"/>
  <c r="L81" i="7"/>
  <c r="M81" i="7"/>
  <c r="N81" i="7"/>
  <c r="O81" i="7"/>
  <c r="P81" i="7"/>
  <c r="L74" i="7"/>
  <c r="M74" i="7"/>
  <c r="N74" i="7"/>
  <c r="O74" i="7"/>
  <c r="P74" i="7"/>
  <c r="L83" i="7"/>
  <c r="M83" i="7"/>
  <c r="N83" i="7"/>
  <c r="O83" i="7"/>
  <c r="P83" i="7"/>
  <c r="L66" i="7"/>
  <c r="M66" i="7"/>
  <c r="N66" i="7"/>
  <c r="O66" i="7"/>
  <c r="P66" i="7"/>
  <c r="L31" i="7"/>
  <c r="M31" i="7"/>
  <c r="N31" i="7"/>
  <c r="O31" i="7"/>
  <c r="P31" i="7"/>
  <c r="L101" i="7"/>
  <c r="M101" i="7"/>
  <c r="N101" i="7"/>
  <c r="O101" i="7"/>
  <c r="P101" i="7"/>
  <c r="L92" i="7"/>
  <c r="M92" i="7"/>
  <c r="N92" i="7"/>
  <c r="O92" i="7"/>
  <c r="P92" i="7"/>
  <c r="L72" i="7"/>
  <c r="M72" i="7"/>
  <c r="N72" i="7"/>
  <c r="O72" i="7"/>
  <c r="P72" i="7"/>
  <c r="L102" i="7"/>
  <c r="M102" i="7"/>
  <c r="N102" i="7"/>
  <c r="O102" i="7"/>
  <c r="P102" i="7"/>
  <c r="L62" i="7"/>
  <c r="M62" i="7"/>
  <c r="N62" i="7"/>
  <c r="O62" i="7"/>
  <c r="P62" i="7"/>
  <c r="L144" i="7"/>
  <c r="M144" i="7"/>
  <c r="N144" i="7"/>
  <c r="O144" i="7"/>
  <c r="P144" i="7"/>
  <c r="L222" i="7"/>
  <c r="M222" i="7"/>
  <c r="N222" i="7"/>
  <c r="O222" i="7"/>
  <c r="P222" i="7"/>
  <c r="L51" i="7"/>
  <c r="M51" i="7"/>
  <c r="N51" i="7"/>
  <c r="O51" i="7"/>
  <c r="P51" i="7"/>
  <c r="L79" i="7"/>
  <c r="M79" i="7"/>
  <c r="N79" i="7"/>
  <c r="O79" i="7"/>
  <c r="P79" i="7"/>
  <c r="L227" i="7"/>
  <c r="M227" i="7"/>
  <c r="N227" i="7"/>
  <c r="O227" i="7"/>
  <c r="P227" i="7"/>
  <c r="L168" i="7"/>
  <c r="M168" i="7"/>
  <c r="N168" i="7"/>
  <c r="O168" i="7"/>
  <c r="P168" i="7"/>
  <c r="L49" i="7"/>
  <c r="M49" i="7"/>
  <c r="N49" i="7"/>
  <c r="O49" i="7"/>
  <c r="P49" i="7"/>
  <c r="L77" i="7"/>
  <c r="M77" i="7"/>
  <c r="N77" i="7"/>
  <c r="O77" i="7"/>
  <c r="P77" i="7"/>
  <c r="L35" i="7"/>
  <c r="M35" i="7"/>
  <c r="N35" i="7"/>
  <c r="O35" i="7"/>
  <c r="P35" i="7"/>
  <c r="L76" i="7"/>
  <c r="M76" i="7"/>
  <c r="N76" i="7"/>
  <c r="O76" i="7"/>
  <c r="P76" i="7"/>
  <c r="L41" i="7"/>
  <c r="M41" i="7"/>
  <c r="N41" i="7"/>
  <c r="O41" i="7"/>
  <c r="P41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17" i="7"/>
  <c r="M17" i="7"/>
  <c r="N17" i="7"/>
  <c r="O17" i="7"/>
  <c r="P17" i="7"/>
  <c r="AH17" i="7" s="1"/>
  <c r="L18" i="7"/>
  <c r="M18" i="7"/>
  <c r="N18" i="7"/>
  <c r="O18" i="7"/>
  <c r="P18" i="7"/>
  <c r="L20" i="7"/>
  <c r="M20" i="7"/>
  <c r="N20" i="7"/>
  <c r="O20" i="7"/>
  <c r="P20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8" i="7"/>
  <c r="M28" i="7"/>
  <c r="N28" i="7"/>
  <c r="O28" i="7"/>
  <c r="P28" i="7"/>
  <c r="L29" i="7"/>
  <c r="M29" i="7"/>
  <c r="N29" i="7"/>
  <c r="O29" i="7"/>
  <c r="P29" i="7"/>
  <c r="L37" i="7"/>
  <c r="M37" i="7"/>
  <c r="N37" i="7"/>
  <c r="O37" i="7"/>
  <c r="P37" i="7"/>
  <c r="L38" i="7"/>
  <c r="M38" i="7"/>
  <c r="N38" i="7"/>
  <c r="O38" i="7"/>
  <c r="P38" i="7"/>
  <c r="L39" i="7"/>
  <c r="M39" i="7"/>
  <c r="N39" i="7"/>
  <c r="O39" i="7"/>
  <c r="P39" i="7"/>
  <c r="L42" i="7"/>
  <c r="M42" i="7"/>
  <c r="N42" i="7"/>
  <c r="O42" i="7"/>
  <c r="P42" i="7"/>
  <c r="L43" i="7"/>
  <c r="M43" i="7"/>
  <c r="N43" i="7"/>
  <c r="O43" i="7"/>
  <c r="P43" i="7"/>
  <c r="AH43" i="7" s="1"/>
  <c r="L44" i="7"/>
  <c r="M44" i="7"/>
  <c r="N44" i="7"/>
  <c r="O44" i="7"/>
  <c r="P44" i="7"/>
  <c r="L45" i="7"/>
  <c r="M45" i="7"/>
  <c r="N45" i="7"/>
  <c r="O45" i="7"/>
  <c r="P45" i="7"/>
  <c r="AH45" i="7" s="1"/>
  <c r="L46" i="7"/>
  <c r="M46" i="7"/>
  <c r="N46" i="7"/>
  <c r="O46" i="7"/>
  <c r="P46" i="7"/>
  <c r="L47" i="7"/>
  <c r="M47" i="7"/>
  <c r="N47" i="7"/>
  <c r="O47" i="7"/>
  <c r="P47" i="7"/>
  <c r="L52" i="7"/>
  <c r="M52" i="7"/>
  <c r="N52" i="7"/>
  <c r="O52" i="7"/>
  <c r="P52" i="7"/>
  <c r="AH52" i="7" s="1"/>
  <c r="L53" i="7"/>
  <c r="M53" i="7"/>
  <c r="N53" i="7"/>
  <c r="O53" i="7"/>
  <c r="P53" i="7"/>
  <c r="L54" i="7"/>
  <c r="M54" i="7"/>
  <c r="N54" i="7"/>
  <c r="O54" i="7"/>
  <c r="P54" i="7"/>
  <c r="AH54" i="7" s="1"/>
  <c r="L55" i="7"/>
  <c r="M55" i="7"/>
  <c r="N55" i="7"/>
  <c r="O55" i="7"/>
  <c r="P55" i="7"/>
  <c r="L56" i="7"/>
  <c r="M56" i="7"/>
  <c r="N56" i="7"/>
  <c r="O56" i="7"/>
  <c r="P56" i="7"/>
  <c r="AH56" i="7" s="1"/>
  <c r="L58" i="7"/>
  <c r="M58" i="7"/>
  <c r="N58" i="7"/>
  <c r="O58" i="7"/>
  <c r="P58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AH61" i="7" s="1"/>
  <c r="AZ61" i="7" s="1"/>
  <c r="L65" i="7"/>
  <c r="M65" i="7"/>
  <c r="N65" i="7"/>
  <c r="O65" i="7"/>
  <c r="P65" i="7"/>
  <c r="L67" i="7"/>
  <c r="M67" i="7"/>
  <c r="N67" i="7"/>
  <c r="O67" i="7"/>
  <c r="P67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AH70" i="7" s="1"/>
  <c r="L73" i="7"/>
  <c r="M73" i="7"/>
  <c r="N73" i="7"/>
  <c r="O73" i="7"/>
  <c r="P73" i="7"/>
  <c r="L75" i="7"/>
  <c r="M75" i="7"/>
  <c r="N75" i="7"/>
  <c r="O75" i="7"/>
  <c r="P75" i="7"/>
  <c r="L78" i="7"/>
  <c r="M78" i="7"/>
  <c r="N78" i="7"/>
  <c r="O78" i="7"/>
  <c r="P78" i="7"/>
  <c r="L80" i="7"/>
  <c r="M80" i="7"/>
  <c r="N80" i="7"/>
  <c r="O80" i="7"/>
  <c r="P80" i="7"/>
  <c r="L86" i="7"/>
  <c r="M86" i="7"/>
  <c r="N86" i="7"/>
  <c r="O86" i="7"/>
  <c r="P86" i="7"/>
  <c r="L88" i="7"/>
  <c r="M88" i="7"/>
  <c r="N88" i="7"/>
  <c r="O88" i="7"/>
  <c r="P88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3" i="7"/>
  <c r="M93" i="7"/>
  <c r="N93" i="7"/>
  <c r="O93" i="7"/>
  <c r="P93" i="7"/>
  <c r="AH93" i="7" s="1"/>
  <c r="L94" i="7"/>
  <c r="M94" i="7"/>
  <c r="N94" i="7"/>
  <c r="O94" i="7"/>
  <c r="P94" i="7"/>
  <c r="AH94" i="7" s="1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103" i="7"/>
  <c r="M103" i="7"/>
  <c r="N103" i="7"/>
  <c r="O103" i="7"/>
  <c r="P103" i="7"/>
  <c r="AH103" i="7" s="1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8" i="7"/>
  <c r="M128" i="7"/>
  <c r="N128" i="7"/>
  <c r="O128" i="7"/>
  <c r="P128" i="7"/>
  <c r="L129" i="7"/>
  <c r="M129" i="7"/>
  <c r="N129" i="7"/>
  <c r="O129" i="7"/>
  <c r="P129" i="7"/>
  <c r="AH129" i="7" s="1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AH135" i="7" s="1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AH139" i="7" s="1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5" i="7"/>
  <c r="M145" i="7"/>
  <c r="N145" i="7"/>
  <c r="O145" i="7"/>
  <c r="P145" i="7"/>
  <c r="AH145" i="7" s="1"/>
  <c r="L146" i="7"/>
  <c r="M146" i="7"/>
  <c r="N146" i="7"/>
  <c r="O146" i="7"/>
  <c r="P146" i="7"/>
  <c r="AH146" i="7" s="1"/>
  <c r="L147" i="7"/>
  <c r="M147" i="7"/>
  <c r="N147" i="7"/>
  <c r="O147" i="7"/>
  <c r="P147" i="7"/>
  <c r="AH147" i="7" s="1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4" i="7"/>
  <c r="M154" i="7"/>
  <c r="N154" i="7"/>
  <c r="O154" i="7"/>
  <c r="P154" i="7"/>
  <c r="L158" i="7"/>
  <c r="M158" i="7"/>
  <c r="N158" i="7"/>
  <c r="O158" i="7"/>
  <c r="P158" i="7"/>
  <c r="AH158" i="7" s="1"/>
  <c r="L160" i="7"/>
  <c r="M160" i="7"/>
  <c r="N160" i="7"/>
  <c r="O160" i="7"/>
  <c r="P160" i="7"/>
  <c r="AH160" i="7" s="1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AH163" i="7" s="1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AH167" i="7" s="1"/>
  <c r="L169" i="7"/>
  <c r="M169" i="7"/>
  <c r="N169" i="7"/>
  <c r="O169" i="7"/>
  <c r="P169" i="7"/>
  <c r="AH169" i="7" s="1"/>
  <c r="L170" i="7"/>
  <c r="M170" i="7"/>
  <c r="N170" i="7"/>
  <c r="O170" i="7"/>
  <c r="P170" i="7"/>
  <c r="AH170" i="7" s="1"/>
  <c r="L171" i="7"/>
  <c r="M171" i="7"/>
  <c r="N171" i="7"/>
  <c r="O171" i="7"/>
  <c r="P171" i="7"/>
  <c r="AH171" i="7" s="1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AH174" i="7" s="1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AH177" i="7" s="1"/>
  <c r="L178" i="7"/>
  <c r="M178" i="7"/>
  <c r="N178" i="7"/>
  <c r="O178" i="7"/>
  <c r="P178" i="7"/>
  <c r="AH178" i="7" s="1"/>
  <c r="L180" i="7"/>
  <c r="M180" i="7"/>
  <c r="N180" i="7"/>
  <c r="O180" i="7"/>
  <c r="P180" i="7"/>
  <c r="AH180" i="7" s="1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AH190" i="7" s="1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3" i="7"/>
  <c r="M223" i="7"/>
  <c r="N223" i="7"/>
  <c r="O223" i="7"/>
  <c r="P223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0" i="7"/>
  <c r="M110" i="7"/>
  <c r="N110" i="7"/>
  <c r="O110" i="7"/>
  <c r="P110" i="7"/>
  <c r="P3" i="7"/>
  <c r="AH3" i="7" s="1"/>
  <c r="O3" i="7"/>
  <c r="N3" i="7"/>
  <c r="M3" i="7"/>
  <c r="L3" i="7"/>
  <c r="Q6" i="6" l="1"/>
  <c r="B1" i="7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C10" i="8"/>
  <c r="J10" i="8" s="1"/>
  <c r="C14" i="8"/>
  <c r="J14" i="8" s="1"/>
  <c r="C18" i="8"/>
  <c r="J18" i="8" s="1"/>
  <c r="C22" i="8"/>
  <c r="J22" i="8" s="1"/>
  <c r="C26" i="8"/>
  <c r="J26" i="8" s="1"/>
  <c r="C30" i="8"/>
  <c r="J30" i="8" s="1"/>
  <c r="C34" i="8"/>
  <c r="J34" i="8" s="1"/>
  <c r="C38" i="8"/>
  <c r="J38" i="8" s="1"/>
  <c r="C42" i="8"/>
  <c r="J42" i="8" s="1"/>
  <c r="C46" i="8"/>
  <c r="J46" i="8" s="1"/>
  <c r="C50" i="8"/>
  <c r="J50" i="8" s="1"/>
  <c r="C54" i="8"/>
  <c r="J54" i="8" s="1"/>
  <c r="C58" i="8"/>
  <c r="J58" i="8" s="1"/>
  <c r="C62" i="8"/>
  <c r="J62" i="8" s="1"/>
  <c r="C66" i="8"/>
  <c r="J66" i="8" s="1"/>
  <c r="C70" i="8"/>
  <c r="J70" i="8" s="1"/>
  <c r="C74" i="8"/>
  <c r="J74" i="8" s="1"/>
  <c r="C78" i="8"/>
  <c r="J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C7" i="8"/>
  <c r="C11" i="8"/>
  <c r="J11" i="8" s="1"/>
  <c r="C15" i="8"/>
  <c r="J15" i="8" s="1"/>
  <c r="C19" i="8"/>
  <c r="J19" i="8" s="1"/>
  <c r="C23" i="8"/>
  <c r="J23" i="8" s="1"/>
  <c r="C27" i="8"/>
  <c r="J27" i="8" s="1"/>
  <c r="C31" i="8"/>
  <c r="J31" i="8" s="1"/>
  <c r="C35" i="8"/>
  <c r="J35" i="8" s="1"/>
  <c r="C39" i="8"/>
  <c r="J39" i="8" s="1"/>
  <c r="C43" i="8"/>
  <c r="J43" i="8" s="1"/>
  <c r="C47" i="8"/>
  <c r="J47" i="8" s="1"/>
  <c r="C51" i="8"/>
  <c r="J51" i="8" s="1"/>
  <c r="C55" i="8"/>
  <c r="J55" i="8" s="1"/>
  <c r="C59" i="8"/>
  <c r="J59" i="8" s="1"/>
  <c r="C63" i="8"/>
  <c r="J63" i="8" s="1"/>
  <c r="C67" i="8"/>
  <c r="J67" i="8" s="1"/>
  <c r="C71" i="8"/>
  <c r="J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C8" i="8"/>
  <c r="C12" i="8"/>
  <c r="J12" i="8" s="1"/>
  <c r="C16" i="8"/>
  <c r="J16" i="8" s="1"/>
  <c r="C20" i="8"/>
  <c r="J20" i="8" s="1"/>
  <c r="C24" i="8"/>
  <c r="J24" i="8" s="1"/>
  <c r="C28" i="8"/>
  <c r="J28" i="8" s="1"/>
  <c r="C32" i="8"/>
  <c r="J32" i="8" s="1"/>
  <c r="C36" i="8"/>
  <c r="J36" i="8" s="1"/>
  <c r="C40" i="8"/>
  <c r="J40" i="8" s="1"/>
  <c r="C44" i="8"/>
  <c r="J44" i="8" s="1"/>
  <c r="C48" i="8"/>
  <c r="J48" i="8" s="1"/>
  <c r="C52" i="8"/>
  <c r="J52" i="8" s="1"/>
  <c r="C56" i="8"/>
  <c r="J56" i="8" s="1"/>
  <c r="C60" i="8"/>
  <c r="J60" i="8" s="1"/>
  <c r="C64" i="8"/>
  <c r="J64" i="8" s="1"/>
  <c r="C68" i="8"/>
  <c r="J68" i="8" s="1"/>
  <c r="C72" i="8"/>
  <c r="J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C9" i="8"/>
  <c r="J9" i="8" s="1"/>
  <c r="C13" i="8"/>
  <c r="J13" i="8" s="1"/>
  <c r="C17" i="8"/>
  <c r="J17" i="8" s="1"/>
  <c r="C21" i="8"/>
  <c r="J21" i="8" s="1"/>
  <c r="C25" i="8"/>
  <c r="J25" i="8" s="1"/>
  <c r="C29" i="8"/>
  <c r="J29" i="8" s="1"/>
  <c r="C33" i="8"/>
  <c r="J33" i="8" s="1"/>
  <c r="C37" i="8"/>
  <c r="J37" i="8" s="1"/>
  <c r="C41" i="8"/>
  <c r="J41" i="8" s="1"/>
  <c r="C45" i="8"/>
  <c r="J45" i="8" s="1"/>
  <c r="C49" i="8"/>
  <c r="J49" i="8" s="1"/>
  <c r="C53" i="8"/>
  <c r="J53" i="8" s="1"/>
  <c r="C57" i="8"/>
  <c r="J57" i="8" s="1"/>
  <c r="C61" i="8"/>
  <c r="J61" i="8" s="1"/>
  <c r="C65" i="8"/>
  <c r="J65" i="8" s="1"/>
  <c r="C69" i="8"/>
  <c r="J69" i="8" s="1"/>
  <c r="C73" i="8"/>
  <c r="J73" i="8" s="1"/>
  <c r="C77" i="8"/>
  <c r="J77" i="8" s="1"/>
  <c r="C2" i="8"/>
  <c r="P7" i="6"/>
  <c r="R6" i="6"/>
  <c r="S6" i="6" s="1"/>
  <c r="AH337" i="7"/>
  <c r="AK337" i="7" s="1"/>
  <c r="AH331" i="7"/>
  <c r="AJ331" i="7" s="1"/>
  <c r="AL331" i="7" s="1"/>
  <c r="S337" i="7"/>
  <c r="AH335" i="7"/>
  <c r="AK335" i="7" s="1"/>
  <c r="AH244" i="7"/>
  <c r="AZ244" i="7" s="1"/>
  <c r="BR244" i="7" s="1"/>
  <c r="AH186" i="7"/>
  <c r="AZ186" i="7" s="1"/>
  <c r="Q327" i="7"/>
  <c r="U327" i="7" s="1"/>
  <c r="Q337" i="7"/>
  <c r="U337" i="7" s="1"/>
  <c r="AH332" i="7"/>
  <c r="AJ332" i="7" s="1"/>
  <c r="AL332" i="7" s="1"/>
  <c r="AH329" i="7"/>
  <c r="AK329" i="7" s="1"/>
  <c r="AH134" i="7"/>
  <c r="AZ134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7" i="7"/>
  <c r="AZ187" i="7" s="1"/>
  <c r="AH59" i="7"/>
  <c r="AZ59" i="7" s="1"/>
  <c r="BR59" i="7" s="1"/>
  <c r="AH29" i="7"/>
  <c r="AZ29" i="7" s="1"/>
  <c r="Q335" i="7"/>
  <c r="U335" i="7" s="1"/>
  <c r="R332" i="7"/>
  <c r="T332" i="7" s="1"/>
  <c r="AH327" i="7"/>
  <c r="AK327" i="7" s="1"/>
  <c r="AH324" i="7"/>
  <c r="AJ324" i="7" s="1"/>
  <c r="AL324" i="7" s="1"/>
  <c r="AH311" i="7"/>
  <c r="AH302" i="7"/>
  <c r="AZ302" i="7" s="1"/>
  <c r="AH301" i="7"/>
  <c r="AZ301" i="7" s="1"/>
  <c r="AH272" i="7"/>
  <c r="AH161" i="7"/>
  <c r="AZ161" i="7" s="1"/>
  <c r="AH80" i="7"/>
  <c r="AH303" i="7"/>
  <c r="AZ303" i="7" s="1"/>
  <c r="AH295" i="7"/>
  <c r="AZ295" i="7" s="1"/>
  <c r="AH191" i="7"/>
  <c r="AH164" i="7"/>
  <c r="AZ164" i="7" s="1"/>
  <c r="AH67" i="7"/>
  <c r="AZ67" i="7" s="1"/>
  <c r="BR67" i="7" s="1"/>
  <c r="R342" i="7"/>
  <c r="T342" i="7" s="1"/>
  <c r="R330" i="7"/>
  <c r="T330" i="7" s="1"/>
  <c r="AH281" i="7"/>
  <c r="AZ281" i="7" s="1"/>
  <c r="BR281" i="7" s="1"/>
  <c r="AH107" i="7"/>
  <c r="AZ107" i="7" s="1"/>
  <c r="AH110" i="7"/>
  <c r="AZ110" i="7" s="1"/>
  <c r="AH192" i="7"/>
  <c r="AH165" i="7"/>
  <c r="AH133" i="7"/>
  <c r="AZ133" i="7" s="1"/>
  <c r="AH88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2" i="7"/>
  <c r="AZ162" i="7" s="1"/>
  <c r="AH150" i="7"/>
  <c r="AZ150" i="7" s="1"/>
  <c r="AH149" i="7"/>
  <c r="AZ149" i="7" s="1"/>
  <c r="AH148" i="7"/>
  <c r="AH142" i="7"/>
  <c r="AZ142" i="7" s="1"/>
  <c r="AH141" i="7"/>
  <c r="AZ141" i="7" s="1"/>
  <c r="AH90" i="7"/>
  <c r="AH46" i="7"/>
  <c r="AH18" i="7"/>
  <c r="S340" i="7"/>
  <c r="S322" i="7"/>
  <c r="AH321" i="7"/>
  <c r="AK321" i="7" s="1"/>
  <c r="T319" i="7"/>
  <c r="AH23" i="7"/>
  <c r="AZ23" i="7" s="1"/>
  <c r="AH111" i="7"/>
  <c r="AH275" i="7"/>
  <c r="AZ275" i="7" s="1"/>
  <c r="AH276" i="7"/>
  <c r="AH252" i="7"/>
  <c r="AZ252" i="7" s="1"/>
  <c r="BR252" i="7" s="1"/>
  <c r="AH184" i="7"/>
  <c r="AZ184" i="7" s="1"/>
  <c r="AH183" i="7"/>
  <c r="AZ183" i="7" s="1"/>
  <c r="AH172" i="7"/>
  <c r="AZ172" i="7" s="1"/>
  <c r="AH143" i="7"/>
  <c r="AH136" i="7"/>
  <c r="AZ136" i="7" s="1"/>
  <c r="AH75" i="7"/>
  <c r="AH39" i="7"/>
  <c r="AZ39" i="7" s="1"/>
  <c r="AH38" i="7"/>
  <c r="AZ38" i="7" s="1"/>
  <c r="R346" i="7"/>
  <c r="T346" i="7" s="1"/>
  <c r="Q340" i="7"/>
  <c r="U340" i="7" s="1"/>
  <c r="S333" i="7"/>
  <c r="S324" i="7"/>
  <c r="Q322" i="7"/>
  <c r="U322" i="7" s="1"/>
  <c r="Q321" i="7"/>
  <c r="U321" i="7" s="1"/>
  <c r="AH71" i="7"/>
  <c r="AZ71" i="7" s="1"/>
  <c r="AH291" i="7"/>
  <c r="AZ291" i="7" s="1"/>
  <c r="BR291" i="7" s="1"/>
  <c r="AH195" i="7"/>
  <c r="AH97" i="7"/>
  <c r="AH37" i="7"/>
  <c r="AZ37" i="7" s="1"/>
  <c r="AH21" i="7"/>
  <c r="AZ21" i="7" s="1"/>
  <c r="AH196" i="7"/>
  <c r="AH309" i="7"/>
  <c r="AZ309" i="7" s="1"/>
  <c r="AH304" i="7"/>
  <c r="AZ304" i="7" s="1"/>
  <c r="AH267" i="7"/>
  <c r="AH263" i="7"/>
  <c r="AH250" i="7"/>
  <c r="AH189" i="7"/>
  <c r="AZ189" i="7" s="1"/>
  <c r="AH173" i="7"/>
  <c r="AZ173" i="7" s="1"/>
  <c r="AH140" i="7"/>
  <c r="AZ140" i="7" s="1"/>
  <c r="AH137" i="7"/>
  <c r="AZ137" i="7" s="1"/>
  <c r="AZ70" i="7"/>
  <c r="BR70" i="7" s="1"/>
  <c r="AH290" i="7"/>
  <c r="AZ290" i="7" s="1"/>
  <c r="AH258" i="7"/>
  <c r="AH242" i="7"/>
  <c r="AH185" i="7"/>
  <c r="AZ185" i="7" s="1"/>
  <c r="AH151" i="7"/>
  <c r="AZ151" i="7" s="1"/>
  <c r="AZ93" i="7"/>
  <c r="BR93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88" i="7"/>
  <c r="AZ188" i="7" s="1"/>
  <c r="AH182" i="7"/>
  <c r="AH166" i="7"/>
  <c r="AZ166" i="7" s="1"/>
  <c r="AH152" i="7"/>
  <c r="AZ152" i="7" s="1"/>
  <c r="AH138" i="7"/>
  <c r="AZ138" i="7" s="1"/>
  <c r="AH15" i="7"/>
  <c r="AZ15" i="7" s="1"/>
  <c r="AH254" i="7"/>
  <c r="AH246" i="7"/>
  <c r="AH238" i="7"/>
  <c r="AH130" i="7"/>
  <c r="AH95" i="7"/>
  <c r="AH44" i="7"/>
  <c r="R339" i="7"/>
  <c r="T339" i="7" s="1"/>
  <c r="Q339" i="7"/>
  <c r="U339" i="7" s="1"/>
  <c r="S339" i="7"/>
  <c r="AH339" i="7"/>
  <c r="AJ339" i="7" s="1"/>
  <c r="AL339" i="7" s="1"/>
  <c r="AK331" i="7"/>
  <c r="AJ321" i="7"/>
  <c r="AL321" i="7" s="1"/>
  <c r="AH82" i="7"/>
  <c r="AH42" i="7"/>
  <c r="AH20" i="7"/>
  <c r="AZ20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Z323" i="7" s="1"/>
  <c r="AH112" i="7"/>
  <c r="AZ112" i="7" s="1"/>
  <c r="AH175" i="7"/>
  <c r="AZ175" i="7" s="1"/>
  <c r="AH154" i="7"/>
  <c r="AZ154" i="7" s="1"/>
  <c r="AH132" i="7"/>
  <c r="AZ132" i="7" s="1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3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5" i="7"/>
  <c r="AZ105" i="7" s="1"/>
  <c r="AH14" i="7"/>
  <c r="AZ14" i="7" s="1"/>
  <c r="AZ155" i="7"/>
  <c r="AH210" i="7"/>
  <c r="AZ210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S318" i="7"/>
  <c r="AH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H316" i="7"/>
  <c r="AH41" i="7"/>
  <c r="AH35" i="7"/>
  <c r="AH49" i="7"/>
  <c r="AH227" i="7"/>
  <c r="AH51" i="7"/>
  <c r="AH222" i="7"/>
  <c r="S323" i="7"/>
  <c r="S321" i="7"/>
  <c r="S319" i="7"/>
  <c r="AH319" i="7"/>
  <c r="Q319" i="7"/>
  <c r="U319" i="7" s="1"/>
  <c r="AH72" i="7"/>
  <c r="AH62" i="7"/>
  <c r="Q317" i="7"/>
  <c r="U317" i="7" s="1"/>
  <c r="Q315" i="7"/>
  <c r="U315" i="7" s="1"/>
  <c r="AH87" i="7"/>
  <c r="AH144" i="7"/>
  <c r="AH102" i="7"/>
  <c r="AH92" i="7"/>
  <c r="AH317" i="7"/>
  <c r="AH315" i="7"/>
  <c r="AH76" i="7"/>
  <c r="AH77" i="7"/>
  <c r="AH168" i="7"/>
  <c r="AH79" i="7"/>
  <c r="AH31" i="7"/>
  <c r="AH83" i="7"/>
  <c r="AH81" i="7"/>
  <c r="AH24" i="7"/>
  <c r="AH100" i="7"/>
  <c r="AH30" i="7"/>
  <c r="AH36" i="7"/>
  <c r="AH279" i="7"/>
  <c r="AH64" i="7"/>
  <c r="AH108" i="7"/>
  <c r="AH109" i="7"/>
  <c r="AH104" i="7"/>
  <c r="AH127" i="7"/>
  <c r="AH101" i="7"/>
  <c r="AH66" i="7"/>
  <c r="AH74" i="7"/>
  <c r="AH216" i="7"/>
  <c r="AH278" i="7"/>
  <c r="AH99" i="7"/>
  <c r="AH84" i="7"/>
  <c r="AH40" i="7"/>
  <c r="AH85" i="7"/>
  <c r="AH57" i="7"/>
  <c r="AH221" i="7"/>
  <c r="AH50" i="7"/>
  <c r="AH48" i="7"/>
  <c r="AH32" i="7"/>
  <c r="AH157" i="7"/>
  <c r="AH179" i="7"/>
  <c r="AH33" i="7"/>
  <c r="AH225" i="7"/>
  <c r="AH34" i="7"/>
  <c r="AZ181" i="7"/>
  <c r="AH153" i="7"/>
  <c r="AH16" i="7"/>
  <c r="AH156" i="7"/>
  <c r="AH260" i="7"/>
  <c r="AH206" i="7"/>
  <c r="AH159" i="7"/>
  <c r="AH289" i="7"/>
  <c r="AH19" i="7"/>
  <c r="AZ230" i="7"/>
  <c r="AH98" i="7"/>
  <c r="AH106" i="7"/>
  <c r="AH234" i="7"/>
  <c r="AZ307" i="7"/>
  <c r="AZ305" i="7"/>
  <c r="AZ299" i="7"/>
  <c r="AZ293" i="7"/>
  <c r="AZ287" i="7"/>
  <c r="AZ285" i="7"/>
  <c r="AZ283" i="7"/>
  <c r="AZ280" i="7"/>
  <c r="AZ270" i="7"/>
  <c r="AZ263" i="7"/>
  <c r="AH262" i="7"/>
  <c r="AZ311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58" i="7"/>
  <c r="AZ268" i="7"/>
  <c r="AZ266" i="7"/>
  <c r="AZ176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7" i="7"/>
  <c r="AH235" i="7"/>
  <c r="AH232" i="7"/>
  <c r="AH229" i="7"/>
  <c r="AH224" i="7"/>
  <c r="AH220" i="7"/>
  <c r="AH218" i="7"/>
  <c r="AH215" i="7"/>
  <c r="AH213" i="7"/>
  <c r="AH211" i="7"/>
  <c r="AH208" i="7"/>
  <c r="AH205" i="7"/>
  <c r="AH203" i="7"/>
  <c r="AH201" i="7"/>
  <c r="AH199" i="7"/>
  <c r="AH197" i="7"/>
  <c r="AH193" i="7"/>
  <c r="AZ191" i="7"/>
  <c r="AZ178" i="7"/>
  <c r="AZ170" i="7"/>
  <c r="AZ129" i="7"/>
  <c r="AZ163" i="7"/>
  <c r="AH226" i="7"/>
  <c r="AH223" i="7"/>
  <c r="AH219" i="7"/>
  <c r="AH217" i="7"/>
  <c r="AH214" i="7"/>
  <c r="AH212" i="7"/>
  <c r="AH209" i="7"/>
  <c r="AH207" i="7"/>
  <c r="AH204" i="7"/>
  <c r="AH202" i="7"/>
  <c r="AH200" i="7"/>
  <c r="AH198" i="7"/>
  <c r="AH194" i="7"/>
  <c r="AZ190" i="7"/>
  <c r="AZ174" i="7"/>
  <c r="AZ145" i="7"/>
  <c r="AZ135" i="7"/>
  <c r="AH122" i="7"/>
  <c r="AH118" i="7"/>
  <c r="AH114" i="7"/>
  <c r="AZ180" i="7"/>
  <c r="AZ177" i="7"/>
  <c r="AZ171" i="7"/>
  <c r="AZ169" i="7"/>
  <c r="AZ160" i="7"/>
  <c r="AZ147" i="7"/>
  <c r="AZ146" i="7"/>
  <c r="AZ139" i="7"/>
  <c r="AZ131" i="7"/>
  <c r="AH124" i="7"/>
  <c r="AH120" i="7"/>
  <c r="AH116" i="7"/>
  <c r="AH128" i="7"/>
  <c r="AH73" i="7"/>
  <c r="AH126" i="7"/>
  <c r="AH96" i="7"/>
  <c r="AZ94" i="7"/>
  <c r="AH91" i="7"/>
  <c r="AH78" i="7"/>
  <c r="AZ103" i="7"/>
  <c r="AH86" i="7"/>
  <c r="AH125" i="7"/>
  <c r="AH123" i="7"/>
  <c r="AH121" i="7"/>
  <c r="AH119" i="7"/>
  <c r="AH117" i="7"/>
  <c r="AH115" i="7"/>
  <c r="AH113" i="7"/>
  <c r="AH89" i="7"/>
  <c r="AH69" i="7"/>
  <c r="BR61" i="7"/>
  <c r="AZ52" i="7"/>
  <c r="AH68" i="7"/>
  <c r="AH65" i="7"/>
  <c r="AH60" i="7"/>
  <c r="AZ56" i="7"/>
  <c r="AH26" i="7"/>
  <c r="AZ54" i="7"/>
  <c r="AZ45" i="7"/>
  <c r="AZ43" i="7"/>
  <c r="AH22" i="7"/>
  <c r="AH58" i="7"/>
  <c r="AH55" i="7"/>
  <c r="AH53" i="7"/>
  <c r="AH47" i="7"/>
  <c r="AH28" i="7"/>
  <c r="BR10" i="7"/>
  <c r="AH27" i="7"/>
  <c r="AH25" i="7"/>
  <c r="AH13" i="7"/>
  <c r="AH11" i="7"/>
  <c r="AZ17" i="7"/>
  <c r="AH7" i="7"/>
  <c r="AZ9" i="7"/>
  <c r="AH12" i="7"/>
  <c r="AH5" i="7"/>
  <c r="AH8" i="7"/>
  <c r="AH6" i="7"/>
  <c r="AH4" i="7"/>
  <c r="AZ3" i="7"/>
  <c r="AZ331" i="7" l="1"/>
  <c r="AI331" i="7"/>
  <c r="AM331" i="7" s="1"/>
  <c r="AK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AK328" i="7"/>
  <c r="V331" i="7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N328" i="7" s="1"/>
  <c r="AO328" i="7" s="1" a="1"/>
  <c r="AZ327" i="7"/>
  <c r="AZ328" i="7"/>
  <c r="BA328" i="7" s="1"/>
  <c r="BE328" i="7" s="1"/>
  <c r="AK322" i="7"/>
  <c r="AZ324" i="7"/>
  <c r="BA324" i="7" s="1"/>
  <c r="BE324" i="7" s="1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F321" i="7"/>
  <c r="AZ143" i="7"/>
  <c r="AZ192" i="7"/>
  <c r="BR192" i="7" s="1"/>
  <c r="V329" i="7"/>
  <c r="W329" i="7" s="1" a="1"/>
  <c r="V335" i="7"/>
  <c r="W335" i="7" s="1" a="1"/>
  <c r="AZ240" i="7"/>
  <c r="AZ18" i="7"/>
  <c r="BR18" i="7" s="1"/>
  <c r="AZ165" i="7"/>
  <c r="BR165" i="7" s="1"/>
  <c r="AZ182" i="7"/>
  <c r="BR182" i="7" s="1"/>
  <c r="AZ329" i="7"/>
  <c r="BC329" i="7" s="1"/>
  <c r="AI329" i="7"/>
  <c r="AM329" i="7" s="1"/>
  <c r="V322" i="7"/>
  <c r="W322" i="7" s="1" a="1"/>
  <c r="AZ130" i="7"/>
  <c r="BR130" i="7" s="1"/>
  <c r="AZ272" i="7"/>
  <c r="BR272" i="7" s="1"/>
  <c r="V327" i="7"/>
  <c r="W327" i="7" s="1" a="1"/>
  <c r="AJ329" i="7"/>
  <c r="AL329" i="7" s="1"/>
  <c r="BR155" i="7"/>
  <c r="AZ325" i="7"/>
  <c r="BR325" i="7" s="1"/>
  <c r="AI336" i="7"/>
  <c r="AM336" i="7" s="1"/>
  <c r="AI330" i="7"/>
  <c r="AM330" i="7" s="1"/>
  <c r="AZ80" i="7"/>
  <c r="AZ276" i="7"/>
  <c r="BR276" i="7" s="1"/>
  <c r="AZ63" i="7"/>
  <c r="BR63" i="7" s="1"/>
  <c r="V334" i="7"/>
  <c r="W334" i="7" s="1" a="1"/>
  <c r="AI339" i="7"/>
  <c r="AM339" i="7" s="1"/>
  <c r="AZ338" i="7"/>
  <c r="BA338" i="7" s="1"/>
  <c r="BE338" i="7" s="1"/>
  <c r="V320" i="7"/>
  <c r="W320" i="7" s="1" a="1"/>
  <c r="AZ82" i="7"/>
  <c r="BR82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6" i="7"/>
  <c r="AZ265" i="7"/>
  <c r="AZ88" i="7"/>
  <c r="T336" i="7"/>
  <c r="V336" i="7" s="1"/>
  <c r="W336" i="7" s="1" a="1"/>
  <c r="AZ148" i="7"/>
  <c r="BR148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1" i="7"/>
  <c r="AZ90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5" i="7"/>
  <c r="AZ195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V338" i="7"/>
  <c r="W338" i="7" s="1" a="1"/>
  <c r="AZ44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2" i="7"/>
  <c r="AZ95" i="7"/>
  <c r="AZ258" i="7"/>
  <c r="AZ250" i="7"/>
  <c r="AZ267" i="7"/>
  <c r="AZ196" i="7"/>
  <c r="AZ97" i="7"/>
  <c r="AZ48" i="7"/>
  <c r="AZ221" i="7"/>
  <c r="BR71" i="7"/>
  <c r="AZ99" i="7"/>
  <c r="AZ66" i="7"/>
  <c r="AZ100" i="7"/>
  <c r="AZ31" i="7"/>
  <c r="AZ77" i="7"/>
  <c r="AZ92" i="7"/>
  <c r="AZ87" i="7"/>
  <c r="AZ35" i="7"/>
  <c r="AJ318" i="7"/>
  <c r="AL318" i="7" s="1"/>
  <c r="AI318" i="7"/>
  <c r="AM318" i="7" s="1"/>
  <c r="AK318" i="7"/>
  <c r="AZ318" i="7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59" i="7"/>
  <c r="AZ156" i="7"/>
  <c r="BR181" i="7"/>
  <c r="AZ34" i="7"/>
  <c r="AZ33" i="7"/>
  <c r="AZ32" i="7"/>
  <c r="BR23" i="7"/>
  <c r="AZ57" i="7"/>
  <c r="AZ40" i="7"/>
  <c r="AZ278" i="7"/>
  <c r="AZ101" i="7"/>
  <c r="AZ104" i="7"/>
  <c r="AZ64" i="7"/>
  <c r="AZ279" i="7"/>
  <c r="AZ24" i="7"/>
  <c r="AZ76" i="7"/>
  <c r="AZ102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AZ72" i="7"/>
  <c r="AZ51" i="7"/>
  <c r="AZ41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6" i="7"/>
  <c r="AZ98" i="7"/>
  <c r="AZ206" i="7"/>
  <c r="AZ16" i="7"/>
  <c r="AZ179" i="7"/>
  <c r="BR107" i="7"/>
  <c r="AZ85" i="7"/>
  <c r="AZ216" i="7"/>
  <c r="AZ109" i="7"/>
  <c r="AZ36" i="7"/>
  <c r="AZ81" i="7"/>
  <c r="AZ79" i="7"/>
  <c r="AI315" i="7"/>
  <c r="AM315" i="7" s="1"/>
  <c r="AJ315" i="7"/>
  <c r="AL315" i="7" s="1"/>
  <c r="AZ315" i="7"/>
  <c r="AK315" i="7"/>
  <c r="AZ144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210" i="7"/>
  <c r="AZ19" i="7"/>
  <c r="AZ289" i="7"/>
  <c r="AZ260" i="7"/>
  <c r="AZ153" i="7"/>
  <c r="AZ225" i="7"/>
  <c r="AZ157" i="7"/>
  <c r="AZ50" i="7"/>
  <c r="BR14" i="7"/>
  <c r="BR112" i="7"/>
  <c r="BR105" i="7"/>
  <c r="AZ84" i="7"/>
  <c r="AZ74" i="7"/>
  <c r="AZ127" i="7"/>
  <c r="AZ108" i="7"/>
  <c r="AZ30" i="7"/>
  <c r="AZ83" i="7"/>
  <c r="AZ168" i="7"/>
  <c r="AI317" i="7"/>
  <c r="AM317" i="7" s="1"/>
  <c r="AJ317" i="7"/>
  <c r="AL317" i="7" s="1"/>
  <c r="AZ317" i="7"/>
  <c r="AK317" i="7"/>
  <c r="AZ62" i="7"/>
  <c r="BC325" i="7"/>
  <c r="BR329" i="7"/>
  <c r="BA337" i="7"/>
  <c r="BE337" i="7" s="1"/>
  <c r="BB337" i="7"/>
  <c r="BD337" i="7" s="1"/>
  <c r="BR337" i="7"/>
  <c r="BC337" i="7"/>
  <c r="AZ222" i="7"/>
  <c r="AZ49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BB322" i="7"/>
  <c r="BD322" i="7" s="1"/>
  <c r="BC322" i="7"/>
  <c r="BR322" i="7"/>
  <c r="BA322" i="7"/>
  <c r="BE322" i="7" s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4" i="7"/>
  <c r="BR174" i="7"/>
  <c r="AZ200" i="7"/>
  <c r="AZ209" i="7"/>
  <c r="AZ219" i="7"/>
  <c r="BR150" i="7"/>
  <c r="BR163" i="7"/>
  <c r="BR172" i="7"/>
  <c r="BR187" i="7"/>
  <c r="AZ235" i="7"/>
  <c r="BR167" i="7"/>
  <c r="AZ236" i="7"/>
  <c r="AZ5" i="7"/>
  <c r="BR9" i="7"/>
  <c r="AZ25" i="7"/>
  <c r="BR29" i="7"/>
  <c r="AZ55" i="7"/>
  <c r="BR43" i="7"/>
  <c r="BR45" i="7"/>
  <c r="AZ65" i="7"/>
  <c r="AZ117" i="7"/>
  <c r="AZ125" i="7"/>
  <c r="AZ86" i="7"/>
  <c r="AZ91" i="7"/>
  <c r="BR134" i="7"/>
  <c r="BR154" i="7"/>
  <c r="BR171" i="7"/>
  <c r="BR185" i="7"/>
  <c r="AZ118" i="7"/>
  <c r="BR271" i="7"/>
  <c r="BR275" i="7"/>
  <c r="BR306" i="7"/>
  <c r="AZ308" i="7"/>
  <c r="BR309" i="7"/>
  <c r="AZ237" i="7"/>
  <c r="AZ245" i="7"/>
  <c r="AZ253" i="7"/>
  <c r="AZ310" i="7"/>
  <c r="AZ314" i="7"/>
  <c r="BR311" i="7"/>
  <c r="BR110" i="7"/>
  <c r="BR263" i="7"/>
  <c r="BR287" i="7"/>
  <c r="BR299" i="7"/>
  <c r="BR307" i="7"/>
  <c r="BR286" i="7"/>
  <c r="BR292" i="7"/>
  <c r="BR296" i="7"/>
  <c r="BR300" i="7"/>
  <c r="BR158" i="7"/>
  <c r="AZ243" i="7"/>
  <c r="AZ251" i="7"/>
  <c r="AZ259" i="7"/>
  <c r="BR274" i="7"/>
  <c r="BR285" i="7"/>
  <c r="BR305" i="7"/>
  <c r="AZ116" i="7"/>
  <c r="BR162" i="7"/>
  <c r="BR175" i="7"/>
  <c r="BR137" i="7"/>
  <c r="BR133" i="7"/>
  <c r="BR184" i="7"/>
  <c r="AZ202" i="7"/>
  <c r="AZ212" i="7"/>
  <c r="AZ223" i="7"/>
  <c r="BR178" i="7"/>
  <c r="BR189" i="7"/>
  <c r="AZ197" i="7"/>
  <c r="AZ201" i="7"/>
  <c r="AZ205" i="7"/>
  <c r="AZ211" i="7"/>
  <c r="AZ215" i="7"/>
  <c r="AZ220" i="7"/>
  <c r="AZ232" i="7"/>
  <c r="AZ233" i="7"/>
  <c r="AZ7" i="7"/>
  <c r="BR17" i="7"/>
  <c r="AZ13" i="7"/>
  <c r="BR20" i="7"/>
  <c r="AZ27" i="7"/>
  <c r="BR38" i="7"/>
  <c r="AZ122" i="7"/>
  <c r="BR135" i="7"/>
  <c r="BR142" i="7"/>
  <c r="BR280" i="7"/>
  <c r="BR290" i="7"/>
  <c r="BR293" i="7"/>
  <c r="BR301" i="7"/>
  <c r="AZ6" i="7"/>
  <c r="AZ11" i="7"/>
  <c r="BR15" i="7"/>
  <c r="AZ28" i="7"/>
  <c r="AZ53" i="7"/>
  <c r="BR37" i="7"/>
  <c r="AZ26" i="7"/>
  <c r="BR21" i="7"/>
  <c r="AZ68" i="7"/>
  <c r="BR52" i="7"/>
  <c r="AZ89" i="7"/>
  <c r="AZ115" i="7"/>
  <c r="AZ123" i="7"/>
  <c r="AZ78" i="7"/>
  <c r="AZ126" i="7"/>
  <c r="BR138" i="7"/>
  <c r="AZ128" i="7"/>
  <c r="BR131" i="7"/>
  <c r="BR149" i="7"/>
  <c r="BR166" i="7"/>
  <c r="BR180" i="7"/>
  <c r="AZ58" i="7"/>
  <c r="BR54" i="7"/>
  <c r="BR56" i="7"/>
  <c r="AZ60" i="7"/>
  <c r="AZ119" i="7"/>
  <c r="BR136" i="7"/>
  <c r="BR140" i="7"/>
  <c r="AZ73" i="7"/>
  <c r="AZ120" i="7"/>
  <c r="BR139" i="7"/>
  <c r="BR152" i="7"/>
  <c r="AZ194" i="7"/>
  <c r="AZ204" i="7"/>
  <c r="AZ214" i="7"/>
  <c r="AZ226" i="7"/>
  <c r="BR129" i="7"/>
  <c r="BR161" i="7"/>
  <c r="BR191" i="7"/>
  <c r="AZ229" i="7"/>
  <c r="BR186" i="7"/>
  <c r="AZ231" i="7"/>
  <c r="BR277" i="7"/>
  <c r="BR284" i="7"/>
  <c r="BR288" i="7"/>
  <c r="BR294" i="7"/>
  <c r="BR298" i="7"/>
  <c r="BR302" i="7"/>
  <c r="BR176" i="7"/>
  <c r="BR266" i="7"/>
  <c r="BR268" i="7"/>
  <c r="AZ239" i="7"/>
  <c r="AZ247" i="7"/>
  <c r="AZ255" i="7"/>
  <c r="BR270" i="7"/>
  <c r="AZ4" i="7"/>
  <c r="AZ8" i="7"/>
  <c r="AZ12" i="7"/>
  <c r="BR39" i="7"/>
  <c r="AZ47" i="7"/>
  <c r="AZ22" i="7"/>
  <c r="AZ69" i="7"/>
  <c r="AZ113" i="7"/>
  <c r="AZ121" i="7"/>
  <c r="BR103" i="7"/>
  <c r="BR94" i="7"/>
  <c r="AZ96" i="7"/>
  <c r="BR132" i="7"/>
  <c r="AZ124" i="7"/>
  <c r="BR141" i="7"/>
  <c r="BR143" i="7"/>
  <c r="BR146" i="7"/>
  <c r="BR147" i="7"/>
  <c r="BR151" i="7"/>
  <c r="BR160" i="7"/>
  <c r="BR164" i="7"/>
  <c r="BR169" i="7"/>
  <c r="BR173" i="7"/>
  <c r="BR177" i="7"/>
  <c r="BR183" i="7"/>
  <c r="BR145" i="7"/>
  <c r="BR188" i="7"/>
  <c r="BR190" i="7"/>
  <c r="AZ198" i="7"/>
  <c r="AZ207" i="7"/>
  <c r="AZ217" i="7"/>
  <c r="BR170" i="7"/>
  <c r="AZ193" i="7"/>
  <c r="AZ199" i="7"/>
  <c r="AZ203" i="7"/>
  <c r="AZ208" i="7"/>
  <c r="AZ213" i="7"/>
  <c r="AZ218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BA335" i="7" l="1"/>
  <c r="BE335" i="7" s="1"/>
  <c r="AN332" i="7"/>
  <c r="AO332" i="7" s="1" a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BS324" i="7" s="1"/>
  <c r="BW324" i="7" s="1"/>
  <c r="BC333" i="7"/>
  <c r="Y337" i="7"/>
  <c r="AN335" i="7"/>
  <c r="AO335" i="7" s="1" a="1"/>
  <c r="AQ335" i="7" s="1"/>
  <c r="W330" i="7"/>
  <c r="BC324" i="7"/>
  <c r="W337" i="7"/>
  <c r="BB324" i="7"/>
  <c r="BD324" i="7" s="1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BU338" i="7" s="1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C338" i="7"/>
  <c r="BA336" i="7"/>
  <c r="BE336" i="7" s="1"/>
  <c r="BC335" i="7"/>
  <c r="BF335" i="7" s="1"/>
  <c r="BG335" i="7" s="1" a="1"/>
  <c r="AN340" i="7"/>
  <c r="AO340" i="7" s="1" a="1"/>
  <c r="AU340" i="7" s="1"/>
  <c r="BB329" i="7"/>
  <c r="BD329" i="7" s="1"/>
  <c r="BB325" i="7"/>
  <c r="BD325" i="7" s="1"/>
  <c r="BR335" i="7"/>
  <c r="BU335" i="7" s="1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Y328" i="7"/>
  <c r="AP328" i="7"/>
  <c r="AX328" i="7"/>
  <c r="AT328" i="7"/>
  <c r="AR328" i="7"/>
  <c r="AW328" i="7"/>
  <c r="AQ328" i="7"/>
  <c r="AO328" i="7"/>
  <c r="AS328" i="7"/>
  <c r="AV328" i="7"/>
  <c r="AU328" i="7"/>
  <c r="AR337" i="7"/>
  <c r="AS337" i="7"/>
  <c r="AT337" i="7"/>
  <c r="AU337" i="7"/>
  <c r="AW337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AY332" i="7"/>
  <c r="AP332" i="7"/>
  <c r="AX332" i="7"/>
  <c r="AT332" i="7"/>
  <c r="AW332" i="7"/>
  <c r="AQ332" i="7"/>
  <c r="AO332" i="7"/>
  <c r="AS332" i="7"/>
  <c r="AV332" i="7"/>
  <c r="AU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0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5" i="7"/>
  <c r="BR46" i="7"/>
  <c r="BR195" i="7"/>
  <c r="BR265" i="7"/>
  <c r="BR111" i="7"/>
  <c r="BR90" i="7"/>
  <c r="BR88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4" i="7"/>
  <c r="BR97" i="7"/>
  <c r="BR250" i="7"/>
  <c r="AL325" i="7"/>
  <c r="AN325" i="7" s="1"/>
  <c r="AO325" i="7" s="1" a="1"/>
  <c r="AN351" i="7"/>
  <c r="AO351" i="7" s="1" a="1"/>
  <c r="AN348" i="7"/>
  <c r="AO348" i="7" s="1" a="1"/>
  <c r="BF323" i="7"/>
  <c r="BG323" i="7" s="1" a="1"/>
  <c r="BR258" i="7"/>
  <c r="BR42" i="7"/>
  <c r="BR238" i="7"/>
  <c r="AN352" i="7"/>
  <c r="AO352" i="7" s="1" a="1"/>
  <c r="BR196" i="7"/>
  <c r="BR267" i="7"/>
  <c r="BR95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49" i="7"/>
  <c r="BR157" i="7"/>
  <c r="BR225" i="7"/>
  <c r="BR289" i="7"/>
  <c r="BR234" i="7"/>
  <c r="BU324" i="7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79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1" i="7"/>
  <c r="BR72" i="7"/>
  <c r="BS341" i="7"/>
  <c r="BW341" i="7" s="1"/>
  <c r="BT341" i="7"/>
  <c r="BV341" i="7" s="1"/>
  <c r="BU341" i="7"/>
  <c r="BS339" i="7"/>
  <c r="BW339" i="7" s="1"/>
  <c r="BU339" i="7"/>
  <c r="BT339" i="7"/>
  <c r="BV339" i="7" s="1"/>
  <c r="BT328" i="7"/>
  <c r="BV328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F333" i="7"/>
  <c r="BG333" i="7" s="1" a="1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30" i="7"/>
  <c r="BR127" i="7"/>
  <c r="BR74" i="7"/>
  <c r="BR260" i="7"/>
  <c r="BR19" i="7"/>
  <c r="BF338" i="7"/>
  <c r="BG338" i="7" s="1" a="1"/>
  <c r="AN350" i="7"/>
  <c r="AO350" i="7" s="1" a="1"/>
  <c r="AN319" i="7"/>
  <c r="AO319" i="7" s="1" a="1"/>
  <c r="AN315" i="7"/>
  <c r="AO315" i="7" s="1" a="1"/>
  <c r="BR79" i="7"/>
  <c r="BR36" i="7"/>
  <c r="BR85" i="7"/>
  <c r="BR16" i="7"/>
  <c r="BR98" i="7"/>
  <c r="AN343" i="7"/>
  <c r="AO343" i="7" s="1" a="1"/>
  <c r="BF332" i="7"/>
  <c r="BG332" i="7" s="1" a="1"/>
  <c r="BT335" i="7"/>
  <c r="BV335" i="7" s="1"/>
  <c r="BF327" i="7"/>
  <c r="BG327" i="7" s="1" a="1"/>
  <c r="BS323" i="7"/>
  <c r="BW323" i="7" s="1"/>
  <c r="BT323" i="7"/>
  <c r="BV323" i="7" s="1"/>
  <c r="BU323" i="7"/>
  <c r="BR279" i="7"/>
  <c r="BR64" i="7"/>
  <c r="BR57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2" i="7"/>
  <c r="BR66" i="7"/>
  <c r="BR168" i="7"/>
  <c r="BR84" i="7"/>
  <c r="BR50" i="7"/>
  <c r="BC345" i="7"/>
  <c r="BR345" i="7"/>
  <c r="BA345" i="7"/>
  <c r="BE345" i="7" s="1"/>
  <c r="BB345" i="7"/>
  <c r="BD345" i="7" s="1"/>
  <c r="BT338" i="7"/>
  <c r="BV338" i="7" s="1"/>
  <c r="BR227" i="7"/>
  <c r="BR144" i="7"/>
  <c r="BR109" i="7"/>
  <c r="BR206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6" i="7"/>
  <c r="BR104" i="7"/>
  <c r="BR101" i="7"/>
  <c r="BR32" i="7"/>
  <c r="BR33" i="7"/>
  <c r="BR156" i="7"/>
  <c r="BR159" i="7"/>
  <c r="BA346" i="7"/>
  <c r="BE346" i="7" s="1"/>
  <c r="BB346" i="7"/>
  <c r="BD346" i="7" s="1"/>
  <c r="BC346" i="7"/>
  <c r="BR346" i="7"/>
  <c r="BR87" i="7"/>
  <c r="BR77" i="7"/>
  <c r="BR99" i="7"/>
  <c r="BR48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22" i="7"/>
  <c r="BS337" i="7"/>
  <c r="BW337" i="7" s="1"/>
  <c r="BT337" i="7"/>
  <c r="BV337" i="7" s="1"/>
  <c r="BU337" i="7"/>
  <c r="BT333" i="7"/>
  <c r="BV333" i="7" s="1"/>
  <c r="BU321" i="7"/>
  <c r="BR62" i="7"/>
  <c r="BR83" i="7"/>
  <c r="BR108" i="7"/>
  <c r="BR153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1" i="7"/>
  <c r="BR216" i="7"/>
  <c r="BR106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1" i="7"/>
  <c r="BS331" i="7"/>
  <c r="BW331" i="7" s="1"/>
  <c r="BT331" i="7"/>
  <c r="BV331" i="7" s="1"/>
  <c r="BU331" i="7"/>
  <c r="BS327" i="7"/>
  <c r="BW327" i="7" s="1"/>
  <c r="BT327" i="7"/>
  <c r="BV327" i="7" s="1"/>
  <c r="BU327" i="7"/>
  <c r="BR102" i="7"/>
  <c r="BR24" i="7"/>
  <c r="BR278" i="7"/>
  <c r="BR40" i="7"/>
  <c r="BR34" i="7"/>
  <c r="BF326" i="7"/>
  <c r="BG326" i="7" s="1" a="1"/>
  <c r="AN349" i="7"/>
  <c r="AO349" i="7" s="1" a="1"/>
  <c r="AN318" i="7"/>
  <c r="AO318" i="7" s="1" a="1"/>
  <c r="BR31" i="7"/>
  <c r="BR100" i="7"/>
  <c r="BR221" i="7"/>
  <c r="BR264" i="7"/>
  <c r="BR218" i="7"/>
  <c r="BR199" i="7"/>
  <c r="BR217" i="7"/>
  <c r="BR8" i="7"/>
  <c r="BR4" i="7"/>
  <c r="BR247" i="7"/>
  <c r="BR231" i="7"/>
  <c r="BR120" i="7"/>
  <c r="BR119" i="7"/>
  <c r="BR128" i="7"/>
  <c r="BR115" i="7"/>
  <c r="BR68" i="7"/>
  <c r="BR11" i="7"/>
  <c r="BR233" i="7"/>
  <c r="BR232" i="7"/>
  <c r="BR215" i="7"/>
  <c r="BR197" i="7"/>
  <c r="BR223" i="7"/>
  <c r="BR243" i="7"/>
  <c r="BR310" i="7"/>
  <c r="BR245" i="7"/>
  <c r="BR257" i="7"/>
  <c r="BR224" i="7"/>
  <c r="BR203" i="7"/>
  <c r="BR207" i="7"/>
  <c r="BR96" i="7"/>
  <c r="BR255" i="7"/>
  <c r="BR226" i="7"/>
  <c r="BR214" i="7"/>
  <c r="BR26" i="7"/>
  <c r="BR28" i="7"/>
  <c r="BR122" i="7"/>
  <c r="BR13" i="7"/>
  <c r="BR220" i="7"/>
  <c r="BR201" i="7"/>
  <c r="BR212" i="7"/>
  <c r="BR259" i="7"/>
  <c r="BR237" i="7"/>
  <c r="BR124" i="7"/>
  <c r="BR262" i="7"/>
  <c r="BR249" i="7"/>
  <c r="BR208" i="7"/>
  <c r="BR198" i="7"/>
  <c r="BR121" i="7"/>
  <c r="BR69" i="7"/>
  <c r="BR22" i="7"/>
  <c r="BR229" i="7"/>
  <c r="BR204" i="7"/>
  <c r="BR73" i="7"/>
  <c r="BR58" i="7"/>
  <c r="BR89" i="7"/>
  <c r="BR53" i="7"/>
  <c r="BR7" i="7"/>
  <c r="BR205" i="7"/>
  <c r="BR202" i="7"/>
  <c r="BR116" i="7"/>
  <c r="BR312" i="7"/>
  <c r="BR241" i="7"/>
  <c r="BR228" i="7"/>
  <c r="BR213" i="7"/>
  <c r="BR193" i="7"/>
  <c r="BR113" i="7"/>
  <c r="BR47" i="7"/>
  <c r="BR12" i="7"/>
  <c r="BR239" i="7"/>
  <c r="BR194" i="7"/>
  <c r="BR60" i="7"/>
  <c r="BR126" i="7"/>
  <c r="BR78" i="7"/>
  <c r="BR123" i="7"/>
  <c r="BR6" i="7"/>
  <c r="BR27" i="7"/>
  <c r="BR211" i="7"/>
  <c r="BR314" i="7"/>
  <c r="BR308" i="7"/>
  <c r="BR86" i="7"/>
  <c r="BR117" i="7"/>
  <c r="BR65" i="7"/>
  <c r="BR25" i="7"/>
  <c r="BR5" i="7"/>
  <c r="BR219" i="7"/>
  <c r="BR91" i="7"/>
  <c r="BR55" i="7"/>
  <c r="BR209" i="7"/>
  <c r="BR114" i="7"/>
  <c r="BR118" i="7"/>
  <c r="BR125" i="7"/>
  <c r="BR235" i="7"/>
  <c r="BR200" i="7"/>
  <c r="BR251" i="7"/>
  <c r="BR253" i="7"/>
  <c r="BR236" i="7"/>
  <c r="S8" i="6" l="1"/>
  <c r="BT324" i="7"/>
  <c r="BV324" i="7" s="1"/>
  <c r="R9" i="6"/>
  <c r="P10" i="6"/>
  <c r="Q9" i="6"/>
  <c r="Q10" i="6" s="1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AV340" i="7"/>
  <c r="AX334" i="7"/>
  <c r="AO340" i="7"/>
  <c r="AT340" i="7"/>
  <c r="AT330" i="7"/>
  <c r="BS333" i="7"/>
  <c r="BW333" i="7" s="1"/>
  <c r="BX333" i="7" s="1"/>
  <c r="BY333" i="7" s="1" a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BP333" i="7"/>
  <c r="BN333" i="7"/>
  <c r="BI333" i="7"/>
  <c r="BO333" i="7"/>
  <c r="BQ333" i="7"/>
  <c r="BK333" i="7"/>
  <c r="BH333" i="7"/>
  <c r="BG333" i="7"/>
  <c r="BM333" i="7"/>
  <c r="BL333" i="7"/>
  <c r="BJ333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L335" i="7"/>
  <c r="BP335" i="7"/>
  <c r="BM335" i="7"/>
  <c r="BO335" i="7"/>
  <c r="BJ335" i="7"/>
  <c r="BH335" i="7"/>
  <c r="BK335" i="7"/>
  <c r="BN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BL321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G324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24" i="7"/>
  <c r="BY324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S351" i="7"/>
  <c r="BW351" i="7" s="1"/>
  <c r="BT351" i="7"/>
  <c r="BV351" i="7" s="1"/>
  <c r="BU351" i="7"/>
  <c r="BX338" i="7"/>
  <c r="BY338" i="7" s="1" a="1"/>
  <c r="BF349" i="7"/>
  <c r="BG349" i="7" s="1" a="1"/>
  <c r="BX335" i="7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28" i="7"/>
  <c r="BY32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N321" i="7" l="1"/>
  <c r="P11" i="6"/>
  <c r="R10" i="6"/>
  <c r="S10" i="6" s="1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I333" i="7"/>
  <c r="CD333" i="7"/>
  <c r="BY333" i="7"/>
  <c r="CJ333" i="7" s="1"/>
  <c r="CE333" i="7"/>
  <c r="BZ333" i="7"/>
  <c r="CF333" i="7"/>
  <c r="CC333" i="7"/>
  <c r="CA333" i="7"/>
  <c r="CG333" i="7"/>
  <c r="CB333" i="7"/>
  <c r="CH333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C324" i="7"/>
  <c r="BY324" i="7"/>
  <c r="CK324" i="7" s="1"/>
  <c r="CB324" i="7"/>
  <c r="CA324" i="7"/>
  <c r="CG324" i="7"/>
  <c r="CH324" i="7"/>
  <c r="BZ324" i="7"/>
  <c r="CF324" i="7"/>
  <c r="CI324" i="7"/>
  <c r="CD324" i="7"/>
  <c r="CE324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F338" i="7"/>
  <c r="CB338" i="7"/>
  <c r="CE338" i="7"/>
  <c r="BZ338" i="7"/>
  <c r="CA338" i="7"/>
  <c r="BY338" i="7"/>
  <c r="CJ338" i="7" s="1"/>
  <c r="CG338" i="7"/>
  <c r="CD338" i="7"/>
  <c r="CH338" i="7"/>
  <c r="CC338" i="7"/>
  <c r="CI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CA321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R11" i="6" l="1"/>
  <c r="Q11" i="6"/>
  <c r="S11" i="6" s="1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N328" i="7" s="1"/>
  <c r="CJ328" i="7"/>
  <c r="CJ339" i="7"/>
  <c r="CK327" i="7"/>
  <c r="CQ327" i="7" s="1"/>
  <c r="CK329" i="7"/>
  <c r="CR329" i="7" s="1"/>
  <c r="CK334" i="7"/>
  <c r="CR334" i="7" s="1"/>
  <c r="CJ330" i="7"/>
  <c r="CR330" i="7" s="1"/>
  <c r="CJ324" i="7"/>
  <c r="CR324" i="7" s="1"/>
  <c r="CK338" i="7"/>
  <c r="CR338" i="7" s="1"/>
  <c r="CJ336" i="7"/>
  <c r="CJ332" i="7"/>
  <c r="CR332" i="7" s="1"/>
  <c r="CJ322" i="7"/>
  <c r="CS322" i="7" s="1"/>
  <c r="CK333" i="7"/>
  <c r="CN333" i="7" s="1"/>
  <c r="CJ323" i="7"/>
  <c r="CQ323" i="7" s="1"/>
  <c r="CJ340" i="7"/>
  <c r="CL340" i="7" s="1"/>
  <c r="CJ331" i="7"/>
  <c r="CP331" i="7" s="1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R326" i="7" s="1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R322" i="7"/>
  <c r="CP333" i="7"/>
  <c r="CO334" i="7"/>
  <c r="CS338" i="7"/>
  <c r="CV338" i="7" s="1"/>
  <c r="CL338" i="7"/>
  <c r="CN338" i="7" l="1"/>
  <c r="CO338" i="7"/>
  <c r="CM338" i="7"/>
  <c r="CQ338" i="7"/>
  <c r="CP338" i="7"/>
  <c r="CJ321" i="7"/>
  <c r="CQ321" i="7" s="1"/>
  <c r="P13" i="6"/>
  <c r="R12" i="6"/>
  <c r="Q12" i="6"/>
  <c r="Q13" i="6" s="1"/>
  <c r="CR328" i="7"/>
  <c r="CQ329" i="7"/>
  <c r="CO323" i="7"/>
  <c r="CQ328" i="7"/>
  <c r="CL328" i="7"/>
  <c r="CP329" i="7"/>
  <c r="CM329" i="7"/>
  <c r="CS328" i="7"/>
  <c r="CO329" i="7"/>
  <c r="CN329" i="7"/>
  <c r="CL329" i="7"/>
  <c r="CP323" i="7"/>
  <c r="CU323" i="7" s="1"/>
  <c r="CM328" i="7"/>
  <c r="CO328" i="7"/>
  <c r="CT328" i="7" s="1"/>
  <c r="CP328" i="7"/>
  <c r="CS329" i="7"/>
  <c r="CL336" i="7"/>
  <c r="CJ350" i="7"/>
  <c r="CR350" i="7" s="1"/>
  <c r="CK319" i="7"/>
  <c r="CS319" i="7" s="1"/>
  <c r="CS330" i="7"/>
  <c r="CV330" i="7" s="1"/>
  <c r="CL330" i="7"/>
  <c r="CJ320" i="7"/>
  <c r="CK347" i="7"/>
  <c r="CP347" i="7" s="1"/>
  <c r="CJ315" i="7"/>
  <c r="CO315" i="7" s="1"/>
  <c r="CL339" i="7"/>
  <c r="CM322" i="7"/>
  <c r="CV322" i="7"/>
  <c r="CO339" i="7"/>
  <c r="CN331" i="7"/>
  <c r="CJ345" i="7"/>
  <c r="CS345" i="7" s="1"/>
  <c r="CR339" i="7"/>
  <c r="CN322" i="7"/>
  <c r="CM339" i="7"/>
  <c r="CN339" i="7"/>
  <c r="CL322" i="7"/>
  <c r="CO322" i="7"/>
  <c r="CL331" i="7"/>
  <c r="CR331" i="7"/>
  <c r="CS339" i="7"/>
  <c r="CP339" i="7"/>
  <c r="CQ322" i="7"/>
  <c r="CM331" i="7"/>
  <c r="CS331" i="7"/>
  <c r="CP322" i="7"/>
  <c r="CQ339" i="7"/>
  <c r="CO331" i="7"/>
  <c r="CQ331" i="7"/>
  <c r="CR336" i="7"/>
  <c r="CP336" i="7"/>
  <c r="CN334" i="7"/>
  <c r="CT334" i="7" s="1"/>
  <c r="CS336" i="7"/>
  <c r="CS333" i="7"/>
  <c r="CL334" i="7"/>
  <c r="CM334" i="7"/>
  <c r="CR333" i="7"/>
  <c r="CQ333" i="7"/>
  <c r="CU333" i="7" s="1"/>
  <c r="CM336" i="7"/>
  <c r="CL333" i="7"/>
  <c r="CQ334" i="7"/>
  <c r="CN336" i="7"/>
  <c r="CM333" i="7"/>
  <c r="CO336" i="7"/>
  <c r="CN327" i="7"/>
  <c r="CP327" i="7"/>
  <c r="CU327" i="7" s="1"/>
  <c r="CL327" i="7"/>
  <c r="CM327" i="7"/>
  <c r="CR327" i="7"/>
  <c r="CO327" i="7"/>
  <c r="CS327" i="7"/>
  <c r="CL332" i="7"/>
  <c r="CS332" i="7"/>
  <c r="CV332" i="7" s="1"/>
  <c r="CN321" i="7"/>
  <c r="CN330" i="7"/>
  <c r="CR323" i="7"/>
  <c r="CS321" i="7"/>
  <c r="CJ318" i="7"/>
  <c r="CQ318" i="7" s="1"/>
  <c r="CS326" i="7"/>
  <c r="CV326" i="7" s="1"/>
  <c r="CN332" i="7"/>
  <c r="CM332" i="7"/>
  <c r="CQ330" i="7"/>
  <c r="CM323" i="7"/>
  <c r="CN326" i="7"/>
  <c r="CQ326" i="7"/>
  <c r="CP321" i="7"/>
  <c r="CU321" i="7" s="1"/>
  <c r="CR321" i="7"/>
  <c r="CM330" i="7"/>
  <c r="CO330" i="7"/>
  <c r="CM326" i="7"/>
  <c r="CO326" i="7"/>
  <c r="CO321" i="7"/>
  <c r="CQ332" i="7"/>
  <c r="CO332" i="7"/>
  <c r="CN323" i="7"/>
  <c r="CL323" i="7"/>
  <c r="CL326" i="7"/>
  <c r="CL321" i="7"/>
  <c r="CP332" i="7"/>
  <c r="CP330" i="7"/>
  <c r="CS323" i="7"/>
  <c r="CP334" i="7"/>
  <c r="CS334" i="7"/>
  <c r="CV334" i="7" s="1"/>
  <c r="CQ336" i="7"/>
  <c r="CM321" i="7"/>
  <c r="CO333" i="7"/>
  <c r="CT333" i="7" s="1"/>
  <c r="CP326" i="7"/>
  <c r="CQ324" i="7"/>
  <c r="CO324" i="7"/>
  <c r="CM324" i="7"/>
  <c r="CP324" i="7"/>
  <c r="CJ343" i="7"/>
  <c r="CR343" i="7" s="1"/>
  <c r="CM340" i="7"/>
  <c r="CN324" i="7"/>
  <c r="CS324" i="7"/>
  <c r="CV324" i="7" s="1"/>
  <c r="CR340" i="7"/>
  <c r="CL324" i="7"/>
  <c r="CJ352" i="7"/>
  <c r="CQ352" i="7" s="1"/>
  <c r="CS340" i="7"/>
  <c r="CN340" i="7"/>
  <c r="CU331" i="7"/>
  <c r="CQ340" i="7"/>
  <c r="CP340" i="7"/>
  <c r="CJ351" i="7"/>
  <c r="CS351" i="7" s="1"/>
  <c r="CJ349" i="7"/>
  <c r="CR349" i="7" s="1"/>
  <c r="CO340" i="7"/>
  <c r="CK346" i="7"/>
  <c r="CQ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S316" i="7" s="1"/>
  <c r="CK325" i="7"/>
  <c r="CJ325" i="7"/>
  <c r="CO350" i="7"/>
  <c r="CS347" i="7"/>
  <c r="CQ350" i="7"/>
  <c r="CP350" i="7"/>
  <c r="CM350" i="7"/>
  <c r="CL350" i="7"/>
  <c r="CN350" i="7"/>
  <c r="CS350" i="7"/>
  <c r="CV350" i="7" s="1"/>
  <c r="CN320" i="7"/>
  <c r="CR320" i="7"/>
  <c r="CO320" i="7"/>
  <c r="CS320" i="7"/>
  <c r="CL320" i="7"/>
  <c r="CP320" i="7"/>
  <c r="CM320" i="7"/>
  <c r="CQ320" i="7"/>
  <c r="CV329" i="7"/>
  <c r="CO351" i="7"/>
  <c r="CO345" i="7"/>
  <c r="CM345" i="7"/>
  <c r="CU338" i="7"/>
  <c r="CT338" i="7"/>
  <c r="CU328" i="7" l="1"/>
  <c r="CO319" i="7"/>
  <c r="CT323" i="7"/>
  <c r="S12" i="6"/>
  <c r="CV328" i="7"/>
  <c r="P14" i="6"/>
  <c r="R13" i="6"/>
  <c r="S13" i="6" s="1"/>
  <c r="CU329" i="7"/>
  <c r="CT329" i="7"/>
  <c r="CQ319" i="7"/>
  <c r="CR347" i="7"/>
  <c r="CV347" i="7" s="1"/>
  <c r="CP319" i="7"/>
  <c r="CO347" i="7"/>
  <c r="CV339" i="7"/>
  <c r="CN319" i="7"/>
  <c r="CT319" i="7" s="1"/>
  <c r="CQ347" i="7"/>
  <c r="CU347" i="7" s="1"/>
  <c r="CL319" i="7"/>
  <c r="CM319" i="7"/>
  <c r="CN347" i="7"/>
  <c r="CR319" i="7"/>
  <c r="CV319" i="7" s="1"/>
  <c r="CM347" i="7"/>
  <c r="CL347" i="7"/>
  <c r="CU322" i="7"/>
  <c r="CV331" i="7"/>
  <c r="CS315" i="7"/>
  <c r="CN315" i="7"/>
  <c r="CT315" i="7" s="1"/>
  <c r="CL315" i="7"/>
  <c r="CR315" i="7"/>
  <c r="CQ315" i="7"/>
  <c r="CM315" i="7"/>
  <c r="CP315" i="7"/>
  <c r="CU324" i="7"/>
  <c r="CV336" i="7"/>
  <c r="CT322" i="7"/>
  <c r="CV327" i="7"/>
  <c r="CT339" i="7"/>
  <c r="CO349" i="7"/>
  <c r="CS349" i="7"/>
  <c r="CV349" i="7" s="1"/>
  <c r="CU334" i="7"/>
  <c r="CT327" i="7"/>
  <c r="CU339" i="7"/>
  <c r="CT336" i="7"/>
  <c r="CU336" i="7"/>
  <c r="CT331" i="7"/>
  <c r="CR345" i="7"/>
  <c r="CV345" i="7" s="1"/>
  <c r="CP345" i="7"/>
  <c r="CL345" i="7"/>
  <c r="CN345" i="7"/>
  <c r="CT345" i="7" s="1"/>
  <c r="CQ345" i="7"/>
  <c r="CV333" i="7"/>
  <c r="CP349" i="7"/>
  <c r="CN318" i="7"/>
  <c r="CS318" i="7"/>
  <c r="CO316" i="7"/>
  <c r="CR318" i="7"/>
  <c r="CM349" i="7"/>
  <c r="CT324" i="7"/>
  <c r="CV323" i="7"/>
  <c r="CP352" i="7"/>
  <c r="CU352" i="7" s="1"/>
  <c r="CO352" i="7"/>
  <c r="CR352" i="7"/>
  <c r="CM318" i="7"/>
  <c r="CP318" i="7"/>
  <c r="CU318" i="7" s="1"/>
  <c r="CQ349" i="7"/>
  <c r="CL349" i="7"/>
  <c r="CT340" i="7"/>
  <c r="CT330" i="7"/>
  <c r="CV321" i="7"/>
  <c r="CM352" i="7"/>
  <c r="CL318" i="7"/>
  <c r="CN349" i="7"/>
  <c r="CO318" i="7"/>
  <c r="CT318" i="7" s="1"/>
  <c r="CU330" i="7"/>
  <c r="CT321" i="7"/>
  <c r="CU340" i="7"/>
  <c r="CT326" i="7"/>
  <c r="CT332" i="7"/>
  <c r="CN343" i="7"/>
  <c r="CM351" i="7"/>
  <c r="CR351" i="7"/>
  <c r="CV351" i="7" s="1"/>
  <c r="CP351" i="7"/>
  <c r="CP343" i="7"/>
  <c r="CS343" i="7"/>
  <c r="CV343" i="7" s="1"/>
  <c r="CN351" i="7"/>
  <c r="CT351" i="7" s="1"/>
  <c r="CL351" i="7"/>
  <c r="CM343" i="7"/>
  <c r="CO343" i="7"/>
  <c r="CQ343" i="7"/>
  <c r="CL343" i="7"/>
  <c r="CU326" i="7"/>
  <c r="CU332" i="7"/>
  <c r="CV340" i="7"/>
  <c r="CQ351" i="7"/>
  <c r="CN346" i="7"/>
  <c r="CL352" i="7"/>
  <c r="CN352" i="7"/>
  <c r="CT352" i="7" s="1"/>
  <c r="CM316" i="7"/>
  <c r="CS352" i="7"/>
  <c r="CO346" i="7"/>
  <c r="CR316" i="7"/>
  <c r="CV316" i="7" s="1"/>
  <c r="CP316" i="7"/>
  <c r="CP346" i="7"/>
  <c r="CU346" i="7" s="1"/>
  <c r="CM346" i="7"/>
  <c r="CN316" i="7"/>
  <c r="CR346" i="7"/>
  <c r="CS346" i="7"/>
  <c r="CL335" i="7"/>
  <c r="CL316" i="7"/>
  <c r="CQ316" i="7"/>
  <c r="CL346" i="7"/>
  <c r="CK317" i="7"/>
  <c r="CJ317" i="7"/>
  <c r="CK342" i="7"/>
  <c r="CJ342" i="7"/>
  <c r="CL325" i="7"/>
  <c r="CQ335" i="7"/>
  <c r="CS335" i="7"/>
  <c r="CR335" i="7"/>
  <c r="CM335" i="7"/>
  <c r="CP335" i="7"/>
  <c r="CO335" i="7"/>
  <c r="CN335" i="7"/>
  <c r="CS325" i="7"/>
  <c r="CP325" i="7"/>
  <c r="CQ325" i="7"/>
  <c r="CO325" i="7"/>
  <c r="CR325" i="7"/>
  <c r="CV325" i="7" s="1"/>
  <c r="CM325" i="7"/>
  <c r="CN325" i="7"/>
  <c r="CQ337" i="7"/>
  <c r="CP337" i="7"/>
  <c r="CN337" i="7"/>
  <c r="CS337" i="7"/>
  <c r="CM337" i="7"/>
  <c r="CL337" i="7"/>
  <c r="CO337" i="7"/>
  <c r="CR337" i="7"/>
  <c r="CJ344" i="7"/>
  <c r="CK344" i="7"/>
  <c r="CN348" i="7"/>
  <c r="CL348" i="7"/>
  <c r="CR348" i="7"/>
  <c r="CP348" i="7"/>
  <c r="CQ348" i="7"/>
  <c r="CS348" i="7"/>
  <c r="CM348" i="7"/>
  <c r="CO348" i="7"/>
  <c r="CN341" i="7"/>
  <c r="CO341" i="7"/>
  <c r="CR341" i="7"/>
  <c r="CS341" i="7"/>
  <c r="CP341" i="7"/>
  <c r="CQ341" i="7"/>
  <c r="CM341" i="7"/>
  <c r="CL341" i="7"/>
  <c r="CT350" i="7"/>
  <c r="CU350" i="7"/>
  <c r="CT320" i="7"/>
  <c r="CU320" i="7"/>
  <c r="CV320" i="7"/>
  <c r="CV318" i="7" l="1"/>
  <c r="Q14" i="6"/>
  <c r="S14" i="6" s="1"/>
  <c r="R14" i="6"/>
  <c r="P15" i="6"/>
  <c r="CU319" i="7"/>
  <c r="CU351" i="7"/>
  <c r="CU335" i="7"/>
  <c r="CT349" i="7"/>
  <c r="CV352" i="7"/>
  <c r="CT347" i="7"/>
  <c r="CV337" i="7"/>
  <c r="CU349" i="7"/>
  <c r="CV315" i="7"/>
  <c r="CU315" i="7"/>
  <c r="CU345" i="7"/>
  <c r="CT316" i="7"/>
  <c r="CU343" i="7"/>
  <c r="CT346" i="7"/>
  <c r="CT343" i="7"/>
  <c r="CV346" i="7"/>
  <c r="CU316" i="7"/>
  <c r="CT325" i="7"/>
  <c r="CU348" i="7"/>
  <c r="CR344" i="7"/>
  <c r="CU337" i="7"/>
  <c r="CM342" i="7"/>
  <c r="CP342" i="7"/>
  <c r="CO342" i="7"/>
  <c r="CQ342" i="7"/>
  <c r="CR342" i="7"/>
  <c r="CL342" i="7"/>
  <c r="CS342" i="7"/>
  <c r="CN342" i="7"/>
  <c r="CU341" i="7"/>
  <c r="CT341" i="7"/>
  <c r="CT348" i="7"/>
  <c r="CT337" i="7"/>
  <c r="CU325" i="7"/>
  <c r="CL317" i="7"/>
  <c r="CR317" i="7"/>
  <c r="CS317" i="7"/>
  <c r="CN317" i="7"/>
  <c r="CM317" i="7"/>
  <c r="CQ317" i="7"/>
  <c r="CP317" i="7"/>
  <c r="CV341" i="7"/>
  <c r="CV348" i="7"/>
  <c r="CL344" i="7"/>
  <c r="CQ344" i="7"/>
  <c r="CM344" i="7"/>
  <c r="CN344" i="7"/>
  <c r="CS344" i="7"/>
  <c r="CV344" i="7" s="1"/>
  <c r="CP344" i="7"/>
  <c r="CU344" i="7" s="1"/>
  <c r="CO344" i="7"/>
  <c r="CT335" i="7"/>
  <c r="CV335" i="7"/>
  <c r="CO317" i="7"/>
  <c r="Q15" i="6" l="1"/>
  <c r="Q16" i="6" s="1"/>
  <c r="R15" i="6"/>
  <c r="P16" i="6"/>
  <c r="CU317" i="7"/>
  <c r="CT342" i="7"/>
  <c r="CT344" i="7"/>
  <c r="CV317" i="7"/>
  <c r="CU342" i="7"/>
  <c r="CT317" i="7"/>
  <c r="CV342" i="7"/>
  <c r="P17" i="6" l="1"/>
  <c r="R16" i="6"/>
  <c r="S16" i="6" s="1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Q17" i="6" l="1"/>
  <c r="R17" i="6"/>
  <c r="P18" i="6"/>
  <c r="BA252" i="7"/>
  <c r="BA14" i="7"/>
  <c r="BA269" i="7"/>
  <c r="BA150" i="7"/>
  <c r="BA163" i="7"/>
  <c r="BA182" i="7"/>
  <c r="BA134" i="7"/>
  <c r="BA292" i="7"/>
  <c r="BA244" i="7"/>
  <c r="BA174" i="7"/>
  <c r="BA130" i="7"/>
  <c r="BA171" i="7"/>
  <c r="BA274" i="7"/>
  <c r="BA263" i="7"/>
  <c r="BA137" i="7"/>
  <c r="BA133" i="7"/>
  <c r="BA189" i="7"/>
  <c r="BA280" i="7"/>
  <c r="BA129" i="7"/>
  <c r="BA191" i="7"/>
  <c r="BA186" i="7"/>
  <c r="BA270" i="7"/>
  <c r="BA151" i="7"/>
  <c r="BA183" i="7"/>
  <c r="BA184" i="7"/>
  <c r="BA166" i="7"/>
  <c r="BA176" i="7"/>
  <c r="BA145" i="7"/>
  <c r="BA177" i="7"/>
  <c r="BA272" i="7"/>
  <c r="BA135" i="7"/>
  <c r="BA138" i="7"/>
  <c r="BA140" i="7"/>
  <c r="BA152" i="7"/>
  <c r="BA190" i="7"/>
  <c r="BA306" i="7"/>
  <c r="BA293" i="7"/>
  <c r="BA149" i="7"/>
  <c r="BA141" i="7"/>
  <c r="BA146" i="7"/>
  <c r="BA283" i="7"/>
  <c r="BA3" i="7"/>
  <c r="BA240" i="7"/>
  <c r="BA168" i="7"/>
  <c r="BA81" i="7"/>
  <c r="BA264" i="7"/>
  <c r="BA197" i="7"/>
  <c r="BA310" i="7"/>
  <c r="BA201" i="7"/>
  <c r="BA198" i="7"/>
  <c r="BA279" i="7"/>
  <c r="BA218" i="7"/>
  <c r="BA203" i="7"/>
  <c r="BA13" i="7"/>
  <c r="BA124" i="7"/>
  <c r="BA204" i="7"/>
  <c r="BA248" i="7"/>
  <c r="BA199" i="7"/>
  <c r="BA4" i="7"/>
  <c r="BA120" i="7"/>
  <c r="BA128" i="7"/>
  <c r="BA262" i="7"/>
  <c r="BA7" i="7"/>
  <c r="BA205" i="7"/>
  <c r="BA242" i="7"/>
  <c r="BA254" i="7"/>
  <c r="BA246" i="7"/>
  <c r="BA127" i="7"/>
  <c r="BA220" i="7"/>
  <c r="BA237" i="7"/>
  <c r="BA202" i="7"/>
  <c r="BA193" i="7"/>
  <c r="BA241" i="7"/>
  <c r="BA78" i="7"/>
  <c r="BA117" i="7"/>
  <c r="BA12" i="7"/>
  <c r="BA6" i="7"/>
  <c r="BA200" i="7"/>
  <c r="BA228" i="7"/>
  <c r="BA213" i="7"/>
  <c r="BA126" i="7"/>
  <c r="BA123" i="7"/>
  <c r="BA219" i="7"/>
  <c r="BA209" i="7"/>
  <c r="BA194" i="7"/>
  <c r="BA314" i="7"/>
  <c r="BA125" i="7"/>
  <c r="BA253" i="7"/>
  <c r="BA187" i="7"/>
  <c r="BA29" i="7"/>
  <c r="BA271" i="7"/>
  <c r="BA285" i="7"/>
  <c r="BA294" i="7"/>
  <c r="BA132" i="7"/>
  <c r="BA160" i="7"/>
  <c r="BA250" i="7"/>
  <c r="BA225" i="7"/>
  <c r="BA30" i="7"/>
  <c r="BA247" i="7"/>
  <c r="BA28" i="7"/>
  <c r="BA211" i="7"/>
  <c r="BA239" i="7"/>
  <c r="BA155" i="7"/>
  <c r="BA296" i="7"/>
  <c r="BA154" i="7"/>
  <c r="BA286" i="7"/>
  <c r="BA131" i="7"/>
  <c r="BA139" i="7"/>
  <c r="BA297" i="7"/>
  <c r="BA37" i="7"/>
  <c r="BA38" i="7"/>
  <c r="BA185" i="7"/>
  <c r="BA39" i="7"/>
  <c r="BA88" i="7"/>
  <c r="BA36" i="7"/>
  <c r="BA255" i="7"/>
  <c r="BA195" i="7"/>
  <c r="BA221" i="7"/>
  <c r="BA40" i="7"/>
  <c r="BA245" i="7"/>
  <c r="BA259" i="7"/>
  <c r="S300" i="7"/>
  <c r="U300" i="7"/>
  <c r="R300" i="7"/>
  <c r="T300" i="7" s="1"/>
  <c r="Q311" i="7"/>
  <c r="Q276" i="7"/>
  <c r="Q287" i="7"/>
  <c r="Q307" i="7"/>
  <c r="Q273" i="7"/>
  <c r="Q178" i="7"/>
  <c r="Q282" i="7"/>
  <c r="Q142" i="7"/>
  <c r="Q71" i="7"/>
  <c r="Q267" i="7"/>
  <c r="Q289" i="7"/>
  <c r="Q208" i="7"/>
  <c r="Q278" i="7"/>
  <c r="Q104" i="7"/>
  <c r="Q9" i="7"/>
  <c r="Q115" i="7"/>
  <c r="Q223" i="7"/>
  <c r="Q179" i="7"/>
  <c r="Q288" i="7"/>
  <c r="Q265" i="7"/>
  <c r="Q284" i="7"/>
  <c r="Q143" i="7"/>
  <c r="Q230" i="7"/>
  <c r="Q23" i="7"/>
  <c r="Q277" i="7"/>
  <c r="Q76" i="7"/>
  <c r="Q181" i="7"/>
  <c r="Q312" i="7"/>
  <c r="Q233" i="7"/>
  <c r="Q122" i="7"/>
  <c r="Q70" i="7"/>
  <c r="Q144" i="7"/>
  <c r="Q257" i="7"/>
  <c r="Q251" i="7"/>
  <c r="Q238" i="7"/>
  <c r="Q72" i="7"/>
  <c r="Q236" i="7"/>
  <c r="Q118" i="7"/>
  <c r="Q10" i="7"/>
  <c r="Q281" i="7"/>
  <c r="Q169" i="7"/>
  <c r="Q75" i="7"/>
  <c r="Q105" i="7"/>
  <c r="Q21" i="7"/>
  <c r="Q308" i="7"/>
  <c r="Q303" i="7"/>
  <c r="Q167" i="7"/>
  <c r="Q304" i="7"/>
  <c r="Q224" i="7"/>
  <c r="Q217" i="7"/>
  <c r="Q77" i="7"/>
  <c r="Q153" i="7"/>
  <c r="Q212" i="7"/>
  <c r="Q73" i="7"/>
  <c r="Q103" i="7"/>
  <c r="Q20" i="7"/>
  <c r="Q24" i="7"/>
  <c r="Q74" i="7"/>
  <c r="Q243" i="7"/>
  <c r="Q121" i="7"/>
  <c r="Q22" i="7"/>
  <c r="Q170" i="7"/>
  <c r="Q305" i="7"/>
  <c r="Q180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1" i="7"/>
  <c r="AI189" i="7"/>
  <c r="AI152" i="7"/>
  <c r="AI151" i="7"/>
  <c r="AI137" i="7"/>
  <c r="AI146" i="7"/>
  <c r="AI141" i="7"/>
  <c r="AI140" i="7"/>
  <c r="AI14" i="7"/>
  <c r="AI306" i="7"/>
  <c r="AI176" i="7"/>
  <c r="AI129" i="7"/>
  <c r="AI150" i="7"/>
  <c r="AI190" i="7"/>
  <c r="AI183" i="7"/>
  <c r="AI186" i="7"/>
  <c r="AI171" i="7"/>
  <c r="AI166" i="7"/>
  <c r="AI149" i="7"/>
  <c r="AI135" i="7"/>
  <c r="AI134" i="7"/>
  <c r="AI292" i="7"/>
  <c r="AI163" i="7"/>
  <c r="AI174" i="7"/>
  <c r="AI133" i="7"/>
  <c r="AI177" i="7"/>
  <c r="AI145" i="7"/>
  <c r="AI3" i="7"/>
  <c r="AI240" i="7"/>
  <c r="AI209" i="7"/>
  <c r="AI182" i="7"/>
  <c r="AI130" i="7"/>
  <c r="AI274" i="7"/>
  <c r="AI246" i="7"/>
  <c r="AI125" i="7"/>
  <c r="AI263" i="7"/>
  <c r="AI272" i="7"/>
  <c r="AI248" i="7"/>
  <c r="AI138" i="7"/>
  <c r="AI279" i="7"/>
  <c r="AI200" i="7"/>
  <c r="AI219" i="7"/>
  <c r="AI184" i="7"/>
  <c r="AI254" i="7"/>
  <c r="AI242" i="7"/>
  <c r="AI81" i="7"/>
  <c r="AI127" i="7"/>
  <c r="AI168" i="7"/>
  <c r="AI117" i="7"/>
  <c r="AI314" i="7"/>
  <c r="AI78" i="7"/>
  <c r="AI128" i="7"/>
  <c r="AI228" i="7"/>
  <c r="AI237" i="7"/>
  <c r="AI202" i="7"/>
  <c r="AI13" i="7"/>
  <c r="AI123" i="7"/>
  <c r="AI126" i="7"/>
  <c r="AI204" i="7"/>
  <c r="AI12" i="7"/>
  <c r="AI198" i="7"/>
  <c r="AI310" i="7"/>
  <c r="AI197" i="7"/>
  <c r="AI201" i="7"/>
  <c r="AI205" i="7"/>
  <c r="AI220" i="7"/>
  <c r="AI7" i="7"/>
  <c r="AI6" i="7"/>
  <c r="AI4" i="7"/>
  <c r="AI124" i="7"/>
  <c r="AI253" i="7"/>
  <c r="AI120" i="7"/>
  <c r="AI194" i="7"/>
  <c r="AI193" i="7"/>
  <c r="AI199" i="7"/>
  <c r="AI203" i="7"/>
  <c r="AI213" i="7"/>
  <c r="AI218" i="7"/>
  <c r="AI241" i="7"/>
  <c r="AI264" i="7"/>
  <c r="AI262" i="7"/>
  <c r="AI15" i="7"/>
  <c r="AI172" i="7"/>
  <c r="AI25" i="7"/>
  <c r="AI107" i="7"/>
  <c r="AI80" i="7"/>
  <c r="AI82" i="7"/>
  <c r="AI313" i="7"/>
  <c r="AI301" i="7"/>
  <c r="AI210" i="7"/>
  <c r="AI258" i="7"/>
  <c r="AI234" i="7"/>
  <c r="AI27" i="7"/>
  <c r="AI8" i="7"/>
  <c r="AI26" i="7"/>
  <c r="AI285" i="7"/>
  <c r="AI132" i="7"/>
  <c r="AI160" i="7"/>
  <c r="AI187" i="7"/>
  <c r="AI294" i="7"/>
  <c r="AI271" i="7"/>
  <c r="AI29" i="7"/>
  <c r="AI225" i="7"/>
  <c r="AI30" i="7"/>
  <c r="AI250" i="7"/>
  <c r="AI239" i="7"/>
  <c r="AI247" i="7"/>
  <c r="AI28" i="7"/>
  <c r="AI211" i="7"/>
  <c r="AI302" i="7"/>
  <c r="AI261" i="7"/>
  <c r="AI164" i="7"/>
  <c r="AI17" i="7"/>
  <c r="AI35" i="7"/>
  <c r="AI32" i="7"/>
  <c r="AI295" i="7"/>
  <c r="AI87" i="7"/>
  <c r="AI85" i="7"/>
  <c r="AI175" i="7"/>
  <c r="AI33" i="7"/>
  <c r="AI84" i="7"/>
  <c r="AI83" i="7"/>
  <c r="AI188" i="7"/>
  <c r="AI162" i="7"/>
  <c r="AI31" i="7"/>
  <c r="AI34" i="7"/>
  <c r="AI147" i="7"/>
  <c r="AI275" i="7"/>
  <c r="AI136" i="7"/>
  <c r="AI192" i="7"/>
  <c r="AI108" i="7"/>
  <c r="AI309" i="7"/>
  <c r="AI86" i="7"/>
  <c r="AI11" i="7"/>
  <c r="AI155" i="7"/>
  <c r="AI296" i="7"/>
  <c r="AI131" i="7"/>
  <c r="AI139" i="7"/>
  <c r="AI286" i="7"/>
  <c r="AI185" i="7"/>
  <c r="AI154" i="7"/>
  <c r="AI37" i="7"/>
  <c r="AI39" i="7"/>
  <c r="AI38" i="7"/>
  <c r="AI195" i="7"/>
  <c r="AI36" i="7"/>
  <c r="AI88" i="7"/>
  <c r="AI297" i="7"/>
  <c r="AI221" i="7"/>
  <c r="AI40" i="7"/>
  <c r="AI245" i="7"/>
  <c r="AI259" i="7"/>
  <c r="AI255" i="7"/>
  <c r="AI173" i="7"/>
  <c r="AI18" i="7"/>
  <c r="AI41" i="7"/>
  <c r="AI156" i="7"/>
  <c r="AI109" i="7"/>
  <c r="AI157" i="7"/>
  <c r="AI116" i="7"/>
  <c r="AI92" i="7"/>
  <c r="AI89" i="7"/>
  <c r="AI214" i="7"/>
  <c r="AI229" i="7"/>
  <c r="AI45" i="7"/>
  <c r="AI43" i="7"/>
  <c r="AI148" i="7"/>
  <c r="AI298" i="7"/>
  <c r="AI158" i="7"/>
  <c r="AI266" i="7"/>
  <c r="AI161" i="7"/>
  <c r="AI112" i="7"/>
  <c r="AI110" i="7"/>
  <c r="AI165" i="7"/>
  <c r="AI49" i="7"/>
  <c r="AI91" i="7"/>
  <c r="AI90" i="7"/>
  <c r="AI42" i="7"/>
  <c r="AI51" i="7"/>
  <c r="AI46" i="7"/>
  <c r="AI50" i="7"/>
  <c r="AI222" i="7"/>
  <c r="AI111" i="7"/>
  <c r="AI44" i="7"/>
  <c r="AI48" i="7"/>
  <c r="AI5" i="7"/>
  <c r="AI215" i="7"/>
  <c r="AI47" i="7"/>
  <c r="AI56" i="7"/>
  <c r="AI299" i="7"/>
  <c r="AI93" i="7"/>
  <c r="AI54" i="7"/>
  <c r="AI94" i="7"/>
  <c r="AI63" i="7"/>
  <c r="AI61" i="7"/>
  <c r="AI52" i="7"/>
  <c r="AI59" i="7"/>
  <c r="AI159" i="7"/>
  <c r="AI57" i="7"/>
  <c r="AI216" i="7"/>
  <c r="AI235" i="7"/>
  <c r="AI64" i="7"/>
  <c r="AI98" i="7"/>
  <c r="AI206" i="7"/>
  <c r="AI227" i="7"/>
  <c r="AI62" i="7"/>
  <c r="AI256" i="7"/>
  <c r="AI95" i="7"/>
  <c r="AI97" i="7"/>
  <c r="AI99" i="7"/>
  <c r="AI19" i="7"/>
  <c r="AI260" i="7"/>
  <c r="AI55" i="7"/>
  <c r="AI113" i="7"/>
  <c r="AI226" i="7"/>
  <c r="AI249" i="7"/>
  <c r="AI53" i="7"/>
  <c r="AI96" i="7"/>
  <c r="AI58" i="7"/>
  <c r="AI60" i="7"/>
  <c r="AI67" i="7"/>
  <c r="AI66" i="7"/>
  <c r="AI100" i="7"/>
  <c r="AJ100" i="7" s="1"/>
  <c r="AI102" i="7"/>
  <c r="AI114" i="7"/>
  <c r="AI101" i="7"/>
  <c r="AJ101" i="7" s="1"/>
  <c r="AI65" i="7"/>
  <c r="AI196" i="7"/>
  <c r="AI68" i="7"/>
  <c r="AI69" i="7"/>
  <c r="BU300" i="7"/>
  <c r="BT300" i="7"/>
  <c r="BV300" i="7" s="1"/>
  <c r="BW300" i="7"/>
  <c r="BS71" i="7"/>
  <c r="BS287" i="7"/>
  <c r="BS276" i="7"/>
  <c r="BS273" i="7"/>
  <c r="BS142" i="7"/>
  <c r="BS311" i="7"/>
  <c r="BS282" i="7"/>
  <c r="BS178" i="7"/>
  <c r="BS9" i="7"/>
  <c r="BS307" i="7"/>
  <c r="BS267" i="7"/>
  <c r="BS289" i="7"/>
  <c r="BS179" i="7"/>
  <c r="BS115" i="7"/>
  <c r="BS278" i="7"/>
  <c r="BS104" i="7"/>
  <c r="BS208" i="7"/>
  <c r="BS223" i="7"/>
  <c r="BS70" i="7"/>
  <c r="BS10" i="7"/>
  <c r="BS181" i="7"/>
  <c r="BS23" i="7"/>
  <c r="BS143" i="7"/>
  <c r="BS230" i="7"/>
  <c r="BS277" i="7"/>
  <c r="BS288" i="7"/>
  <c r="BS284" i="7"/>
  <c r="BS312" i="7"/>
  <c r="BS122" i="7"/>
  <c r="BS257" i="7"/>
  <c r="BS233" i="7"/>
  <c r="BS265" i="7"/>
  <c r="BS144" i="7"/>
  <c r="BS72" i="7"/>
  <c r="BS236" i="7"/>
  <c r="BS251" i="7"/>
  <c r="BS118" i="7"/>
  <c r="BS238" i="7"/>
  <c r="BS76" i="7"/>
  <c r="BS281" i="7"/>
  <c r="BS105" i="7"/>
  <c r="BS303" i="7"/>
  <c r="BS304" i="7"/>
  <c r="BS103" i="7"/>
  <c r="BS20" i="7"/>
  <c r="BS167" i="7"/>
  <c r="BS21" i="7"/>
  <c r="BS169" i="7"/>
  <c r="BS24" i="7"/>
  <c r="BS308" i="7"/>
  <c r="BS243" i="7"/>
  <c r="BS77" i="7"/>
  <c r="BS153" i="7"/>
  <c r="BS212" i="7"/>
  <c r="BS224" i="7"/>
  <c r="BS217" i="7"/>
  <c r="BS74" i="7"/>
  <c r="BS73" i="7"/>
  <c r="BS75" i="7"/>
  <c r="BS22" i="7"/>
  <c r="BS121" i="7"/>
  <c r="BS291" i="7"/>
  <c r="BS268" i="7"/>
  <c r="BS305" i="7"/>
  <c r="BS180" i="7"/>
  <c r="BS170" i="7"/>
  <c r="BS290" i="7"/>
  <c r="BS232" i="7"/>
  <c r="BS231" i="7"/>
  <c r="BS106" i="7"/>
  <c r="BS16" i="7"/>
  <c r="BS79" i="7"/>
  <c r="BS207" i="7"/>
  <c r="BS119" i="7"/>
  <c r="Q67" i="7"/>
  <c r="Q196" i="7"/>
  <c r="Q68" i="7"/>
  <c r="Q65" i="7"/>
  <c r="Q102" i="7"/>
  <c r="Q100" i="7"/>
  <c r="R100" i="7" s="1"/>
  <c r="Q101" i="7"/>
  <c r="R101" i="7" s="1"/>
  <c r="Q114" i="7"/>
  <c r="Q66" i="7"/>
  <c r="Q69" i="7"/>
  <c r="Q107" i="7"/>
  <c r="Q313" i="7"/>
  <c r="Q301" i="7"/>
  <c r="Q80" i="7"/>
  <c r="Q172" i="7"/>
  <c r="Q15" i="7"/>
  <c r="Q27" i="7"/>
  <c r="Q234" i="7"/>
  <c r="Q258" i="7"/>
  <c r="Q82" i="7"/>
  <c r="Q210" i="7"/>
  <c r="Q25" i="7"/>
  <c r="Q8" i="7"/>
  <c r="Q26" i="7"/>
  <c r="Q271" i="7"/>
  <c r="Q29" i="7"/>
  <c r="Q187" i="7"/>
  <c r="Q294" i="7"/>
  <c r="Q285" i="7"/>
  <c r="Q160" i="7"/>
  <c r="Q250" i="7"/>
  <c r="Q30" i="7"/>
  <c r="Q132" i="7"/>
  <c r="Q247" i="7"/>
  <c r="Q211" i="7"/>
  <c r="Q225" i="7"/>
  <c r="Q239" i="7"/>
  <c r="Q28" i="7"/>
  <c r="Q136" i="7"/>
  <c r="Q147" i="7"/>
  <c r="Q275" i="7"/>
  <c r="Q192" i="7"/>
  <c r="Q309" i="7"/>
  <c r="Q108" i="7"/>
  <c r="Q86" i="7"/>
  <c r="Q11" i="7"/>
  <c r="Q39" i="7"/>
  <c r="Q88" i="7"/>
  <c r="Q37" i="7"/>
  <c r="Q154" i="7"/>
  <c r="Q195" i="7"/>
  <c r="Q297" i="7"/>
  <c r="Q259" i="7"/>
  <c r="Q38" i="7"/>
  <c r="Q155" i="7"/>
  <c r="Q185" i="7"/>
  <c r="Q296" i="7"/>
  <c r="Q286" i="7"/>
  <c r="Q139" i="7"/>
  <c r="Q245" i="7"/>
  <c r="Q221" i="7"/>
  <c r="Q36" i="7"/>
  <c r="Q40" i="7"/>
  <c r="Q255" i="7"/>
  <c r="Q131" i="7"/>
  <c r="Q18" i="7"/>
  <c r="Q41" i="7"/>
  <c r="Q156" i="7"/>
  <c r="Q214" i="7"/>
  <c r="Q89" i="7"/>
  <c r="Q173" i="7"/>
  <c r="Q109" i="7"/>
  <c r="Q157" i="7"/>
  <c r="Q116" i="7"/>
  <c r="Q92" i="7"/>
  <c r="Q229" i="7"/>
  <c r="Q298" i="7"/>
  <c r="Q50" i="7"/>
  <c r="Q148" i="7"/>
  <c r="Q111" i="7"/>
  <c r="Q165" i="7"/>
  <c r="Q158" i="7"/>
  <c r="Q110" i="7"/>
  <c r="Q90" i="7"/>
  <c r="Q161" i="7"/>
  <c r="Q46" i="7"/>
  <c r="Q48" i="7"/>
  <c r="Q112" i="7"/>
  <c r="Q222" i="7"/>
  <c r="Q266" i="7"/>
  <c r="Q49" i="7"/>
  <c r="Q51" i="7"/>
  <c r="Q91" i="7"/>
  <c r="Q215" i="7"/>
  <c r="Q47" i="7"/>
  <c r="Q44" i="7"/>
  <c r="Q42" i="7"/>
  <c r="Q43" i="7"/>
  <c r="Q45" i="7"/>
  <c r="Q5" i="7"/>
  <c r="Q59" i="7"/>
  <c r="Q55" i="7"/>
  <c r="Q97" i="7"/>
  <c r="Q53" i="7"/>
  <c r="Q256" i="7"/>
  <c r="Q60" i="7"/>
  <c r="Q61" i="7"/>
  <c r="Q58" i="7"/>
  <c r="Q93" i="7"/>
  <c r="Q216" i="7"/>
  <c r="Q57" i="7"/>
  <c r="Q260" i="7"/>
  <c r="Q249" i="7"/>
  <c r="Q62" i="7"/>
  <c r="Q206" i="7"/>
  <c r="Q159" i="7"/>
  <c r="Q226" i="7"/>
  <c r="Q96" i="7"/>
  <c r="Q95" i="7"/>
  <c r="Q99" i="7"/>
  <c r="Q98" i="7"/>
  <c r="Q94" i="7"/>
  <c r="Q299" i="7"/>
  <c r="Q63" i="7"/>
  <c r="Q227" i="7"/>
  <c r="Q64" i="7"/>
  <c r="Q19" i="7"/>
  <c r="Q235" i="7"/>
  <c r="Q113" i="7"/>
  <c r="Q54" i="7"/>
  <c r="Q52" i="7"/>
  <c r="Q56" i="7"/>
  <c r="BA79" i="7"/>
  <c r="BA106" i="7"/>
  <c r="BA119" i="7"/>
  <c r="BA207" i="7"/>
  <c r="BA16" i="7"/>
  <c r="Q283" i="7"/>
  <c r="Q270" i="7"/>
  <c r="Q269" i="7"/>
  <c r="Q244" i="7"/>
  <c r="Q240" i="7"/>
  <c r="Q293" i="7"/>
  <c r="Q264" i="7"/>
  <c r="Q177" i="7"/>
  <c r="Q150" i="7"/>
  <c r="Q133" i="7"/>
  <c r="Q306" i="7"/>
  <c r="Q274" i="7"/>
  <c r="Q191" i="7"/>
  <c r="Q14" i="7"/>
  <c r="Q292" i="7"/>
  <c r="Q134" i="7"/>
  <c r="Q190" i="7"/>
  <c r="Q182" i="7"/>
  <c r="Q263" i="7"/>
  <c r="Q166" i="7"/>
  <c r="Q254" i="7"/>
  <c r="Q272" i="7"/>
  <c r="Q186" i="7"/>
  <c r="Q149" i="7"/>
  <c r="Q130" i="7"/>
  <c r="Q310" i="7"/>
  <c r="Q252" i="7"/>
  <c r="Q183" i="7"/>
  <c r="Q171" i="7"/>
  <c r="Q184" i="7"/>
  <c r="Q248" i="7"/>
  <c r="Q176" i="7"/>
  <c r="Q314" i="7"/>
  <c r="Q280" i="7"/>
  <c r="Q141" i="7"/>
  <c r="Q146" i="7"/>
  <c r="Q242" i="7"/>
  <c r="Q152" i="7"/>
  <c r="Q3" i="7"/>
  <c r="Q189" i="7"/>
  <c r="Q174" i="7"/>
  <c r="Q246" i="7"/>
  <c r="Q135" i="7"/>
  <c r="Q81" i="7"/>
  <c r="Q127" i="7"/>
  <c r="Q253" i="7"/>
  <c r="Q218" i="7"/>
  <c r="Q213" i="7"/>
  <c r="Q203" i="7"/>
  <c r="Q199" i="7"/>
  <c r="Q193" i="7"/>
  <c r="Q198" i="7"/>
  <c r="Q120" i="7"/>
  <c r="Q163" i="7"/>
  <c r="Q137" i="7"/>
  <c r="Q138" i="7"/>
  <c r="Q279" i="7"/>
  <c r="Q241" i="7"/>
  <c r="Q237" i="7"/>
  <c r="Q262" i="7"/>
  <c r="Q228" i="7"/>
  <c r="Q204" i="7"/>
  <c r="Q194" i="7"/>
  <c r="Q125" i="7"/>
  <c r="Q117" i="7"/>
  <c r="Q78" i="7"/>
  <c r="Q151" i="7"/>
  <c r="Q145" i="7"/>
  <c r="Q168" i="7"/>
  <c r="Q220" i="7"/>
  <c r="Q205" i="7"/>
  <c r="Q201" i="7"/>
  <c r="Q197" i="7"/>
  <c r="Q202" i="7"/>
  <c r="Q124" i="7"/>
  <c r="Q128" i="7"/>
  <c r="Q129" i="7"/>
  <c r="Q123" i="7"/>
  <c r="Q140" i="7"/>
  <c r="Q219" i="7"/>
  <c r="Q209" i="7"/>
  <c r="Q200" i="7"/>
  <c r="Q126" i="7"/>
  <c r="Q6" i="7"/>
  <c r="Q13" i="7"/>
  <c r="Q12" i="7"/>
  <c r="Q4" i="7"/>
  <c r="Q7" i="7"/>
  <c r="Q162" i="7"/>
  <c r="Q261" i="7"/>
  <c r="Q33" i="7"/>
  <c r="Q188" i="7"/>
  <c r="Q32" i="7"/>
  <c r="Q175" i="7"/>
  <c r="Q34" i="7"/>
  <c r="Q164" i="7"/>
  <c r="Q17" i="7"/>
  <c r="Q302" i="7"/>
  <c r="Q295" i="7"/>
  <c r="Q87" i="7"/>
  <c r="Q31" i="7"/>
  <c r="Q83" i="7"/>
  <c r="Q35" i="7"/>
  <c r="Q84" i="7"/>
  <c r="Q85" i="7"/>
  <c r="BE300" i="7"/>
  <c r="BC300" i="7"/>
  <c r="BB300" i="7"/>
  <c r="BD300" i="7" s="1"/>
  <c r="BA9" i="7"/>
  <c r="BA71" i="7"/>
  <c r="BA287" i="7"/>
  <c r="BA307" i="7"/>
  <c r="BA273" i="7"/>
  <c r="BA311" i="7"/>
  <c r="BA282" i="7"/>
  <c r="BA178" i="7"/>
  <c r="BA142" i="7"/>
  <c r="BA276" i="7"/>
  <c r="BA289" i="7"/>
  <c r="BA115" i="7"/>
  <c r="BA208" i="7"/>
  <c r="BA179" i="7"/>
  <c r="BA104" i="7"/>
  <c r="BA223" i="7"/>
  <c r="BA267" i="7"/>
  <c r="BA278" i="7"/>
  <c r="BA70" i="7"/>
  <c r="BA10" i="7"/>
  <c r="BA181" i="7"/>
  <c r="BA230" i="7"/>
  <c r="BA23" i="7"/>
  <c r="BA143" i="7"/>
  <c r="BA284" i="7"/>
  <c r="BA277" i="7"/>
  <c r="BA288" i="7"/>
  <c r="BA265" i="7"/>
  <c r="BA238" i="7"/>
  <c r="BA233" i="7"/>
  <c r="BA122" i="7"/>
  <c r="BA72" i="7"/>
  <c r="BA144" i="7"/>
  <c r="BA312" i="7"/>
  <c r="BA76" i="7"/>
  <c r="BA257" i="7"/>
  <c r="BA118" i="7"/>
  <c r="BA251" i="7"/>
  <c r="BA236" i="7"/>
  <c r="BA281" i="7"/>
  <c r="BA105" i="7"/>
  <c r="BA167" i="7"/>
  <c r="BA21" i="7"/>
  <c r="BA103" i="7"/>
  <c r="BA20" i="7"/>
  <c r="BA169" i="7"/>
  <c r="BA303" i="7"/>
  <c r="BA304" i="7"/>
  <c r="BA217" i="7"/>
  <c r="BA224" i="7"/>
  <c r="BA22" i="7"/>
  <c r="BA75" i="7"/>
  <c r="BA24" i="7"/>
  <c r="BA121" i="7"/>
  <c r="BA74" i="7"/>
  <c r="BA153" i="7"/>
  <c r="BA77" i="7"/>
  <c r="BA243" i="7"/>
  <c r="BA212" i="7"/>
  <c r="BA73" i="7"/>
  <c r="BA308" i="7"/>
  <c r="BA291" i="7"/>
  <c r="BA290" i="7"/>
  <c r="BA305" i="7"/>
  <c r="BA268" i="7"/>
  <c r="BA170" i="7"/>
  <c r="BA180" i="7"/>
  <c r="BA231" i="7"/>
  <c r="BA232" i="7"/>
  <c r="BS244" i="7"/>
  <c r="BS252" i="7"/>
  <c r="BS269" i="7"/>
  <c r="BS138" i="7"/>
  <c r="BS152" i="7"/>
  <c r="BS140" i="7"/>
  <c r="BS145" i="7"/>
  <c r="BS272" i="7"/>
  <c r="BS14" i="7"/>
  <c r="BS191" i="7"/>
  <c r="BS183" i="7"/>
  <c r="BS146" i="7"/>
  <c r="BS270" i="7"/>
  <c r="BS141" i="7"/>
  <c r="BS149" i="7"/>
  <c r="BS186" i="7"/>
  <c r="BS137" i="7"/>
  <c r="BS177" i="7"/>
  <c r="BS135" i="7"/>
  <c r="BS274" i="7"/>
  <c r="BS263" i="7"/>
  <c r="BS283" i="7"/>
  <c r="BS166" i="7"/>
  <c r="BS190" i="7"/>
  <c r="BS129" i="7"/>
  <c r="BS292" i="7"/>
  <c r="BS176" i="7"/>
  <c r="BS163" i="7"/>
  <c r="BS130" i="7"/>
  <c r="BS280" i="7"/>
  <c r="BS184" i="7"/>
  <c r="BS134" i="7"/>
  <c r="BS150" i="7"/>
  <c r="BS174" i="7"/>
  <c r="BS182" i="7"/>
  <c r="BS151" i="7"/>
  <c r="BS133" i="7"/>
  <c r="BS293" i="7"/>
  <c r="BS189" i="7"/>
  <c r="BS306" i="7"/>
  <c r="BS171" i="7"/>
  <c r="BS3" i="7"/>
  <c r="BS240" i="7"/>
  <c r="BS279" i="7"/>
  <c r="BS81" i="7"/>
  <c r="BS209" i="7"/>
  <c r="BS117" i="7"/>
  <c r="BS194" i="7"/>
  <c r="BS7" i="7"/>
  <c r="BS124" i="7"/>
  <c r="BS13" i="7"/>
  <c r="BS197" i="7"/>
  <c r="BS199" i="7"/>
  <c r="BS264" i="7"/>
  <c r="BS254" i="7"/>
  <c r="BS200" i="7"/>
  <c r="BS6" i="7"/>
  <c r="BS228" i="7"/>
  <c r="BS241" i="7"/>
  <c r="BS205" i="7"/>
  <c r="BS220" i="7"/>
  <c r="BS4" i="7"/>
  <c r="BS246" i="7"/>
  <c r="BS242" i="7"/>
  <c r="BS168" i="7"/>
  <c r="BS219" i="7"/>
  <c r="BS123" i="7"/>
  <c r="BS126" i="7"/>
  <c r="BS12" i="7"/>
  <c r="BS213" i="7"/>
  <c r="BS202" i="7"/>
  <c r="BS198" i="7"/>
  <c r="BS201" i="7"/>
  <c r="BS203" i="7"/>
  <c r="BS128" i="7"/>
  <c r="BS120" i="7"/>
  <c r="BS248" i="7"/>
  <c r="BS127" i="7"/>
  <c r="BS253" i="7"/>
  <c r="BS125" i="7"/>
  <c r="BS314" i="7"/>
  <c r="BS78" i="7"/>
  <c r="BS193" i="7"/>
  <c r="BS204" i="7"/>
  <c r="BS262" i="7"/>
  <c r="BS237" i="7"/>
  <c r="BS310" i="7"/>
  <c r="BS218" i="7"/>
  <c r="BS313" i="7"/>
  <c r="BS15" i="7"/>
  <c r="BS107" i="7"/>
  <c r="BS210" i="7"/>
  <c r="BS82" i="7"/>
  <c r="BS172" i="7"/>
  <c r="BS301" i="7"/>
  <c r="BS80" i="7"/>
  <c r="BS25" i="7"/>
  <c r="BS27" i="7"/>
  <c r="BS26" i="7"/>
  <c r="BS8" i="7"/>
  <c r="BS258" i="7"/>
  <c r="BS234" i="7"/>
  <c r="BS285" i="7"/>
  <c r="BS132" i="7"/>
  <c r="BS294" i="7"/>
  <c r="BS160" i="7"/>
  <c r="BS271" i="7"/>
  <c r="BS187" i="7"/>
  <c r="BS29" i="7"/>
  <c r="BS247" i="7"/>
  <c r="BS239" i="7"/>
  <c r="BS250" i="7"/>
  <c r="BS30" i="7"/>
  <c r="BS225" i="7"/>
  <c r="BS211" i="7"/>
  <c r="BS28" i="7"/>
  <c r="BS188" i="7"/>
  <c r="BS261" i="7"/>
  <c r="BS17" i="7"/>
  <c r="BS164" i="7"/>
  <c r="BS295" i="7"/>
  <c r="BS162" i="7"/>
  <c r="BS302" i="7"/>
  <c r="BS175" i="7"/>
  <c r="BS83" i="7"/>
  <c r="BS32" i="7"/>
  <c r="BS85" i="7"/>
  <c r="BS31" i="7"/>
  <c r="BS87" i="7"/>
  <c r="BS34" i="7"/>
  <c r="BS33" i="7"/>
  <c r="BS84" i="7"/>
  <c r="BS35" i="7"/>
  <c r="BS192" i="7"/>
  <c r="BS136" i="7"/>
  <c r="BS309" i="7"/>
  <c r="BS147" i="7"/>
  <c r="BS275" i="7"/>
  <c r="BS86" i="7"/>
  <c r="BS11" i="7"/>
  <c r="BS108" i="7"/>
  <c r="BS155" i="7"/>
  <c r="BS139" i="7"/>
  <c r="BS37" i="7"/>
  <c r="BS296" i="7"/>
  <c r="BS297" i="7"/>
  <c r="BS286" i="7"/>
  <c r="BS131" i="7"/>
  <c r="BS39" i="7"/>
  <c r="BS38" i="7"/>
  <c r="BS185" i="7"/>
  <c r="BS154" i="7"/>
  <c r="BS259" i="7"/>
  <c r="BS40" i="7"/>
  <c r="BS255" i="7"/>
  <c r="BS195" i="7"/>
  <c r="BS36" i="7"/>
  <c r="BS88" i="7"/>
  <c r="BS221" i="7"/>
  <c r="BS245" i="7"/>
  <c r="BS18" i="7"/>
  <c r="BS173" i="7"/>
  <c r="BS89" i="7"/>
  <c r="BS229" i="7"/>
  <c r="BS92" i="7"/>
  <c r="BS109" i="7"/>
  <c r="BS41" i="7"/>
  <c r="BS214" i="7"/>
  <c r="BS157" i="7"/>
  <c r="BS156" i="7"/>
  <c r="BS116" i="7"/>
  <c r="BS161" i="7"/>
  <c r="BS158" i="7"/>
  <c r="BS112" i="7"/>
  <c r="BS148" i="7"/>
  <c r="BS165" i="7"/>
  <c r="BS266" i="7"/>
  <c r="BS298" i="7"/>
  <c r="BS45" i="7"/>
  <c r="BS43" i="7"/>
  <c r="BS110" i="7"/>
  <c r="BS50" i="7"/>
  <c r="BS111" i="7"/>
  <c r="BS44" i="7"/>
  <c r="BS42" i="7"/>
  <c r="BS49" i="7"/>
  <c r="BS90" i="7"/>
  <c r="BS51" i="7"/>
  <c r="BS46" i="7"/>
  <c r="BS222" i="7"/>
  <c r="BS48" i="7"/>
  <c r="BS91" i="7"/>
  <c r="BS5" i="7"/>
  <c r="BS47" i="7"/>
  <c r="BS215" i="7"/>
  <c r="BS93" i="7"/>
  <c r="BS59" i="7"/>
  <c r="BS61" i="7"/>
  <c r="BS256" i="7"/>
  <c r="BS63" i="7"/>
  <c r="BS54" i="7"/>
  <c r="BS52" i="7"/>
  <c r="BS94" i="7"/>
  <c r="BS56" i="7"/>
  <c r="BS299" i="7"/>
  <c r="BS99" i="7"/>
  <c r="BS62" i="7"/>
  <c r="BS227" i="7"/>
  <c r="BS55" i="7"/>
  <c r="BS249" i="7"/>
  <c r="BS226" i="7"/>
  <c r="BS57" i="7"/>
  <c r="BS159" i="7"/>
  <c r="BS19" i="7"/>
  <c r="BS60" i="7"/>
  <c r="BS64" i="7"/>
  <c r="BS260" i="7"/>
  <c r="BS235" i="7"/>
  <c r="BS113" i="7"/>
  <c r="BS96" i="7"/>
  <c r="BS95" i="7"/>
  <c r="BS97" i="7"/>
  <c r="BS206" i="7"/>
  <c r="BS216" i="7"/>
  <c r="BS98" i="7"/>
  <c r="BS53" i="7"/>
  <c r="BS58" i="7"/>
  <c r="BS67" i="7"/>
  <c r="BS66" i="7"/>
  <c r="BS102" i="7"/>
  <c r="BS101" i="7"/>
  <c r="BT101" i="7" s="1"/>
  <c r="BS65" i="7"/>
  <c r="BS196" i="7"/>
  <c r="BS100" i="7"/>
  <c r="BT100" i="7" s="1"/>
  <c r="BS114" i="7"/>
  <c r="BS69" i="7"/>
  <c r="BS68" i="7"/>
  <c r="AK300" i="7"/>
  <c r="AM300" i="7"/>
  <c r="AJ300" i="7"/>
  <c r="AL300" i="7" s="1"/>
  <c r="AI9" i="7"/>
  <c r="AI287" i="7"/>
  <c r="AI307" i="7"/>
  <c r="AI273" i="7"/>
  <c r="AI178" i="7"/>
  <c r="AI71" i="7"/>
  <c r="AI276" i="7"/>
  <c r="AI278" i="7"/>
  <c r="AI282" i="7"/>
  <c r="AI311" i="7"/>
  <c r="AI267" i="7"/>
  <c r="AI289" i="7"/>
  <c r="AI142" i="7"/>
  <c r="AI104" i="7"/>
  <c r="AI179" i="7"/>
  <c r="AI223" i="7"/>
  <c r="AI115" i="7"/>
  <c r="AI208" i="7"/>
  <c r="AI70" i="7"/>
  <c r="AI181" i="7"/>
  <c r="AI277" i="7"/>
  <c r="AI10" i="7"/>
  <c r="AI23" i="7"/>
  <c r="AI230" i="7"/>
  <c r="AI288" i="7"/>
  <c r="AI284" i="7"/>
  <c r="AI265" i="7"/>
  <c r="AI72" i="7"/>
  <c r="AI144" i="7"/>
  <c r="AI236" i="7"/>
  <c r="AI76" i="7"/>
  <c r="AI143" i="7"/>
  <c r="AI238" i="7"/>
  <c r="AI118" i="7"/>
  <c r="AI312" i="7"/>
  <c r="AI251" i="7"/>
  <c r="AI122" i="7"/>
  <c r="AI233" i="7"/>
  <c r="AI257" i="7"/>
  <c r="AI281" i="7"/>
  <c r="AI103" i="7"/>
  <c r="AI167" i="7"/>
  <c r="AI169" i="7"/>
  <c r="AI304" i="7"/>
  <c r="AI21" i="7"/>
  <c r="AI20" i="7"/>
  <c r="AI105" i="7"/>
  <c r="AI77" i="7"/>
  <c r="AI74" i="7"/>
  <c r="AI24" i="7"/>
  <c r="AI303" i="7"/>
  <c r="AI153" i="7"/>
  <c r="AI75" i="7"/>
  <c r="AI308" i="7"/>
  <c r="AI243" i="7"/>
  <c r="AI73" i="7"/>
  <c r="AI22" i="7"/>
  <c r="AI121" i="7"/>
  <c r="AI217" i="7"/>
  <c r="AI212" i="7"/>
  <c r="AI224" i="7"/>
  <c r="AI305" i="7"/>
  <c r="AI268" i="7"/>
  <c r="AI180" i="7"/>
  <c r="AI170" i="7"/>
  <c r="AI290" i="7"/>
  <c r="AI291" i="7"/>
  <c r="AI232" i="7"/>
  <c r="AI231" i="7"/>
  <c r="AI106" i="7"/>
  <c r="AI16" i="7"/>
  <c r="AI79" i="7"/>
  <c r="AI207" i="7"/>
  <c r="AI119" i="7"/>
  <c r="BA107" i="7"/>
  <c r="BA172" i="7"/>
  <c r="BA82" i="7"/>
  <c r="BA210" i="7"/>
  <c r="BA313" i="7"/>
  <c r="BA15" i="7"/>
  <c r="BA301" i="7"/>
  <c r="BA8" i="7"/>
  <c r="BA80" i="7"/>
  <c r="BA234" i="7"/>
  <c r="BA258" i="7"/>
  <c r="BA26" i="7"/>
  <c r="BA27" i="7"/>
  <c r="BA25" i="7"/>
  <c r="BA164" i="7"/>
  <c r="BA188" i="7"/>
  <c r="BA175" i="7"/>
  <c r="BA261" i="7"/>
  <c r="BA162" i="7"/>
  <c r="BA17" i="7"/>
  <c r="BA302" i="7"/>
  <c r="BA295" i="7"/>
  <c r="BA31" i="7"/>
  <c r="BA33" i="7"/>
  <c r="BA34" i="7"/>
  <c r="BA35" i="7"/>
  <c r="BA84" i="7"/>
  <c r="BA87" i="7"/>
  <c r="BA83" i="7"/>
  <c r="BA85" i="7"/>
  <c r="BA32" i="7"/>
  <c r="BA275" i="7"/>
  <c r="BA136" i="7"/>
  <c r="BA192" i="7"/>
  <c r="BA147" i="7"/>
  <c r="BA309" i="7"/>
  <c r="BA108" i="7"/>
  <c r="BA11" i="7"/>
  <c r="BA86" i="7"/>
  <c r="BA173" i="7"/>
  <c r="BA18" i="7"/>
  <c r="BA109" i="7"/>
  <c r="BA214" i="7"/>
  <c r="BA116" i="7"/>
  <c r="BA92" i="7"/>
  <c r="BA156" i="7"/>
  <c r="BA41" i="7"/>
  <c r="BA89" i="7"/>
  <c r="BA229" i="7"/>
  <c r="BA157" i="7"/>
  <c r="BA45" i="7"/>
  <c r="BA112" i="7"/>
  <c r="BA43" i="7"/>
  <c r="BA110" i="7"/>
  <c r="BA298" i="7"/>
  <c r="BA165" i="7"/>
  <c r="BA158" i="7"/>
  <c r="BA161" i="7"/>
  <c r="BA266" i="7"/>
  <c r="BA46" i="7"/>
  <c r="BA44" i="7"/>
  <c r="BA48" i="7"/>
  <c r="BA222" i="7"/>
  <c r="BA111" i="7"/>
  <c r="BA90" i="7"/>
  <c r="BA51" i="7"/>
  <c r="BA50" i="7"/>
  <c r="BA148" i="7"/>
  <c r="BA49" i="7"/>
  <c r="BA42" i="7"/>
  <c r="BA215" i="7"/>
  <c r="BA5" i="7"/>
  <c r="BA91" i="7"/>
  <c r="BA47" i="7"/>
  <c r="BA256" i="7"/>
  <c r="BA59" i="7"/>
  <c r="BA61" i="7"/>
  <c r="BA93" i="7"/>
  <c r="BA63" i="7"/>
  <c r="BA299" i="7"/>
  <c r="BA52" i="7"/>
  <c r="BA56" i="7"/>
  <c r="BA54" i="7"/>
  <c r="BA94" i="7"/>
  <c r="BA95" i="7"/>
  <c r="BA159" i="7"/>
  <c r="BA62" i="7"/>
  <c r="BA58" i="7"/>
  <c r="BA19" i="7"/>
  <c r="BA57" i="7"/>
  <c r="BA206" i="7"/>
  <c r="BA96" i="7"/>
  <c r="BA226" i="7"/>
  <c r="BA53" i="7"/>
  <c r="BA97" i="7"/>
  <c r="BA260" i="7"/>
  <c r="BA99" i="7"/>
  <c r="BA216" i="7"/>
  <c r="BA249" i="7"/>
  <c r="BA98" i="7"/>
  <c r="BA64" i="7"/>
  <c r="BA227" i="7"/>
  <c r="BA60" i="7"/>
  <c r="BA235" i="7"/>
  <c r="BA55" i="7"/>
  <c r="BA113" i="7"/>
  <c r="BA67" i="7"/>
  <c r="BA66" i="7"/>
  <c r="BA68" i="7"/>
  <c r="BA196" i="7"/>
  <c r="BA102" i="7"/>
  <c r="BA100" i="7"/>
  <c r="BB100" i="7" s="1"/>
  <c r="BA101" i="7"/>
  <c r="BB101" i="7" s="1"/>
  <c r="BA69" i="7"/>
  <c r="BA65" i="7"/>
  <c r="BA114" i="7"/>
  <c r="Q106" i="7"/>
  <c r="Q207" i="7"/>
  <c r="Q119" i="7"/>
  <c r="Q79" i="7"/>
  <c r="Q16" i="7"/>
  <c r="S17" i="6" l="1"/>
  <c r="P19" i="6"/>
  <c r="R18" i="6"/>
  <c r="Q18" i="6"/>
  <c r="Q19" i="6" s="1"/>
  <c r="BF300" i="7"/>
  <c r="BG300" i="7" s="1" a="1"/>
  <c r="BX300" i="7"/>
  <c r="BY300" i="7" s="1" a="1"/>
  <c r="BB69" i="7"/>
  <c r="BD69" i="7"/>
  <c r="BE69" i="7"/>
  <c r="BC69" i="7"/>
  <c r="BC113" i="7"/>
  <c r="BD113" i="7"/>
  <c r="BB113" i="7"/>
  <c r="BE113" i="7"/>
  <c r="BE216" i="7"/>
  <c r="BB216" i="7"/>
  <c r="BC216" i="7"/>
  <c r="BE57" i="7"/>
  <c r="BC57" i="7"/>
  <c r="BB57" i="7"/>
  <c r="BB56" i="7"/>
  <c r="BD56" i="7" s="1"/>
  <c r="BC56" i="7"/>
  <c r="BE56" i="7"/>
  <c r="BB47" i="7"/>
  <c r="BC47" i="7"/>
  <c r="BE47" i="7"/>
  <c r="BD47" i="7"/>
  <c r="BE51" i="7"/>
  <c r="BB51" i="7"/>
  <c r="BC51" i="7"/>
  <c r="U16" i="7"/>
  <c r="S16" i="7"/>
  <c r="R16" i="7"/>
  <c r="T16" i="7" s="1"/>
  <c r="U106" i="7"/>
  <c r="R106" i="7"/>
  <c r="S106" i="7"/>
  <c r="BE101" i="7"/>
  <c r="BC101" i="7"/>
  <c r="BD101" i="7"/>
  <c r="BC68" i="7"/>
  <c r="BB68" i="7"/>
  <c r="BD68" i="7"/>
  <c r="BE68" i="7"/>
  <c r="BB55" i="7"/>
  <c r="BE55" i="7"/>
  <c r="BD55" i="7"/>
  <c r="BC55" i="7"/>
  <c r="BE64" i="7"/>
  <c r="BC64" i="7"/>
  <c r="BB64" i="7"/>
  <c r="BD64" i="7" s="1"/>
  <c r="BE99" i="7"/>
  <c r="BC99" i="7"/>
  <c r="BB99" i="7"/>
  <c r="BC226" i="7"/>
  <c r="BB226" i="7"/>
  <c r="BD226" i="7" s="1"/>
  <c r="BE226" i="7"/>
  <c r="BE19" i="7"/>
  <c r="BB19" i="7"/>
  <c r="BD19" i="7" s="1"/>
  <c r="BC19" i="7"/>
  <c r="BB95" i="7"/>
  <c r="BE95" i="7"/>
  <c r="BD95" i="7"/>
  <c r="BC95" i="7"/>
  <c r="BB52" i="7"/>
  <c r="BD52" i="7"/>
  <c r="BE52" i="7"/>
  <c r="BC52" i="7"/>
  <c r="BE61" i="7"/>
  <c r="BB61" i="7"/>
  <c r="BD61" i="7" s="1"/>
  <c r="BC61" i="7"/>
  <c r="BB91" i="7"/>
  <c r="BD91" i="7"/>
  <c r="BE91" i="7"/>
  <c r="BC91" i="7"/>
  <c r="BE49" i="7"/>
  <c r="BB49" i="7"/>
  <c r="BC49" i="7"/>
  <c r="BE90" i="7"/>
  <c r="BB90" i="7"/>
  <c r="BD90" i="7"/>
  <c r="BC90" i="7"/>
  <c r="BB44" i="7"/>
  <c r="BD44" i="7" s="1"/>
  <c r="BC44" i="7"/>
  <c r="BE44" i="7"/>
  <c r="BB158" i="7"/>
  <c r="BD158" i="7" s="1"/>
  <c r="BE158" i="7"/>
  <c r="BC158" i="7"/>
  <c r="BB43" i="7"/>
  <c r="BC43" i="7"/>
  <c r="BD43" i="7"/>
  <c r="BE43" i="7"/>
  <c r="BC229" i="7"/>
  <c r="BE229" i="7"/>
  <c r="BB229" i="7"/>
  <c r="BD229" i="7" s="1"/>
  <c r="BE92" i="7"/>
  <c r="BB92" i="7"/>
  <c r="BC92" i="7"/>
  <c r="BC18" i="7"/>
  <c r="BE18" i="7"/>
  <c r="BB18" i="7"/>
  <c r="BD18" i="7"/>
  <c r="BE108" i="7"/>
  <c r="BC108" i="7"/>
  <c r="BB108" i="7"/>
  <c r="BB136" i="7"/>
  <c r="BD136" i="7" s="1"/>
  <c r="BC136" i="7"/>
  <c r="BE136" i="7"/>
  <c r="BE83" i="7"/>
  <c r="BC83" i="7"/>
  <c r="BB83" i="7"/>
  <c r="BD83" i="7" s="1"/>
  <c r="BE34" i="7"/>
  <c r="BC34" i="7"/>
  <c r="BB34" i="7"/>
  <c r="BB302" i="7"/>
  <c r="BD302" i="7" s="1"/>
  <c r="BE302" i="7"/>
  <c r="BC302" i="7"/>
  <c r="BE175" i="7"/>
  <c r="BC175" i="7"/>
  <c r="BB175" i="7"/>
  <c r="BD175" i="7" s="1"/>
  <c r="BC27" i="7"/>
  <c r="BE27" i="7"/>
  <c r="BB27" i="7"/>
  <c r="BD27" i="7" s="1"/>
  <c r="BC80" i="7"/>
  <c r="BE80" i="7"/>
  <c r="BB80" i="7"/>
  <c r="BD80" i="7"/>
  <c r="BC313" i="7"/>
  <c r="BE313" i="7"/>
  <c r="BB313" i="7"/>
  <c r="BD313" i="7" s="1"/>
  <c r="BE107" i="7"/>
  <c r="BB107" i="7"/>
  <c r="BC107" i="7"/>
  <c r="AM16" i="7"/>
  <c r="AJ16" i="7"/>
  <c r="AK16" i="7"/>
  <c r="AK291" i="7"/>
  <c r="AM291" i="7"/>
  <c r="AJ291" i="7"/>
  <c r="AL291" i="7" s="1"/>
  <c r="AJ268" i="7"/>
  <c r="AL268" i="7" s="1"/>
  <c r="AM268" i="7"/>
  <c r="AK268" i="7"/>
  <c r="AK217" i="7"/>
  <c r="AM217" i="7"/>
  <c r="AJ217" i="7"/>
  <c r="AL217" i="7" s="1"/>
  <c r="AJ243" i="7"/>
  <c r="AL243" i="7" s="1"/>
  <c r="AM243" i="7"/>
  <c r="AK243" i="7"/>
  <c r="AM303" i="7"/>
  <c r="AK303" i="7"/>
  <c r="AJ303" i="7"/>
  <c r="AL303" i="7" s="1"/>
  <c r="AM105" i="7"/>
  <c r="AK105" i="7"/>
  <c r="AJ105" i="7"/>
  <c r="AL105" i="7"/>
  <c r="AK169" i="7"/>
  <c r="AJ169" i="7"/>
  <c r="AL169" i="7" s="1"/>
  <c r="AM169" i="7"/>
  <c r="AJ257" i="7"/>
  <c r="AL257" i="7" s="1"/>
  <c r="AK257" i="7"/>
  <c r="AM257" i="7"/>
  <c r="AJ312" i="7"/>
  <c r="AL312" i="7" s="1"/>
  <c r="AK312" i="7"/>
  <c r="AM312" i="7"/>
  <c r="AM76" i="7"/>
  <c r="AK76" i="7"/>
  <c r="AJ76" i="7"/>
  <c r="AK265" i="7"/>
  <c r="AJ265" i="7"/>
  <c r="AL265" i="7" s="1"/>
  <c r="AM265" i="7"/>
  <c r="AM23" i="7"/>
  <c r="AJ23" i="7"/>
  <c r="AK23" i="7"/>
  <c r="AK70" i="7"/>
  <c r="AM70" i="7"/>
  <c r="AJ70" i="7"/>
  <c r="AL70" i="7"/>
  <c r="AM179" i="7"/>
  <c r="AJ179" i="7"/>
  <c r="AK179" i="7"/>
  <c r="AK267" i="7"/>
  <c r="AM267" i="7"/>
  <c r="AJ267" i="7"/>
  <c r="AL267" i="7" s="1"/>
  <c r="AM276" i="7"/>
  <c r="AK276" i="7"/>
  <c r="AJ276" i="7"/>
  <c r="AL276" i="7" s="1"/>
  <c r="AK307" i="7"/>
  <c r="AM307" i="7"/>
  <c r="AJ307" i="7"/>
  <c r="AL307" i="7" s="1"/>
  <c r="AN300" i="7"/>
  <c r="AO300" i="7" s="1" a="1"/>
  <c r="BT69" i="7"/>
  <c r="BV69" i="7"/>
  <c r="BU69" i="7"/>
  <c r="BW69" i="7"/>
  <c r="BU65" i="7"/>
  <c r="BW65" i="7"/>
  <c r="BT65" i="7"/>
  <c r="BV65" i="7"/>
  <c r="BT67" i="7"/>
  <c r="BU67" i="7"/>
  <c r="BV67" i="7"/>
  <c r="BW67" i="7"/>
  <c r="BW216" i="7"/>
  <c r="BU216" i="7"/>
  <c r="BT216" i="7"/>
  <c r="BT96" i="7"/>
  <c r="BU96" i="7"/>
  <c r="BV96" i="7"/>
  <c r="BW96" i="7"/>
  <c r="BW64" i="7"/>
  <c r="BT64" i="7"/>
  <c r="BU64" i="7"/>
  <c r="BW57" i="7"/>
  <c r="BT57" i="7"/>
  <c r="BU57" i="7"/>
  <c r="BW227" i="7"/>
  <c r="BT227" i="7"/>
  <c r="BU227" i="7"/>
  <c r="BU56" i="7"/>
  <c r="BV56" i="7"/>
  <c r="BW56" i="7"/>
  <c r="BT56" i="7"/>
  <c r="BW63" i="7"/>
  <c r="BT63" i="7"/>
  <c r="BU63" i="7"/>
  <c r="BW93" i="7"/>
  <c r="BT93" i="7"/>
  <c r="BU93" i="7"/>
  <c r="BV93" i="7"/>
  <c r="BT91" i="7"/>
  <c r="BV91" i="7" s="1"/>
  <c r="BU91" i="7"/>
  <c r="BW91" i="7"/>
  <c r="BW51" i="7"/>
  <c r="BT51" i="7"/>
  <c r="BU51" i="7"/>
  <c r="BU44" i="7"/>
  <c r="BW44" i="7"/>
  <c r="BT44" i="7"/>
  <c r="BV44" i="7"/>
  <c r="BU43" i="7"/>
  <c r="BW43" i="7"/>
  <c r="BT43" i="7"/>
  <c r="BV43" i="7"/>
  <c r="BT165" i="7"/>
  <c r="BV165" i="7"/>
  <c r="BW165" i="7"/>
  <c r="BU165" i="7"/>
  <c r="BT161" i="7"/>
  <c r="BV161" i="7"/>
  <c r="BU161" i="7"/>
  <c r="BW161" i="7"/>
  <c r="BT214" i="7"/>
  <c r="BV214" i="7" s="1"/>
  <c r="BU214" i="7"/>
  <c r="BW214" i="7"/>
  <c r="BT229" i="7"/>
  <c r="BV229" i="7" s="1"/>
  <c r="BU229" i="7"/>
  <c r="BW229" i="7"/>
  <c r="BU245" i="7"/>
  <c r="BT245" i="7"/>
  <c r="BV245" i="7" s="1"/>
  <c r="BW245" i="7"/>
  <c r="BW195" i="7"/>
  <c r="BV195" i="7"/>
  <c r="BT195" i="7"/>
  <c r="BU195" i="7"/>
  <c r="BT154" i="7"/>
  <c r="BV154" i="7"/>
  <c r="BU154" i="7"/>
  <c r="BW154" i="7"/>
  <c r="BT131" i="7"/>
  <c r="BW131" i="7"/>
  <c r="BU131" i="7"/>
  <c r="BV131" i="7"/>
  <c r="BT37" i="7"/>
  <c r="BU37" i="7"/>
  <c r="BV37" i="7"/>
  <c r="BW37" i="7"/>
  <c r="BT11" i="7"/>
  <c r="BV11" i="7"/>
  <c r="BU11" i="7"/>
  <c r="BW11" i="7"/>
  <c r="BT309" i="7"/>
  <c r="BV309" i="7" s="1"/>
  <c r="BW309" i="7"/>
  <c r="BU309" i="7"/>
  <c r="BW84" i="7"/>
  <c r="BT84" i="7"/>
  <c r="BU84" i="7"/>
  <c r="BW31" i="7"/>
  <c r="BU31" i="7"/>
  <c r="BT31" i="7"/>
  <c r="BU175" i="7"/>
  <c r="BV175" i="7"/>
  <c r="BT175" i="7"/>
  <c r="BW175" i="7"/>
  <c r="BU164" i="7"/>
  <c r="BV164" i="7"/>
  <c r="BT164" i="7"/>
  <c r="BW164" i="7"/>
  <c r="BT28" i="7"/>
  <c r="BV28" i="7"/>
  <c r="BU28" i="7"/>
  <c r="BW28" i="7"/>
  <c r="BT250" i="7"/>
  <c r="BV250" i="7" s="1"/>
  <c r="BU250" i="7"/>
  <c r="BW250" i="7"/>
  <c r="BT187" i="7"/>
  <c r="BV187" i="7"/>
  <c r="BU187" i="7"/>
  <c r="BW187" i="7"/>
  <c r="BU132" i="7"/>
  <c r="BW132" i="7"/>
  <c r="BT132" i="7"/>
  <c r="BV132" i="7"/>
  <c r="BU8" i="7"/>
  <c r="BT8" i="7"/>
  <c r="BV8" i="7" s="1"/>
  <c r="BW8" i="7"/>
  <c r="BW80" i="7"/>
  <c r="BU80" i="7"/>
  <c r="BT80" i="7"/>
  <c r="BV80" i="7" s="1"/>
  <c r="BW210" i="7"/>
  <c r="BT210" i="7"/>
  <c r="BU210" i="7"/>
  <c r="BT218" i="7"/>
  <c r="BV218" i="7" s="1"/>
  <c r="BU218" i="7"/>
  <c r="BW218" i="7"/>
  <c r="BT204" i="7"/>
  <c r="BV204" i="7" s="1"/>
  <c r="BU204" i="7"/>
  <c r="BW204" i="7"/>
  <c r="BU125" i="7"/>
  <c r="BV125" i="7"/>
  <c r="BW125" i="7"/>
  <c r="BT125" i="7"/>
  <c r="BT120" i="7"/>
  <c r="BV120" i="7" s="1"/>
  <c r="BU120" i="7"/>
  <c r="BW120" i="7"/>
  <c r="BT198" i="7"/>
  <c r="BV198" i="7" s="1"/>
  <c r="BW198" i="7"/>
  <c r="BU198" i="7"/>
  <c r="BT126" i="7"/>
  <c r="BV126" i="7" s="1"/>
  <c r="BU126" i="7"/>
  <c r="BW126" i="7"/>
  <c r="BT242" i="7"/>
  <c r="BV242" i="7" s="1"/>
  <c r="BU242" i="7"/>
  <c r="BW242" i="7"/>
  <c r="BU205" i="7"/>
  <c r="BT205" i="7"/>
  <c r="BV205" i="7" s="1"/>
  <c r="BW205" i="7"/>
  <c r="BU200" i="7"/>
  <c r="BV200" i="7"/>
  <c r="BW200" i="7"/>
  <c r="BT200" i="7"/>
  <c r="BT197" i="7"/>
  <c r="BU197" i="7"/>
  <c r="BV197" i="7"/>
  <c r="BW197" i="7"/>
  <c r="BU194" i="7"/>
  <c r="BT194" i="7"/>
  <c r="BV194" i="7"/>
  <c r="BW194" i="7"/>
  <c r="BW279" i="7"/>
  <c r="BU279" i="7"/>
  <c r="BT279" i="7"/>
  <c r="BT306" i="7"/>
  <c r="BV306" i="7" s="1"/>
  <c r="BU306" i="7"/>
  <c r="BW306" i="7"/>
  <c r="BU151" i="7"/>
  <c r="BT151" i="7"/>
  <c r="BV151" i="7" s="1"/>
  <c r="BW151" i="7"/>
  <c r="BT134" i="7"/>
  <c r="BW134" i="7"/>
  <c r="BU134" i="7"/>
  <c r="BV134" i="7"/>
  <c r="BU163" i="7"/>
  <c r="BW163" i="7"/>
  <c r="BT163" i="7"/>
  <c r="BV163" i="7"/>
  <c r="BT190" i="7"/>
  <c r="BV190" i="7"/>
  <c r="BU190" i="7"/>
  <c r="BW190" i="7"/>
  <c r="BU274" i="7"/>
  <c r="BT274" i="7"/>
  <c r="BV274" i="7" s="1"/>
  <c r="BW274" i="7"/>
  <c r="BU186" i="7"/>
  <c r="BW186" i="7"/>
  <c r="BT186" i="7"/>
  <c r="BV186" i="7"/>
  <c r="BT146" i="7"/>
  <c r="BW146" i="7"/>
  <c r="BU146" i="7"/>
  <c r="BV146" i="7"/>
  <c r="BT272" i="7"/>
  <c r="BV272" i="7" s="1"/>
  <c r="BW272" i="7"/>
  <c r="BU272" i="7"/>
  <c r="BU138" i="7"/>
  <c r="BW138" i="7"/>
  <c r="BT138" i="7"/>
  <c r="BV138" i="7" s="1"/>
  <c r="BB232" i="7"/>
  <c r="BD232" i="7" s="1"/>
  <c r="BC232" i="7"/>
  <c r="BE232" i="7"/>
  <c r="BB268" i="7"/>
  <c r="BD268" i="7" s="1"/>
  <c r="BC268" i="7"/>
  <c r="BE268" i="7"/>
  <c r="BC308" i="7"/>
  <c r="BB308" i="7"/>
  <c r="BD308" i="7" s="1"/>
  <c r="BE308" i="7"/>
  <c r="BE77" i="7"/>
  <c r="BC77" i="7"/>
  <c r="BB77" i="7"/>
  <c r="BE24" i="7"/>
  <c r="BC24" i="7"/>
  <c r="BB24" i="7"/>
  <c r="BC217" i="7"/>
  <c r="BB217" i="7"/>
  <c r="BD217" i="7" s="1"/>
  <c r="BE217" i="7"/>
  <c r="BC20" i="7"/>
  <c r="BD20" i="7"/>
  <c r="BE20" i="7"/>
  <c r="BB20" i="7"/>
  <c r="BE105" i="7"/>
  <c r="BB105" i="7"/>
  <c r="BC105" i="7"/>
  <c r="BB118" i="7"/>
  <c r="BC118" i="7"/>
  <c r="BD118" i="7"/>
  <c r="BE118" i="7"/>
  <c r="BE144" i="7"/>
  <c r="BC144" i="7"/>
  <c r="BB144" i="7"/>
  <c r="BE238" i="7"/>
  <c r="BC238" i="7"/>
  <c r="BB238" i="7"/>
  <c r="BD238" i="7" s="1"/>
  <c r="BB284" i="7"/>
  <c r="BD284" i="7" s="1"/>
  <c r="BE284" i="7"/>
  <c r="BC284" i="7"/>
  <c r="BE181" i="7"/>
  <c r="BB181" i="7"/>
  <c r="BC181" i="7"/>
  <c r="BB267" i="7"/>
  <c r="BD267" i="7" s="1"/>
  <c r="BC267" i="7"/>
  <c r="BE267" i="7"/>
  <c r="BC208" i="7"/>
  <c r="BB208" i="7"/>
  <c r="BD208" i="7" s="1"/>
  <c r="BE208" i="7"/>
  <c r="BB142" i="7"/>
  <c r="BD142" i="7" s="1"/>
  <c r="BE142" i="7"/>
  <c r="BC142" i="7"/>
  <c r="BC273" i="7"/>
  <c r="BB273" i="7"/>
  <c r="BD273" i="7" s="1"/>
  <c r="BE273" i="7"/>
  <c r="BC9" i="7"/>
  <c r="BE9" i="7"/>
  <c r="BD9" i="7"/>
  <c r="BB9" i="7"/>
  <c r="U83" i="7"/>
  <c r="S83" i="7"/>
  <c r="R83" i="7"/>
  <c r="R302" i="7"/>
  <c r="T302" i="7" s="1"/>
  <c r="S302" i="7"/>
  <c r="U302" i="7"/>
  <c r="U175" i="7"/>
  <c r="S175" i="7"/>
  <c r="R175" i="7"/>
  <c r="T175" i="7" s="1"/>
  <c r="S261" i="7"/>
  <c r="U261" i="7"/>
  <c r="R261" i="7"/>
  <c r="T261" i="7" s="1"/>
  <c r="R12" i="7"/>
  <c r="S12" i="7"/>
  <c r="T12" i="7"/>
  <c r="U12" i="7"/>
  <c r="S200" i="7"/>
  <c r="T200" i="7"/>
  <c r="U200" i="7"/>
  <c r="R200" i="7"/>
  <c r="U123" i="7"/>
  <c r="R123" i="7"/>
  <c r="T123" i="7" s="1"/>
  <c r="S123" i="7"/>
  <c r="U202" i="7"/>
  <c r="R202" i="7"/>
  <c r="T202" i="7" s="1"/>
  <c r="S202" i="7"/>
  <c r="R220" i="7"/>
  <c r="T220" i="7" s="1"/>
  <c r="S220" i="7"/>
  <c r="U220" i="7"/>
  <c r="S78" i="7"/>
  <c r="U78" i="7"/>
  <c r="R78" i="7"/>
  <c r="T78" i="7" s="1"/>
  <c r="S204" i="7"/>
  <c r="U204" i="7"/>
  <c r="R204" i="7"/>
  <c r="T204" i="7" s="1"/>
  <c r="R241" i="7"/>
  <c r="T241" i="7" s="1"/>
  <c r="S241" i="7"/>
  <c r="U241" i="7"/>
  <c r="R163" i="7"/>
  <c r="T163" i="7"/>
  <c r="U163" i="7"/>
  <c r="S163" i="7"/>
  <c r="R199" i="7"/>
  <c r="S199" i="7"/>
  <c r="U199" i="7"/>
  <c r="T199" i="7"/>
  <c r="S253" i="7"/>
  <c r="R253" i="7"/>
  <c r="T253" i="7" s="1"/>
  <c r="U253" i="7"/>
  <c r="R246" i="7"/>
  <c r="T246" i="7" s="1"/>
  <c r="S246" i="7"/>
  <c r="U246" i="7"/>
  <c r="S152" i="7"/>
  <c r="T152" i="7"/>
  <c r="R152" i="7"/>
  <c r="U152" i="7"/>
  <c r="U280" i="7"/>
  <c r="S280" i="7"/>
  <c r="R280" i="7"/>
  <c r="T280" i="7" s="1"/>
  <c r="S184" i="7"/>
  <c r="T184" i="7"/>
  <c r="R184" i="7"/>
  <c r="U184" i="7"/>
  <c r="U310" i="7"/>
  <c r="S310" i="7"/>
  <c r="R310" i="7"/>
  <c r="T310" i="7" s="1"/>
  <c r="U272" i="7"/>
  <c r="S272" i="7"/>
  <c r="R272" i="7"/>
  <c r="T272" i="7" s="1"/>
  <c r="S182" i="7"/>
  <c r="R182" i="7"/>
  <c r="T182" i="7" s="1"/>
  <c r="U182" i="7"/>
  <c r="U14" i="7"/>
  <c r="S14" i="7"/>
  <c r="R14" i="7"/>
  <c r="U133" i="7"/>
  <c r="R133" i="7"/>
  <c r="T133" i="7" s="1"/>
  <c r="S133" i="7"/>
  <c r="U293" i="7"/>
  <c r="S293" i="7"/>
  <c r="R293" i="7"/>
  <c r="T293" i="7" s="1"/>
  <c r="U270" i="7"/>
  <c r="R270" i="7"/>
  <c r="T270" i="7" s="1"/>
  <c r="S270" i="7"/>
  <c r="BB119" i="7"/>
  <c r="BE119" i="7"/>
  <c r="BD119" i="7"/>
  <c r="BC119" i="7"/>
  <c r="R52" i="7"/>
  <c r="T52" i="7" s="1"/>
  <c r="U52" i="7"/>
  <c r="S52" i="7"/>
  <c r="U19" i="7"/>
  <c r="S19" i="7"/>
  <c r="R19" i="7"/>
  <c r="S299" i="7"/>
  <c r="R299" i="7"/>
  <c r="T299" i="7" s="1"/>
  <c r="U299" i="7"/>
  <c r="S95" i="7"/>
  <c r="R95" i="7"/>
  <c r="T95" i="7" s="1"/>
  <c r="U95" i="7"/>
  <c r="U206" i="7"/>
  <c r="R206" i="7"/>
  <c r="S206" i="7"/>
  <c r="U57" i="7"/>
  <c r="T57" i="7"/>
  <c r="S57" i="7"/>
  <c r="R57" i="7"/>
  <c r="R61" i="7"/>
  <c r="T61" i="7" s="1"/>
  <c r="S61" i="7"/>
  <c r="U61" i="7"/>
  <c r="R97" i="7"/>
  <c r="T97" i="7" s="1"/>
  <c r="S97" i="7"/>
  <c r="U97" i="7"/>
  <c r="R45" i="7"/>
  <c r="T45" i="7" s="1"/>
  <c r="U45" i="7"/>
  <c r="S45" i="7"/>
  <c r="R47" i="7"/>
  <c r="T47" i="7" s="1"/>
  <c r="U47" i="7"/>
  <c r="S47" i="7"/>
  <c r="U49" i="7"/>
  <c r="S49" i="7"/>
  <c r="R49" i="7"/>
  <c r="U48" i="7"/>
  <c r="T48" i="7"/>
  <c r="S48" i="7"/>
  <c r="R48" i="7"/>
  <c r="R110" i="7"/>
  <c r="U110" i="7"/>
  <c r="S110" i="7"/>
  <c r="T110" i="7"/>
  <c r="U148" i="7"/>
  <c r="S148" i="7"/>
  <c r="R148" i="7"/>
  <c r="T148" i="7" s="1"/>
  <c r="U92" i="7"/>
  <c r="T92" i="7"/>
  <c r="S92" i="7"/>
  <c r="R92" i="7"/>
  <c r="U173" i="7"/>
  <c r="S173" i="7"/>
  <c r="R173" i="7"/>
  <c r="T173" i="7"/>
  <c r="U41" i="7"/>
  <c r="R41" i="7"/>
  <c r="S41" i="7"/>
  <c r="U40" i="7"/>
  <c r="S40" i="7"/>
  <c r="R40" i="7"/>
  <c r="R139" i="7"/>
  <c r="T139" i="7"/>
  <c r="U139" i="7"/>
  <c r="S139" i="7"/>
  <c r="U155" i="7"/>
  <c r="R155" i="7"/>
  <c r="S155" i="7"/>
  <c r="T155" i="7"/>
  <c r="U195" i="7"/>
  <c r="R195" i="7"/>
  <c r="S195" i="7"/>
  <c r="T195" i="7"/>
  <c r="S39" i="7"/>
  <c r="U39" i="7"/>
  <c r="R39" i="7"/>
  <c r="T39" i="7" s="1"/>
  <c r="U309" i="7"/>
  <c r="S309" i="7"/>
  <c r="R309" i="7"/>
  <c r="T309" i="7" s="1"/>
  <c r="U136" i="7"/>
  <c r="R136" i="7"/>
  <c r="S136" i="7"/>
  <c r="T136" i="7"/>
  <c r="R211" i="7"/>
  <c r="T211" i="7" s="1"/>
  <c r="S211" i="7"/>
  <c r="U211" i="7"/>
  <c r="R250" i="7"/>
  <c r="T250" i="7" s="1"/>
  <c r="S250" i="7"/>
  <c r="U250" i="7"/>
  <c r="R187" i="7"/>
  <c r="T187" i="7" s="1"/>
  <c r="U187" i="7"/>
  <c r="S187" i="7"/>
  <c r="R8" i="7"/>
  <c r="S8" i="7"/>
  <c r="T8" i="7"/>
  <c r="U8" i="7"/>
  <c r="S258" i="7"/>
  <c r="U258" i="7"/>
  <c r="R258" i="7"/>
  <c r="T258" i="7" s="1"/>
  <c r="S172" i="7"/>
  <c r="U172" i="7"/>
  <c r="R172" i="7"/>
  <c r="T172" i="7" s="1"/>
  <c r="U107" i="7"/>
  <c r="S107" i="7"/>
  <c r="R107" i="7"/>
  <c r="U101" i="7"/>
  <c r="S101" i="7"/>
  <c r="T101" i="7"/>
  <c r="T68" i="7"/>
  <c r="U68" i="7"/>
  <c r="R68" i="7"/>
  <c r="S68" i="7"/>
  <c r="BU207" i="7"/>
  <c r="BW207" i="7"/>
  <c r="BT207" i="7"/>
  <c r="BV207" i="7" s="1"/>
  <c r="BT231" i="7"/>
  <c r="BV231" i="7" s="1"/>
  <c r="BU231" i="7"/>
  <c r="BW231" i="7"/>
  <c r="BT180" i="7"/>
  <c r="BV180" i="7"/>
  <c r="BU180" i="7"/>
  <c r="BW180" i="7"/>
  <c r="BT121" i="7"/>
  <c r="BU121" i="7"/>
  <c r="BV121" i="7"/>
  <c r="BW121" i="7"/>
  <c r="BW74" i="7"/>
  <c r="BU74" i="7"/>
  <c r="BT74" i="7"/>
  <c r="BW153" i="7"/>
  <c r="BT153" i="7"/>
  <c r="BU153" i="7"/>
  <c r="BW24" i="7"/>
  <c r="BU24" i="7"/>
  <c r="BT24" i="7"/>
  <c r="BT20" i="7"/>
  <c r="BV20" i="7" s="1"/>
  <c r="BU20" i="7"/>
  <c r="BW20" i="7"/>
  <c r="BW105" i="7"/>
  <c r="BT105" i="7"/>
  <c r="BU105" i="7"/>
  <c r="BU118" i="7"/>
  <c r="BT118" i="7"/>
  <c r="BV118" i="7" s="1"/>
  <c r="BW118" i="7"/>
  <c r="BW144" i="7"/>
  <c r="BT144" i="7"/>
  <c r="BU144" i="7"/>
  <c r="BU122" i="7"/>
  <c r="BT122" i="7"/>
  <c r="BV122" i="7" s="1"/>
  <c r="BW122" i="7"/>
  <c r="BU277" i="7"/>
  <c r="BW277" i="7"/>
  <c r="BT277" i="7"/>
  <c r="BV277" i="7" s="1"/>
  <c r="BW181" i="7"/>
  <c r="BU181" i="7"/>
  <c r="BT181" i="7"/>
  <c r="BU208" i="7"/>
  <c r="BT208" i="7"/>
  <c r="BV208" i="7" s="1"/>
  <c r="BW208" i="7"/>
  <c r="BW179" i="7"/>
  <c r="BU179" i="7"/>
  <c r="BT179" i="7"/>
  <c r="BU9" i="7"/>
  <c r="BT9" i="7"/>
  <c r="BV9" i="7" s="1"/>
  <c r="BW9" i="7"/>
  <c r="BU142" i="7"/>
  <c r="BT142" i="7"/>
  <c r="BW142" i="7"/>
  <c r="BV142" i="7"/>
  <c r="BW71" i="7"/>
  <c r="BT71" i="7"/>
  <c r="BU71" i="7"/>
  <c r="AK65" i="7"/>
  <c r="AJ65" i="7"/>
  <c r="AL65" i="7" s="1"/>
  <c r="AM65" i="7"/>
  <c r="AM100" i="7"/>
  <c r="AL100" i="7"/>
  <c r="AK100" i="7"/>
  <c r="AJ58" i="7"/>
  <c r="AK58" i="7"/>
  <c r="AL58" i="7"/>
  <c r="AM58" i="7"/>
  <c r="AK226" i="7"/>
  <c r="AJ226" i="7"/>
  <c r="AL226" i="7" s="1"/>
  <c r="AM226" i="7"/>
  <c r="AM19" i="7"/>
  <c r="AK19" i="7"/>
  <c r="AJ19" i="7"/>
  <c r="AM256" i="7"/>
  <c r="AJ256" i="7"/>
  <c r="AL256" i="7" s="1"/>
  <c r="AK256" i="7"/>
  <c r="AM98" i="7"/>
  <c r="AK98" i="7"/>
  <c r="AJ98" i="7"/>
  <c r="AM57" i="7"/>
  <c r="AK57" i="7"/>
  <c r="AJ57" i="7"/>
  <c r="AL57" i="7" s="1"/>
  <c r="AK61" i="7"/>
  <c r="AJ61" i="7"/>
  <c r="AL61" i="7" s="1"/>
  <c r="AM61" i="7"/>
  <c r="AJ93" i="7"/>
  <c r="AM93" i="7"/>
  <c r="AK93" i="7"/>
  <c r="AL93" i="7"/>
  <c r="AK215" i="7"/>
  <c r="AM215" i="7"/>
  <c r="AJ215" i="7"/>
  <c r="AL215" i="7" s="1"/>
  <c r="AK111" i="7"/>
  <c r="AM111" i="7"/>
  <c r="AJ111" i="7"/>
  <c r="AL111" i="7"/>
  <c r="AM51" i="7"/>
  <c r="AJ51" i="7"/>
  <c r="AK51" i="7"/>
  <c r="AM49" i="7"/>
  <c r="AJ49" i="7"/>
  <c r="AK49" i="7"/>
  <c r="AL49" i="7"/>
  <c r="AJ161" i="7"/>
  <c r="AM161" i="7"/>
  <c r="AL161" i="7"/>
  <c r="AK161" i="7"/>
  <c r="AJ148" i="7"/>
  <c r="AL148" i="7" s="1"/>
  <c r="AK148" i="7"/>
  <c r="AM148" i="7"/>
  <c r="AJ214" i="7"/>
  <c r="AL214" i="7" s="1"/>
  <c r="AK214" i="7"/>
  <c r="AM214" i="7"/>
  <c r="AM157" i="7"/>
  <c r="AK157" i="7"/>
  <c r="AJ157" i="7"/>
  <c r="AK18" i="7"/>
  <c r="AM18" i="7"/>
  <c r="AJ18" i="7"/>
  <c r="AL18" i="7" s="1"/>
  <c r="AJ245" i="7"/>
  <c r="AL245" i="7" s="1"/>
  <c r="AK245" i="7"/>
  <c r="AM245" i="7"/>
  <c r="AK88" i="7"/>
  <c r="AM88" i="7"/>
  <c r="AJ88" i="7"/>
  <c r="AL88" i="7"/>
  <c r="AK39" i="7"/>
  <c r="AJ39" i="7"/>
  <c r="AM39" i="7"/>
  <c r="AL39" i="7"/>
  <c r="AK286" i="7"/>
  <c r="AJ286" i="7"/>
  <c r="AL286" i="7" s="1"/>
  <c r="AM286" i="7"/>
  <c r="AM155" i="7"/>
  <c r="AL155" i="7"/>
  <c r="AJ155" i="7"/>
  <c r="AK155" i="7"/>
  <c r="AM108" i="7"/>
  <c r="AJ108" i="7"/>
  <c r="AK108" i="7"/>
  <c r="AJ147" i="7"/>
  <c r="AL147" i="7" s="1"/>
  <c r="AK147" i="7"/>
  <c r="AM147" i="7"/>
  <c r="AK188" i="7"/>
  <c r="AM188" i="7"/>
  <c r="AJ188" i="7"/>
  <c r="AL188" i="7" s="1"/>
  <c r="AM175" i="7"/>
  <c r="AJ175" i="7"/>
  <c r="AL175" i="7"/>
  <c r="AK175" i="7"/>
  <c r="AM32" i="7"/>
  <c r="AJ32" i="7"/>
  <c r="AK32" i="7"/>
  <c r="AJ261" i="7"/>
  <c r="AL261" i="7" s="1"/>
  <c r="AK261" i="7"/>
  <c r="AM261" i="7"/>
  <c r="AK247" i="7"/>
  <c r="AM247" i="7"/>
  <c r="AJ247" i="7"/>
  <c r="AL247" i="7" s="1"/>
  <c r="AM225" i="7"/>
  <c r="AK225" i="7"/>
  <c r="AJ225" i="7"/>
  <c r="AK187" i="7"/>
  <c r="AM187" i="7"/>
  <c r="AL187" i="7"/>
  <c r="AJ187" i="7"/>
  <c r="AM26" i="7"/>
  <c r="AJ26" i="7"/>
  <c r="AL26" i="7"/>
  <c r="AK26" i="7"/>
  <c r="AK258" i="7"/>
  <c r="AJ258" i="7"/>
  <c r="AL258" i="7" s="1"/>
  <c r="AM258" i="7"/>
  <c r="AM82" i="7"/>
  <c r="AJ82" i="7"/>
  <c r="AL82" i="7" s="1"/>
  <c r="AK82" i="7"/>
  <c r="AM172" i="7"/>
  <c r="AK172" i="7"/>
  <c r="AJ172" i="7"/>
  <c r="AL172" i="7" s="1"/>
  <c r="AK241" i="7"/>
  <c r="AM241" i="7"/>
  <c r="AJ241" i="7"/>
  <c r="AL241" i="7" s="1"/>
  <c r="AK199" i="7"/>
  <c r="AM199" i="7"/>
  <c r="AJ199" i="7"/>
  <c r="AL199" i="7" s="1"/>
  <c r="AJ253" i="7"/>
  <c r="AL253" i="7" s="1"/>
  <c r="AM253" i="7"/>
  <c r="AK253" i="7"/>
  <c r="AL7" i="7"/>
  <c r="AM7" i="7"/>
  <c r="AJ7" i="7"/>
  <c r="AK7" i="7"/>
  <c r="AK197" i="7"/>
  <c r="AM197" i="7"/>
  <c r="AJ197" i="7"/>
  <c r="AL197" i="7"/>
  <c r="AK204" i="7"/>
  <c r="AM204" i="7"/>
  <c r="AJ204" i="7"/>
  <c r="AL204" i="7" s="1"/>
  <c r="AJ202" i="7"/>
  <c r="AL202" i="7" s="1"/>
  <c r="AM202" i="7"/>
  <c r="AK202" i="7"/>
  <c r="AK78" i="7"/>
  <c r="AM78" i="7"/>
  <c r="AJ78" i="7"/>
  <c r="AL78" i="7"/>
  <c r="AM127" i="7"/>
  <c r="AK127" i="7"/>
  <c r="AJ127" i="7"/>
  <c r="AJ184" i="7"/>
  <c r="AL184" i="7" s="1"/>
  <c r="AM184" i="7"/>
  <c r="AK184" i="7"/>
  <c r="AK138" i="7"/>
  <c r="AJ138" i="7"/>
  <c r="AL138" i="7"/>
  <c r="AM138" i="7"/>
  <c r="AJ125" i="7"/>
  <c r="AL125" i="7" s="1"/>
  <c r="AM125" i="7"/>
  <c r="AK125" i="7"/>
  <c r="AM182" i="7"/>
  <c r="AJ182" i="7"/>
  <c r="AL182" i="7" s="1"/>
  <c r="AK182" i="7"/>
  <c r="AK145" i="7"/>
  <c r="AJ145" i="7"/>
  <c r="AL145" i="7" s="1"/>
  <c r="AM145" i="7"/>
  <c r="AM163" i="7"/>
  <c r="AJ163" i="7"/>
  <c r="AL163" i="7" s="1"/>
  <c r="AK163" i="7"/>
  <c r="AL149" i="7"/>
  <c r="AM149" i="7"/>
  <c r="AJ149" i="7"/>
  <c r="AK149" i="7"/>
  <c r="AL183" i="7"/>
  <c r="AK183" i="7"/>
  <c r="AM183" i="7"/>
  <c r="AJ183" i="7"/>
  <c r="AJ176" i="7"/>
  <c r="AL176" i="7" s="1"/>
  <c r="AK176" i="7"/>
  <c r="AM176" i="7"/>
  <c r="AK141" i="7"/>
  <c r="AM141" i="7"/>
  <c r="AJ141" i="7"/>
  <c r="AL141" i="7" s="1"/>
  <c r="AJ152" i="7"/>
  <c r="AL152" i="7" s="1"/>
  <c r="AK152" i="7"/>
  <c r="AM152" i="7"/>
  <c r="AJ269" i="7"/>
  <c r="AL269" i="7" s="1"/>
  <c r="AK269" i="7"/>
  <c r="AM269" i="7"/>
  <c r="AK252" i="7"/>
  <c r="AM252" i="7"/>
  <c r="AJ252" i="7"/>
  <c r="AL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3" i="7"/>
  <c r="T103" i="7" s="1"/>
  <c r="U103" i="7"/>
  <c r="S103" i="7"/>
  <c r="U77" i="7"/>
  <c r="R77" i="7"/>
  <c r="T77" i="7" s="1"/>
  <c r="S77" i="7"/>
  <c r="T167" i="7"/>
  <c r="U167" i="7"/>
  <c r="S167" i="7"/>
  <c r="R167" i="7"/>
  <c r="U105" i="7"/>
  <c r="S105" i="7"/>
  <c r="R105" i="7"/>
  <c r="T105" i="7" s="1"/>
  <c r="S10" i="7"/>
  <c r="T10" i="7"/>
  <c r="U10" i="7"/>
  <c r="R10" i="7"/>
  <c r="R238" i="7"/>
  <c r="T238" i="7" s="1"/>
  <c r="S238" i="7"/>
  <c r="U238" i="7"/>
  <c r="T70" i="7"/>
  <c r="S70" i="7"/>
  <c r="U70" i="7"/>
  <c r="R70" i="7"/>
  <c r="U181" i="7"/>
  <c r="R181" i="7"/>
  <c r="S181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C245" i="7"/>
  <c r="BE245" i="7"/>
  <c r="BB245" i="7"/>
  <c r="BD245" i="7" s="1"/>
  <c r="BC255" i="7"/>
  <c r="BB255" i="7"/>
  <c r="BD255" i="7" s="1"/>
  <c r="BE255" i="7"/>
  <c r="BB185" i="7"/>
  <c r="BC185" i="7"/>
  <c r="BE185" i="7"/>
  <c r="BD185" i="7"/>
  <c r="BC139" i="7"/>
  <c r="BE139" i="7"/>
  <c r="BB139" i="7"/>
  <c r="BD139" i="7"/>
  <c r="BC296" i="7"/>
  <c r="BE296" i="7"/>
  <c r="BB296" i="7"/>
  <c r="BD296" i="7" s="1"/>
  <c r="BC28" i="7"/>
  <c r="BE28" i="7"/>
  <c r="BB28" i="7"/>
  <c r="BD28" i="7" s="1"/>
  <c r="BB250" i="7"/>
  <c r="BD250" i="7" s="1"/>
  <c r="BC250" i="7"/>
  <c r="BE250" i="7"/>
  <c r="BE285" i="7"/>
  <c r="BC285" i="7"/>
  <c r="BB285" i="7"/>
  <c r="BD285" i="7" s="1"/>
  <c r="BB253" i="7"/>
  <c r="BD253" i="7" s="1"/>
  <c r="BC253" i="7"/>
  <c r="BE253" i="7"/>
  <c r="BC209" i="7"/>
  <c r="BB209" i="7"/>
  <c r="BD209" i="7" s="1"/>
  <c r="BE209" i="7"/>
  <c r="BB213" i="7"/>
  <c r="BD213" i="7" s="1"/>
  <c r="BE213" i="7"/>
  <c r="BC213" i="7"/>
  <c r="BC12" i="7"/>
  <c r="BB12" i="7"/>
  <c r="BD12" i="7" s="1"/>
  <c r="BE12" i="7"/>
  <c r="BB193" i="7"/>
  <c r="BC193" i="7"/>
  <c r="BD193" i="7"/>
  <c r="BE193" i="7"/>
  <c r="BE127" i="7"/>
  <c r="BB127" i="7"/>
  <c r="BC127" i="7"/>
  <c r="BB205" i="7"/>
  <c r="BD205" i="7" s="1"/>
  <c r="BC205" i="7"/>
  <c r="BE205" i="7"/>
  <c r="BC120" i="7"/>
  <c r="BB120" i="7"/>
  <c r="BD120" i="7" s="1"/>
  <c r="BE120" i="7"/>
  <c r="BB204" i="7"/>
  <c r="BD204" i="7" s="1"/>
  <c r="BC204" i="7"/>
  <c r="BE204" i="7"/>
  <c r="BC218" i="7"/>
  <c r="BE218" i="7"/>
  <c r="BB218" i="7"/>
  <c r="BD218" i="7" s="1"/>
  <c r="BC310" i="7"/>
  <c r="BB310" i="7"/>
  <c r="BD310" i="7" s="1"/>
  <c r="BE310" i="7"/>
  <c r="BE168" i="7"/>
  <c r="BB168" i="7"/>
  <c r="BC168" i="7"/>
  <c r="BC146" i="7"/>
  <c r="BD146" i="7"/>
  <c r="BE146" i="7"/>
  <c r="BB146" i="7"/>
  <c r="BC306" i="7"/>
  <c r="BE306" i="7"/>
  <c r="BB306" i="7"/>
  <c r="BD306" i="7" s="1"/>
  <c r="BB138" i="7"/>
  <c r="BC138" i="7"/>
  <c r="BE138" i="7"/>
  <c r="BD138" i="7"/>
  <c r="BB145" i="7"/>
  <c r="BE145" i="7"/>
  <c r="BC145" i="7"/>
  <c r="BD145" i="7"/>
  <c r="BC183" i="7"/>
  <c r="BD183" i="7"/>
  <c r="BE183" i="7"/>
  <c r="BB183" i="7"/>
  <c r="BB191" i="7"/>
  <c r="BC191" i="7"/>
  <c r="BD191" i="7"/>
  <c r="BE191" i="7"/>
  <c r="BC133" i="7"/>
  <c r="BB133" i="7"/>
  <c r="BD133" i="7" s="1"/>
  <c r="BE133" i="7"/>
  <c r="BB171" i="7"/>
  <c r="BC171" i="7"/>
  <c r="BD171" i="7"/>
  <c r="BE171" i="7"/>
  <c r="BE292" i="7"/>
  <c r="BB292" i="7"/>
  <c r="BD292" i="7" s="1"/>
  <c r="BC292" i="7"/>
  <c r="BC150" i="7"/>
  <c r="BE150" i="7"/>
  <c r="BB150" i="7"/>
  <c r="BD150" i="7"/>
  <c r="BC114" i="7"/>
  <c r="BE114" i="7"/>
  <c r="BB114" i="7"/>
  <c r="BD114" i="7" s="1"/>
  <c r="BE66" i="7"/>
  <c r="BB66" i="7"/>
  <c r="BC66" i="7"/>
  <c r="BE98" i="7"/>
  <c r="BB98" i="7"/>
  <c r="BC98" i="7"/>
  <c r="BC96" i="7"/>
  <c r="BD96" i="7"/>
  <c r="BE96" i="7"/>
  <c r="BB96" i="7"/>
  <c r="BC94" i="7"/>
  <c r="BB94" i="7"/>
  <c r="BD94" i="7" s="1"/>
  <c r="BE94" i="7"/>
  <c r="BC59" i="7"/>
  <c r="BE59" i="7"/>
  <c r="BB59" i="7"/>
  <c r="BD59" i="7" s="1"/>
  <c r="BB148" i="7"/>
  <c r="BE148" i="7"/>
  <c r="BD148" i="7"/>
  <c r="BC148" i="7"/>
  <c r="BB46" i="7"/>
  <c r="BD46" i="7"/>
  <c r="BC46" i="7"/>
  <c r="BE46" i="7"/>
  <c r="BC165" i="7"/>
  <c r="BB165" i="7"/>
  <c r="BD165" i="7" s="1"/>
  <c r="BE165" i="7"/>
  <c r="BE112" i="7"/>
  <c r="BB112" i="7"/>
  <c r="BC112" i="7"/>
  <c r="BC89" i="7"/>
  <c r="BB89" i="7"/>
  <c r="BD89" i="7"/>
  <c r="BE89" i="7"/>
  <c r="BB116" i="7"/>
  <c r="BD116" i="7" s="1"/>
  <c r="BE116" i="7"/>
  <c r="BC116" i="7"/>
  <c r="BB173" i="7"/>
  <c r="BC173" i="7"/>
  <c r="BD173" i="7"/>
  <c r="BE173" i="7"/>
  <c r="BC309" i="7"/>
  <c r="BB309" i="7"/>
  <c r="BD309" i="7" s="1"/>
  <c r="BE309" i="7"/>
  <c r="BB275" i="7"/>
  <c r="BD275" i="7" s="1"/>
  <c r="BC275" i="7"/>
  <c r="BE275" i="7"/>
  <c r="BE87" i="7"/>
  <c r="BB87" i="7"/>
  <c r="BC87" i="7"/>
  <c r="BE33" i="7"/>
  <c r="BC33" i="7"/>
  <c r="BB33" i="7"/>
  <c r="BB17" i="7"/>
  <c r="BD17" i="7" s="1"/>
  <c r="BC17" i="7"/>
  <c r="BE17" i="7"/>
  <c r="BC188" i="7"/>
  <c r="BB188" i="7"/>
  <c r="BD188" i="7" s="1"/>
  <c r="BE188" i="7"/>
  <c r="BC26" i="7"/>
  <c r="BB26" i="7"/>
  <c r="BD26" i="7"/>
  <c r="BE26" i="7"/>
  <c r="BB8" i="7"/>
  <c r="BD8" i="7" s="1"/>
  <c r="BC8" i="7"/>
  <c r="BE8" i="7"/>
  <c r="BE210" i="7"/>
  <c r="BC210" i="7"/>
  <c r="BB210" i="7"/>
  <c r="AJ119" i="7"/>
  <c r="AK119" i="7"/>
  <c r="AL119" i="7"/>
  <c r="AM119" i="7"/>
  <c r="AM106" i="7"/>
  <c r="AJ106" i="7"/>
  <c r="AK106" i="7"/>
  <c r="AM290" i="7"/>
  <c r="AJ290" i="7"/>
  <c r="AL290" i="7" s="1"/>
  <c r="AK290" i="7"/>
  <c r="AM305" i="7"/>
  <c r="AK305" i="7"/>
  <c r="AJ305" i="7"/>
  <c r="AL305" i="7" s="1"/>
  <c r="AJ121" i="7"/>
  <c r="AL121" i="7" s="1"/>
  <c r="AM121" i="7"/>
  <c r="AK121" i="7"/>
  <c r="AM308" i="7"/>
  <c r="AJ308" i="7"/>
  <c r="AL308" i="7" s="1"/>
  <c r="AK308" i="7"/>
  <c r="AM24" i="7"/>
  <c r="AJ24" i="7"/>
  <c r="AK24" i="7"/>
  <c r="AM20" i="7"/>
  <c r="AJ20" i="7"/>
  <c r="AL20" i="7" s="1"/>
  <c r="AK20" i="7"/>
  <c r="AM167" i="7"/>
  <c r="AL167" i="7"/>
  <c r="AK167" i="7"/>
  <c r="AJ167" i="7"/>
  <c r="AK233" i="7"/>
  <c r="AJ233" i="7"/>
  <c r="AL233" i="7" s="1"/>
  <c r="AM233" i="7"/>
  <c r="AM118" i="7"/>
  <c r="AJ118" i="7"/>
  <c r="AL118" i="7" s="1"/>
  <c r="AK118" i="7"/>
  <c r="AK236" i="7"/>
  <c r="AJ236" i="7"/>
  <c r="AL236" i="7" s="1"/>
  <c r="AM236" i="7"/>
  <c r="AJ284" i="7"/>
  <c r="AL284" i="7" s="1"/>
  <c r="AK284" i="7"/>
  <c r="AM284" i="7"/>
  <c r="AK10" i="7"/>
  <c r="AM10" i="7"/>
  <c r="AJ10" i="7"/>
  <c r="AL10" i="7" s="1"/>
  <c r="AK208" i="7"/>
  <c r="AM208" i="7"/>
  <c r="AJ208" i="7"/>
  <c r="AL208" i="7" s="1"/>
  <c r="AM104" i="7"/>
  <c r="AJ104" i="7"/>
  <c r="AK104" i="7"/>
  <c r="AM311" i="7"/>
  <c r="AK311" i="7"/>
  <c r="AJ311" i="7"/>
  <c r="AL311" i="7" s="1"/>
  <c r="AM71" i="7"/>
  <c r="AJ71" i="7"/>
  <c r="AK71" i="7"/>
  <c r="AM287" i="7"/>
  <c r="AK287" i="7"/>
  <c r="AJ287" i="7"/>
  <c r="AL287" i="7" s="1"/>
  <c r="BU114" i="7"/>
  <c r="BT114" i="7"/>
  <c r="BV114" i="7" s="1"/>
  <c r="BW114" i="7"/>
  <c r="BW101" i="7"/>
  <c r="BU101" i="7"/>
  <c r="BV101" i="7"/>
  <c r="BT58" i="7"/>
  <c r="BV58" i="7" s="1"/>
  <c r="BU58" i="7"/>
  <c r="BW58" i="7"/>
  <c r="BW206" i="7"/>
  <c r="BT206" i="7"/>
  <c r="BU206" i="7"/>
  <c r="BT113" i="7"/>
  <c r="BU113" i="7"/>
  <c r="BV113" i="7"/>
  <c r="BW113" i="7"/>
  <c r="BT60" i="7"/>
  <c r="BW60" i="7"/>
  <c r="BV60" i="7"/>
  <c r="BU60" i="7"/>
  <c r="BU226" i="7"/>
  <c r="BT226" i="7"/>
  <c r="BV226" i="7" s="1"/>
  <c r="BW226" i="7"/>
  <c r="BW62" i="7"/>
  <c r="BU62" i="7"/>
  <c r="BT62" i="7"/>
  <c r="BT94" i="7"/>
  <c r="BV94" i="7" s="1"/>
  <c r="BW94" i="7"/>
  <c r="BU94" i="7"/>
  <c r="BT256" i="7"/>
  <c r="BV256" i="7" s="1"/>
  <c r="BW256" i="7"/>
  <c r="BU256" i="7"/>
  <c r="BU215" i="7"/>
  <c r="BT215" i="7"/>
  <c r="BV215" i="7" s="1"/>
  <c r="BW215" i="7"/>
  <c r="BW48" i="7"/>
  <c r="BU48" i="7"/>
  <c r="BT48" i="7"/>
  <c r="BT90" i="7"/>
  <c r="BV90" i="7" s="1"/>
  <c r="BU90" i="7"/>
  <c r="BW90" i="7"/>
  <c r="BW111" i="7"/>
  <c r="BU111" i="7"/>
  <c r="BT111" i="7"/>
  <c r="BV111" i="7"/>
  <c r="BT45" i="7"/>
  <c r="BW45" i="7"/>
  <c r="BU45" i="7"/>
  <c r="BV45" i="7"/>
  <c r="BT148" i="7"/>
  <c r="BU148" i="7"/>
  <c r="BV148" i="7"/>
  <c r="BW148" i="7"/>
  <c r="BT116" i="7"/>
  <c r="BU116" i="7"/>
  <c r="BV116" i="7"/>
  <c r="BW116" i="7"/>
  <c r="BW41" i="7"/>
  <c r="BU41" i="7"/>
  <c r="BT41" i="7"/>
  <c r="BT89" i="7"/>
  <c r="BV89" i="7" s="1"/>
  <c r="BU89" i="7"/>
  <c r="BW89" i="7"/>
  <c r="BW221" i="7"/>
  <c r="BU221" i="7"/>
  <c r="BT221" i="7"/>
  <c r="BT255" i="7"/>
  <c r="BV255" i="7" s="1"/>
  <c r="BU255" i="7"/>
  <c r="BW255" i="7"/>
  <c r="BU185" i="7"/>
  <c r="BT185" i="7"/>
  <c r="BV185" i="7" s="1"/>
  <c r="BW185" i="7"/>
  <c r="BU286" i="7"/>
  <c r="BT286" i="7"/>
  <c r="BV286" i="7" s="1"/>
  <c r="BW286" i="7"/>
  <c r="BU139" i="7"/>
  <c r="BW139" i="7"/>
  <c r="BT139" i="7"/>
  <c r="BV139" i="7"/>
  <c r="BU86" i="7"/>
  <c r="BT86" i="7"/>
  <c r="BV86" i="7" s="1"/>
  <c r="BW86" i="7"/>
  <c r="BU136" i="7"/>
  <c r="BT136" i="7"/>
  <c r="BV136" i="7" s="1"/>
  <c r="BW136" i="7"/>
  <c r="BW33" i="7"/>
  <c r="BT33" i="7"/>
  <c r="BU33" i="7"/>
  <c r="BW85" i="7"/>
  <c r="BT85" i="7"/>
  <c r="BV85" i="7" s="1"/>
  <c r="BU85" i="7"/>
  <c r="BU302" i="7"/>
  <c r="BW302" i="7"/>
  <c r="BT302" i="7"/>
  <c r="BV302" i="7" s="1"/>
  <c r="BT17" i="7"/>
  <c r="BW17" i="7"/>
  <c r="BV17" i="7"/>
  <c r="BU17" i="7"/>
  <c r="BT211" i="7"/>
  <c r="BV211" i="7" s="1"/>
  <c r="BU211" i="7"/>
  <c r="BW211" i="7"/>
  <c r="BT239" i="7"/>
  <c r="BV239" i="7" s="1"/>
  <c r="BW239" i="7"/>
  <c r="BU239" i="7"/>
  <c r="BT271" i="7"/>
  <c r="BV271" i="7" s="1"/>
  <c r="BW271" i="7"/>
  <c r="BU271" i="7"/>
  <c r="BT285" i="7"/>
  <c r="BV285" i="7" s="1"/>
  <c r="BW285" i="7"/>
  <c r="BU285" i="7"/>
  <c r="BT26" i="7"/>
  <c r="BV26" i="7"/>
  <c r="BU26" i="7"/>
  <c r="BW26" i="7"/>
  <c r="BW301" i="7"/>
  <c r="BU301" i="7"/>
  <c r="BT301" i="7"/>
  <c r="BV301" i="7" s="1"/>
  <c r="BW107" i="7"/>
  <c r="BT107" i="7"/>
  <c r="BU107" i="7"/>
  <c r="BT310" i="7"/>
  <c r="BV310" i="7" s="1"/>
  <c r="BW310" i="7"/>
  <c r="BU310" i="7"/>
  <c r="BT193" i="7"/>
  <c r="BV193" i="7" s="1"/>
  <c r="BU193" i="7"/>
  <c r="BW193" i="7"/>
  <c r="BU253" i="7"/>
  <c r="BW253" i="7"/>
  <c r="BT253" i="7"/>
  <c r="BV253" i="7" s="1"/>
  <c r="BU128" i="7"/>
  <c r="BT128" i="7"/>
  <c r="BV128" i="7" s="1"/>
  <c r="BW128" i="7"/>
  <c r="BU202" i="7"/>
  <c r="BT202" i="7"/>
  <c r="BV202" i="7" s="1"/>
  <c r="BW202" i="7"/>
  <c r="BU123" i="7"/>
  <c r="BT123" i="7"/>
  <c r="BV123" i="7" s="1"/>
  <c r="BW123" i="7"/>
  <c r="BT246" i="7"/>
  <c r="BV246" i="7" s="1"/>
  <c r="BW246" i="7"/>
  <c r="BU246" i="7"/>
  <c r="BT241" i="7"/>
  <c r="BV241" i="7" s="1"/>
  <c r="BU241" i="7"/>
  <c r="BW241" i="7"/>
  <c r="BT254" i="7"/>
  <c r="BV254" i="7" s="1"/>
  <c r="BU254" i="7"/>
  <c r="BW254" i="7"/>
  <c r="BT13" i="7"/>
  <c r="BV13" i="7" s="1"/>
  <c r="BU13" i="7"/>
  <c r="BW13" i="7"/>
  <c r="BT117" i="7"/>
  <c r="BV117" i="7" s="1"/>
  <c r="BU117" i="7"/>
  <c r="BW117" i="7"/>
  <c r="BT240" i="7"/>
  <c r="BV240" i="7" s="1"/>
  <c r="BU240" i="7"/>
  <c r="BW240" i="7"/>
  <c r="BV189" i="7"/>
  <c r="BT189" i="7"/>
  <c r="BU189" i="7"/>
  <c r="BW189" i="7"/>
  <c r="BT182" i="7"/>
  <c r="BV182" i="7" s="1"/>
  <c r="BU182" i="7"/>
  <c r="BW182" i="7"/>
  <c r="BU184" i="7"/>
  <c r="BW184" i="7"/>
  <c r="BT184" i="7"/>
  <c r="BV184" i="7" s="1"/>
  <c r="BU176" i="7"/>
  <c r="BT176" i="7"/>
  <c r="BV176" i="7"/>
  <c r="BW176" i="7"/>
  <c r="BT166" i="7"/>
  <c r="BV166" i="7" s="1"/>
  <c r="BU166" i="7"/>
  <c r="BW166" i="7"/>
  <c r="BW135" i="7"/>
  <c r="BT135" i="7"/>
  <c r="BU135" i="7"/>
  <c r="BV135" i="7"/>
  <c r="BU149" i="7"/>
  <c r="BW149" i="7"/>
  <c r="BT149" i="7"/>
  <c r="BV149" i="7" s="1"/>
  <c r="BU183" i="7"/>
  <c r="BT183" i="7"/>
  <c r="BV183" i="7" s="1"/>
  <c r="BW183" i="7"/>
  <c r="BT145" i="7"/>
  <c r="BV145" i="7" s="1"/>
  <c r="BU145" i="7"/>
  <c r="BW145" i="7"/>
  <c r="BT269" i="7"/>
  <c r="BV269" i="7" s="1"/>
  <c r="BU269" i="7"/>
  <c r="BW269" i="7"/>
  <c r="BC231" i="7"/>
  <c r="BB231" i="7"/>
  <c r="BD231" i="7" s="1"/>
  <c r="BE231" i="7"/>
  <c r="BB305" i="7"/>
  <c r="BD305" i="7" s="1"/>
  <c r="BE305" i="7"/>
  <c r="BC305" i="7"/>
  <c r="BB73" i="7"/>
  <c r="BD73" i="7" s="1"/>
  <c r="BE73" i="7"/>
  <c r="BC73" i="7"/>
  <c r="BE153" i="7"/>
  <c r="BC153" i="7"/>
  <c r="BB153" i="7"/>
  <c r="BB75" i="7"/>
  <c r="BD75" i="7" s="1"/>
  <c r="BE75" i="7"/>
  <c r="BC75" i="7"/>
  <c r="BB304" i="7"/>
  <c r="BD304" i="7" s="1"/>
  <c r="BE304" i="7"/>
  <c r="BC304" i="7"/>
  <c r="BB103" i="7"/>
  <c r="BD103" i="7"/>
  <c r="BE103" i="7"/>
  <c r="BC103" i="7"/>
  <c r="BE281" i="7"/>
  <c r="BC281" i="7"/>
  <c r="BB281" i="7"/>
  <c r="BD281" i="7" s="1"/>
  <c r="BC257" i="7"/>
  <c r="BB257" i="7"/>
  <c r="BD257" i="7" s="1"/>
  <c r="BE257" i="7"/>
  <c r="BE72" i="7"/>
  <c r="BB72" i="7"/>
  <c r="BC72" i="7"/>
  <c r="BB265" i="7"/>
  <c r="BD265" i="7" s="1"/>
  <c r="BE265" i="7"/>
  <c r="BC265" i="7"/>
  <c r="BB143" i="7"/>
  <c r="BD143" i="7" s="1"/>
  <c r="BC143" i="7"/>
  <c r="BE143" i="7"/>
  <c r="BC10" i="7"/>
  <c r="BB10" i="7"/>
  <c r="BE10" i="7"/>
  <c r="BD10" i="7"/>
  <c r="BB223" i="7"/>
  <c r="BD223" i="7" s="1"/>
  <c r="BE223" i="7"/>
  <c r="BC223" i="7"/>
  <c r="BC115" i="7"/>
  <c r="BB115" i="7"/>
  <c r="BE115" i="7"/>
  <c r="BD115" i="7"/>
  <c r="BC178" i="7"/>
  <c r="BE178" i="7"/>
  <c r="BB178" i="7"/>
  <c r="BD178" i="7" s="1"/>
  <c r="BC307" i="7"/>
  <c r="BE307" i="7"/>
  <c r="BB307" i="7"/>
  <c r="BD307" i="7" s="1"/>
  <c r="U85" i="7"/>
  <c r="R85" i="7"/>
  <c r="T85" i="7"/>
  <c r="S85" i="7"/>
  <c r="U31" i="7"/>
  <c r="S31" i="7"/>
  <c r="R31" i="7"/>
  <c r="R17" i="7"/>
  <c r="U17" i="7"/>
  <c r="S17" i="7"/>
  <c r="T17" i="7"/>
  <c r="U32" i="7"/>
  <c r="R32" i="7"/>
  <c r="S32" i="7"/>
  <c r="T32" i="7"/>
  <c r="U162" i="7"/>
  <c r="R162" i="7"/>
  <c r="S162" i="7"/>
  <c r="T162" i="7"/>
  <c r="R13" i="7"/>
  <c r="T13" i="7" s="1"/>
  <c r="S13" i="7"/>
  <c r="U13" i="7"/>
  <c r="S209" i="7"/>
  <c r="U209" i="7"/>
  <c r="R209" i="7"/>
  <c r="T209" i="7" s="1"/>
  <c r="R129" i="7"/>
  <c r="T129" i="7"/>
  <c r="S129" i="7"/>
  <c r="U129" i="7"/>
  <c r="R197" i="7"/>
  <c r="T197" i="7"/>
  <c r="U197" i="7"/>
  <c r="S197" i="7"/>
  <c r="U168" i="7"/>
  <c r="S168" i="7"/>
  <c r="R168" i="7"/>
  <c r="T168" i="7" s="1"/>
  <c r="S117" i="7"/>
  <c r="U117" i="7"/>
  <c r="R117" i="7"/>
  <c r="T117" i="7" s="1"/>
  <c r="S228" i="7"/>
  <c r="U228" i="7"/>
  <c r="R228" i="7"/>
  <c r="T228" i="7" s="1"/>
  <c r="U279" i="7"/>
  <c r="R279" i="7"/>
  <c r="S279" i="7"/>
  <c r="R120" i="7"/>
  <c r="U120" i="7"/>
  <c r="S120" i="7"/>
  <c r="T120" i="7"/>
  <c r="R203" i="7"/>
  <c r="T203" i="7" s="1"/>
  <c r="S203" i="7"/>
  <c r="U203" i="7"/>
  <c r="U127" i="7"/>
  <c r="S127" i="7"/>
  <c r="R127" i="7"/>
  <c r="T127" i="7" s="1"/>
  <c r="S174" i="7"/>
  <c r="R174" i="7"/>
  <c r="T174" i="7"/>
  <c r="U174" i="7"/>
  <c r="R242" i="7"/>
  <c r="T242" i="7" s="1"/>
  <c r="S242" i="7"/>
  <c r="U242" i="7"/>
  <c r="R314" i="7"/>
  <c r="T314" i="7" s="1"/>
  <c r="S314" i="7"/>
  <c r="U314" i="7"/>
  <c r="U171" i="7"/>
  <c r="R171" i="7"/>
  <c r="T171" i="7"/>
  <c r="S171" i="7"/>
  <c r="S130" i="7"/>
  <c r="U130" i="7"/>
  <c r="R130" i="7"/>
  <c r="T130" i="7" s="1"/>
  <c r="R254" i="7"/>
  <c r="T254" i="7" s="1"/>
  <c r="S254" i="7"/>
  <c r="U254" i="7"/>
  <c r="S190" i="7"/>
  <c r="U190" i="7"/>
  <c r="R190" i="7"/>
  <c r="T190" i="7" s="1"/>
  <c r="U191" i="7"/>
  <c r="R191" i="7"/>
  <c r="T191" i="7" s="1"/>
  <c r="S191" i="7"/>
  <c r="S150" i="7"/>
  <c r="U150" i="7"/>
  <c r="T150" i="7"/>
  <c r="R150" i="7"/>
  <c r="S240" i="7"/>
  <c r="R240" i="7"/>
  <c r="T240" i="7" s="1"/>
  <c r="U240" i="7"/>
  <c r="R283" i="7"/>
  <c r="T283" i="7" s="1"/>
  <c r="U283" i="7"/>
  <c r="S283" i="7"/>
  <c r="BE106" i="7"/>
  <c r="BC106" i="7"/>
  <c r="BB106" i="7"/>
  <c r="R54" i="7"/>
  <c r="U54" i="7"/>
  <c r="S54" i="7"/>
  <c r="T54" i="7"/>
  <c r="U64" i="7"/>
  <c r="S64" i="7"/>
  <c r="R64" i="7"/>
  <c r="T64" i="7" s="1"/>
  <c r="R94" i="7"/>
  <c r="S94" i="7"/>
  <c r="U94" i="7"/>
  <c r="T94" i="7"/>
  <c r="S96" i="7"/>
  <c r="R96" i="7"/>
  <c r="T96" i="7" s="1"/>
  <c r="U96" i="7"/>
  <c r="U62" i="7"/>
  <c r="S62" i="7"/>
  <c r="R62" i="7"/>
  <c r="T62" i="7"/>
  <c r="U216" i="7"/>
  <c r="S216" i="7"/>
  <c r="R216" i="7"/>
  <c r="U60" i="7"/>
  <c r="R60" i="7"/>
  <c r="T60" i="7" s="1"/>
  <c r="S60" i="7"/>
  <c r="T55" i="7"/>
  <c r="U55" i="7"/>
  <c r="S55" i="7"/>
  <c r="R55" i="7"/>
  <c r="S43" i="7"/>
  <c r="R43" i="7"/>
  <c r="T43" i="7" s="1"/>
  <c r="U43" i="7"/>
  <c r="R215" i="7"/>
  <c r="T215" i="7" s="1"/>
  <c r="U215" i="7"/>
  <c r="S215" i="7"/>
  <c r="U266" i="7"/>
  <c r="R266" i="7"/>
  <c r="T266" i="7" s="1"/>
  <c r="S266" i="7"/>
  <c r="R46" i="7"/>
  <c r="T46" i="7" s="1"/>
  <c r="S46" i="7"/>
  <c r="U46" i="7"/>
  <c r="U158" i="7"/>
  <c r="T158" i="7"/>
  <c r="S158" i="7"/>
  <c r="R158" i="7"/>
  <c r="U50" i="7"/>
  <c r="R50" i="7"/>
  <c r="T50" i="7" s="1"/>
  <c r="S50" i="7"/>
  <c r="R116" i="7"/>
  <c r="T116" i="7" s="1"/>
  <c r="U116" i="7"/>
  <c r="S116" i="7"/>
  <c r="S89" i="7"/>
  <c r="U89" i="7"/>
  <c r="R89" i="7"/>
  <c r="T89" i="7" s="1"/>
  <c r="S18" i="7"/>
  <c r="T18" i="7"/>
  <c r="U18" i="7"/>
  <c r="R18" i="7"/>
  <c r="U36" i="7"/>
  <c r="S36" i="7"/>
  <c r="R36" i="7"/>
  <c r="R286" i="7"/>
  <c r="T286" i="7" s="1"/>
  <c r="U286" i="7"/>
  <c r="S286" i="7"/>
  <c r="U38" i="7"/>
  <c r="R38" i="7"/>
  <c r="T38" i="7" s="1"/>
  <c r="S38" i="7"/>
  <c r="U154" i="7"/>
  <c r="R154" i="7"/>
  <c r="T154" i="7" s="1"/>
  <c r="S154" i="7"/>
  <c r="S11" i="7"/>
  <c r="U11" i="7"/>
  <c r="R11" i="7"/>
  <c r="T11" i="7"/>
  <c r="S192" i="7"/>
  <c r="U192" i="7"/>
  <c r="R192" i="7"/>
  <c r="T192" i="7"/>
  <c r="S28" i="7"/>
  <c r="U28" i="7"/>
  <c r="R28" i="7"/>
  <c r="T28" i="7" s="1"/>
  <c r="R247" i="7"/>
  <c r="T247" i="7" s="1"/>
  <c r="U247" i="7"/>
  <c r="S247" i="7"/>
  <c r="U160" i="7"/>
  <c r="R160" i="7"/>
  <c r="S160" i="7"/>
  <c r="T160" i="7"/>
  <c r="U29" i="7"/>
  <c r="S29" i="7"/>
  <c r="R29" i="7"/>
  <c r="T29" i="7" s="1"/>
  <c r="S25" i="7"/>
  <c r="U25" i="7"/>
  <c r="R25" i="7"/>
  <c r="T25" i="7"/>
  <c r="U234" i="7"/>
  <c r="R234" i="7"/>
  <c r="S234" i="7"/>
  <c r="S80" i="7"/>
  <c r="R80" i="7"/>
  <c r="U80" i="7"/>
  <c r="T80" i="7"/>
  <c r="S69" i="7"/>
  <c r="R69" i="7"/>
  <c r="U69" i="7"/>
  <c r="T69" i="7"/>
  <c r="U100" i="7"/>
  <c r="S100" i="7"/>
  <c r="T100" i="7"/>
  <c r="U196" i="7"/>
  <c r="S196" i="7"/>
  <c r="R196" i="7"/>
  <c r="BW79" i="7"/>
  <c r="BU79" i="7"/>
  <c r="BT79" i="7"/>
  <c r="BU232" i="7"/>
  <c r="BT232" i="7"/>
  <c r="BV232" i="7" s="1"/>
  <c r="BW232" i="7"/>
  <c r="BU305" i="7"/>
  <c r="BW305" i="7"/>
  <c r="BT305" i="7"/>
  <c r="BV305" i="7" s="1"/>
  <c r="BT22" i="7"/>
  <c r="BV22" i="7"/>
  <c r="BU22" i="7"/>
  <c r="BW22" i="7"/>
  <c r="BT217" i="7"/>
  <c r="BV217" i="7" s="1"/>
  <c r="BW217" i="7"/>
  <c r="BU217" i="7"/>
  <c r="BW77" i="7"/>
  <c r="BT77" i="7"/>
  <c r="BU77" i="7"/>
  <c r="BT169" i="7"/>
  <c r="BV169" i="7" s="1"/>
  <c r="BU169" i="7"/>
  <c r="BW169" i="7"/>
  <c r="BU103" i="7"/>
  <c r="BT103" i="7"/>
  <c r="BV103" i="7"/>
  <c r="BW103" i="7"/>
  <c r="BT281" i="7"/>
  <c r="BV281" i="7" s="1"/>
  <c r="BW281" i="7"/>
  <c r="BU281" i="7"/>
  <c r="BT251" i="7"/>
  <c r="BV251" i="7" s="1"/>
  <c r="BU251" i="7"/>
  <c r="BW251" i="7"/>
  <c r="BT265" i="7"/>
  <c r="BV265" i="7" s="1"/>
  <c r="BU265" i="7"/>
  <c r="BW265" i="7"/>
  <c r="BT312" i="7"/>
  <c r="BV312" i="7" s="1"/>
  <c r="BW312" i="7"/>
  <c r="BU312" i="7"/>
  <c r="BW230" i="7"/>
  <c r="BU230" i="7"/>
  <c r="BT230" i="7"/>
  <c r="BV230" i="7" s="1"/>
  <c r="BT10" i="7"/>
  <c r="BU10" i="7"/>
  <c r="BW10" i="7"/>
  <c r="BV10" i="7"/>
  <c r="BW104" i="7"/>
  <c r="BU104" i="7"/>
  <c r="BT104" i="7"/>
  <c r="BW289" i="7"/>
  <c r="BU289" i="7"/>
  <c r="BT289" i="7"/>
  <c r="BU178" i="7"/>
  <c r="BV178" i="7"/>
  <c r="BT178" i="7"/>
  <c r="BW178" i="7"/>
  <c r="BU273" i="7"/>
  <c r="BT273" i="7"/>
  <c r="BV273" i="7" s="1"/>
  <c r="BW273" i="7"/>
  <c r="AK69" i="7"/>
  <c r="AM69" i="7"/>
  <c r="AJ69" i="7"/>
  <c r="AL69" i="7" s="1"/>
  <c r="AM101" i="7"/>
  <c r="AL101" i="7"/>
  <c r="AK101" i="7"/>
  <c r="AM66" i="7"/>
  <c r="AJ66" i="7"/>
  <c r="AL66" i="7" s="1"/>
  <c r="AK66" i="7"/>
  <c r="AM96" i="7"/>
  <c r="AK96" i="7"/>
  <c r="AJ96" i="7"/>
  <c r="AL96" i="7" s="1"/>
  <c r="AJ113" i="7"/>
  <c r="AL113" i="7" s="1"/>
  <c r="AK113" i="7"/>
  <c r="AM113" i="7"/>
  <c r="AM99" i="7"/>
  <c r="AJ99" i="7"/>
  <c r="AK99" i="7"/>
  <c r="AM62" i="7"/>
  <c r="AJ62" i="7"/>
  <c r="AK62" i="7"/>
  <c r="AM64" i="7"/>
  <c r="AJ64" i="7"/>
  <c r="AK64" i="7"/>
  <c r="AM159" i="7"/>
  <c r="AK159" i="7"/>
  <c r="AJ159" i="7"/>
  <c r="AM63" i="7"/>
  <c r="AJ63" i="7"/>
  <c r="AK63" i="7"/>
  <c r="AL63" i="7"/>
  <c r="AM299" i="7"/>
  <c r="AK299" i="7"/>
  <c r="AJ299" i="7"/>
  <c r="AL299" i="7" s="1"/>
  <c r="AK5" i="7"/>
  <c r="AM5" i="7"/>
  <c r="AJ5" i="7"/>
  <c r="AL5" i="7" s="1"/>
  <c r="AM222" i="7"/>
  <c r="AJ222" i="7"/>
  <c r="AK222" i="7"/>
  <c r="AJ42" i="7"/>
  <c r="AK42" i="7"/>
  <c r="AL42" i="7"/>
  <c r="AM42" i="7"/>
  <c r="AJ165" i="7"/>
  <c r="AL165" i="7" s="1"/>
  <c r="AK165" i="7"/>
  <c r="AM165" i="7"/>
  <c r="AJ266" i="7"/>
  <c r="AL266" i="7" s="1"/>
  <c r="AK266" i="7"/>
  <c r="AM266" i="7"/>
  <c r="AM43" i="7"/>
  <c r="AK43" i="7"/>
  <c r="AL43" i="7"/>
  <c r="AJ43" i="7"/>
  <c r="AK89" i="7"/>
  <c r="AL89" i="7"/>
  <c r="AM89" i="7"/>
  <c r="AJ89" i="7"/>
  <c r="AM109" i="7"/>
  <c r="AK109" i="7"/>
  <c r="AJ109" i="7"/>
  <c r="AK173" i="7"/>
  <c r="AL173" i="7"/>
  <c r="AM173" i="7"/>
  <c r="AJ173" i="7"/>
  <c r="AM40" i="7"/>
  <c r="AJ40" i="7"/>
  <c r="AL40" i="7" s="1"/>
  <c r="AK40" i="7"/>
  <c r="AM36" i="7"/>
  <c r="AJ36" i="7"/>
  <c r="AK36" i="7"/>
  <c r="AK37" i="7"/>
  <c r="AJ37" i="7"/>
  <c r="AM37" i="7"/>
  <c r="AL37" i="7"/>
  <c r="AJ139" i="7"/>
  <c r="AM139" i="7"/>
  <c r="AL139" i="7"/>
  <c r="AK139" i="7"/>
  <c r="AK11" i="7"/>
  <c r="AJ11" i="7"/>
  <c r="AL11" i="7" s="1"/>
  <c r="AM11" i="7"/>
  <c r="AK192" i="7"/>
  <c r="AM192" i="7"/>
  <c r="AJ192" i="7"/>
  <c r="AL192" i="7" s="1"/>
  <c r="AM34" i="7"/>
  <c r="AJ34" i="7"/>
  <c r="AK34" i="7"/>
  <c r="AM83" i="7"/>
  <c r="AK83" i="7"/>
  <c r="AJ83" i="7"/>
  <c r="AM85" i="7"/>
  <c r="AJ85" i="7"/>
  <c r="AK85" i="7"/>
  <c r="AM35" i="7"/>
  <c r="AJ35" i="7"/>
  <c r="AK35" i="7"/>
  <c r="AK302" i="7"/>
  <c r="AJ302" i="7"/>
  <c r="AL302" i="7" s="1"/>
  <c r="AM302" i="7"/>
  <c r="AK239" i="7"/>
  <c r="AM239" i="7"/>
  <c r="AJ239" i="7"/>
  <c r="AL239" i="7" s="1"/>
  <c r="AK29" i="7"/>
  <c r="AJ29" i="7"/>
  <c r="AL29" i="7" s="1"/>
  <c r="AM29" i="7"/>
  <c r="AK160" i="7"/>
  <c r="AL160" i="7"/>
  <c r="AM160" i="7"/>
  <c r="AJ160" i="7"/>
  <c r="AJ8" i="7"/>
  <c r="AK8" i="7"/>
  <c r="AL8" i="7"/>
  <c r="AM8" i="7"/>
  <c r="AM210" i="7"/>
  <c r="AK210" i="7"/>
  <c r="AJ210" i="7"/>
  <c r="AK80" i="7"/>
  <c r="AM80" i="7"/>
  <c r="AJ80" i="7"/>
  <c r="AL80" i="7" s="1"/>
  <c r="AK15" i="7"/>
  <c r="AJ15" i="7"/>
  <c r="AL15" i="7" s="1"/>
  <c r="AM15" i="7"/>
  <c r="AK218" i="7"/>
  <c r="AJ218" i="7"/>
  <c r="AL218" i="7" s="1"/>
  <c r="AM218" i="7"/>
  <c r="AK193" i="7"/>
  <c r="AM193" i="7"/>
  <c r="AJ193" i="7"/>
  <c r="AL193" i="7" s="1"/>
  <c r="AK124" i="7"/>
  <c r="AM124" i="7"/>
  <c r="AJ124" i="7"/>
  <c r="AL124" i="7" s="1"/>
  <c r="AM220" i="7"/>
  <c r="AJ220" i="7"/>
  <c r="AL220" i="7" s="1"/>
  <c r="AK220" i="7"/>
  <c r="AK310" i="7"/>
  <c r="AJ310" i="7"/>
  <c r="AL310" i="7" s="1"/>
  <c r="AM310" i="7"/>
  <c r="AK126" i="7"/>
  <c r="AJ126" i="7"/>
  <c r="AL126" i="7"/>
  <c r="AM126" i="7"/>
  <c r="AK237" i="7"/>
  <c r="AM237" i="7"/>
  <c r="AJ237" i="7"/>
  <c r="AL237" i="7" s="1"/>
  <c r="AJ314" i="7"/>
  <c r="AL314" i="7" s="1"/>
  <c r="AK314" i="7"/>
  <c r="AM314" i="7"/>
  <c r="AM81" i="7"/>
  <c r="AJ81" i="7"/>
  <c r="AK81" i="7"/>
  <c r="AM219" i="7"/>
  <c r="AK219" i="7"/>
  <c r="AJ219" i="7"/>
  <c r="AL219" i="7" s="1"/>
  <c r="AM248" i="7"/>
  <c r="AK248" i="7"/>
  <c r="AJ248" i="7"/>
  <c r="AL248" i="7" s="1"/>
  <c r="AJ246" i="7"/>
  <c r="AL246" i="7" s="1"/>
  <c r="AM246" i="7"/>
  <c r="AK246" i="7"/>
  <c r="AJ209" i="7"/>
  <c r="AL209" i="7" s="1"/>
  <c r="AK209" i="7"/>
  <c r="AM209" i="7"/>
  <c r="AL177" i="7"/>
  <c r="AK177" i="7"/>
  <c r="AM177" i="7"/>
  <c r="AJ177" i="7"/>
  <c r="AK292" i="7"/>
  <c r="AM292" i="7"/>
  <c r="AJ292" i="7"/>
  <c r="AL292" i="7" s="1"/>
  <c r="AL166" i="7"/>
  <c r="AM166" i="7"/>
  <c r="AJ166" i="7"/>
  <c r="AK166" i="7"/>
  <c r="AK190" i="7"/>
  <c r="AJ190" i="7"/>
  <c r="AL190" i="7"/>
  <c r="AM190" i="7"/>
  <c r="AK306" i="7"/>
  <c r="AM306" i="7"/>
  <c r="AJ306" i="7"/>
  <c r="AL306" i="7" s="1"/>
  <c r="AK146" i="7"/>
  <c r="AJ146" i="7"/>
  <c r="AL146" i="7"/>
  <c r="AM146" i="7"/>
  <c r="AJ189" i="7"/>
  <c r="AL189" i="7" s="1"/>
  <c r="AM189" i="7"/>
  <c r="AK189" i="7"/>
  <c r="AM270" i="7"/>
  <c r="AK270" i="7"/>
  <c r="AJ270" i="7"/>
  <c r="AL270" i="7" s="1"/>
  <c r="AM293" i="7"/>
  <c r="AJ293" i="7"/>
  <c r="AL293" i="7" s="1"/>
  <c r="AK293" i="7"/>
  <c r="U291" i="7"/>
  <c r="S291" i="7"/>
  <c r="R291" i="7"/>
  <c r="T291" i="7" s="1"/>
  <c r="T170" i="7"/>
  <c r="U170" i="7"/>
  <c r="R170" i="7"/>
  <c r="S170" i="7"/>
  <c r="U74" i="7"/>
  <c r="R74" i="7"/>
  <c r="T74" i="7" s="1"/>
  <c r="S74" i="7"/>
  <c r="R73" i="7"/>
  <c r="T73" i="7" s="1"/>
  <c r="S73" i="7"/>
  <c r="U73" i="7"/>
  <c r="S217" i="7"/>
  <c r="U217" i="7"/>
  <c r="R217" i="7"/>
  <c r="T217" i="7" s="1"/>
  <c r="U303" i="7"/>
  <c r="S303" i="7"/>
  <c r="R303" i="7"/>
  <c r="T303" i="7" s="1"/>
  <c r="U75" i="7"/>
  <c r="R75" i="7"/>
  <c r="T75" i="7" s="1"/>
  <c r="S75" i="7"/>
  <c r="S118" i="7"/>
  <c r="R118" i="7"/>
  <c r="T118" i="7" s="1"/>
  <c r="U118" i="7"/>
  <c r="S251" i="7"/>
  <c r="U251" i="7"/>
  <c r="R251" i="7"/>
  <c r="T251" i="7" s="1"/>
  <c r="R122" i="7"/>
  <c r="T122" i="7" s="1"/>
  <c r="S122" i="7"/>
  <c r="U122" i="7"/>
  <c r="U76" i="7"/>
  <c r="S76" i="7"/>
  <c r="R76" i="7"/>
  <c r="R143" i="7"/>
  <c r="T143" i="7"/>
  <c r="S143" i="7"/>
  <c r="U143" i="7"/>
  <c r="U179" i="7"/>
  <c r="R179" i="7"/>
  <c r="T179" i="7" s="1"/>
  <c r="S179" i="7"/>
  <c r="U104" i="7"/>
  <c r="S104" i="7"/>
  <c r="R104" i="7"/>
  <c r="R267" i="7"/>
  <c r="T267" i="7" s="1"/>
  <c r="S267" i="7"/>
  <c r="U267" i="7"/>
  <c r="T178" i="7"/>
  <c r="R178" i="7"/>
  <c r="U178" i="7"/>
  <c r="S178" i="7"/>
  <c r="U276" i="7"/>
  <c r="S276" i="7"/>
  <c r="R276" i="7"/>
  <c r="T276" i="7" s="1"/>
  <c r="BE40" i="7"/>
  <c r="BB40" i="7"/>
  <c r="BC40" i="7"/>
  <c r="BE36" i="7"/>
  <c r="BB36" i="7"/>
  <c r="BC36" i="7"/>
  <c r="BB38" i="7"/>
  <c r="BD38" i="7" s="1"/>
  <c r="BC38" i="7"/>
  <c r="BE38" i="7"/>
  <c r="BC131" i="7"/>
  <c r="BB131" i="7"/>
  <c r="BD131" i="7"/>
  <c r="BE131" i="7"/>
  <c r="BE155" i="7"/>
  <c r="BC155" i="7"/>
  <c r="BB155" i="7"/>
  <c r="BB247" i="7"/>
  <c r="BD247" i="7" s="1"/>
  <c r="BC247" i="7"/>
  <c r="BE247" i="7"/>
  <c r="BB160" i="7"/>
  <c r="BE160" i="7"/>
  <c r="BC160" i="7"/>
  <c r="BD160" i="7"/>
  <c r="BB271" i="7"/>
  <c r="BD271" i="7" s="1"/>
  <c r="BC271" i="7"/>
  <c r="BE271" i="7"/>
  <c r="BC125" i="7"/>
  <c r="BB125" i="7"/>
  <c r="BD125" i="7" s="1"/>
  <c r="BE125" i="7"/>
  <c r="BC219" i="7"/>
  <c r="BB219" i="7"/>
  <c r="BD219" i="7" s="1"/>
  <c r="BE219" i="7"/>
  <c r="BB228" i="7"/>
  <c r="BD228" i="7" s="1"/>
  <c r="BC228" i="7"/>
  <c r="BE228" i="7"/>
  <c r="BC117" i="7"/>
  <c r="BB117" i="7"/>
  <c r="BD117" i="7" s="1"/>
  <c r="BE117" i="7"/>
  <c r="BB202" i="7"/>
  <c r="BD202" i="7" s="1"/>
  <c r="BC202" i="7"/>
  <c r="BE202" i="7"/>
  <c r="BE246" i="7"/>
  <c r="BB246" i="7"/>
  <c r="BD246" i="7" s="1"/>
  <c r="BC246" i="7"/>
  <c r="BC7" i="7"/>
  <c r="BD7" i="7"/>
  <c r="BB7" i="7"/>
  <c r="BE7" i="7"/>
  <c r="BB4" i="7"/>
  <c r="BC4" i="7"/>
  <c r="BE4" i="7"/>
  <c r="BD4" i="7"/>
  <c r="BC124" i="7"/>
  <c r="BD124" i="7"/>
  <c r="BB124" i="7"/>
  <c r="BE124" i="7"/>
  <c r="BE279" i="7"/>
  <c r="BC279" i="7"/>
  <c r="BB279" i="7"/>
  <c r="BC197" i="7"/>
  <c r="BB197" i="7"/>
  <c r="BD197" i="7" s="1"/>
  <c r="BE197" i="7"/>
  <c r="BC240" i="7"/>
  <c r="BB240" i="7"/>
  <c r="BD240" i="7" s="1"/>
  <c r="BE240" i="7"/>
  <c r="BD141" i="7"/>
  <c r="BB141" i="7"/>
  <c r="BE141" i="7"/>
  <c r="BC141" i="7"/>
  <c r="BC190" i="7"/>
  <c r="BB190" i="7"/>
  <c r="BD190" i="7"/>
  <c r="BE190" i="7"/>
  <c r="BC135" i="7"/>
  <c r="BE135" i="7"/>
  <c r="BB135" i="7"/>
  <c r="BD135" i="7" s="1"/>
  <c r="BC176" i="7"/>
  <c r="BE176" i="7"/>
  <c r="BB176" i="7"/>
  <c r="BD176" i="7" s="1"/>
  <c r="BC151" i="7"/>
  <c r="BE151" i="7"/>
  <c r="BB151" i="7"/>
  <c r="BD151" i="7" s="1"/>
  <c r="BC129" i="7"/>
  <c r="BB129" i="7"/>
  <c r="BD129" i="7"/>
  <c r="BE129" i="7"/>
  <c r="BC137" i="7"/>
  <c r="BE137" i="7"/>
  <c r="BB137" i="7"/>
  <c r="BD137" i="7" s="1"/>
  <c r="BC130" i="7"/>
  <c r="BB130" i="7"/>
  <c r="BE130" i="7"/>
  <c r="BD130" i="7"/>
  <c r="BB134" i="7"/>
  <c r="BD134" i="7" s="1"/>
  <c r="BC134" i="7"/>
  <c r="BE134" i="7"/>
  <c r="BE269" i="7"/>
  <c r="BB269" i="7"/>
  <c r="BD269" i="7" s="1"/>
  <c r="BC269" i="7"/>
  <c r="U79" i="7"/>
  <c r="R79" i="7"/>
  <c r="T79" i="7" s="1"/>
  <c r="S79" i="7"/>
  <c r="BE100" i="7"/>
  <c r="BC100" i="7"/>
  <c r="BD100" i="7"/>
  <c r="BB235" i="7"/>
  <c r="BD235" i="7" s="1"/>
  <c r="BC235" i="7"/>
  <c r="BE235" i="7"/>
  <c r="BE260" i="7"/>
  <c r="BC260" i="7"/>
  <c r="BB260" i="7"/>
  <c r="BB58" i="7"/>
  <c r="BD58" i="7" s="1"/>
  <c r="BE58" i="7"/>
  <c r="BC58" i="7"/>
  <c r="BB299" i="7"/>
  <c r="BD299" i="7" s="1"/>
  <c r="BE299" i="7"/>
  <c r="BC299" i="7"/>
  <c r="BC5" i="7"/>
  <c r="BB5" i="7"/>
  <c r="BD5" i="7"/>
  <c r="BE5" i="7"/>
  <c r="BE111" i="7"/>
  <c r="BB111" i="7"/>
  <c r="BC111" i="7"/>
  <c r="S119" i="7"/>
  <c r="U119" i="7"/>
  <c r="R119" i="7"/>
  <c r="T119" i="7"/>
  <c r="BB65" i="7"/>
  <c r="BC65" i="7"/>
  <c r="BD65" i="7"/>
  <c r="BE65" i="7"/>
  <c r="BE102" i="7"/>
  <c r="BC102" i="7"/>
  <c r="BB102" i="7"/>
  <c r="BC67" i="7"/>
  <c r="BE67" i="7"/>
  <c r="BB67" i="7"/>
  <c r="BD67" i="7" s="1"/>
  <c r="BC60" i="7"/>
  <c r="BB60" i="7"/>
  <c r="BD60" i="7"/>
  <c r="BE60" i="7"/>
  <c r="BC249" i="7"/>
  <c r="BB249" i="7"/>
  <c r="BD249" i="7" s="1"/>
  <c r="BE249" i="7"/>
  <c r="BC97" i="7"/>
  <c r="BB97" i="7"/>
  <c r="BE97" i="7"/>
  <c r="BD97" i="7"/>
  <c r="BE206" i="7"/>
  <c r="BC206" i="7"/>
  <c r="BB206" i="7"/>
  <c r="BE62" i="7"/>
  <c r="BC62" i="7"/>
  <c r="BB62" i="7"/>
  <c r="BD54" i="7"/>
  <c r="BE54" i="7"/>
  <c r="BC54" i="7"/>
  <c r="BB54" i="7"/>
  <c r="BE63" i="7"/>
  <c r="BC63" i="7"/>
  <c r="BB63" i="7"/>
  <c r="BB256" i="7"/>
  <c r="BD256" i="7" s="1"/>
  <c r="BC256" i="7"/>
  <c r="BE256" i="7"/>
  <c r="BC215" i="7"/>
  <c r="BB215" i="7"/>
  <c r="BD215" i="7" s="1"/>
  <c r="BE215" i="7"/>
  <c r="BE50" i="7"/>
  <c r="BB50" i="7"/>
  <c r="BC50" i="7"/>
  <c r="BE222" i="7"/>
  <c r="BB222" i="7"/>
  <c r="BC222" i="7"/>
  <c r="BC266" i="7"/>
  <c r="BE266" i="7"/>
  <c r="BB266" i="7"/>
  <c r="BD266" i="7" s="1"/>
  <c r="BB298" i="7"/>
  <c r="BD298" i="7" s="1"/>
  <c r="BC298" i="7"/>
  <c r="BE298" i="7"/>
  <c r="BC45" i="7"/>
  <c r="BB45" i="7"/>
  <c r="BE45" i="7"/>
  <c r="BD45" i="7"/>
  <c r="BE41" i="7"/>
  <c r="BC41" i="7"/>
  <c r="BB41" i="7"/>
  <c r="BD41" i="7" s="1"/>
  <c r="BC214" i="7"/>
  <c r="BE214" i="7"/>
  <c r="BB214" i="7"/>
  <c r="BD214" i="7" s="1"/>
  <c r="BC86" i="7"/>
  <c r="BE86" i="7"/>
  <c r="BB86" i="7"/>
  <c r="BD86" i="7" s="1"/>
  <c r="BB147" i="7"/>
  <c r="BD147" i="7" s="1"/>
  <c r="BC147" i="7"/>
  <c r="BE147" i="7"/>
  <c r="BE32" i="7"/>
  <c r="BB32" i="7"/>
  <c r="BC32" i="7"/>
  <c r="BE84" i="7"/>
  <c r="BB84" i="7"/>
  <c r="BC84" i="7"/>
  <c r="BE31" i="7"/>
  <c r="BB31" i="7"/>
  <c r="BC31" i="7"/>
  <c r="BC162" i="7"/>
  <c r="BB162" i="7"/>
  <c r="BD162" i="7" s="1"/>
  <c r="BE162" i="7"/>
  <c r="BC164" i="7"/>
  <c r="BE164" i="7"/>
  <c r="BB164" i="7"/>
  <c r="BD164" i="7" s="1"/>
  <c r="BB258" i="7"/>
  <c r="BD258" i="7" s="1"/>
  <c r="BC258" i="7"/>
  <c r="BE258" i="7"/>
  <c r="BB301" i="7"/>
  <c r="BD301" i="7" s="1"/>
  <c r="BC301" i="7"/>
  <c r="BE301" i="7"/>
  <c r="BE82" i="7"/>
  <c r="BB82" i="7"/>
  <c r="BC82" i="7"/>
  <c r="AJ207" i="7"/>
  <c r="AL207" i="7" s="1"/>
  <c r="AM207" i="7"/>
  <c r="AK207" i="7"/>
  <c r="AK231" i="7"/>
  <c r="AJ231" i="7"/>
  <c r="AL231" i="7" s="1"/>
  <c r="AM231" i="7"/>
  <c r="AJ170" i="7"/>
  <c r="AL170" i="7" s="1"/>
  <c r="AK170" i="7"/>
  <c r="AM170" i="7"/>
  <c r="AM224" i="7"/>
  <c r="AJ224" i="7"/>
  <c r="AL224" i="7" s="1"/>
  <c r="AK224" i="7"/>
  <c r="AK22" i="7"/>
  <c r="AL22" i="7"/>
  <c r="AM22" i="7"/>
  <c r="AJ22" i="7"/>
  <c r="AK75" i="7"/>
  <c r="AL75" i="7"/>
  <c r="AM75" i="7"/>
  <c r="AJ75" i="7"/>
  <c r="AM74" i="7"/>
  <c r="AK74" i="7"/>
  <c r="AJ74" i="7"/>
  <c r="AK21" i="7"/>
  <c r="AJ21" i="7"/>
  <c r="AL21" i="7" s="1"/>
  <c r="AM21" i="7"/>
  <c r="AJ103" i="7"/>
  <c r="AM103" i="7"/>
  <c r="AK103" i="7"/>
  <c r="AL103" i="7"/>
  <c r="AK122" i="7"/>
  <c r="AM122" i="7"/>
  <c r="AJ122" i="7"/>
  <c r="AL122" i="7"/>
  <c r="AK238" i="7"/>
  <c r="AJ238" i="7"/>
  <c r="AL238" i="7" s="1"/>
  <c r="AM238" i="7"/>
  <c r="AM144" i="7"/>
  <c r="AK144" i="7"/>
  <c r="AJ144" i="7"/>
  <c r="AK288" i="7"/>
  <c r="AM288" i="7"/>
  <c r="AJ288" i="7"/>
  <c r="AL288" i="7" s="1"/>
  <c r="AK277" i="7"/>
  <c r="AJ277" i="7"/>
  <c r="AL277" i="7" s="1"/>
  <c r="AM277" i="7"/>
  <c r="AK115" i="7"/>
  <c r="AJ115" i="7"/>
  <c r="AL115" i="7"/>
  <c r="AM115" i="7"/>
  <c r="AL142" i="7"/>
  <c r="AK142" i="7"/>
  <c r="AJ142" i="7"/>
  <c r="AM142" i="7"/>
  <c r="AJ282" i="7"/>
  <c r="AL282" i="7" s="1"/>
  <c r="AK282" i="7"/>
  <c r="AM282" i="7"/>
  <c r="AJ178" i="7"/>
  <c r="AL178" i="7" s="1"/>
  <c r="AM178" i="7"/>
  <c r="AK178" i="7"/>
  <c r="AL9" i="7"/>
  <c r="AJ9" i="7"/>
  <c r="AK9" i="7"/>
  <c r="AM9" i="7"/>
  <c r="BW100" i="7"/>
  <c r="BV100" i="7"/>
  <c r="BU100" i="7"/>
  <c r="BW102" i="7"/>
  <c r="BU102" i="7"/>
  <c r="BT102" i="7"/>
  <c r="BU53" i="7"/>
  <c r="BT53" i="7"/>
  <c r="BV53" i="7"/>
  <c r="BW53" i="7"/>
  <c r="BT97" i="7"/>
  <c r="BV97" i="7" s="1"/>
  <c r="BU97" i="7"/>
  <c r="BW97" i="7"/>
  <c r="BU235" i="7"/>
  <c r="BT235" i="7"/>
  <c r="BV235" i="7" s="1"/>
  <c r="BW235" i="7"/>
  <c r="BW19" i="7"/>
  <c r="BT19" i="7"/>
  <c r="BV19" i="7" s="1"/>
  <c r="BU19" i="7"/>
  <c r="BT249" i="7"/>
  <c r="BV249" i="7" s="1"/>
  <c r="BU249" i="7"/>
  <c r="BW249" i="7"/>
  <c r="BW99" i="7"/>
  <c r="BU99" i="7"/>
  <c r="BT99" i="7"/>
  <c r="BT52" i="7"/>
  <c r="BV52" i="7" s="1"/>
  <c r="BU52" i="7"/>
  <c r="BW52" i="7"/>
  <c r="BT61" i="7"/>
  <c r="BV61" i="7" s="1"/>
  <c r="BU61" i="7"/>
  <c r="BW61" i="7"/>
  <c r="BU47" i="7"/>
  <c r="BW47" i="7"/>
  <c r="BT47" i="7"/>
  <c r="BV47" i="7" s="1"/>
  <c r="BW222" i="7"/>
  <c r="BT222" i="7"/>
  <c r="BU222" i="7"/>
  <c r="BW49" i="7"/>
  <c r="BU49" i="7"/>
  <c r="BT49" i="7"/>
  <c r="BW50" i="7"/>
  <c r="BU50" i="7"/>
  <c r="BT50" i="7"/>
  <c r="BU298" i="7"/>
  <c r="BT298" i="7"/>
  <c r="BV298" i="7" s="1"/>
  <c r="BW298" i="7"/>
  <c r="BW112" i="7"/>
  <c r="BT112" i="7"/>
  <c r="BU112" i="7"/>
  <c r="BW156" i="7"/>
  <c r="BT156" i="7"/>
  <c r="BU156" i="7"/>
  <c r="BW109" i="7"/>
  <c r="BU109" i="7"/>
  <c r="BT109" i="7"/>
  <c r="BU173" i="7"/>
  <c r="BT173" i="7"/>
  <c r="BV173" i="7"/>
  <c r="BW173" i="7"/>
  <c r="BT88" i="7"/>
  <c r="BV88" i="7" s="1"/>
  <c r="BW88" i="7"/>
  <c r="BU88" i="7"/>
  <c r="BW40" i="7"/>
  <c r="BU40" i="7"/>
  <c r="BT40" i="7"/>
  <c r="BT38" i="7"/>
  <c r="BV38" i="7"/>
  <c r="BU38" i="7"/>
  <c r="BW38" i="7"/>
  <c r="BT297" i="7"/>
  <c r="BV297" i="7" s="1"/>
  <c r="BU297" i="7"/>
  <c r="BW297" i="7"/>
  <c r="BW155" i="7"/>
  <c r="BT155" i="7"/>
  <c r="BU155" i="7"/>
  <c r="BU275" i="7"/>
  <c r="BT275" i="7"/>
  <c r="BV275" i="7" s="1"/>
  <c r="BW275" i="7"/>
  <c r="BU192" i="7"/>
  <c r="BT192" i="7"/>
  <c r="BV192" i="7" s="1"/>
  <c r="BW192" i="7"/>
  <c r="BW34" i="7"/>
  <c r="BU34" i="7"/>
  <c r="BT34" i="7"/>
  <c r="BW32" i="7"/>
  <c r="BT32" i="7"/>
  <c r="BU32" i="7"/>
  <c r="BU162" i="7"/>
  <c r="BW162" i="7"/>
  <c r="BV162" i="7"/>
  <c r="BT162" i="7"/>
  <c r="BU261" i="7"/>
  <c r="BT261" i="7"/>
  <c r="BV261" i="7" s="1"/>
  <c r="BW261" i="7"/>
  <c r="BW225" i="7"/>
  <c r="BT225" i="7"/>
  <c r="BV225" i="7" s="1"/>
  <c r="BU225" i="7"/>
  <c r="BU247" i="7"/>
  <c r="BT247" i="7"/>
  <c r="BV247" i="7" s="1"/>
  <c r="BW247" i="7"/>
  <c r="BU160" i="7"/>
  <c r="BT160" i="7"/>
  <c r="BW160" i="7"/>
  <c r="BV160" i="7"/>
  <c r="BW234" i="7"/>
  <c r="BU234" i="7"/>
  <c r="BT234" i="7"/>
  <c r="BT27" i="7"/>
  <c r="BV27" i="7" s="1"/>
  <c r="BU27" i="7"/>
  <c r="BW27" i="7"/>
  <c r="BU172" i="7"/>
  <c r="BT172" i="7"/>
  <c r="BV172" i="7" s="1"/>
  <c r="BW172" i="7"/>
  <c r="BT15" i="7"/>
  <c r="BV15" i="7" s="1"/>
  <c r="BU15" i="7"/>
  <c r="BW15" i="7"/>
  <c r="BT237" i="7"/>
  <c r="BV237" i="7" s="1"/>
  <c r="BU237" i="7"/>
  <c r="BW237" i="7"/>
  <c r="BT78" i="7"/>
  <c r="BV78" i="7" s="1"/>
  <c r="BW78" i="7"/>
  <c r="BU78" i="7"/>
  <c r="BW127" i="7"/>
  <c r="BU127" i="7"/>
  <c r="BT127" i="7"/>
  <c r="BT203" i="7"/>
  <c r="BV203" i="7" s="1"/>
  <c r="BU203" i="7"/>
  <c r="BW203" i="7"/>
  <c r="BT213" i="7"/>
  <c r="BV213" i="7" s="1"/>
  <c r="BU213" i="7"/>
  <c r="BW213" i="7"/>
  <c r="BU219" i="7"/>
  <c r="BT219" i="7"/>
  <c r="BV219" i="7" s="1"/>
  <c r="BW219" i="7"/>
  <c r="BU4" i="7"/>
  <c r="BV4" i="7"/>
  <c r="BW4" i="7"/>
  <c r="BT4" i="7"/>
  <c r="BU228" i="7"/>
  <c r="BW228" i="7"/>
  <c r="BT228" i="7"/>
  <c r="BV228" i="7" s="1"/>
  <c r="BT264" i="7"/>
  <c r="BV264" i="7" s="1"/>
  <c r="BU264" i="7"/>
  <c r="BW264" i="7"/>
  <c r="BT124" i="7"/>
  <c r="BU124" i="7"/>
  <c r="BV124" i="7"/>
  <c r="BW124" i="7"/>
  <c r="BU209" i="7"/>
  <c r="BT209" i="7"/>
  <c r="BV209" i="7" s="1"/>
  <c r="BW209" i="7"/>
  <c r="BT3" i="7"/>
  <c r="BW3" i="7"/>
  <c r="BU3" i="7"/>
  <c r="BV3" i="7"/>
  <c r="BT293" i="7"/>
  <c r="BV293" i="7" s="1"/>
  <c r="BU293" i="7"/>
  <c r="BW293" i="7"/>
  <c r="BT174" i="7"/>
  <c r="BW174" i="7"/>
  <c r="BU174" i="7"/>
  <c r="BV174" i="7"/>
  <c r="BT280" i="7"/>
  <c r="BV280" i="7" s="1"/>
  <c r="BU280" i="7"/>
  <c r="BW280" i="7"/>
  <c r="BT292" i="7"/>
  <c r="BV292" i="7" s="1"/>
  <c r="BW292" i="7"/>
  <c r="BU292" i="7"/>
  <c r="BU283" i="7"/>
  <c r="BT283" i="7"/>
  <c r="BV283" i="7" s="1"/>
  <c r="BW283" i="7"/>
  <c r="BU177" i="7"/>
  <c r="BT177" i="7"/>
  <c r="BV177" i="7" s="1"/>
  <c r="BW177" i="7"/>
  <c r="BT141" i="7"/>
  <c r="BW141" i="7"/>
  <c r="BU141" i="7"/>
  <c r="BV141" i="7"/>
  <c r="BT191" i="7"/>
  <c r="BW191" i="7"/>
  <c r="BV191" i="7"/>
  <c r="BU191" i="7"/>
  <c r="BU140" i="7"/>
  <c r="BT140" i="7"/>
  <c r="BV140" i="7" s="1"/>
  <c r="BW140" i="7"/>
  <c r="BT252" i="7"/>
  <c r="BV252" i="7" s="1"/>
  <c r="BU252" i="7"/>
  <c r="BW252" i="7"/>
  <c r="BB180" i="7"/>
  <c r="BC180" i="7"/>
  <c r="BD180" i="7"/>
  <c r="BE180" i="7"/>
  <c r="BC290" i="7"/>
  <c r="BE290" i="7"/>
  <c r="BB290" i="7"/>
  <c r="BD290" i="7" s="1"/>
  <c r="BB212" i="7"/>
  <c r="BD212" i="7" s="1"/>
  <c r="BC212" i="7"/>
  <c r="BE212" i="7"/>
  <c r="BE74" i="7"/>
  <c r="BB74" i="7"/>
  <c r="BC74" i="7"/>
  <c r="BB22" i="7"/>
  <c r="BC22" i="7"/>
  <c r="BD22" i="7"/>
  <c r="BE22" i="7"/>
  <c r="BC303" i="7"/>
  <c r="BB303" i="7"/>
  <c r="BD303" i="7" s="1"/>
  <c r="BE303" i="7"/>
  <c r="BB21" i="7"/>
  <c r="BD21" i="7" s="1"/>
  <c r="BC21" i="7"/>
  <c r="BE21" i="7"/>
  <c r="BC236" i="7"/>
  <c r="BB236" i="7"/>
  <c r="BD236" i="7" s="1"/>
  <c r="BE236" i="7"/>
  <c r="BE76" i="7"/>
  <c r="BB76" i="7"/>
  <c r="BC76" i="7"/>
  <c r="BC122" i="7"/>
  <c r="BD122" i="7"/>
  <c r="BB122" i="7"/>
  <c r="BE122" i="7"/>
  <c r="BB288" i="7"/>
  <c r="BD288" i="7" s="1"/>
  <c r="BC288" i="7"/>
  <c r="BE288" i="7"/>
  <c r="BE23" i="7"/>
  <c r="BB23" i="7"/>
  <c r="BC23" i="7"/>
  <c r="BB70" i="7"/>
  <c r="BD70" i="7" s="1"/>
  <c r="BE70" i="7"/>
  <c r="BC70" i="7"/>
  <c r="BE104" i="7"/>
  <c r="BC104" i="7"/>
  <c r="BB104" i="7"/>
  <c r="BE289" i="7"/>
  <c r="BB289" i="7"/>
  <c r="BD289" i="7" s="1"/>
  <c r="BC289" i="7"/>
  <c r="BC282" i="7"/>
  <c r="BB282" i="7"/>
  <c r="BD282" i="7" s="1"/>
  <c r="BE282" i="7"/>
  <c r="BB287" i="7"/>
  <c r="BD287" i="7" s="1"/>
  <c r="BC287" i="7"/>
  <c r="BE287" i="7"/>
  <c r="U84" i="7"/>
  <c r="R84" i="7"/>
  <c r="T84" i="7"/>
  <c r="S84" i="7"/>
  <c r="U87" i="7"/>
  <c r="R87" i="7"/>
  <c r="S87" i="7"/>
  <c r="U164" i="7"/>
  <c r="S164" i="7"/>
  <c r="R164" i="7"/>
  <c r="T164" i="7"/>
  <c r="S188" i="7"/>
  <c r="U188" i="7"/>
  <c r="R188" i="7"/>
  <c r="T188" i="7" s="1"/>
  <c r="R7" i="7"/>
  <c r="T7" i="7"/>
  <c r="U7" i="7"/>
  <c r="S7" i="7"/>
  <c r="S6" i="7"/>
  <c r="U6" i="7"/>
  <c r="R6" i="7"/>
  <c r="T6" i="7" s="1"/>
  <c r="S219" i="7"/>
  <c r="U219" i="7"/>
  <c r="R219" i="7"/>
  <c r="T219" i="7" s="1"/>
  <c r="S128" i="7"/>
  <c r="U128" i="7"/>
  <c r="R128" i="7"/>
  <c r="T128" i="7" s="1"/>
  <c r="R201" i="7"/>
  <c r="T201" i="7" s="1"/>
  <c r="S201" i="7"/>
  <c r="U201" i="7"/>
  <c r="S145" i="7"/>
  <c r="R145" i="7"/>
  <c r="T145" i="7" s="1"/>
  <c r="U145" i="7"/>
  <c r="S125" i="7"/>
  <c r="R125" i="7"/>
  <c r="T125" i="7" s="1"/>
  <c r="U125" i="7"/>
  <c r="U262" i="7"/>
  <c r="S262" i="7"/>
  <c r="R262" i="7"/>
  <c r="T262" i="7" s="1"/>
  <c r="S138" i="7"/>
  <c r="T138" i="7"/>
  <c r="R138" i="7"/>
  <c r="U138" i="7"/>
  <c r="R198" i="7"/>
  <c r="T198" i="7" s="1"/>
  <c r="S198" i="7"/>
  <c r="U198" i="7"/>
  <c r="R213" i="7"/>
  <c r="T213" i="7" s="1"/>
  <c r="S213" i="7"/>
  <c r="U213" i="7"/>
  <c r="U81" i="7"/>
  <c r="S81" i="7"/>
  <c r="R81" i="7"/>
  <c r="S189" i="7"/>
  <c r="R189" i="7"/>
  <c r="T189" i="7"/>
  <c r="U189" i="7"/>
  <c r="T146" i="7"/>
  <c r="R146" i="7"/>
  <c r="S146" i="7"/>
  <c r="U146" i="7"/>
  <c r="T176" i="7"/>
  <c r="U176" i="7"/>
  <c r="S176" i="7"/>
  <c r="R176" i="7"/>
  <c r="T183" i="7"/>
  <c r="U183" i="7"/>
  <c r="R183" i="7"/>
  <c r="S183" i="7"/>
  <c r="U149" i="7"/>
  <c r="S149" i="7"/>
  <c r="T149" i="7"/>
  <c r="R149" i="7"/>
  <c r="T166" i="7"/>
  <c r="S166" i="7"/>
  <c r="R166" i="7"/>
  <c r="U166" i="7"/>
  <c r="U134" i="7"/>
  <c r="S134" i="7"/>
  <c r="T134" i="7"/>
  <c r="R134" i="7"/>
  <c r="S274" i="7"/>
  <c r="R274" i="7"/>
  <c r="T274" i="7" s="1"/>
  <c r="U274" i="7"/>
  <c r="U177" i="7"/>
  <c r="S177" i="7"/>
  <c r="T177" i="7"/>
  <c r="R177" i="7"/>
  <c r="U244" i="7"/>
  <c r="R244" i="7"/>
  <c r="T244" i="7" s="1"/>
  <c r="S244" i="7"/>
  <c r="BE16" i="7"/>
  <c r="BB16" i="7"/>
  <c r="BC16" i="7"/>
  <c r="BE79" i="7"/>
  <c r="BB79" i="7"/>
  <c r="BC79" i="7"/>
  <c r="S113" i="7"/>
  <c r="U113" i="7"/>
  <c r="R113" i="7"/>
  <c r="T113" i="7" s="1"/>
  <c r="U227" i="7"/>
  <c r="R227" i="7"/>
  <c r="T227" i="7" s="1"/>
  <c r="S227" i="7"/>
  <c r="U98" i="7"/>
  <c r="T98" i="7"/>
  <c r="S98" i="7"/>
  <c r="R98" i="7"/>
  <c r="S226" i="7"/>
  <c r="U226" i="7"/>
  <c r="R226" i="7"/>
  <c r="T226" i="7" s="1"/>
  <c r="R249" i="7"/>
  <c r="T249" i="7" s="1"/>
  <c r="S249" i="7"/>
  <c r="U249" i="7"/>
  <c r="R93" i="7"/>
  <c r="T93" i="7" s="1"/>
  <c r="S93" i="7"/>
  <c r="U93" i="7"/>
  <c r="S256" i="7"/>
  <c r="R256" i="7"/>
  <c r="T256" i="7" s="1"/>
  <c r="U256" i="7"/>
  <c r="R59" i="7"/>
  <c r="T59" i="7" s="1"/>
  <c r="S59" i="7"/>
  <c r="U59" i="7"/>
  <c r="R42" i="7"/>
  <c r="T42" i="7" s="1"/>
  <c r="S42" i="7"/>
  <c r="U42" i="7"/>
  <c r="R91" i="7"/>
  <c r="U91" i="7"/>
  <c r="T91" i="7"/>
  <c r="S91" i="7"/>
  <c r="U222" i="7"/>
  <c r="R222" i="7"/>
  <c r="T222" i="7" s="1"/>
  <c r="S222" i="7"/>
  <c r="T161" i="7"/>
  <c r="S161" i="7"/>
  <c r="U161" i="7"/>
  <c r="R161" i="7"/>
  <c r="S165" i="7"/>
  <c r="R165" i="7"/>
  <c r="T165" i="7"/>
  <c r="U165" i="7"/>
  <c r="S298" i="7"/>
  <c r="R298" i="7"/>
  <c r="T298" i="7" s="1"/>
  <c r="U298" i="7"/>
  <c r="U157" i="7"/>
  <c r="R157" i="7"/>
  <c r="T157" i="7" s="1"/>
  <c r="S157" i="7"/>
  <c r="S214" i="7"/>
  <c r="U214" i="7"/>
  <c r="R214" i="7"/>
  <c r="T214" i="7" s="1"/>
  <c r="R131" i="7"/>
  <c r="T131" i="7" s="1"/>
  <c r="U131" i="7"/>
  <c r="S131" i="7"/>
  <c r="S221" i="7"/>
  <c r="U221" i="7"/>
  <c r="R221" i="7"/>
  <c r="T221" i="7" s="1"/>
  <c r="S296" i="7"/>
  <c r="U296" i="7"/>
  <c r="R296" i="7"/>
  <c r="T296" i="7" s="1"/>
  <c r="S259" i="7"/>
  <c r="U259" i="7"/>
  <c r="R259" i="7"/>
  <c r="T259" i="7" s="1"/>
  <c r="S37" i="7"/>
  <c r="T37" i="7"/>
  <c r="U37" i="7"/>
  <c r="R37" i="7"/>
  <c r="R86" i="7"/>
  <c r="T86" i="7" s="1"/>
  <c r="U86" i="7"/>
  <c r="S86" i="7"/>
  <c r="S275" i="7"/>
  <c r="R275" i="7"/>
  <c r="T275" i="7" s="1"/>
  <c r="U275" i="7"/>
  <c r="R239" i="7"/>
  <c r="T239" i="7" s="1"/>
  <c r="U239" i="7"/>
  <c r="S239" i="7"/>
  <c r="U132" i="7"/>
  <c r="S132" i="7"/>
  <c r="R132" i="7"/>
  <c r="T132" i="7" s="1"/>
  <c r="U285" i="7"/>
  <c r="S285" i="7"/>
  <c r="R285" i="7"/>
  <c r="T285" i="7" s="1"/>
  <c r="S271" i="7"/>
  <c r="U271" i="7"/>
  <c r="R271" i="7"/>
  <c r="T271" i="7" s="1"/>
  <c r="U210" i="7"/>
  <c r="R210" i="7"/>
  <c r="T210" i="7" s="1"/>
  <c r="S210" i="7"/>
  <c r="U27" i="7"/>
  <c r="R27" i="7"/>
  <c r="T27" i="7" s="1"/>
  <c r="S27" i="7"/>
  <c r="U301" i="7"/>
  <c r="R301" i="7"/>
  <c r="T301" i="7" s="1"/>
  <c r="S301" i="7"/>
  <c r="R66" i="7"/>
  <c r="S66" i="7"/>
  <c r="T66" i="7"/>
  <c r="U66" i="7"/>
  <c r="U102" i="7"/>
  <c r="T102" i="7"/>
  <c r="S102" i="7"/>
  <c r="R102" i="7"/>
  <c r="R67" i="7"/>
  <c r="T67" i="7" s="1"/>
  <c r="S67" i="7"/>
  <c r="U67" i="7"/>
  <c r="BW16" i="7"/>
  <c r="BU16" i="7"/>
  <c r="BT16" i="7"/>
  <c r="BU290" i="7"/>
  <c r="BW290" i="7"/>
  <c r="BT290" i="7"/>
  <c r="BV290" i="7" s="1"/>
  <c r="BU268" i="7"/>
  <c r="BT268" i="7"/>
  <c r="BV268" i="7" s="1"/>
  <c r="BW268" i="7"/>
  <c r="BW75" i="7"/>
  <c r="BU75" i="7"/>
  <c r="BT75" i="7"/>
  <c r="BV75" i="7" s="1"/>
  <c r="BU224" i="7"/>
  <c r="BW224" i="7"/>
  <c r="BT224" i="7"/>
  <c r="BV224" i="7" s="1"/>
  <c r="BT243" i="7"/>
  <c r="BV243" i="7" s="1"/>
  <c r="BU243" i="7"/>
  <c r="BW243" i="7"/>
  <c r="BT21" i="7"/>
  <c r="BV21" i="7"/>
  <c r="BW21" i="7"/>
  <c r="BU21" i="7"/>
  <c r="BT304" i="7"/>
  <c r="BV304" i="7" s="1"/>
  <c r="BW304" i="7"/>
  <c r="BU304" i="7"/>
  <c r="BW76" i="7"/>
  <c r="BT76" i="7"/>
  <c r="BV76" i="7" s="1"/>
  <c r="BU76" i="7"/>
  <c r="BU236" i="7"/>
  <c r="BT236" i="7"/>
  <c r="BV236" i="7" s="1"/>
  <c r="BW236" i="7"/>
  <c r="BT233" i="7"/>
  <c r="BV233" i="7" s="1"/>
  <c r="BU233" i="7"/>
  <c r="BW233" i="7"/>
  <c r="BT284" i="7"/>
  <c r="BV284" i="7" s="1"/>
  <c r="BU284" i="7"/>
  <c r="BW284" i="7"/>
  <c r="BT143" i="7"/>
  <c r="BV143" i="7" s="1"/>
  <c r="BU143" i="7"/>
  <c r="BW143" i="7"/>
  <c r="BT70" i="7"/>
  <c r="BV70" i="7" s="1"/>
  <c r="BW70" i="7"/>
  <c r="BU70" i="7"/>
  <c r="BW278" i="7"/>
  <c r="BU278" i="7"/>
  <c r="BT278" i="7"/>
  <c r="BU267" i="7"/>
  <c r="BT267" i="7"/>
  <c r="BV267" i="7" s="1"/>
  <c r="BW267" i="7"/>
  <c r="BU282" i="7"/>
  <c r="BW282" i="7"/>
  <c r="BT282" i="7"/>
  <c r="BV282" i="7" s="1"/>
  <c r="BU276" i="7"/>
  <c r="BT276" i="7"/>
  <c r="BV276" i="7" s="1"/>
  <c r="BW276" i="7"/>
  <c r="AJ68" i="7"/>
  <c r="AK68" i="7"/>
  <c r="AM68" i="7"/>
  <c r="AL68" i="7"/>
  <c r="AK114" i="7"/>
  <c r="AM114" i="7"/>
  <c r="AJ114" i="7"/>
  <c r="AL114" i="7" s="1"/>
  <c r="AJ67" i="7"/>
  <c r="AK67" i="7"/>
  <c r="AM67" i="7"/>
  <c r="AL67" i="7"/>
  <c r="AJ53" i="7"/>
  <c r="AM53" i="7"/>
  <c r="AL53" i="7"/>
  <c r="AK53" i="7"/>
  <c r="AJ55" i="7"/>
  <c r="AK55" i="7"/>
  <c r="AM55" i="7"/>
  <c r="AL55" i="7"/>
  <c r="AK97" i="7"/>
  <c r="AL97" i="7"/>
  <c r="AJ97" i="7"/>
  <c r="AM97" i="7"/>
  <c r="AM227" i="7"/>
  <c r="AJ227" i="7"/>
  <c r="AL227" i="7" s="1"/>
  <c r="AK227" i="7"/>
  <c r="AJ235" i="7"/>
  <c r="AL235" i="7" s="1"/>
  <c r="AM235" i="7"/>
  <c r="AK235" i="7"/>
  <c r="AJ59" i="7"/>
  <c r="AK59" i="7"/>
  <c r="AM59" i="7"/>
  <c r="AL59" i="7"/>
  <c r="AK94" i="7"/>
  <c r="AJ94" i="7"/>
  <c r="AL94" i="7" s="1"/>
  <c r="AM94" i="7"/>
  <c r="AJ56" i="7"/>
  <c r="AL56" i="7"/>
  <c r="AM56" i="7"/>
  <c r="AK56" i="7"/>
  <c r="AM48" i="7"/>
  <c r="AJ48" i="7"/>
  <c r="AK48" i="7"/>
  <c r="AM50" i="7"/>
  <c r="AJ50" i="7"/>
  <c r="AK50" i="7"/>
  <c r="AK90" i="7"/>
  <c r="AM90" i="7"/>
  <c r="AJ90" i="7"/>
  <c r="AL90" i="7"/>
  <c r="AM110" i="7"/>
  <c r="AK110" i="7"/>
  <c r="AJ110" i="7"/>
  <c r="AK158" i="7"/>
  <c r="AM158" i="7"/>
  <c r="AL158" i="7"/>
  <c r="AJ158" i="7"/>
  <c r="AL45" i="7"/>
  <c r="AM45" i="7"/>
  <c r="AK45" i="7"/>
  <c r="AJ45" i="7"/>
  <c r="AM92" i="7"/>
  <c r="AJ92" i="7"/>
  <c r="AL92" i="7" s="1"/>
  <c r="AK92" i="7"/>
  <c r="AM156" i="7"/>
  <c r="AJ156" i="7"/>
  <c r="AK156" i="7"/>
  <c r="AM255" i="7"/>
  <c r="AJ255" i="7"/>
  <c r="AL255" i="7" s="1"/>
  <c r="AK255" i="7"/>
  <c r="AM221" i="7"/>
  <c r="AK221" i="7"/>
  <c r="AJ221" i="7"/>
  <c r="AM195" i="7"/>
  <c r="AJ195" i="7"/>
  <c r="AK195" i="7"/>
  <c r="AM154" i="7"/>
  <c r="AJ154" i="7"/>
  <c r="AL154" i="7"/>
  <c r="AK154" i="7"/>
  <c r="AM131" i="7"/>
  <c r="AJ131" i="7"/>
  <c r="AL131" i="7"/>
  <c r="AK131" i="7"/>
  <c r="AK86" i="7"/>
  <c r="AM86" i="7"/>
  <c r="AJ86" i="7"/>
  <c r="AL86" i="7" s="1"/>
  <c r="AK136" i="7"/>
  <c r="AL136" i="7"/>
  <c r="AM136" i="7"/>
  <c r="AJ136" i="7"/>
  <c r="AM31" i="7"/>
  <c r="AJ31" i="7"/>
  <c r="AK31" i="7"/>
  <c r="AM84" i="7"/>
  <c r="AK84" i="7"/>
  <c r="AJ84" i="7"/>
  <c r="AL84" i="7" s="1"/>
  <c r="AM87" i="7"/>
  <c r="AJ87" i="7"/>
  <c r="AL87" i="7" s="1"/>
  <c r="AK87" i="7"/>
  <c r="AJ17" i="7"/>
  <c r="AL17" i="7"/>
  <c r="AM17" i="7"/>
  <c r="AK17" i="7"/>
  <c r="AK211" i="7"/>
  <c r="AJ211" i="7"/>
  <c r="AL211" i="7" s="1"/>
  <c r="AM211" i="7"/>
  <c r="AK250" i="7"/>
  <c r="AM250" i="7"/>
  <c r="AJ250" i="7"/>
  <c r="AL250" i="7" s="1"/>
  <c r="AK271" i="7"/>
  <c r="AM271" i="7"/>
  <c r="AJ271" i="7"/>
  <c r="AL271" i="7" s="1"/>
  <c r="AK132" i="7"/>
  <c r="AJ132" i="7"/>
  <c r="AL132" i="7" s="1"/>
  <c r="AM132" i="7"/>
  <c r="AJ27" i="7"/>
  <c r="AK27" i="7"/>
  <c r="AL27" i="7"/>
  <c r="AM27" i="7"/>
  <c r="AJ301" i="7"/>
  <c r="AL301" i="7" s="1"/>
  <c r="AM301" i="7"/>
  <c r="AK301" i="7"/>
  <c r="AM107" i="7"/>
  <c r="AJ107" i="7"/>
  <c r="AL107" i="7" s="1"/>
  <c r="AK107" i="7"/>
  <c r="AK262" i="7"/>
  <c r="AJ262" i="7"/>
  <c r="AL262" i="7" s="1"/>
  <c r="AM262" i="7"/>
  <c r="AK213" i="7"/>
  <c r="AM213" i="7"/>
  <c r="AJ213" i="7"/>
  <c r="AL213" i="7" s="1"/>
  <c r="AJ194" i="7"/>
  <c r="AL194" i="7" s="1"/>
  <c r="AK194" i="7"/>
  <c r="AM194" i="7"/>
  <c r="AJ4" i="7"/>
  <c r="AL4" i="7" s="1"/>
  <c r="AK4" i="7"/>
  <c r="AM4" i="7"/>
  <c r="AM205" i="7"/>
  <c r="AJ205" i="7"/>
  <c r="AL205" i="7" s="1"/>
  <c r="AK205" i="7"/>
  <c r="AK198" i="7"/>
  <c r="AJ198" i="7"/>
  <c r="AL198" i="7"/>
  <c r="AM198" i="7"/>
  <c r="AJ123" i="7"/>
  <c r="AL123" i="7" s="1"/>
  <c r="AK123" i="7"/>
  <c r="AM123" i="7"/>
  <c r="AK228" i="7"/>
  <c r="AJ228" i="7"/>
  <c r="AL228" i="7" s="1"/>
  <c r="AM228" i="7"/>
  <c r="AK117" i="7"/>
  <c r="AJ117" i="7"/>
  <c r="AL117" i="7"/>
  <c r="AM117" i="7"/>
  <c r="AK242" i="7"/>
  <c r="AM242" i="7"/>
  <c r="AJ242" i="7"/>
  <c r="AL242" i="7" s="1"/>
  <c r="AJ200" i="7"/>
  <c r="AM200" i="7"/>
  <c r="AL200" i="7"/>
  <c r="AK200" i="7"/>
  <c r="AM272" i="7"/>
  <c r="AJ272" i="7"/>
  <c r="AL272" i="7" s="1"/>
  <c r="AK272" i="7"/>
  <c r="AM274" i="7"/>
  <c r="AK274" i="7"/>
  <c r="AJ274" i="7"/>
  <c r="AL274" i="7" s="1"/>
  <c r="AM240" i="7"/>
  <c r="AK240" i="7"/>
  <c r="AJ240" i="7"/>
  <c r="AL240" i="7" s="1"/>
  <c r="AJ133" i="7"/>
  <c r="AM133" i="7"/>
  <c r="AL133" i="7"/>
  <c r="AK133" i="7"/>
  <c r="AM134" i="7"/>
  <c r="AJ134" i="7"/>
  <c r="AK134" i="7"/>
  <c r="AL134" i="7"/>
  <c r="AM171" i="7"/>
  <c r="AJ171" i="7"/>
  <c r="AL171" i="7" s="1"/>
  <c r="AK171" i="7"/>
  <c r="AM150" i="7"/>
  <c r="AL150" i="7"/>
  <c r="AK150" i="7"/>
  <c r="AJ150" i="7"/>
  <c r="AM14" i="7"/>
  <c r="AK14" i="7"/>
  <c r="AJ14" i="7"/>
  <c r="AJ137" i="7"/>
  <c r="AM137" i="7"/>
  <c r="AK137" i="7"/>
  <c r="AL137" i="7"/>
  <c r="AJ191" i="7"/>
  <c r="AK191" i="7"/>
  <c r="AM191" i="7"/>
  <c r="AL191" i="7"/>
  <c r="AJ280" i="7"/>
  <c r="AL280" i="7" s="1"/>
  <c r="AM280" i="7"/>
  <c r="AK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12" i="7"/>
  <c r="R212" i="7"/>
  <c r="T212" i="7" s="1"/>
  <c r="S212" i="7"/>
  <c r="R224" i="7"/>
  <c r="T224" i="7" s="1"/>
  <c r="S224" i="7"/>
  <c r="U224" i="7"/>
  <c r="U308" i="7"/>
  <c r="R308" i="7"/>
  <c r="T308" i="7" s="1"/>
  <c r="S308" i="7"/>
  <c r="U169" i="7"/>
  <c r="R169" i="7"/>
  <c r="T169" i="7"/>
  <c r="S169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23" i="7"/>
  <c r="R223" i="7"/>
  <c r="T223" i="7" s="1"/>
  <c r="S223" i="7"/>
  <c r="U278" i="7"/>
  <c r="R278" i="7"/>
  <c r="T278" i="7" s="1"/>
  <c r="S278" i="7"/>
  <c r="U71" i="7"/>
  <c r="R71" i="7"/>
  <c r="S71" i="7"/>
  <c r="T71" i="7"/>
  <c r="S273" i="7"/>
  <c r="U273" i="7"/>
  <c r="R273" i="7"/>
  <c r="T273" i="7" s="1"/>
  <c r="S311" i="7"/>
  <c r="U311" i="7"/>
  <c r="R311" i="7"/>
  <c r="T311" i="7" s="1"/>
  <c r="BE221" i="7"/>
  <c r="BB221" i="7"/>
  <c r="BC221" i="7"/>
  <c r="BB88" i="7"/>
  <c r="BD88" i="7" s="1"/>
  <c r="BE88" i="7"/>
  <c r="BC88" i="7"/>
  <c r="BC37" i="7"/>
  <c r="BD37" i="7"/>
  <c r="BE37" i="7"/>
  <c r="BB37" i="7"/>
  <c r="BC286" i="7"/>
  <c r="BE286" i="7"/>
  <c r="BB286" i="7"/>
  <c r="BD286" i="7" s="1"/>
  <c r="BC239" i="7"/>
  <c r="BE239" i="7"/>
  <c r="BB239" i="7"/>
  <c r="BD239" i="7" s="1"/>
  <c r="BE30" i="7"/>
  <c r="BC30" i="7"/>
  <c r="BB30" i="7"/>
  <c r="BD132" i="7"/>
  <c r="BE132" i="7"/>
  <c r="BC132" i="7"/>
  <c r="BB132" i="7"/>
  <c r="BB29" i="7"/>
  <c r="BC29" i="7"/>
  <c r="BD29" i="7"/>
  <c r="BE29" i="7"/>
  <c r="BB314" i="7"/>
  <c r="BD314" i="7" s="1"/>
  <c r="BE314" i="7"/>
  <c r="BC314" i="7"/>
  <c r="BB123" i="7"/>
  <c r="BD123" i="7" s="1"/>
  <c r="BC123" i="7"/>
  <c r="BE123" i="7"/>
  <c r="BB200" i="7"/>
  <c r="BD200" i="7" s="1"/>
  <c r="BC200" i="7"/>
  <c r="BE200" i="7"/>
  <c r="BB78" i="7"/>
  <c r="BC78" i="7"/>
  <c r="BD78" i="7"/>
  <c r="BE78" i="7"/>
  <c r="BB237" i="7"/>
  <c r="BD237" i="7" s="1"/>
  <c r="BE237" i="7"/>
  <c r="BC237" i="7"/>
  <c r="BB254" i="7"/>
  <c r="BD254" i="7" s="1"/>
  <c r="BC254" i="7"/>
  <c r="BE254" i="7"/>
  <c r="BC262" i="7"/>
  <c r="BB262" i="7"/>
  <c r="BD262" i="7" s="1"/>
  <c r="BE262" i="7"/>
  <c r="BC199" i="7"/>
  <c r="BB199" i="7"/>
  <c r="BD199" i="7"/>
  <c r="BE199" i="7"/>
  <c r="BC13" i="7"/>
  <c r="BB13" i="7"/>
  <c r="BE13" i="7"/>
  <c r="BD13" i="7"/>
  <c r="BC198" i="7"/>
  <c r="BB198" i="7"/>
  <c r="BD198" i="7" s="1"/>
  <c r="BE198" i="7"/>
  <c r="BB264" i="7"/>
  <c r="BD264" i="7" s="1"/>
  <c r="BE264" i="7"/>
  <c r="BC264" i="7"/>
  <c r="BE3" i="7"/>
  <c r="BB3" i="7"/>
  <c r="BD3" i="7" s="1"/>
  <c r="BC3" i="7"/>
  <c r="BC149" i="7"/>
  <c r="BE149" i="7"/>
  <c r="BB149" i="7"/>
  <c r="BD149" i="7" s="1"/>
  <c r="BD152" i="7"/>
  <c r="BC152" i="7"/>
  <c r="BE152" i="7"/>
  <c r="BB152" i="7"/>
  <c r="BC272" i="7"/>
  <c r="BE272" i="7"/>
  <c r="BB272" i="7"/>
  <c r="BD272" i="7" s="1"/>
  <c r="BD166" i="7"/>
  <c r="BE166" i="7"/>
  <c r="BC166" i="7"/>
  <c r="BB166" i="7"/>
  <c r="BC270" i="7"/>
  <c r="BB270" i="7"/>
  <c r="BD270" i="7" s="1"/>
  <c r="BE270" i="7"/>
  <c r="BC280" i="7"/>
  <c r="BB280" i="7"/>
  <c r="BD280" i="7" s="1"/>
  <c r="BE280" i="7"/>
  <c r="BC263" i="7"/>
  <c r="BE263" i="7"/>
  <c r="BB263" i="7"/>
  <c r="BD263" i="7" s="1"/>
  <c r="BB174" i="7"/>
  <c r="BD174" i="7" s="1"/>
  <c r="BC174" i="7"/>
  <c r="BE174" i="7"/>
  <c r="BC182" i="7"/>
  <c r="BE182" i="7"/>
  <c r="BB182" i="7"/>
  <c r="BD182" i="7" s="1"/>
  <c r="BE14" i="7"/>
  <c r="BC14" i="7"/>
  <c r="BB14" i="7"/>
  <c r="S207" i="7"/>
  <c r="U207" i="7"/>
  <c r="R207" i="7"/>
  <c r="T207" i="7" s="1"/>
  <c r="BE196" i="7"/>
  <c r="BC196" i="7"/>
  <c r="BB196" i="7"/>
  <c r="BD196" i="7"/>
  <c r="BE227" i="7"/>
  <c r="BB227" i="7"/>
  <c r="BC227" i="7"/>
  <c r="BC53" i="7"/>
  <c r="BB53" i="7"/>
  <c r="BD53" i="7" s="1"/>
  <c r="BE53" i="7"/>
  <c r="BE159" i="7"/>
  <c r="BC159" i="7"/>
  <c r="BB159" i="7"/>
  <c r="BE93" i="7"/>
  <c r="BC93" i="7"/>
  <c r="BB93" i="7"/>
  <c r="BD93" i="7" s="1"/>
  <c r="BB42" i="7"/>
  <c r="BC42" i="7"/>
  <c r="BE42" i="7"/>
  <c r="BD42" i="7"/>
  <c r="BE48" i="7"/>
  <c r="BC48" i="7"/>
  <c r="BB48" i="7"/>
  <c r="BC161" i="7"/>
  <c r="BE161" i="7"/>
  <c r="BB161" i="7"/>
  <c r="BD161" i="7" s="1"/>
  <c r="BE110" i="7"/>
  <c r="BC110" i="7"/>
  <c r="BB110" i="7"/>
  <c r="BE157" i="7"/>
  <c r="BC157" i="7"/>
  <c r="BB157" i="7"/>
  <c r="BE156" i="7"/>
  <c r="BC156" i="7"/>
  <c r="BB156" i="7"/>
  <c r="BE109" i="7"/>
  <c r="BB109" i="7"/>
  <c r="BD109" i="7" s="1"/>
  <c r="BC109" i="7"/>
  <c r="BC11" i="7"/>
  <c r="BB11" i="7"/>
  <c r="BD11" i="7"/>
  <c r="BE11" i="7"/>
  <c r="BC192" i="7"/>
  <c r="BE192" i="7"/>
  <c r="BB192" i="7"/>
  <c r="BD192" i="7" s="1"/>
  <c r="BE85" i="7"/>
  <c r="BB85" i="7"/>
  <c r="BC85" i="7"/>
  <c r="BE35" i="7"/>
  <c r="BB35" i="7"/>
  <c r="BC35" i="7"/>
  <c r="BC295" i="7"/>
  <c r="BB295" i="7"/>
  <c r="BD295" i="7" s="1"/>
  <c r="BE295" i="7"/>
  <c r="BC261" i="7"/>
  <c r="BB261" i="7"/>
  <c r="BD261" i="7" s="1"/>
  <c r="BE261" i="7"/>
  <c r="BC25" i="7"/>
  <c r="BE25" i="7"/>
  <c r="BD25" i="7"/>
  <c r="BB25" i="7"/>
  <c r="BE234" i="7"/>
  <c r="BB234" i="7"/>
  <c r="BC234" i="7"/>
  <c r="BB15" i="7"/>
  <c r="BD15" i="7" s="1"/>
  <c r="BC15" i="7"/>
  <c r="BE15" i="7"/>
  <c r="BE172" i="7"/>
  <c r="BC172" i="7"/>
  <c r="BB172" i="7"/>
  <c r="BD172" i="7" s="1"/>
  <c r="AM79" i="7"/>
  <c r="AJ79" i="7"/>
  <c r="AK79" i="7"/>
  <c r="AM232" i="7"/>
  <c r="AJ232" i="7"/>
  <c r="AL232" i="7" s="1"/>
  <c r="AK232" i="7"/>
  <c r="AM180" i="7"/>
  <c r="AK180" i="7"/>
  <c r="AJ180" i="7"/>
  <c r="AL180" i="7" s="1"/>
  <c r="AK212" i="7"/>
  <c r="AJ212" i="7"/>
  <c r="AL212" i="7" s="1"/>
  <c r="AM212" i="7"/>
  <c r="AK73" i="7"/>
  <c r="AJ73" i="7"/>
  <c r="AL73" i="7"/>
  <c r="AM73" i="7"/>
  <c r="AM153" i="7"/>
  <c r="AJ153" i="7"/>
  <c r="AK153" i="7"/>
  <c r="AM77" i="7"/>
  <c r="AJ77" i="7"/>
  <c r="AK77" i="7"/>
  <c r="AJ304" i="7"/>
  <c r="AL304" i="7" s="1"/>
  <c r="AK304" i="7"/>
  <c r="AM304" i="7"/>
  <c r="AM281" i="7"/>
  <c r="AK281" i="7"/>
  <c r="AJ281" i="7"/>
  <c r="AL281" i="7" s="1"/>
  <c r="AM251" i="7"/>
  <c r="AJ251" i="7"/>
  <c r="AL251" i="7" s="1"/>
  <c r="AK251" i="7"/>
  <c r="AK143" i="7"/>
  <c r="AM143" i="7"/>
  <c r="AJ143" i="7"/>
  <c r="AL143" i="7" s="1"/>
  <c r="AM72" i="7"/>
  <c r="AJ72" i="7"/>
  <c r="AK72" i="7"/>
  <c r="AM230" i="7"/>
  <c r="AK230" i="7"/>
  <c r="AJ230" i="7"/>
  <c r="AL230" i="7" s="1"/>
  <c r="AM181" i="7"/>
  <c r="AK181" i="7"/>
  <c r="AJ181" i="7"/>
  <c r="AL181" i="7" s="1"/>
  <c r="AM223" i="7"/>
  <c r="AK223" i="7"/>
  <c r="AJ223" i="7"/>
  <c r="AL223" i="7" s="1"/>
  <c r="AM289" i="7"/>
  <c r="AK289" i="7"/>
  <c r="AJ289" i="7"/>
  <c r="AL289" i="7" s="1"/>
  <c r="AM278" i="7"/>
  <c r="AK278" i="7"/>
  <c r="AJ278" i="7"/>
  <c r="AK273" i="7"/>
  <c r="AM273" i="7"/>
  <c r="AJ273" i="7"/>
  <c r="AL273" i="7" s="1"/>
  <c r="BU68" i="7"/>
  <c r="BT68" i="7"/>
  <c r="BV68" i="7"/>
  <c r="BW68" i="7"/>
  <c r="BW196" i="7"/>
  <c r="BU196" i="7"/>
  <c r="BT196" i="7"/>
  <c r="BW66" i="7"/>
  <c r="BU66" i="7"/>
  <c r="BT66" i="7"/>
  <c r="BW98" i="7"/>
  <c r="BT98" i="7"/>
  <c r="BU98" i="7"/>
  <c r="BV95" i="7"/>
  <c r="BU95" i="7"/>
  <c r="BT95" i="7"/>
  <c r="BW95" i="7"/>
  <c r="BW260" i="7"/>
  <c r="BU260" i="7"/>
  <c r="BT260" i="7"/>
  <c r="BW159" i="7"/>
  <c r="BU159" i="7"/>
  <c r="BT159" i="7"/>
  <c r="BU55" i="7"/>
  <c r="BT55" i="7"/>
  <c r="BW55" i="7"/>
  <c r="BV55" i="7"/>
  <c r="BT299" i="7"/>
  <c r="BV299" i="7" s="1"/>
  <c r="BU299" i="7"/>
  <c r="BW299" i="7"/>
  <c r="BU54" i="7"/>
  <c r="BW54" i="7"/>
  <c r="BT54" i="7"/>
  <c r="BV54" i="7" s="1"/>
  <c r="BT59" i="7"/>
  <c r="BU59" i="7"/>
  <c r="BV59" i="7"/>
  <c r="BW59" i="7"/>
  <c r="BU5" i="7"/>
  <c r="BT5" i="7"/>
  <c r="BW5" i="7"/>
  <c r="BV5" i="7"/>
  <c r="BU46" i="7"/>
  <c r="BT46" i="7"/>
  <c r="BV46" i="7" s="1"/>
  <c r="BW46" i="7"/>
  <c r="BU42" i="7"/>
  <c r="BW42" i="7"/>
  <c r="BT42" i="7"/>
  <c r="BV42" i="7" s="1"/>
  <c r="BW110" i="7"/>
  <c r="BT110" i="7"/>
  <c r="BV110" i="7" s="1"/>
  <c r="BU110" i="7"/>
  <c r="BU266" i="7"/>
  <c r="BT266" i="7"/>
  <c r="BV266" i="7" s="1"/>
  <c r="BW266" i="7"/>
  <c r="BT158" i="7"/>
  <c r="BU158" i="7"/>
  <c r="BW158" i="7"/>
  <c r="BV158" i="7"/>
  <c r="BW157" i="7"/>
  <c r="BU157" i="7"/>
  <c r="BT157" i="7"/>
  <c r="BW92" i="7"/>
  <c r="BT92" i="7"/>
  <c r="BU92" i="7"/>
  <c r="BU18" i="7"/>
  <c r="BT18" i="7"/>
  <c r="BV18" i="7" s="1"/>
  <c r="BW18" i="7"/>
  <c r="BW36" i="7"/>
  <c r="BT36" i="7"/>
  <c r="BU36" i="7"/>
  <c r="BT259" i="7"/>
  <c r="BV259" i="7" s="1"/>
  <c r="BW259" i="7"/>
  <c r="BU259" i="7"/>
  <c r="BT39" i="7"/>
  <c r="BV39" i="7" s="1"/>
  <c r="BU39" i="7"/>
  <c r="BW39" i="7"/>
  <c r="BU296" i="7"/>
  <c r="BT296" i="7"/>
  <c r="BV296" i="7" s="1"/>
  <c r="BW296" i="7"/>
  <c r="BW108" i="7"/>
  <c r="BT108" i="7"/>
  <c r="BU108" i="7"/>
  <c r="BU147" i="7"/>
  <c r="BT147" i="7"/>
  <c r="BW147" i="7"/>
  <c r="BV147" i="7"/>
  <c r="BW35" i="7"/>
  <c r="BU35" i="7"/>
  <c r="BT35" i="7"/>
  <c r="BW87" i="7"/>
  <c r="BU87" i="7"/>
  <c r="BT87" i="7"/>
  <c r="BW83" i="7"/>
  <c r="BU83" i="7"/>
  <c r="BT83" i="7"/>
  <c r="BU295" i="7"/>
  <c r="BT295" i="7"/>
  <c r="BV295" i="7" s="1"/>
  <c r="BW295" i="7"/>
  <c r="BU188" i="7"/>
  <c r="BT188" i="7"/>
  <c r="BV188" i="7" s="1"/>
  <c r="BW188" i="7"/>
  <c r="BW30" i="7"/>
  <c r="BT30" i="7"/>
  <c r="BU30" i="7"/>
  <c r="BU29" i="7"/>
  <c r="BT29" i="7"/>
  <c r="BV29" i="7" s="1"/>
  <c r="BW29" i="7"/>
  <c r="BT294" i="7"/>
  <c r="BV294" i="7" s="1"/>
  <c r="BU294" i="7"/>
  <c r="BW294" i="7"/>
  <c r="BU258" i="7"/>
  <c r="BW258" i="7"/>
  <c r="BT258" i="7"/>
  <c r="BV258" i="7" s="1"/>
  <c r="BU25" i="7"/>
  <c r="BW25" i="7"/>
  <c r="BT25" i="7"/>
  <c r="BV25" i="7" s="1"/>
  <c r="BW82" i="7"/>
  <c r="BU82" i="7"/>
  <c r="BT82" i="7"/>
  <c r="BT313" i="7"/>
  <c r="BV313" i="7" s="1"/>
  <c r="BU313" i="7"/>
  <c r="BW313" i="7"/>
  <c r="BT262" i="7"/>
  <c r="BV262" i="7" s="1"/>
  <c r="BU262" i="7"/>
  <c r="BW262" i="7"/>
  <c r="BT314" i="7"/>
  <c r="BV314" i="7" s="1"/>
  <c r="BU314" i="7"/>
  <c r="BW314" i="7"/>
  <c r="BU248" i="7"/>
  <c r="BT248" i="7"/>
  <c r="BV248" i="7" s="1"/>
  <c r="BW248" i="7"/>
  <c r="BT201" i="7"/>
  <c r="BV201" i="7" s="1"/>
  <c r="BU201" i="7"/>
  <c r="BW201" i="7"/>
  <c r="BT12" i="7"/>
  <c r="BV12" i="7" s="1"/>
  <c r="BU12" i="7"/>
  <c r="BW12" i="7"/>
  <c r="BW168" i="7"/>
  <c r="BU168" i="7"/>
  <c r="BT168" i="7"/>
  <c r="BU220" i="7"/>
  <c r="BT220" i="7"/>
  <c r="BV220" i="7" s="1"/>
  <c r="BW220" i="7"/>
  <c r="BT6" i="7"/>
  <c r="BV6" i="7" s="1"/>
  <c r="BU6" i="7"/>
  <c r="BW6" i="7"/>
  <c r="BU199" i="7"/>
  <c r="BT199" i="7"/>
  <c r="BV199" i="7" s="1"/>
  <c r="BW199" i="7"/>
  <c r="BU7" i="7"/>
  <c r="BW7" i="7"/>
  <c r="BT7" i="7"/>
  <c r="BV7" i="7" s="1"/>
  <c r="BW81" i="7"/>
  <c r="BU81" i="7"/>
  <c r="BT81" i="7"/>
  <c r="BT171" i="7"/>
  <c r="BV171" i="7" s="1"/>
  <c r="BU171" i="7"/>
  <c r="BW171" i="7"/>
  <c r="BU133" i="7"/>
  <c r="BT133" i="7"/>
  <c r="BV133" i="7" s="1"/>
  <c r="BW133" i="7"/>
  <c r="BT150" i="7"/>
  <c r="BU150" i="7"/>
  <c r="BV150" i="7"/>
  <c r="BW150" i="7"/>
  <c r="BT130" i="7"/>
  <c r="BV130" i="7" s="1"/>
  <c r="BU130" i="7"/>
  <c r="BW130" i="7"/>
  <c r="BT129" i="7"/>
  <c r="BV129" i="7" s="1"/>
  <c r="BU129" i="7"/>
  <c r="BW129" i="7"/>
  <c r="BU263" i="7"/>
  <c r="BT263" i="7"/>
  <c r="BV263" i="7" s="1"/>
  <c r="BW263" i="7"/>
  <c r="BU137" i="7"/>
  <c r="BV137" i="7"/>
  <c r="BW137" i="7"/>
  <c r="BT137" i="7"/>
  <c r="BT270" i="7"/>
  <c r="BV270" i="7" s="1"/>
  <c r="BU270" i="7"/>
  <c r="BW270" i="7"/>
  <c r="BW14" i="7"/>
  <c r="BT14" i="7"/>
  <c r="BU14" i="7"/>
  <c r="BU152" i="7"/>
  <c r="BW152" i="7"/>
  <c r="BT152" i="7"/>
  <c r="BV152" i="7"/>
  <c r="BT244" i="7"/>
  <c r="BV244" i="7" s="1"/>
  <c r="BU244" i="7"/>
  <c r="BW244" i="7"/>
  <c r="BC170" i="7"/>
  <c r="BB170" i="7"/>
  <c r="BD170" i="7" s="1"/>
  <c r="BE170" i="7"/>
  <c r="BE291" i="7"/>
  <c r="BB291" i="7"/>
  <c r="BD291" i="7" s="1"/>
  <c r="BC291" i="7"/>
  <c r="BB243" i="7"/>
  <c r="BD243" i="7" s="1"/>
  <c r="BC243" i="7"/>
  <c r="BE243" i="7"/>
  <c r="BC121" i="7"/>
  <c r="BB121" i="7"/>
  <c r="BD121" i="7" s="1"/>
  <c r="BE121" i="7"/>
  <c r="BC224" i="7"/>
  <c r="BE224" i="7"/>
  <c r="BB224" i="7"/>
  <c r="BD224" i="7" s="1"/>
  <c r="BB169" i="7"/>
  <c r="BC169" i="7"/>
  <c r="BE169" i="7"/>
  <c r="BD169" i="7"/>
  <c r="BE167" i="7"/>
  <c r="BB167" i="7"/>
  <c r="BD167" i="7" s="1"/>
  <c r="BC167" i="7"/>
  <c r="BC251" i="7"/>
  <c r="BE251" i="7"/>
  <c r="BB251" i="7"/>
  <c r="BD251" i="7" s="1"/>
  <c r="BC312" i="7"/>
  <c r="BB312" i="7"/>
  <c r="BD312" i="7" s="1"/>
  <c r="BE312" i="7"/>
  <c r="BC233" i="7"/>
  <c r="BB233" i="7"/>
  <c r="BD233" i="7" s="1"/>
  <c r="BE233" i="7"/>
  <c r="BB277" i="7"/>
  <c r="BD277" i="7" s="1"/>
  <c r="BE277" i="7"/>
  <c r="BC277" i="7"/>
  <c r="BE230" i="7"/>
  <c r="BB230" i="7"/>
  <c r="BC230" i="7"/>
  <c r="BE278" i="7"/>
  <c r="BC278" i="7"/>
  <c r="BB278" i="7"/>
  <c r="BE179" i="7"/>
  <c r="BC179" i="7"/>
  <c r="BB179" i="7"/>
  <c r="BD179" i="7" s="1"/>
  <c r="BC276" i="7"/>
  <c r="BE276" i="7"/>
  <c r="BB276" i="7"/>
  <c r="BD276" i="7" s="1"/>
  <c r="BC311" i="7"/>
  <c r="BE311" i="7"/>
  <c r="BB311" i="7"/>
  <c r="BD311" i="7" s="1"/>
  <c r="BE71" i="7"/>
  <c r="BC71" i="7"/>
  <c r="BB71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6" i="7"/>
  <c r="U126" i="7"/>
  <c r="R126" i="7"/>
  <c r="T126" i="7"/>
  <c r="U140" i="7"/>
  <c r="S140" i="7"/>
  <c r="R140" i="7"/>
  <c r="T140" i="7"/>
  <c r="S124" i="7"/>
  <c r="R124" i="7"/>
  <c r="T124" i="7"/>
  <c r="U124" i="7"/>
  <c r="R205" i="7"/>
  <c r="T205" i="7" s="1"/>
  <c r="U205" i="7"/>
  <c r="S205" i="7"/>
  <c r="S151" i="7"/>
  <c r="T151" i="7"/>
  <c r="U151" i="7"/>
  <c r="R151" i="7"/>
  <c r="S194" i="7"/>
  <c r="T194" i="7"/>
  <c r="U194" i="7"/>
  <c r="R194" i="7"/>
  <c r="S237" i="7"/>
  <c r="R237" i="7"/>
  <c r="T237" i="7" s="1"/>
  <c r="U237" i="7"/>
  <c r="S137" i="7"/>
  <c r="U137" i="7"/>
  <c r="R137" i="7"/>
  <c r="T137" i="7" s="1"/>
  <c r="R193" i="7"/>
  <c r="T193" i="7" s="1"/>
  <c r="S193" i="7"/>
  <c r="U193" i="7"/>
  <c r="R218" i="7"/>
  <c r="T218" i="7" s="1"/>
  <c r="S218" i="7"/>
  <c r="U218" i="7"/>
  <c r="R135" i="7"/>
  <c r="S135" i="7"/>
  <c r="T135" i="7"/>
  <c r="U135" i="7"/>
  <c r="U3" i="7"/>
  <c r="R3" i="7"/>
  <c r="T3" i="7" s="1"/>
  <c r="S3" i="7"/>
  <c r="T141" i="7"/>
  <c r="S141" i="7"/>
  <c r="U141" i="7"/>
  <c r="R141" i="7"/>
  <c r="S248" i="7"/>
  <c r="R248" i="7"/>
  <c r="T248" i="7" s="1"/>
  <c r="U248" i="7"/>
  <c r="R252" i="7"/>
  <c r="T252" i="7" s="1"/>
  <c r="S252" i="7"/>
  <c r="U252" i="7"/>
  <c r="U186" i="7"/>
  <c r="R186" i="7"/>
  <c r="T186" i="7" s="1"/>
  <c r="S186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C207" i="7"/>
  <c r="BB207" i="7"/>
  <c r="BD207" i="7" s="1"/>
  <c r="BE207" i="7"/>
  <c r="R56" i="7"/>
  <c r="T56" i="7"/>
  <c r="S56" i="7"/>
  <c r="U56" i="7"/>
  <c r="S235" i="7"/>
  <c r="R235" i="7"/>
  <c r="T235" i="7" s="1"/>
  <c r="U235" i="7"/>
  <c r="U63" i="7"/>
  <c r="S63" i="7"/>
  <c r="T63" i="7"/>
  <c r="R63" i="7"/>
  <c r="U99" i="7"/>
  <c r="R99" i="7"/>
  <c r="T99" i="7"/>
  <c r="S99" i="7"/>
  <c r="U159" i="7"/>
  <c r="S159" i="7"/>
  <c r="R159" i="7"/>
  <c r="U260" i="7"/>
  <c r="S260" i="7"/>
  <c r="R260" i="7"/>
  <c r="T260" i="7" s="1"/>
  <c r="U58" i="7"/>
  <c r="S58" i="7"/>
  <c r="R58" i="7"/>
  <c r="T58" i="7" s="1"/>
  <c r="R53" i="7"/>
  <c r="T53" i="7" s="1"/>
  <c r="U53" i="7"/>
  <c r="S53" i="7"/>
  <c r="R5" i="7"/>
  <c r="U5" i="7"/>
  <c r="T5" i="7"/>
  <c r="S5" i="7"/>
  <c r="R44" i="7"/>
  <c r="T44" i="7"/>
  <c r="U44" i="7"/>
  <c r="S44" i="7"/>
  <c r="U51" i="7"/>
  <c r="R51" i="7"/>
  <c r="S51" i="7"/>
  <c r="U112" i="7"/>
  <c r="R112" i="7"/>
  <c r="T112" i="7" s="1"/>
  <c r="S112" i="7"/>
  <c r="R90" i="7"/>
  <c r="T90" i="7" s="1"/>
  <c r="S90" i="7"/>
  <c r="U90" i="7"/>
  <c r="U111" i="7"/>
  <c r="S111" i="7"/>
  <c r="R111" i="7"/>
  <c r="R229" i="7"/>
  <c r="T229" i="7" s="1"/>
  <c r="U229" i="7"/>
  <c r="S229" i="7"/>
  <c r="U109" i="7"/>
  <c r="R109" i="7"/>
  <c r="S109" i="7"/>
  <c r="U156" i="7"/>
  <c r="R156" i="7"/>
  <c r="S156" i="7"/>
  <c r="R255" i="7"/>
  <c r="T255" i="7" s="1"/>
  <c r="U255" i="7"/>
  <c r="S255" i="7"/>
  <c r="S245" i="7"/>
  <c r="R245" i="7"/>
  <c r="T245" i="7" s="1"/>
  <c r="U245" i="7"/>
  <c r="S185" i="7"/>
  <c r="U185" i="7"/>
  <c r="R185" i="7"/>
  <c r="T185" i="7" s="1"/>
  <c r="U297" i="7"/>
  <c r="R297" i="7"/>
  <c r="T297" i="7" s="1"/>
  <c r="S297" i="7"/>
  <c r="S88" i="7"/>
  <c r="U88" i="7"/>
  <c r="R88" i="7"/>
  <c r="T88" i="7" s="1"/>
  <c r="U108" i="7"/>
  <c r="S108" i="7"/>
  <c r="R108" i="7"/>
  <c r="U147" i="7"/>
  <c r="S147" i="7"/>
  <c r="R147" i="7"/>
  <c r="T147" i="7" s="1"/>
  <c r="U225" i="7"/>
  <c r="S225" i="7"/>
  <c r="R225" i="7"/>
  <c r="T225" i="7" s="1"/>
  <c r="U30" i="7"/>
  <c r="S30" i="7"/>
  <c r="R30" i="7"/>
  <c r="U294" i="7"/>
  <c r="S294" i="7"/>
  <c r="R294" i="7"/>
  <c r="T294" i="7" s="1"/>
  <c r="S26" i="7"/>
  <c r="U26" i="7"/>
  <c r="R26" i="7"/>
  <c r="T26" i="7"/>
  <c r="U82" i="7"/>
  <c r="S82" i="7"/>
  <c r="R82" i="7"/>
  <c r="T82" i="7" s="1"/>
  <c r="R15" i="7"/>
  <c r="T15" i="7" s="1"/>
  <c r="S15" i="7"/>
  <c r="U15" i="7"/>
  <c r="U313" i="7"/>
  <c r="S313" i="7"/>
  <c r="R313" i="7"/>
  <c r="T313" i="7" s="1"/>
  <c r="U114" i="7"/>
  <c r="R114" i="7"/>
  <c r="T114" i="7" s="1"/>
  <c r="S114" i="7"/>
  <c r="U65" i="7"/>
  <c r="R65" i="7"/>
  <c r="T65" i="7" s="1"/>
  <c r="S65" i="7"/>
  <c r="BU119" i="7"/>
  <c r="BV119" i="7"/>
  <c r="BW119" i="7"/>
  <c r="BT119" i="7"/>
  <c r="BW106" i="7"/>
  <c r="BU106" i="7"/>
  <c r="BT106" i="7"/>
  <c r="BT170" i="7"/>
  <c r="BV170" i="7"/>
  <c r="BW170" i="7"/>
  <c r="BU170" i="7"/>
  <c r="BW291" i="7"/>
  <c r="BU291" i="7"/>
  <c r="BT291" i="7"/>
  <c r="BU73" i="7"/>
  <c r="BT73" i="7"/>
  <c r="BV73" i="7"/>
  <c r="BW73" i="7"/>
  <c r="BT212" i="7"/>
  <c r="BV212" i="7" s="1"/>
  <c r="BU212" i="7"/>
  <c r="BW212" i="7"/>
  <c r="BU308" i="7"/>
  <c r="BW308" i="7"/>
  <c r="BT308" i="7"/>
  <c r="BV308" i="7" s="1"/>
  <c r="BT167" i="7"/>
  <c r="BV167" i="7" s="1"/>
  <c r="BU167" i="7"/>
  <c r="BW167" i="7"/>
  <c r="BT303" i="7"/>
  <c r="BV303" i="7" s="1"/>
  <c r="BU303" i="7"/>
  <c r="BW303" i="7"/>
  <c r="BW238" i="7"/>
  <c r="BT238" i="7"/>
  <c r="BV238" i="7" s="1"/>
  <c r="BU238" i="7"/>
  <c r="BW72" i="7"/>
  <c r="BT72" i="7"/>
  <c r="BU72" i="7"/>
  <c r="BT257" i="7"/>
  <c r="BV257" i="7" s="1"/>
  <c r="BU257" i="7"/>
  <c r="BW257" i="7"/>
  <c r="BT288" i="7"/>
  <c r="BV288" i="7" s="1"/>
  <c r="BW288" i="7"/>
  <c r="BU288" i="7"/>
  <c r="BW23" i="7"/>
  <c r="BT23" i="7"/>
  <c r="BU23" i="7"/>
  <c r="BU223" i="7"/>
  <c r="BT223" i="7"/>
  <c r="BV223" i="7" s="1"/>
  <c r="BW223" i="7"/>
  <c r="BT115" i="7"/>
  <c r="BV115" i="7"/>
  <c r="BU115" i="7"/>
  <c r="BW115" i="7"/>
  <c r="BU307" i="7"/>
  <c r="BT307" i="7"/>
  <c r="BV307" i="7" s="1"/>
  <c r="BW307" i="7"/>
  <c r="BU311" i="7"/>
  <c r="BT311" i="7"/>
  <c r="BV311" i="7" s="1"/>
  <c r="BW311" i="7"/>
  <c r="BU287" i="7"/>
  <c r="BW287" i="7"/>
  <c r="BT287" i="7"/>
  <c r="BV287" i="7" s="1"/>
  <c r="AK196" i="7"/>
  <c r="AJ196" i="7"/>
  <c r="AM196" i="7"/>
  <c r="AM102" i="7"/>
  <c r="AK102" i="7"/>
  <c r="AJ102" i="7"/>
  <c r="AJ60" i="7"/>
  <c r="AL60" i="7" s="1"/>
  <c r="AM60" i="7"/>
  <c r="AK60" i="7"/>
  <c r="AK249" i="7"/>
  <c r="AM249" i="7"/>
  <c r="AJ249" i="7"/>
  <c r="AL249" i="7" s="1"/>
  <c r="AM260" i="7"/>
  <c r="AJ260" i="7"/>
  <c r="AK260" i="7"/>
  <c r="AM95" i="7"/>
  <c r="AK95" i="7"/>
  <c r="AJ95" i="7"/>
  <c r="AL95" i="7" s="1"/>
  <c r="AM206" i="7"/>
  <c r="AJ206" i="7"/>
  <c r="AL206" i="7" s="1"/>
  <c r="AK206" i="7"/>
  <c r="AM216" i="7"/>
  <c r="AK216" i="7"/>
  <c r="AJ216" i="7"/>
  <c r="AK52" i="7"/>
  <c r="AM52" i="7"/>
  <c r="AJ52" i="7"/>
  <c r="AL52" i="7" s="1"/>
  <c r="AK54" i="7"/>
  <c r="AM54" i="7"/>
  <c r="AJ54" i="7"/>
  <c r="AL54" i="7" s="1"/>
  <c r="AJ47" i="7"/>
  <c r="AK47" i="7"/>
  <c r="AL47" i="7"/>
  <c r="AM47" i="7"/>
  <c r="AJ44" i="7"/>
  <c r="AL44" i="7"/>
  <c r="AK44" i="7"/>
  <c r="AM44" i="7"/>
  <c r="AJ46" i="7"/>
  <c r="AK46" i="7"/>
  <c r="AL46" i="7"/>
  <c r="AM46" i="7"/>
  <c r="AK91" i="7"/>
  <c r="AM91" i="7"/>
  <c r="AJ91" i="7"/>
  <c r="AL91" i="7" s="1"/>
  <c r="AM112" i="7"/>
  <c r="AJ112" i="7"/>
  <c r="AK112" i="7"/>
  <c r="AK298" i="7"/>
  <c r="AM298" i="7"/>
  <c r="AJ298" i="7"/>
  <c r="AL298" i="7" s="1"/>
  <c r="AK229" i="7"/>
  <c r="AM229" i="7"/>
  <c r="AJ229" i="7"/>
  <c r="AL229" i="7" s="1"/>
  <c r="AJ116" i="7"/>
  <c r="AL116" i="7" s="1"/>
  <c r="AM116" i="7"/>
  <c r="AK116" i="7"/>
  <c r="AM41" i="7"/>
  <c r="AJ41" i="7"/>
  <c r="AK41" i="7"/>
  <c r="AJ259" i="7"/>
  <c r="AL259" i="7" s="1"/>
  <c r="AM259" i="7"/>
  <c r="AK259" i="7"/>
  <c r="AM297" i="7"/>
  <c r="AJ297" i="7"/>
  <c r="AL297" i="7" s="1"/>
  <c r="AK297" i="7"/>
  <c r="AL38" i="7"/>
  <c r="AM38" i="7"/>
  <c r="AJ38" i="7"/>
  <c r="AK38" i="7"/>
  <c r="AK185" i="7"/>
  <c r="AJ185" i="7"/>
  <c r="AL185" i="7" s="1"/>
  <c r="AM185" i="7"/>
  <c r="AK296" i="7"/>
  <c r="AM296" i="7"/>
  <c r="AJ296" i="7"/>
  <c r="AL296" i="7" s="1"/>
  <c r="AM309" i="7"/>
  <c r="AK309" i="7"/>
  <c r="AJ309" i="7"/>
  <c r="AL309" i="7" s="1"/>
  <c r="AK275" i="7"/>
  <c r="AM275" i="7"/>
  <c r="AJ275" i="7"/>
  <c r="AL275" i="7" s="1"/>
  <c r="AJ162" i="7"/>
  <c r="AL162" i="7"/>
  <c r="AM162" i="7"/>
  <c r="AK162" i="7"/>
  <c r="AM33" i="7"/>
  <c r="AJ33" i="7"/>
  <c r="AL33" i="7" s="1"/>
  <c r="AK33" i="7"/>
  <c r="AM295" i="7"/>
  <c r="AK295" i="7"/>
  <c r="AJ295" i="7"/>
  <c r="AL295" i="7" s="1"/>
  <c r="AK164" i="7"/>
  <c r="AM164" i="7"/>
  <c r="AJ164" i="7"/>
  <c r="AL164" i="7" s="1"/>
  <c r="AJ28" i="7"/>
  <c r="AL28" i="7" s="1"/>
  <c r="AK28" i="7"/>
  <c r="AM28" i="7"/>
  <c r="AM30" i="7"/>
  <c r="AK30" i="7"/>
  <c r="AJ30" i="7"/>
  <c r="AK294" i="7"/>
  <c r="AJ294" i="7"/>
  <c r="AL294" i="7" s="1"/>
  <c r="AM294" i="7"/>
  <c r="AM285" i="7"/>
  <c r="AK285" i="7"/>
  <c r="AJ285" i="7"/>
  <c r="AL285" i="7" s="1"/>
  <c r="AM234" i="7"/>
  <c r="AK234" i="7"/>
  <c r="AJ234" i="7"/>
  <c r="AM313" i="7"/>
  <c r="AK313" i="7"/>
  <c r="AJ313" i="7"/>
  <c r="AL313" i="7" s="1"/>
  <c r="AJ25" i="7"/>
  <c r="AK25" i="7"/>
  <c r="AM25" i="7"/>
  <c r="AL25" i="7"/>
  <c r="AJ264" i="7"/>
  <c r="AL264" i="7" s="1"/>
  <c r="AK264" i="7"/>
  <c r="AM264" i="7"/>
  <c r="AJ203" i="7"/>
  <c r="AL203" i="7" s="1"/>
  <c r="AK203" i="7"/>
  <c r="AM203" i="7"/>
  <c r="AK120" i="7"/>
  <c r="AJ120" i="7"/>
  <c r="AL120" i="7"/>
  <c r="AM120" i="7"/>
  <c r="AJ6" i="7"/>
  <c r="AK6" i="7"/>
  <c r="AL6" i="7"/>
  <c r="AM6" i="7"/>
  <c r="AM201" i="7"/>
  <c r="AJ201" i="7"/>
  <c r="AL201" i="7" s="1"/>
  <c r="AK201" i="7"/>
  <c r="AJ12" i="7"/>
  <c r="AK12" i="7"/>
  <c r="AM12" i="7"/>
  <c r="AL12" i="7"/>
  <c r="AM13" i="7"/>
  <c r="AJ13" i="7"/>
  <c r="AL13" i="7" s="1"/>
  <c r="AK13" i="7"/>
  <c r="AK128" i="7"/>
  <c r="AJ128" i="7"/>
  <c r="AL128" i="7" s="1"/>
  <c r="AM128" i="7"/>
  <c r="AM168" i="7"/>
  <c r="AJ168" i="7"/>
  <c r="AK168" i="7"/>
  <c r="AM254" i="7"/>
  <c r="AJ254" i="7"/>
  <c r="AL254" i="7" s="1"/>
  <c r="AK254" i="7"/>
  <c r="AM279" i="7"/>
  <c r="AJ279" i="7"/>
  <c r="AK279" i="7"/>
  <c r="AK263" i="7"/>
  <c r="AJ263" i="7"/>
  <c r="AL263" i="7" s="1"/>
  <c r="AM263" i="7"/>
  <c r="AL130" i="7"/>
  <c r="AM130" i="7"/>
  <c r="AJ130" i="7"/>
  <c r="AK130" i="7"/>
  <c r="AJ3" i="7"/>
  <c r="AL3" i="7" s="1"/>
  <c r="AK3" i="7"/>
  <c r="AM3" i="7"/>
  <c r="AM174" i="7"/>
  <c r="AL174" i="7"/>
  <c r="AK174" i="7"/>
  <c r="AJ174" i="7"/>
  <c r="AJ135" i="7"/>
  <c r="AL135" i="7"/>
  <c r="AM135" i="7"/>
  <c r="AK135" i="7"/>
  <c r="AJ186" i="7"/>
  <c r="AL186" i="7" s="1"/>
  <c r="AM186" i="7"/>
  <c r="AK186" i="7"/>
  <c r="AM129" i="7"/>
  <c r="AJ129" i="7"/>
  <c r="AL129" i="7" s="1"/>
  <c r="AK129" i="7"/>
  <c r="AL140" i="7"/>
  <c r="AM140" i="7"/>
  <c r="AJ140" i="7"/>
  <c r="AK140" i="7"/>
  <c r="AL151" i="7"/>
  <c r="AK151" i="7"/>
  <c r="AM151" i="7"/>
  <c r="AJ151" i="7"/>
  <c r="AK244" i="7"/>
  <c r="AM244" i="7"/>
  <c r="AJ244" i="7"/>
  <c r="AL244" i="7" s="1"/>
  <c r="AJ283" i="7"/>
  <c r="AL283" i="7" s="1"/>
  <c r="AM283" i="7"/>
  <c r="AK283" i="7"/>
  <c r="R268" i="7"/>
  <c r="T268" i="7" s="1"/>
  <c r="S268" i="7"/>
  <c r="U268" i="7"/>
  <c r="U180" i="7"/>
  <c r="S180" i="7"/>
  <c r="T180" i="7"/>
  <c r="R180" i="7"/>
  <c r="R121" i="7"/>
  <c r="T121" i="7"/>
  <c r="S121" i="7"/>
  <c r="U121" i="7"/>
  <c r="T20" i="7"/>
  <c r="U20" i="7"/>
  <c r="S20" i="7"/>
  <c r="R20" i="7"/>
  <c r="U153" i="7"/>
  <c r="R153" i="7"/>
  <c r="T153" i="7" s="1"/>
  <c r="S153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2" i="7"/>
  <c r="R72" i="7"/>
  <c r="S72" i="7"/>
  <c r="U144" i="7"/>
  <c r="S144" i="7"/>
  <c r="R144" i="7"/>
  <c r="T144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5" i="7"/>
  <c r="R115" i="7"/>
  <c r="T115" i="7" s="1"/>
  <c r="S115" i="7"/>
  <c r="R208" i="7"/>
  <c r="T208" i="7" s="1"/>
  <c r="S208" i="7"/>
  <c r="U208" i="7"/>
  <c r="S142" i="7"/>
  <c r="U142" i="7"/>
  <c r="R142" i="7"/>
  <c r="T142" i="7" s="1"/>
  <c r="S307" i="7"/>
  <c r="R307" i="7"/>
  <c r="T307" i="7" s="1"/>
  <c r="U307" i="7"/>
  <c r="BB259" i="7"/>
  <c r="BD259" i="7" s="1"/>
  <c r="BC259" i="7"/>
  <c r="BE259" i="7"/>
  <c r="BE195" i="7"/>
  <c r="BB195" i="7"/>
  <c r="BD195" i="7" s="1"/>
  <c r="BC195" i="7"/>
  <c r="BC39" i="7"/>
  <c r="BE39" i="7"/>
  <c r="BB39" i="7"/>
  <c r="BD39" i="7" s="1"/>
  <c r="BC297" i="7"/>
  <c r="BE297" i="7"/>
  <c r="BB297" i="7"/>
  <c r="BD297" i="7" s="1"/>
  <c r="BC154" i="7"/>
  <c r="BB154" i="7"/>
  <c r="BD154" i="7" s="1"/>
  <c r="BE154" i="7"/>
  <c r="BB211" i="7"/>
  <c r="BD211" i="7" s="1"/>
  <c r="BE211" i="7"/>
  <c r="BC211" i="7"/>
  <c r="BE225" i="7"/>
  <c r="BB225" i="7"/>
  <c r="BC225" i="7"/>
  <c r="BB294" i="7"/>
  <c r="BD294" i="7" s="1"/>
  <c r="BC294" i="7"/>
  <c r="BE294" i="7"/>
  <c r="BC187" i="7"/>
  <c r="BE187" i="7"/>
  <c r="BB187" i="7"/>
  <c r="BD187" i="7"/>
  <c r="BC194" i="7"/>
  <c r="BB194" i="7"/>
  <c r="BE194" i="7"/>
  <c r="BD194" i="7"/>
  <c r="BE126" i="7"/>
  <c r="BB126" i="7"/>
  <c r="BD126" i="7" s="1"/>
  <c r="BC126" i="7"/>
  <c r="BC6" i="7"/>
  <c r="BB6" i="7"/>
  <c r="BE6" i="7"/>
  <c r="BD6" i="7"/>
  <c r="BB241" i="7"/>
  <c r="BD241" i="7" s="1"/>
  <c r="BE241" i="7"/>
  <c r="BC241" i="7"/>
  <c r="BC220" i="7"/>
  <c r="BE220" i="7"/>
  <c r="BB220" i="7"/>
  <c r="BD220" i="7" s="1"/>
  <c r="BC242" i="7"/>
  <c r="BB242" i="7"/>
  <c r="BD242" i="7" s="1"/>
  <c r="BE242" i="7"/>
  <c r="BB128" i="7"/>
  <c r="BD128" i="7"/>
  <c r="BC128" i="7"/>
  <c r="BE128" i="7"/>
  <c r="BB248" i="7"/>
  <c r="BD248" i="7" s="1"/>
  <c r="BC248" i="7"/>
  <c r="BE248" i="7"/>
  <c r="BB203" i="7"/>
  <c r="BD203" i="7" s="1"/>
  <c r="BE203" i="7"/>
  <c r="BC203" i="7"/>
  <c r="BC201" i="7"/>
  <c r="BE201" i="7"/>
  <c r="BB201" i="7"/>
  <c r="BD201" i="7" s="1"/>
  <c r="BE81" i="7"/>
  <c r="BC81" i="7"/>
  <c r="BB81" i="7"/>
  <c r="BC283" i="7"/>
  <c r="BE283" i="7"/>
  <c r="BB283" i="7"/>
  <c r="BD283" i="7" s="1"/>
  <c r="BC293" i="7"/>
  <c r="BB293" i="7"/>
  <c r="BD293" i="7" s="1"/>
  <c r="BE293" i="7"/>
  <c r="BB140" i="7"/>
  <c r="BD140" i="7" s="1"/>
  <c r="BE140" i="7"/>
  <c r="BC140" i="7"/>
  <c r="BB177" i="7"/>
  <c r="BD177" i="7" s="1"/>
  <c r="BE177" i="7"/>
  <c r="BC177" i="7"/>
  <c r="BC184" i="7"/>
  <c r="BE184" i="7"/>
  <c r="BB184" i="7"/>
  <c r="BD184" i="7"/>
  <c r="BC186" i="7"/>
  <c r="BE186" i="7"/>
  <c r="BB186" i="7"/>
  <c r="BD186" i="7" s="1"/>
  <c r="BC189" i="7"/>
  <c r="BE189" i="7"/>
  <c r="BB189" i="7"/>
  <c r="BD189" i="7" s="1"/>
  <c r="BB274" i="7"/>
  <c r="BD274" i="7" s="1"/>
  <c r="BE274" i="7"/>
  <c r="BC274" i="7"/>
  <c r="BC244" i="7"/>
  <c r="BE244" i="7"/>
  <c r="BB244" i="7"/>
  <c r="BD244" i="7" s="1"/>
  <c r="BC163" i="7"/>
  <c r="BB163" i="7"/>
  <c r="BD163" i="7"/>
  <c r="BE163" i="7"/>
  <c r="BB252" i="7"/>
  <c r="BD252" i="7" s="1"/>
  <c r="BE252" i="7"/>
  <c r="BC252" i="7"/>
  <c r="S18" i="6" l="1"/>
  <c r="P20" i="6"/>
  <c r="R19" i="6"/>
  <c r="S19" i="6" s="1"/>
  <c r="V82" i="7"/>
  <c r="V35" i="7"/>
  <c r="AN181" i="7"/>
  <c r="AO181" i="7" s="1" a="1"/>
  <c r="AP181" i="7" s="1"/>
  <c r="BX230" i="7"/>
  <c r="BY230" i="7" s="1" a="1"/>
  <c r="CB230" i="7" s="1"/>
  <c r="V100" i="7"/>
  <c r="W100" i="7" s="1" a="1"/>
  <c r="Y100" i="7" s="1"/>
  <c r="AN57" i="7"/>
  <c r="AO57" i="7" s="1" a="1"/>
  <c r="V101" i="7"/>
  <c r="W101" i="7" s="1" a="1"/>
  <c r="Z101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39" i="7"/>
  <c r="V307" i="7"/>
  <c r="W307" i="7" s="1" a="1"/>
  <c r="W307" i="7" s="1"/>
  <c r="V281" i="7"/>
  <c r="AN129" i="7"/>
  <c r="AO129" i="7" s="1" a="1"/>
  <c r="AN263" i="7"/>
  <c r="AO263" i="7" s="1" a="1"/>
  <c r="AN116" i="7"/>
  <c r="AO116" i="7" s="1" a="1"/>
  <c r="AN54" i="7"/>
  <c r="AO54" i="7" s="1" a="1"/>
  <c r="AN60" i="7"/>
  <c r="AO60" i="7" s="1" a="1"/>
  <c r="BX311" i="7"/>
  <c r="BX303" i="7"/>
  <c r="BY303" i="7" s="1" a="1"/>
  <c r="BX167" i="7"/>
  <c r="BY167" i="7" s="1" a="1"/>
  <c r="BX212" i="7"/>
  <c r="BY212" i="7" s="1" a="1"/>
  <c r="V65" i="7"/>
  <c r="W65" i="7" s="1" a="1"/>
  <c r="AA65" i="7" s="1"/>
  <c r="V114" i="7"/>
  <c r="W114" i="7" s="1" a="1"/>
  <c r="Y114" i="7" s="1"/>
  <c r="V88" i="7"/>
  <c r="W88" i="7" s="1" a="1"/>
  <c r="X88" i="7" s="1"/>
  <c r="V185" i="7"/>
  <c r="W185" i="7" s="1" a="1"/>
  <c r="V5" i="7"/>
  <c r="W5" i="7" s="1" a="1"/>
  <c r="V58" i="7"/>
  <c r="W58" i="7" s="1" a="1"/>
  <c r="Y58" i="7" s="1"/>
  <c r="V260" i="7"/>
  <c r="W260" i="7" s="1" a="1"/>
  <c r="AF260" i="7" s="1"/>
  <c r="V99" i="7"/>
  <c r="V235" i="7"/>
  <c r="W235" i="7" s="1" a="1"/>
  <c r="V186" i="7"/>
  <c r="W186" i="7" s="1" a="1"/>
  <c r="AD186" i="7" s="1"/>
  <c r="V248" i="7"/>
  <c r="W248" i="7" s="1" a="1"/>
  <c r="AD248" i="7" s="1"/>
  <c r="V3" i="7"/>
  <c r="W3" i="7" s="1" a="1"/>
  <c r="V137" i="7"/>
  <c r="W137" i="7" s="1" a="1"/>
  <c r="V124" i="7"/>
  <c r="W124" i="7" s="1" a="1"/>
  <c r="V140" i="7"/>
  <c r="W140" i="7" s="1" a="1"/>
  <c r="W140" i="7" s="1"/>
  <c r="V126" i="7"/>
  <c r="W126" i="7" s="1" a="1"/>
  <c r="AE126" i="7" s="1"/>
  <c r="V4" i="7"/>
  <c r="W4" i="7" s="1" a="1"/>
  <c r="V33" i="7"/>
  <c r="W33" i="7" s="1" a="1"/>
  <c r="BF312" i="7"/>
  <c r="BF121" i="7"/>
  <c r="BF170" i="7"/>
  <c r="BX270" i="7"/>
  <c r="BY270" i="7" s="1" a="1"/>
  <c r="BX129" i="7"/>
  <c r="BY129" i="7" s="1" a="1"/>
  <c r="BX130" i="7"/>
  <c r="BY130" i="7" s="1" a="1"/>
  <c r="BX150" i="7"/>
  <c r="BY150" i="7" s="1" a="1"/>
  <c r="BX171" i="7"/>
  <c r="BY171" i="7" s="1" a="1"/>
  <c r="BX7" i="7"/>
  <c r="BY7" i="7" s="1" a="1"/>
  <c r="BX248" i="7"/>
  <c r="BY248" i="7" s="1" a="1"/>
  <c r="BX29" i="7"/>
  <c r="BY29" i="7" s="1" a="1"/>
  <c r="BX147" i="7"/>
  <c r="BY147" i="7" s="1" a="1"/>
  <c r="BX39" i="7"/>
  <c r="BY39" i="7" s="1" a="1"/>
  <c r="BX259" i="7"/>
  <c r="BY259" i="7" s="1" a="1"/>
  <c r="BX46" i="7"/>
  <c r="BY46" i="7" s="1" a="1"/>
  <c r="BX5" i="7"/>
  <c r="BY5" i="7" s="1" a="1"/>
  <c r="BX55" i="7"/>
  <c r="BY55" i="7" s="1" a="1"/>
  <c r="AN304" i="7"/>
  <c r="AO304" i="7" s="1" a="1"/>
  <c r="AN180" i="7"/>
  <c r="AO180" i="7" s="1" a="1"/>
  <c r="AN232" i="7"/>
  <c r="AO232" i="7" s="1" a="1"/>
  <c r="BF161" i="7"/>
  <c r="V207" i="7"/>
  <c r="BF272" i="7"/>
  <c r="BF3" i="7"/>
  <c r="BF198" i="7"/>
  <c r="V277" i="7"/>
  <c r="W277" i="7" s="1" a="1"/>
  <c r="V224" i="7"/>
  <c r="W224" i="7" s="1" a="1"/>
  <c r="AN171" i="7"/>
  <c r="AO171" i="7" s="1" a="1"/>
  <c r="AN272" i="7"/>
  <c r="AO272" i="7" s="1" a="1"/>
  <c r="AN205" i="7"/>
  <c r="AO205" i="7" s="1" a="1"/>
  <c r="AN132" i="7"/>
  <c r="AO132" i="7" s="1" a="1"/>
  <c r="AN211" i="7"/>
  <c r="AO211" i="7" s="1" a="1"/>
  <c r="AN86" i="7"/>
  <c r="AO86" i="7" s="1" a="1"/>
  <c r="AN92" i="7"/>
  <c r="AO92" i="7" s="1" a="1"/>
  <c r="AN227" i="7"/>
  <c r="AO227" i="7" s="1" a="1"/>
  <c r="AN53" i="7"/>
  <c r="AO53" i="7" s="1" a="1"/>
  <c r="AN114" i="7"/>
  <c r="AO114" i="7" s="1" a="1"/>
  <c r="BX268" i="7"/>
  <c r="BY268" i="7" s="1" a="1"/>
  <c r="V67" i="7"/>
  <c r="W67" i="7" s="1" a="1"/>
  <c r="V66" i="7"/>
  <c r="V239" i="7"/>
  <c r="V131" i="7"/>
  <c r="V91" i="7"/>
  <c r="W91" i="7" s="1" a="1"/>
  <c r="V59" i="7"/>
  <c r="W59" i="7" s="1" a="1"/>
  <c r="W59" i="7" s="1"/>
  <c r="V93" i="7"/>
  <c r="W93" i="7" s="1" a="1"/>
  <c r="X93" i="7" s="1"/>
  <c r="V249" i="7"/>
  <c r="V166" i="7"/>
  <c r="V183" i="7"/>
  <c r="W183" i="7" s="1" a="1"/>
  <c r="W183" i="7" s="1"/>
  <c r="V125" i="7"/>
  <c r="W125" i="7" s="1" a="1"/>
  <c r="X125" i="7" s="1"/>
  <c r="V145" i="7"/>
  <c r="W145" i="7" s="1" a="1"/>
  <c r="AB145" i="7" s="1"/>
  <c r="BF287" i="7"/>
  <c r="BG287" i="7" s="1" a="1"/>
  <c r="BF21" i="7"/>
  <c r="BG21" i="7" s="1" a="1"/>
  <c r="BF22" i="7"/>
  <c r="BX228" i="7"/>
  <c r="BY228" i="7" s="1" a="1"/>
  <c r="BX4" i="7"/>
  <c r="BY4" i="7" s="1" a="1"/>
  <c r="BX172" i="7"/>
  <c r="BX160" i="7"/>
  <c r="BY160" i="7" s="1" a="1"/>
  <c r="BX192" i="7"/>
  <c r="BY192" i="7" s="1" a="1"/>
  <c r="BX275" i="7"/>
  <c r="BY275" i="7" s="1" a="1"/>
  <c r="BX88" i="7"/>
  <c r="BY88" i="7" s="1" a="1"/>
  <c r="BX298" i="7"/>
  <c r="BY298" i="7" s="1" a="1"/>
  <c r="BX97" i="7"/>
  <c r="BY97" i="7" s="1" a="1"/>
  <c r="BX100" i="7"/>
  <c r="BY100" i="7" s="1" a="1"/>
  <c r="AN142" i="7"/>
  <c r="AO142" i="7" s="1" a="1"/>
  <c r="AN238" i="7"/>
  <c r="AO238" i="7" s="1" a="1"/>
  <c r="AN21" i="7"/>
  <c r="AO21" i="7" s="1" a="1"/>
  <c r="AN170" i="7"/>
  <c r="AO170" i="7" s="1" a="1"/>
  <c r="BF164" i="7"/>
  <c r="BF147" i="7"/>
  <c r="BF266" i="7"/>
  <c r="BG266" i="7" s="1" a="1"/>
  <c r="BF215" i="7"/>
  <c r="BG215" i="7" s="1" a="1"/>
  <c r="BF249" i="7"/>
  <c r="BG249" i="7" s="1" a="1"/>
  <c r="BF67" i="7"/>
  <c r="BF299" i="7"/>
  <c r="BF58" i="7"/>
  <c r="V79" i="7"/>
  <c r="BF269" i="7"/>
  <c r="BF176" i="7"/>
  <c r="BF197" i="7"/>
  <c r="BF246" i="7"/>
  <c r="BF117" i="7"/>
  <c r="BF125" i="7"/>
  <c r="BF38" i="7"/>
  <c r="V276" i="7"/>
  <c r="W276" i="7" s="1" a="1"/>
  <c r="AG276" i="7" s="1"/>
  <c r="V179" i="7"/>
  <c r="V122" i="7"/>
  <c r="AN189" i="7"/>
  <c r="AO189" i="7" s="1" a="1"/>
  <c r="AN209" i="7"/>
  <c r="AO209" i="7" s="1" a="1"/>
  <c r="AN237" i="7"/>
  <c r="AO237" i="7" s="1" a="1"/>
  <c r="AN239" i="7"/>
  <c r="AO239" i="7" s="1" a="1"/>
  <c r="AN89" i="7"/>
  <c r="AO89" i="7" s="1" a="1"/>
  <c r="AN43" i="7"/>
  <c r="AO43" i="7" s="1" a="1"/>
  <c r="BX281" i="7"/>
  <c r="BY281" i="7" s="1" a="1"/>
  <c r="BX103" i="7"/>
  <c r="BY103" i="7" s="1" a="1"/>
  <c r="BX217" i="7"/>
  <c r="BY217" i="7" s="1" a="1"/>
  <c r="BX22" i="7"/>
  <c r="BY22" i="7" s="1" a="1"/>
  <c r="V69" i="7"/>
  <c r="W69" i="7" s="1" a="1"/>
  <c r="AG69" i="7" s="1"/>
  <c r="V80" i="7"/>
  <c r="V286" i="7"/>
  <c r="V18" i="7"/>
  <c r="V116" i="7"/>
  <c r="W116" i="7" s="1" a="1"/>
  <c r="AD116" i="7" s="1"/>
  <c r="V158" i="7"/>
  <c r="V215" i="7"/>
  <c r="V55" i="7"/>
  <c r="W55" i="7" s="1" a="1"/>
  <c r="W55" i="7" s="1"/>
  <c r="V283" i="7"/>
  <c r="W283" i="7" s="1" a="1"/>
  <c r="X283" i="7" s="1"/>
  <c r="V174" i="7"/>
  <c r="V203" i="7"/>
  <c r="W203" i="7" s="1" a="1"/>
  <c r="V120" i="7"/>
  <c r="V228" i="7"/>
  <c r="W228" i="7" s="1" a="1"/>
  <c r="AC228" i="7" s="1"/>
  <c r="V85" i="7"/>
  <c r="BF115" i="7"/>
  <c r="BF10" i="7"/>
  <c r="BF103" i="7"/>
  <c r="BX253" i="7"/>
  <c r="BY253" i="7" s="1" a="1"/>
  <c r="BX301" i="7"/>
  <c r="BY301" i="7" s="1" a="1"/>
  <c r="BX255" i="7"/>
  <c r="BY255" i="7" s="1" a="1"/>
  <c r="BX215" i="7"/>
  <c r="BY215" i="7" s="1" a="1"/>
  <c r="BX60" i="7"/>
  <c r="BY60" i="7" s="1" a="1"/>
  <c r="BX113" i="7"/>
  <c r="BY113" i="7" s="1" a="1"/>
  <c r="AN284" i="7"/>
  <c r="AO284" i="7" s="1" a="1"/>
  <c r="AN119" i="7"/>
  <c r="AO119" i="7" s="1" a="1"/>
  <c r="BF26" i="7"/>
  <c r="BF188" i="7"/>
  <c r="BF171" i="7"/>
  <c r="BF191" i="7"/>
  <c r="BF145" i="7"/>
  <c r="BF138" i="7"/>
  <c r="BF218" i="7"/>
  <c r="BF12" i="7"/>
  <c r="BF139" i="7"/>
  <c r="V287" i="7"/>
  <c r="V288" i="7"/>
  <c r="V77" i="7"/>
  <c r="V232" i="7"/>
  <c r="W232" i="7" s="1" a="1"/>
  <c r="AA232" i="7" s="1"/>
  <c r="AN138" i="7"/>
  <c r="AO138" i="7" s="1" a="1"/>
  <c r="AN253" i="7"/>
  <c r="AO253" i="7" s="1" a="1"/>
  <c r="AN187" i="7"/>
  <c r="AO187" i="7" s="1" a="1"/>
  <c r="AN247" i="7"/>
  <c r="AO247" i="7" s="1" a="1"/>
  <c r="AN175" i="7"/>
  <c r="AO175" i="7" s="1" a="1"/>
  <c r="AN245" i="7"/>
  <c r="AO245" i="7" s="1" a="1"/>
  <c r="AN49" i="7"/>
  <c r="AO49" i="7" s="1" a="1"/>
  <c r="AW57" i="7"/>
  <c r="AV57" i="7"/>
  <c r="AP57" i="7"/>
  <c r="AY57" i="7"/>
  <c r="AX57" i="7"/>
  <c r="AT57" i="7"/>
  <c r="AU57" i="7"/>
  <c r="AR57" i="7"/>
  <c r="AQ57" i="7"/>
  <c r="AO57" i="7"/>
  <c r="AS57" i="7"/>
  <c r="AN100" i="7"/>
  <c r="AO100" i="7" s="1" a="1"/>
  <c r="BX142" i="7"/>
  <c r="BY142" i="7" s="1" a="1"/>
  <c r="BX277" i="7"/>
  <c r="BY277" i="7" s="1" a="1"/>
  <c r="V68" i="7"/>
  <c r="W68" i="7" s="1" a="1"/>
  <c r="AB68" i="7" s="1"/>
  <c r="V8" i="7"/>
  <c r="V250" i="7"/>
  <c r="V139" i="7"/>
  <c r="W139" i="7" s="1" a="1"/>
  <c r="V173" i="7"/>
  <c r="V293" i="7"/>
  <c r="W293" i="7" s="1" a="1"/>
  <c r="AE293" i="7" s="1"/>
  <c r="V184" i="7"/>
  <c r="V152" i="7"/>
  <c r="W152" i="7" s="1" a="1"/>
  <c r="AG152" i="7" s="1"/>
  <c r="V253" i="7"/>
  <c r="V220" i="7"/>
  <c r="W220" i="7" s="1" a="1"/>
  <c r="AE220" i="7" s="1"/>
  <c r="V202" i="7"/>
  <c r="W202" i="7" s="1" a="1"/>
  <c r="AE202" i="7" s="1"/>
  <c r="V123" i="7"/>
  <c r="W123" i="7" s="1" a="1"/>
  <c r="AE123" i="7" s="1"/>
  <c r="V261" i="7"/>
  <c r="W261" i="7" s="1" a="1"/>
  <c r="AE261" i="7" s="1"/>
  <c r="BF208" i="7"/>
  <c r="BF267" i="7"/>
  <c r="BF284" i="7"/>
  <c r="BF268" i="7"/>
  <c r="BF232" i="7"/>
  <c r="BX272" i="7"/>
  <c r="BY272" i="7" s="1" a="1"/>
  <c r="BX146" i="7"/>
  <c r="BY146" i="7" s="1" a="1"/>
  <c r="BX190" i="7"/>
  <c r="BY190" i="7" s="1" a="1"/>
  <c r="BX134" i="7"/>
  <c r="BY134" i="7" s="1" a="1"/>
  <c r="BX306" i="7"/>
  <c r="BY306" i="7" s="1" a="1"/>
  <c r="BX200" i="7"/>
  <c r="BY200" i="7" s="1" a="1"/>
  <c r="BX125" i="7"/>
  <c r="BY125" i="7" s="1" a="1"/>
  <c r="BX132" i="7"/>
  <c r="BY132" i="7" s="1" a="1"/>
  <c r="BX164" i="7"/>
  <c r="BY164" i="7" s="1" a="1"/>
  <c r="BX175" i="7"/>
  <c r="BY175" i="7" s="1" a="1"/>
  <c r="BX309" i="7"/>
  <c r="BY309" i="7" s="1" a="1"/>
  <c r="BX11" i="7"/>
  <c r="BY11" i="7" s="1" a="1"/>
  <c r="BX37" i="7"/>
  <c r="BY37" i="7" s="1" a="1"/>
  <c r="BX131" i="7"/>
  <c r="BY131" i="7" s="1" a="1"/>
  <c r="BX154" i="7"/>
  <c r="BY154" i="7" s="1" a="1"/>
  <c r="BX229" i="7"/>
  <c r="BY229" i="7" s="1" a="1"/>
  <c r="BX214" i="7"/>
  <c r="BY214" i="7" s="1" a="1"/>
  <c r="BX161" i="7"/>
  <c r="BY161" i="7" s="1" a="1"/>
  <c r="BX165" i="7"/>
  <c r="BY165" i="7" s="1" a="1"/>
  <c r="BX65" i="7"/>
  <c r="BY65" i="7" s="1" a="1"/>
  <c r="AN267" i="7"/>
  <c r="AO267" i="7" s="1" a="1"/>
  <c r="AN70" i="7"/>
  <c r="AO70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0" i="7"/>
  <c r="BF61" i="7"/>
  <c r="BF226" i="7"/>
  <c r="BG226" i="7" s="1" a="1"/>
  <c r="BF47" i="7"/>
  <c r="BF56" i="7"/>
  <c r="BF113" i="7"/>
  <c r="BF274" i="7"/>
  <c r="BF140" i="7"/>
  <c r="BF201" i="7"/>
  <c r="BF6" i="7"/>
  <c r="BF297" i="7"/>
  <c r="BG297" i="7" s="1" a="1"/>
  <c r="V115" i="7"/>
  <c r="V21" i="7"/>
  <c r="AN33" i="7"/>
  <c r="AO33" i="7" s="1" a="1"/>
  <c r="AN185" i="7"/>
  <c r="AO185" i="7" s="1" a="1"/>
  <c r="AN91" i="7"/>
  <c r="AO91" i="7" s="1" a="1"/>
  <c r="AN52" i="7"/>
  <c r="AO52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X126" i="7"/>
  <c r="AF126" i="7"/>
  <c r="BD278" i="7"/>
  <c r="BF278" i="7" s="1"/>
  <c r="BG278" i="7" s="1" a="1"/>
  <c r="AL79" i="7"/>
  <c r="AN79" i="7" s="1"/>
  <c r="AO79" i="7" s="1" a="1"/>
  <c r="BD14" i="7"/>
  <c r="BF14" i="7" s="1"/>
  <c r="AL195" i="7"/>
  <c r="AN195" i="7" s="1"/>
  <c r="AO195" i="7" s="1" a="1"/>
  <c r="BV278" i="7"/>
  <c r="BX278" i="7" s="1"/>
  <c r="BY278" i="7" s="1" a="1"/>
  <c r="AF67" i="7"/>
  <c r="AA67" i="7"/>
  <c r="Z91" i="7"/>
  <c r="W91" i="7"/>
  <c r="BD104" i="7"/>
  <c r="BF104" i="7" s="1"/>
  <c r="BD23" i="7"/>
  <c r="BV127" i="7"/>
  <c r="BV34" i="7"/>
  <c r="BX34" i="7" s="1"/>
  <c r="BY34" i="7" s="1" a="1"/>
  <c r="BV155" i="7"/>
  <c r="BX155" i="7" s="1"/>
  <c r="BY155" i="7" s="1" a="1"/>
  <c r="BV112" i="7"/>
  <c r="BX112" i="7" s="1"/>
  <c r="BY112" i="7" s="1" a="1"/>
  <c r="BD84" i="7"/>
  <c r="BF84" i="7" s="1"/>
  <c r="BD50" i="7"/>
  <c r="BF50" i="7" s="1"/>
  <c r="BD206" i="7"/>
  <c r="BF206" i="7" s="1"/>
  <c r="BG206" i="7" s="1" a="1"/>
  <c r="AL210" i="7"/>
  <c r="AN210" i="7" s="1"/>
  <c r="AO210" i="7" s="1" a="1"/>
  <c r="AL35" i="7"/>
  <c r="AL36" i="7"/>
  <c r="AN36" i="7" s="1"/>
  <c r="AO36" i="7" s="1" a="1"/>
  <c r="BV104" i="7"/>
  <c r="T196" i="7"/>
  <c r="V196" i="7" s="1"/>
  <c r="W196" i="7" s="1" a="1"/>
  <c r="AD100" i="7"/>
  <c r="T216" i="7"/>
  <c r="V216" i="7" s="1"/>
  <c r="BV41" i="7"/>
  <c r="BX41" i="7" s="1"/>
  <c r="BY41" i="7" s="1" a="1"/>
  <c r="AL71" i="7"/>
  <c r="AN71" i="7" s="1"/>
  <c r="AO71" i="7" s="1" a="1"/>
  <c r="BD98" i="7"/>
  <c r="BF98" i="7" s="1"/>
  <c r="T289" i="7"/>
  <c r="V289" i="7" s="1"/>
  <c r="W289" i="7" s="1" a="1"/>
  <c r="T181" i="7"/>
  <c r="V181" i="7" s="1"/>
  <c r="AL225" i="7"/>
  <c r="AN225" i="7" s="1"/>
  <c r="AO225" i="7" s="1" a="1"/>
  <c r="AL32" i="7"/>
  <c r="AN32" i="7" s="1"/>
  <c r="AO32" i="7" s="1" a="1"/>
  <c r="BV71" i="7"/>
  <c r="BX71" i="7" s="1"/>
  <c r="BY71" i="7" s="1" a="1"/>
  <c r="BV105" i="7"/>
  <c r="BX105" i="7" s="1"/>
  <c r="BY105" i="7" s="1" a="1"/>
  <c r="BV74" i="7"/>
  <c r="BX74" i="7" s="1"/>
  <c r="BY74" i="7" s="1" a="1"/>
  <c r="W101" i="7"/>
  <c r="AA101" i="7"/>
  <c r="AC101" i="7"/>
  <c r="T14" i="7"/>
  <c r="V14" i="7" s="1"/>
  <c r="BV227" i="7"/>
  <c r="BX227" i="7" s="1"/>
  <c r="BY227" i="7" s="1" a="1"/>
  <c r="BV216" i="7"/>
  <c r="BX216" i="7" s="1"/>
  <c r="BY216" i="7" s="1" a="1"/>
  <c r="AL23" i="7"/>
  <c r="T106" i="7"/>
  <c r="V106" i="7" s="1"/>
  <c r="W106" i="7" s="1" a="1"/>
  <c r="T72" i="7"/>
  <c r="V72" i="7" s="1"/>
  <c r="BV106" i="7"/>
  <c r="BX106" i="7" s="1"/>
  <c r="BY106" i="7" s="1" a="1"/>
  <c r="AF88" i="7"/>
  <c r="T159" i="7"/>
  <c r="V159" i="7" s="1"/>
  <c r="AF248" i="7"/>
  <c r="BD230" i="7"/>
  <c r="BF230" i="7" s="1"/>
  <c r="BV168" i="7"/>
  <c r="BX168" i="7" s="1"/>
  <c r="BY168" i="7" s="1" a="1"/>
  <c r="Y224" i="7"/>
  <c r="X224" i="7"/>
  <c r="W224" i="7"/>
  <c r="AL14" i="7"/>
  <c r="AN14" i="7" s="1"/>
  <c r="AO14" i="7" s="1" a="1"/>
  <c r="BF244" i="7"/>
  <c r="BF126" i="7"/>
  <c r="BD225" i="7"/>
  <c r="BF225" i="7" s="1"/>
  <c r="BF195" i="7"/>
  <c r="V121" i="7"/>
  <c r="AN128" i="7"/>
  <c r="AO128" i="7" s="1" a="1"/>
  <c r="AN313" i="7"/>
  <c r="AO313" i="7" s="1" a="1"/>
  <c r="AN28" i="7"/>
  <c r="AO28" i="7" s="1" a="1"/>
  <c r="AN259" i="7"/>
  <c r="AO259" i="7" s="1" a="1"/>
  <c r="BX307" i="7"/>
  <c r="BX308" i="7"/>
  <c r="BY308" i="7" s="1" a="1"/>
  <c r="T108" i="7"/>
  <c r="V108" i="7" s="1"/>
  <c r="BF207" i="7"/>
  <c r="V306" i="7"/>
  <c r="W306" i="7" s="1" a="1"/>
  <c r="V237" i="7"/>
  <c r="W237" i="7" s="1" a="1"/>
  <c r="BF311" i="7"/>
  <c r="BF276" i="7"/>
  <c r="BF277" i="7"/>
  <c r="BF169" i="7"/>
  <c r="BF243" i="7"/>
  <c r="BX244" i="7"/>
  <c r="BY244" i="7" s="1" a="1"/>
  <c r="BX137" i="7"/>
  <c r="BY137" i="7" s="1" a="1"/>
  <c r="BV81" i="7"/>
  <c r="BX81" i="7" s="1"/>
  <c r="BY81" i="7" s="1" a="1"/>
  <c r="BX199" i="7"/>
  <c r="BY199" i="7" s="1" a="1"/>
  <c r="BX294" i="7"/>
  <c r="BY294" i="7" s="1" a="1"/>
  <c r="BV83" i="7"/>
  <c r="BX83" i="7" s="1"/>
  <c r="BY83" i="7" s="1" a="1"/>
  <c r="BV92" i="7"/>
  <c r="BX92" i="7" s="1"/>
  <c r="BY92" i="7" s="1" a="1"/>
  <c r="BX158" i="7"/>
  <c r="BX59" i="7"/>
  <c r="BY59" i="7" s="1" a="1"/>
  <c r="BX299" i="7"/>
  <c r="BY299" i="7" s="1" a="1"/>
  <c r="BV260" i="7"/>
  <c r="BX95" i="7"/>
  <c r="BY95" i="7" s="1" a="1"/>
  <c r="BV98" i="7"/>
  <c r="BX98" i="7" s="1"/>
  <c r="BY98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3" i="7"/>
  <c r="AN153" i="7" s="1"/>
  <c r="AO153" i="7" s="1" a="1"/>
  <c r="AN73" i="7"/>
  <c r="AO73" i="7" s="1" a="1"/>
  <c r="AN212" i="7"/>
  <c r="AO212" i="7" s="1" a="1"/>
  <c r="BF15" i="7"/>
  <c r="BF25" i="7"/>
  <c r="BG25" i="7" s="1" a="1"/>
  <c r="BD85" i="7"/>
  <c r="BF11" i="7"/>
  <c r="BD157" i="7"/>
  <c r="BF157" i="7" s="1"/>
  <c r="BF42" i="7"/>
  <c r="BF196" i="7"/>
  <c r="BF280" i="7"/>
  <c r="BF270" i="7"/>
  <c r="BG270" i="7" s="1" a="1"/>
  <c r="BF149" i="7"/>
  <c r="BF13" i="7"/>
  <c r="BF199" i="7"/>
  <c r="BF262" i="7"/>
  <c r="BF254" i="7"/>
  <c r="BF88" i="7"/>
  <c r="V273" i="7"/>
  <c r="V236" i="7"/>
  <c r="W236" i="7" s="1" a="1"/>
  <c r="V290" i="7"/>
  <c r="W290" i="7" s="1" a="1"/>
  <c r="AN137" i="7"/>
  <c r="AO137" i="7" s="1" a="1"/>
  <c r="AN134" i="7"/>
  <c r="AO134" i="7" s="1" a="1"/>
  <c r="AN240" i="7"/>
  <c r="AO240" i="7" s="1" a="1"/>
  <c r="AN117" i="7"/>
  <c r="AO117" i="7" s="1" a="1"/>
  <c r="AN228" i="7"/>
  <c r="AO228" i="7" s="1" a="1"/>
  <c r="AN198" i="7"/>
  <c r="AO198" i="7" s="1" a="1"/>
  <c r="AN262" i="7"/>
  <c r="AO262" i="7" s="1" a="1"/>
  <c r="AN301" i="7"/>
  <c r="AO301" i="7" s="1" a="1"/>
  <c r="AN27" i="7"/>
  <c r="AO27" i="7" s="1" a="1"/>
  <c r="AN17" i="7"/>
  <c r="AO17" i="7" s="1" a="1"/>
  <c r="AL31" i="7"/>
  <c r="AN131" i="7"/>
  <c r="AO131" i="7" s="1" a="1"/>
  <c r="AN154" i="7"/>
  <c r="AO154" i="7" s="1" a="1"/>
  <c r="AN97" i="7"/>
  <c r="AO97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2" i="7"/>
  <c r="W102" i="7" s="1" a="1"/>
  <c r="V271" i="7"/>
  <c r="V285" i="7"/>
  <c r="W285" i="7" s="1" a="1"/>
  <c r="V132" i="7"/>
  <c r="V275" i="7"/>
  <c r="V86" i="7"/>
  <c r="W86" i="7" s="1" a="1"/>
  <c r="V37" i="7"/>
  <c r="V259" i="7"/>
  <c r="W259" i="7" s="1" a="1"/>
  <c r="V296" i="7"/>
  <c r="W296" i="7" s="1" a="1"/>
  <c r="V161" i="7"/>
  <c r="V42" i="7"/>
  <c r="V226" i="7"/>
  <c r="W226" i="7" s="1" a="1"/>
  <c r="V98" i="7"/>
  <c r="BD16" i="7"/>
  <c r="BF16" i="7" s="1"/>
  <c r="V244" i="7"/>
  <c r="W244" i="7" s="1" a="1"/>
  <c r="V274" i="7"/>
  <c r="W274" i="7" s="1" a="1"/>
  <c r="V146" i="7"/>
  <c r="V189" i="7"/>
  <c r="W189" i="7" s="1" a="1"/>
  <c r="V213" i="7"/>
  <c r="W213" i="7" s="1" a="1"/>
  <c r="V198" i="7"/>
  <c r="W198" i="7" s="1" a="1"/>
  <c r="V201" i="7"/>
  <c r="W201" i="7" s="1" a="1"/>
  <c r="BF288" i="7"/>
  <c r="BF290" i="7"/>
  <c r="BX209" i="7"/>
  <c r="BY209" i="7" s="1" a="1"/>
  <c r="BX219" i="7"/>
  <c r="BY219" i="7" s="1" a="1"/>
  <c r="BX162" i="7"/>
  <c r="BY162" i="7" s="1" a="1"/>
  <c r="BX297" i="7"/>
  <c r="BY297" i="7" s="1" a="1"/>
  <c r="BX38" i="7"/>
  <c r="BY38" i="7" s="1" a="1"/>
  <c r="BV109" i="7"/>
  <c r="BX109" i="7" s="1"/>
  <c r="BY109" i="7" s="1" a="1"/>
  <c r="BV156" i="7"/>
  <c r="BX156" i="7" s="1"/>
  <c r="BY156" i="7" s="1" a="1"/>
  <c r="BV49" i="7"/>
  <c r="BX49" i="7" s="1"/>
  <c r="BY49" i="7" s="1" a="1"/>
  <c r="BV222" i="7"/>
  <c r="BX222" i="7" s="1"/>
  <c r="BY222" i="7" s="1" a="1"/>
  <c r="BX249" i="7"/>
  <c r="BV102" i="7"/>
  <c r="AN9" i="7"/>
  <c r="AO9" i="7" s="1" a="1"/>
  <c r="AN115" i="7"/>
  <c r="AO115" i="7" s="1" a="1"/>
  <c r="AN277" i="7"/>
  <c r="AO277" i="7" s="1" a="1"/>
  <c r="AN103" i="7"/>
  <c r="AO103" i="7" s="1" a="1"/>
  <c r="AN75" i="7"/>
  <c r="AO75" i="7" s="1" a="1"/>
  <c r="AN22" i="7"/>
  <c r="AO22" i="7" s="1" a="1"/>
  <c r="AN207" i="7"/>
  <c r="AO207" i="7" s="1" a="1"/>
  <c r="BD31" i="7"/>
  <c r="BF31" i="7" s="1"/>
  <c r="BD222" i="7"/>
  <c r="BF222" i="7" s="1"/>
  <c r="BG222" i="7" s="1" a="1"/>
  <c r="BF256" i="7"/>
  <c r="BG256" i="7" s="1" a="1"/>
  <c r="BF54" i="7"/>
  <c r="BD62" i="7"/>
  <c r="BF62" i="7" s="1"/>
  <c r="BF97" i="7"/>
  <c r="BF60" i="7"/>
  <c r="BF65" i="7"/>
  <c r="BD260" i="7"/>
  <c r="BF100" i="7"/>
  <c r="BF130" i="7"/>
  <c r="BF129" i="7"/>
  <c r="BF190" i="7"/>
  <c r="BF141" i="7"/>
  <c r="BF240" i="7"/>
  <c r="BF4" i="7"/>
  <c r="BF202" i="7"/>
  <c r="BF228" i="7"/>
  <c r="BF271" i="7"/>
  <c r="BF160" i="7"/>
  <c r="BF247" i="7"/>
  <c r="BD40" i="7"/>
  <c r="BF40" i="7" s="1"/>
  <c r="V178" i="7"/>
  <c r="W178" i="7" s="1" a="1"/>
  <c r="V143" i="7"/>
  <c r="V251" i="7"/>
  <c r="V75" i="7"/>
  <c r="V303" i="7"/>
  <c r="W303" i="7" s="1" a="1"/>
  <c r="V217" i="7"/>
  <c r="V291" i="7"/>
  <c r="AN270" i="7"/>
  <c r="AO270" i="7" s="1" a="1"/>
  <c r="AN306" i="7"/>
  <c r="AO306" i="7" s="1" a="1"/>
  <c r="AN177" i="7"/>
  <c r="AO177" i="7" s="1" a="1"/>
  <c r="AN219" i="7"/>
  <c r="AO219" i="7" s="1" a="1"/>
  <c r="AN124" i="7"/>
  <c r="AO124" i="7" s="1" a="1"/>
  <c r="AN193" i="7"/>
  <c r="AO193" i="7" s="1" a="1"/>
  <c r="AN15" i="7"/>
  <c r="AO15" i="7" s="1" a="1"/>
  <c r="AN80" i="7"/>
  <c r="AO80" i="7" s="1" a="1"/>
  <c r="AN29" i="7"/>
  <c r="AO29" i="7" s="1" a="1"/>
  <c r="AN302" i="7"/>
  <c r="AO302" i="7" s="1" a="1"/>
  <c r="AL83" i="7"/>
  <c r="AN83" i="7" s="1"/>
  <c r="AO83" i="7" s="1" a="1"/>
  <c r="AL34" i="7"/>
  <c r="AN34" i="7" s="1"/>
  <c r="AO34" i="7" s="1" a="1"/>
  <c r="AN11" i="7"/>
  <c r="AO11" i="7" s="1" a="1"/>
  <c r="AN37" i="7"/>
  <c r="AO37" i="7" s="1" a="1"/>
  <c r="AN173" i="7"/>
  <c r="AO173" i="7" s="1" a="1"/>
  <c r="AL109" i="7"/>
  <c r="AL222" i="7"/>
  <c r="AN222" i="7" s="1"/>
  <c r="AO222" i="7" s="1" a="1"/>
  <c r="AL99" i="7"/>
  <c r="AN69" i="7"/>
  <c r="AO69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69" i="7"/>
  <c r="BY169" i="7" s="1" a="1"/>
  <c r="BV79" i="7"/>
  <c r="BX79" i="7" s="1"/>
  <c r="V29" i="7"/>
  <c r="V247" i="7"/>
  <c r="W247" i="7" s="1" a="1"/>
  <c r="V28" i="7"/>
  <c r="T36" i="7"/>
  <c r="V36" i="7" s="1"/>
  <c r="W36" i="7" s="1" a="1"/>
  <c r="V89" i="7"/>
  <c r="V50" i="7"/>
  <c r="V266" i="7"/>
  <c r="V43" i="7"/>
  <c r="V60" i="7"/>
  <c r="W60" i="7" s="1" a="1"/>
  <c r="V96" i="7"/>
  <c r="W96" i="7" s="1" a="1"/>
  <c r="V64" i="7"/>
  <c r="V254" i="7"/>
  <c r="W254" i="7" s="1" a="1"/>
  <c r="V242" i="7"/>
  <c r="W242" i="7" s="1" a="1"/>
  <c r="V117" i="7"/>
  <c r="V168" i="7"/>
  <c r="V13" i="7"/>
  <c r="W13" i="7" s="1" a="1"/>
  <c r="V162" i="7"/>
  <c r="V32" i="7"/>
  <c r="BF223" i="7"/>
  <c r="BF143" i="7"/>
  <c r="BF265" i="7"/>
  <c r="BF281" i="7"/>
  <c r="BF304" i="7"/>
  <c r="BD153" i="7"/>
  <c r="BF153" i="7" s="1"/>
  <c r="BX183" i="7"/>
  <c r="BX149" i="7"/>
  <c r="BY149" i="7" s="1" a="1"/>
  <c r="BX184" i="7"/>
  <c r="BX240" i="7"/>
  <c r="BY240" i="7" s="1" a="1"/>
  <c r="BX13" i="7"/>
  <c r="BY13" i="7" s="1" a="1"/>
  <c r="BX123" i="7"/>
  <c r="BX202" i="7"/>
  <c r="BX128" i="7"/>
  <c r="BY128" i="7" s="1" a="1"/>
  <c r="BV107" i="7"/>
  <c r="BX107" i="7" s="1"/>
  <c r="BY107" i="7" s="1" a="1"/>
  <c r="BV221" i="7"/>
  <c r="BX221" i="7" s="1"/>
  <c r="BY221" i="7" s="1" a="1"/>
  <c r="BX256" i="7"/>
  <c r="BY256" i="7" s="1" a="1"/>
  <c r="BX94" i="7"/>
  <c r="BY94" i="7" s="1" a="1"/>
  <c r="BX101" i="7"/>
  <c r="BX114" i="7"/>
  <c r="AN208" i="7"/>
  <c r="AO208" i="7" s="1" a="1"/>
  <c r="AN10" i="7"/>
  <c r="AO10" i="7" s="1" a="1"/>
  <c r="AN167" i="7"/>
  <c r="AO167" i="7" s="1" a="1"/>
  <c r="AN305" i="7"/>
  <c r="AO305" i="7" s="1" a="1"/>
  <c r="AL106" i="7"/>
  <c r="AN106" i="7" s="1"/>
  <c r="AO106" i="7" s="1" a="1"/>
  <c r="BF8" i="7"/>
  <c r="BF17" i="7"/>
  <c r="BG17" i="7" s="1" a="1"/>
  <c r="BF275" i="7"/>
  <c r="BD112" i="7"/>
  <c r="BF112" i="7" s="1"/>
  <c r="BF165" i="7"/>
  <c r="BF94" i="7"/>
  <c r="BF114" i="7"/>
  <c r="BF183" i="7"/>
  <c r="BF146" i="7"/>
  <c r="BF120" i="7"/>
  <c r="BD127" i="7"/>
  <c r="BF127" i="7" s="1"/>
  <c r="BF209" i="7"/>
  <c r="BF255" i="7"/>
  <c r="V238" i="7"/>
  <c r="W238" i="7" s="1" a="1"/>
  <c r="V103" i="7"/>
  <c r="W103" i="7" s="1" a="1"/>
  <c r="AN269" i="7"/>
  <c r="AO269" i="7" s="1" a="1"/>
  <c r="AN152" i="7"/>
  <c r="AO152" i="7" s="1" a="1"/>
  <c r="AN176" i="7"/>
  <c r="AO176" i="7" s="1" a="1"/>
  <c r="AN125" i="7"/>
  <c r="AO125" i="7" s="1" a="1"/>
  <c r="AN202" i="7"/>
  <c r="AO202" i="7" s="1" a="1"/>
  <c r="AN199" i="7"/>
  <c r="AO199" i="7" s="1" a="1"/>
  <c r="AN172" i="7"/>
  <c r="AO172" i="7" s="1" a="1"/>
  <c r="AN147" i="7"/>
  <c r="AO147" i="7" s="1" a="1"/>
  <c r="AN18" i="7"/>
  <c r="AO18" i="7" s="1" a="1"/>
  <c r="AL157" i="7"/>
  <c r="AN157" i="7" s="1"/>
  <c r="AO157" i="7" s="1" a="1"/>
  <c r="AL51" i="7"/>
  <c r="AN51" i="7" s="1"/>
  <c r="AO51" i="7" s="1" a="1"/>
  <c r="AN61" i="7"/>
  <c r="AO61" i="7" s="1" a="1"/>
  <c r="AL19" i="7"/>
  <c r="AN19" i="7" s="1"/>
  <c r="AO19" i="7" s="1" a="1"/>
  <c r="AN65" i="7"/>
  <c r="AO65" i="7" s="1" a="1"/>
  <c r="BV181" i="7"/>
  <c r="BX181" i="7" s="1"/>
  <c r="BY181" i="7" s="1" a="1"/>
  <c r="BX122" i="7"/>
  <c r="BV144" i="7"/>
  <c r="BX118" i="7"/>
  <c r="BY118" i="7" s="1" a="1"/>
  <c r="BX20" i="7"/>
  <c r="BY20" i="7" s="1" a="1"/>
  <c r="V172" i="7"/>
  <c r="W172" i="7" s="1" a="1"/>
  <c r="V258" i="7"/>
  <c r="W258" i="7" s="1" a="1"/>
  <c r="V309" i="7"/>
  <c r="W309" i="7" s="1" a="1"/>
  <c r="V39" i="7"/>
  <c r="W39" i="7" s="1" a="1"/>
  <c r="V155" i="7"/>
  <c r="W155" i="7" s="1" a="1"/>
  <c r="T40" i="7"/>
  <c r="V40" i="7" s="1"/>
  <c r="T41" i="7"/>
  <c r="V41" i="7" s="1"/>
  <c r="V47" i="7"/>
  <c r="V45" i="7"/>
  <c r="V97" i="7"/>
  <c r="V61" i="7"/>
  <c r="T19" i="7"/>
  <c r="V19" i="7" s="1"/>
  <c r="V133" i="7"/>
  <c r="V182" i="7"/>
  <c r="BF238" i="7"/>
  <c r="BD144" i="7"/>
  <c r="BF144" i="7" s="1"/>
  <c r="BD105" i="7"/>
  <c r="BF217" i="7"/>
  <c r="BX138" i="7"/>
  <c r="BY138" i="7" s="1" a="1"/>
  <c r="BV279" i="7"/>
  <c r="BV210" i="7"/>
  <c r="BX210" i="7" s="1"/>
  <c r="BY210" i="7" s="1" a="1"/>
  <c r="BX8" i="7"/>
  <c r="BX28" i="7"/>
  <c r="BY28" i="7" s="1" a="1"/>
  <c r="BV63" i="7"/>
  <c r="BX63" i="7" s="1"/>
  <c r="BY63" i="7" s="1" a="1"/>
  <c r="AN307" i="7"/>
  <c r="AO307" i="7" s="1" a="1"/>
  <c r="AN276" i="7"/>
  <c r="AO276" i="7" s="1" a="1"/>
  <c r="AL179" i="7"/>
  <c r="AN179" i="7" s="1"/>
  <c r="AO179" i="7" s="1" a="1"/>
  <c r="AN105" i="7"/>
  <c r="AO105" i="7" s="1" a="1"/>
  <c r="AN303" i="7"/>
  <c r="AO303" i="7" s="1" a="1"/>
  <c r="AN217" i="7"/>
  <c r="AO217" i="7" s="1" a="1"/>
  <c r="AN291" i="7"/>
  <c r="AO291" i="7" s="1" a="1"/>
  <c r="BD107" i="7"/>
  <c r="BF136" i="7"/>
  <c r="BF229" i="7"/>
  <c r="BG229" i="7" s="1" a="1"/>
  <c r="BD49" i="7"/>
  <c r="BF101" i="7"/>
  <c r="BD57" i="7"/>
  <c r="BF57" i="7" s="1"/>
  <c r="BD216" i="7"/>
  <c r="BF216" i="7" s="1"/>
  <c r="BG216" i="7" s="1" a="1"/>
  <c r="AL234" i="7"/>
  <c r="AN234" i="7" s="1"/>
  <c r="AO234" i="7" s="1" a="1"/>
  <c r="AL216" i="7"/>
  <c r="AN216" i="7" s="1"/>
  <c r="AO216" i="7" s="1" a="1"/>
  <c r="BV23" i="7"/>
  <c r="BX23" i="7" s="1"/>
  <c r="BY23" i="7" s="1" a="1"/>
  <c r="AF65" i="7"/>
  <c r="AG65" i="7"/>
  <c r="AC65" i="7"/>
  <c r="AD124" i="7"/>
  <c r="BD110" i="7"/>
  <c r="AD277" i="7"/>
  <c r="AE277" i="7"/>
  <c r="X277" i="7"/>
  <c r="Z277" i="7"/>
  <c r="AC277" i="7"/>
  <c r="AA277" i="7"/>
  <c r="AB277" i="7"/>
  <c r="AF277" i="7"/>
  <c r="AG277" i="7"/>
  <c r="W277" i="7"/>
  <c r="Y277" i="7"/>
  <c r="BF189" i="7"/>
  <c r="BD81" i="7"/>
  <c r="BF81" i="7" s="1"/>
  <c r="BF187" i="7"/>
  <c r="BF211" i="7"/>
  <c r="V268" i="7"/>
  <c r="AN3" i="7"/>
  <c r="AO3" i="7" s="1" a="1"/>
  <c r="AN201" i="7"/>
  <c r="AO201" i="7" s="1" a="1"/>
  <c r="AN294" i="7"/>
  <c r="AO294" i="7" s="1" a="1"/>
  <c r="AN162" i="7"/>
  <c r="AO162" i="7" s="1" a="1"/>
  <c r="AN298" i="7"/>
  <c r="AO298" i="7" s="1" a="1"/>
  <c r="AL196" i="7"/>
  <c r="BX288" i="7"/>
  <c r="BY288" i="7" s="1" a="1"/>
  <c r="V147" i="7"/>
  <c r="V255" i="7"/>
  <c r="W255" i="7" s="1" a="1"/>
  <c r="T156" i="7"/>
  <c r="V156" i="7" s="1"/>
  <c r="W156" i="7" s="1" a="1"/>
  <c r="V229" i="7"/>
  <c r="V90" i="7"/>
  <c r="W90" i="7" s="1" a="1"/>
  <c r="V112" i="7"/>
  <c r="V269" i="7"/>
  <c r="W269" i="7" s="1" a="1"/>
  <c r="BF184" i="7"/>
  <c r="BF177" i="7"/>
  <c r="BF283" i="7"/>
  <c r="BG283" i="7" s="1" a="1"/>
  <c r="BF242" i="7"/>
  <c r="BF194" i="7"/>
  <c r="BF259" i="7"/>
  <c r="V208" i="7"/>
  <c r="V312" i="7"/>
  <c r="W312" i="7" s="1" a="1"/>
  <c r="V304" i="7"/>
  <c r="V153" i="7"/>
  <c r="V20" i="7"/>
  <c r="W20" i="7" s="1" a="1"/>
  <c r="V180" i="7"/>
  <c r="AN244" i="7"/>
  <c r="AO244" i="7" s="1" a="1"/>
  <c r="AN151" i="7"/>
  <c r="AO151" i="7" s="1" a="1"/>
  <c r="AN186" i="7"/>
  <c r="AO186" i="7" s="1" a="1"/>
  <c r="AN174" i="7"/>
  <c r="AO174" i="7" s="1" a="1"/>
  <c r="AL168" i="7"/>
  <c r="AN168" i="7" s="1"/>
  <c r="AO168" i="7" s="1" a="1"/>
  <c r="AN120" i="7"/>
  <c r="AO120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2" i="7"/>
  <c r="AN95" i="7"/>
  <c r="AO95" i="7" s="1" a="1"/>
  <c r="BX115" i="7"/>
  <c r="V15" i="7"/>
  <c r="V294" i="7"/>
  <c r="T30" i="7"/>
  <c r="V30" i="7" s="1"/>
  <c r="V297" i="7"/>
  <c r="W297" i="7" s="1" a="1"/>
  <c r="V245" i="7"/>
  <c r="W245" i="7" s="1" a="1"/>
  <c r="T111" i="7"/>
  <c r="V111" i="7" s="1"/>
  <c r="T51" i="7"/>
  <c r="V51" i="7" s="1"/>
  <c r="V53" i="7"/>
  <c r="V56" i="7"/>
  <c r="W56" i="7" s="1" a="1"/>
  <c r="V264" i="7"/>
  <c r="W264" i="7" s="1" a="1"/>
  <c r="V252" i="7"/>
  <c r="W252" i="7" s="1" a="1"/>
  <c r="V135" i="7"/>
  <c r="V218" i="7"/>
  <c r="W218" i="7" s="1" a="1"/>
  <c r="V193" i="7"/>
  <c r="W193" i="7" s="1" a="1"/>
  <c r="BD71" i="7"/>
  <c r="BF71" i="7" s="1"/>
  <c r="BF179" i="7"/>
  <c r="BF251" i="7"/>
  <c r="BG251" i="7" s="1" a="1"/>
  <c r="BF291" i="7"/>
  <c r="BX220" i="7"/>
  <c r="BX12" i="7"/>
  <c r="BY12" i="7" s="1" a="1"/>
  <c r="BX201" i="7"/>
  <c r="BY201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18" i="7"/>
  <c r="BY18" i="7" s="1" a="1"/>
  <c r="BX110" i="7"/>
  <c r="BY110" i="7" s="1" a="1"/>
  <c r="BX42" i="7"/>
  <c r="BY42" i="7" s="1" a="1"/>
  <c r="BX54" i="7"/>
  <c r="BY54" i="7" s="1" a="1"/>
  <c r="BV159" i="7"/>
  <c r="BV196" i="7"/>
  <c r="BX196" i="7" s="1"/>
  <c r="BY196" i="7" s="1" a="1"/>
  <c r="AN230" i="7"/>
  <c r="AO230" i="7" s="1" a="1"/>
  <c r="AN143" i="7"/>
  <c r="AO143" i="7" s="1" a="1"/>
  <c r="AL77" i="7"/>
  <c r="AN77" i="7" s="1"/>
  <c r="AO77" i="7" s="1" a="1"/>
  <c r="BF172" i="7"/>
  <c r="BD35" i="7"/>
  <c r="BF35" i="7" s="1"/>
  <c r="BD156" i="7"/>
  <c r="BF156" i="7" s="1"/>
  <c r="BF93" i="7"/>
  <c r="BD159" i="7"/>
  <c r="BF159" i="7" s="1"/>
  <c r="BG159" i="7" s="1" a="1"/>
  <c r="BD227" i="7"/>
  <c r="BF174" i="7"/>
  <c r="BF264" i="7"/>
  <c r="BF237" i="7"/>
  <c r="BG237" i="7" s="1" a="1"/>
  <c r="BF78" i="7"/>
  <c r="BF200" i="7"/>
  <c r="BF123" i="7"/>
  <c r="BF314" i="7"/>
  <c r="BG314" i="7" s="1" a="1"/>
  <c r="BF29" i="7"/>
  <c r="BF37" i="7"/>
  <c r="V311" i="7"/>
  <c r="W311" i="7" s="1" a="1"/>
  <c r="V233" i="7"/>
  <c r="V308" i="7"/>
  <c r="V212" i="7"/>
  <c r="T24" i="7"/>
  <c r="V24" i="7" s="1"/>
  <c r="W24" i="7" s="1" a="1"/>
  <c r="AN133" i="7"/>
  <c r="AO133" i="7" s="1" a="1"/>
  <c r="AN200" i="7"/>
  <c r="AO200" i="7" s="1" a="1"/>
  <c r="AN123" i="7"/>
  <c r="AO123" i="7" s="1" a="1"/>
  <c r="AN4" i="7"/>
  <c r="AO4" i="7" s="1" a="1"/>
  <c r="AN194" i="7"/>
  <c r="AO194" i="7" s="1" a="1"/>
  <c r="AN271" i="7"/>
  <c r="AO271" i="7" s="1" a="1"/>
  <c r="AN250" i="7"/>
  <c r="AO250" i="7" s="1" a="1"/>
  <c r="AN87" i="7"/>
  <c r="AO87" i="7" s="1" a="1"/>
  <c r="AN84" i="7"/>
  <c r="AO84" i="7" s="1" a="1"/>
  <c r="AL221" i="7"/>
  <c r="AN221" i="7" s="1"/>
  <c r="AO221" i="7" s="1" a="1"/>
  <c r="AL156" i="7"/>
  <c r="AL48" i="7"/>
  <c r="AN48" i="7" s="1"/>
  <c r="AO48" i="7" s="1" a="1"/>
  <c r="AN94" i="7"/>
  <c r="AO94" i="7" s="1" a="1"/>
  <c r="BX276" i="7"/>
  <c r="BX267" i="7"/>
  <c r="BY267" i="7" s="1" a="1"/>
  <c r="BX70" i="7"/>
  <c r="BY70" i="7" s="1" a="1"/>
  <c r="BX143" i="7"/>
  <c r="BY143" i="7" s="1" a="1"/>
  <c r="BX284" i="7"/>
  <c r="BY284" i="7" s="1" a="1"/>
  <c r="BX233" i="7"/>
  <c r="BY233" i="7" s="1" a="1"/>
  <c r="BX224" i="7"/>
  <c r="BX75" i="7"/>
  <c r="BY75" i="7" s="1" a="1"/>
  <c r="BV16" i="7"/>
  <c r="BX16" i="7" s="1"/>
  <c r="BY16" i="7" s="1" a="1"/>
  <c r="V301" i="7"/>
  <c r="W301" i="7" s="1" a="1"/>
  <c r="V221" i="7"/>
  <c r="W221" i="7" s="1" a="1"/>
  <c r="V214" i="7"/>
  <c r="W214" i="7" s="1" a="1"/>
  <c r="V157" i="7"/>
  <c r="V256" i="7"/>
  <c r="V227" i="7"/>
  <c r="W227" i="7" s="1" a="1"/>
  <c r="V113" i="7"/>
  <c r="W113" i="7" s="1" a="1"/>
  <c r="BD79" i="7"/>
  <c r="BF79" i="7" s="1"/>
  <c r="V262" i="7"/>
  <c r="W262" i="7" s="1" a="1"/>
  <c r="V128" i="7"/>
  <c r="W128" i="7" s="1" a="1"/>
  <c r="V6" i="7"/>
  <c r="W6" i="7" s="1" a="1"/>
  <c r="V7" i="7"/>
  <c r="W7" i="7" s="1" a="1"/>
  <c r="V188" i="7"/>
  <c r="V84" i="7"/>
  <c r="BF236" i="7"/>
  <c r="BG236" i="7" s="1" a="1"/>
  <c r="BD74" i="7"/>
  <c r="BF74" i="7" s="1"/>
  <c r="BX140" i="7"/>
  <c r="BY140" i="7" s="1" a="1"/>
  <c r="BX177" i="7"/>
  <c r="BY177" i="7" s="1" a="1"/>
  <c r="BX283" i="7"/>
  <c r="BY283" i="7" s="1" a="1"/>
  <c r="BX78" i="7"/>
  <c r="BY78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0" i="7"/>
  <c r="BX40" i="7" s="1"/>
  <c r="BY40" i="7" s="1" a="1"/>
  <c r="BV50" i="7"/>
  <c r="BX50" i="7" s="1"/>
  <c r="BY50" i="7" s="1" a="1"/>
  <c r="BX61" i="7"/>
  <c r="BY61" i="7" s="1" a="1"/>
  <c r="BX52" i="7"/>
  <c r="BY52" i="7" s="1" a="1"/>
  <c r="BX19" i="7"/>
  <c r="BY19" i="7" s="1" a="1"/>
  <c r="AN178" i="7"/>
  <c r="AO178" i="7" s="1" a="1"/>
  <c r="AN282" i="7"/>
  <c r="AO282" i="7" s="1" a="1"/>
  <c r="AL74" i="7"/>
  <c r="AN224" i="7"/>
  <c r="AO224" i="7" s="1" a="1"/>
  <c r="BD82" i="7"/>
  <c r="BF82" i="7" s="1"/>
  <c r="BF162" i="7"/>
  <c r="BF86" i="7"/>
  <c r="BF214" i="7"/>
  <c r="BG214" i="7" s="1" a="1"/>
  <c r="BF41" i="7"/>
  <c r="BF45" i="7"/>
  <c r="BG45" i="7" s="1" a="1"/>
  <c r="BD63" i="7"/>
  <c r="BF63" i="7" s="1"/>
  <c r="BF235" i="7"/>
  <c r="BG235" i="7" s="1" a="1"/>
  <c r="BF134" i="7"/>
  <c r="BD155" i="7"/>
  <c r="BF155" i="7" s="1"/>
  <c r="BD36" i="7"/>
  <c r="V267" i="7"/>
  <c r="W267" i="7" s="1" a="1"/>
  <c r="T76" i="7"/>
  <c r="V76" i="7" s="1"/>
  <c r="V74" i="7"/>
  <c r="W74" i="7" s="1" a="1"/>
  <c r="V170" i="7"/>
  <c r="AN166" i="7"/>
  <c r="AO166" i="7" s="1" a="1"/>
  <c r="AN292" i="7"/>
  <c r="AO292" i="7" s="1" a="1"/>
  <c r="AN248" i="7"/>
  <c r="AO248" i="7" s="1" a="1"/>
  <c r="AL81" i="7"/>
  <c r="AN81" i="7" s="1"/>
  <c r="AO81" i="7" s="1" a="1"/>
  <c r="AN126" i="7"/>
  <c r="AO126" i="7" s="1" a="1"/>
  <c r="AN310" i="7"/>
  <c r="AO310" i="7" s="1" a="1"/>
  <c r="AN220" i="7"/>
  <c r="AO220" i="7" s="1" a="1"/>
  <c r="AN218" i="7"/>
  <c r="AO218" i="7" s="1" a="1"/>
  <c r="AN8" i="7"/>
  <c r="AO8" i="7" s="1" a="1"/>
  <c r="AN139" i="7"/>
  <c r="AO139" i="7" s="1" a="1"/>
  <c r="AN40" i="7"/>
  <c r="AO40" i="7" s="1" a="1"/>
  <c r="AL62" i="7"/>
  <c r="AN62" i="7" s="1"/>
  <c r="AO62" i="7" s="1" a="1"/>
  <c r="AN113" i="7"/>
  <c r="AO113" i="7" s="1" a="1"/>
  <c r="AN101" i="7"/>
  <c r="AO101" i="7" s="1" a="1"/>
  <c r="BX178" i="7"/>
  <c r="BY178" i="7" s="1" a="1"/>
  <c r="BX10" i="7"/>
  <c r="BY10" i="7" s="1" a="1"/>
  <c r="BX305" i="7"/>
  <c r="BY305" i="7" s="1" a="1"/>
  <c r="V25" i="7"/>
  <c r="V192" i="7"/>
  <c r="W192" i="7" s="1" a="1"/>
  <c r="V11" i="7"/>
  <c r="W11" i="7" s="1" a="1"/>
  <c r="V38" i="7"/>
  <c r="W38" i="7" s="1" a="1"/>
  <c r="V94" i="7"/>
  <c r="V54" i="7"/>
  <c r="W54" i="7" s="1" a="1"/>
  <c r="V150" i="7"/>
  <c r="W150" i="7" s="1" a="1"/>
  <c r="V130" i="7"/>
  <c r="V171" i="7"/>
  <c r="W171" i="7" s="1" a="1"/>
  <c r="T279" i="7"/>
  <c r="V279" i="7" s="1"/>
  <c r="W279" i="7" s="1" a="1"/>
  <c r="V129" i="7"/>
  <c r="W129" i="7" s="1" a="1"/>
  <c r="V17" i="7"/>
  <c r="BF178" i="7"/>
  <c r="BF231" i="7"/>
  <c r="BX135" i="7"/>
  <c r="BY135" i="7" s="1" a="1"/>
  <c r="BX176" i="7"/>
  <c r="BY176" i="7" s="1" a="1"/>
  <c r="BX189" i="7"/>
  <c r="BY189" i="7" s="1" a="1"/>
  <c r="BX26" i="7"/>
  <c r="BY26" i="7" s="1" a="1"/>
  <c r="BX285" i="7"/>
  <c r="BX271" i="7"/>
  <c r="BY271" i="7" s="1" a="1"/>
  <c r="BX239" i="7"/>
  <c r="BX211" i="7"/>
  <c r="BY211" i="7" s="1" a="1"/>
  <c r="BX17" i="7"/>
  <c r="BY17" i="7" s="1" a="1"/>
  <c r="BX139" i="7"/>
  <c r="BY139" i="7" s="1" a="1"/>
  <c r="BX116" i="7"/>
  <c r="BX148" i="7"/>
  <c r="BY148" i="7" s="1" a="1"/>
  <c r="BX45" i="7"/>
  <c r="BY45" i="7" s="1" a="1"/>
  <c r="BX90" i="7"/>
  <c r="BY90" i="7" s="1" a="1"/>
  <c r="BV62" i="7"/>
  <c r="BX62" i="7" s="1"/>
  <c r="BY62" i="7" s="1" a="1"/>
  <c r="BX226" i="7"/>
  <c r="BY226" i="7" s="1" a="1"/>
  <c r="BV206" i="7"/>
  <c r="BX206" i="7" s="1"/>
  <c r="BY206" i="7" s="1" a="1"/>
  <c r="AL24" i="7"/>
  <c r="AN308" i="7"/>
  <c r="AO308" i="7" s="1" a="1"/>
  <c r="AN290" i="7"/>
  <c r="AO290" i="7" s="1" a="1"/>
  <c r="BD33" i="7"/>
  <c r="BD87" i="7"/>
  <c r="BF87" i="7" s="1"/>
  <c r="BF309" i="7"/>
  <c r="BG309" i="7" s="1" a="1"/>
  <c r="BF89" i="7"/>
  <c r="BF46" i="7"/>
  <c r="BF148" i="7"/>
  <c r="BF150" i="7"/>
  <c r="BF306" i="7"/>
  <c r="BG306" i="7" s="1" a="1"/>
  <c r="BD168" i="7"/>
  <c r="BF168" i="7" s="1"/>
  <c r="BF310" i="7"/>
  <c r="BG310" i="7" s="1" a="1"/>
  <c r="BF193" i="7"/>
  <c r="BF213" i="7"/>
  <c r="BG213" i="7" s="1" a="1"/>
  <c r="BF253" i="7"/>
  <c r="BG253" i="7" s="1" a="1"/>
  <c r="BF250" i="7"/>
  <c r="BG250" i="7" s="1" a="1"/>
  <c r="BF185" i="7"/>
  <c r="V282" i="7"/>
  <c r="W282" i="7" s="1" a="1"/>
  <c r="V70" i="7"/>
  <c r="V10" i="7"/>
  <c r="V167" i="7"/>
  <c r="V243" i="7"/>
  <c r="W243" i="7" s="1" a="1"/>
  <c r="V305" i="7"/>
  <c r="W305" i="7" s="1" a="1"/>
  <c r="AN252" i="7"/>
  <c r="AO252" i="7" s="1" a="1"/>
  <c r="AN183" i="7"/>
  <c r="AO183" i="7" s="1" a="1"/>
  <c r="AL127" i="7"/>
  <c r="AN127" i="7" s="1"/>
  <c r="AO127" i="7" s="1" a="1"/>
  <c r="AN78" i="7"/>
  <c r="AO78" i="7" s="1" a="1"/>
  <c r="AN204" i="7"/>
  <c r="AO204" i="7" s="1" a="1"/>
  <c r="AN197" i="7"/>
  <c r="AO197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5" i="7"/>
  <c r="AO155" i="7" s="1" a="1"/>
  <c r="AN88" i="7"/>
  <c r="AO88" i="7" s="1" a="1"/>
  <c r="AN214" i="7"/>
  <c r="AO214" i="7" s="1" a="1"/>
  <c r="AN93" i="7"/>
  <c r="AO93" i="7" s="1" a="1"/>
  <c r="AL98" i="7"/>
  <c r="AN226" i="7"/>
  <c r="AO226" i="7" s="1" a="1"/>
  <c r="BV179" i="7"/>
  <c r="BX179" i="7" s="1"/>
  <c r="BY179" i="7" s="1" a="1"/>
  <c r="BV24" i="7"/>
  <c r="BX24" i="7" s="1"/>
  <c r="BY24" i="7" s="1" a="1"/>
  <c r="BV153" i="7"/>
  <c r="BX153" i="7" s="1"/>
  <c r="BY153" i="7" s="1" a="1"/>
  <c r="BX121" i="7"/>
  <c r="BY121" i="7" s="1" a="1"/>
  <c r="BX180" i="7"/>
  <c r="BX231" i="7"/>
  <c r="T107" i="7"/>
  <c r="V107" i="7" s="1"/>
  <c r="V211" i="7"/>
  <c r="W211" i="7" s="1" a="1"/>
  <c r="V110" i="7"/>
  <c r="W110" i="7" s="1" a="1"/>
  <c r="V95" i="7"/>
  <c r="V270" i="7"/>
  <c r="W270" i="7" s="1" a="1"/>
  <c r="V246" i="7"/>
  <c r="W246" i="7" s="1" a="1"/>
  <c r="V199" i="7"/>
  <c r="W199" i="7" s="1" a="1"/>
  <c r="V163" i="7"/>
  <c r="W163" i="7" s="1" a="1"/>
  <c r="V241" i="7"/>
  <c r="W241" i="7" s="1" a="1"/>
  <c r="V12" i="7"/>
  <c r="W12" i="7" s="1" a="1"/>
  <c r="V302" i="7"/>
  <c r="W302" i="7" s="1" a="1"/>
  <c r="BF9" i="7"/>
  <c r="BG9" i="7" s="1" a="1"/>
  <c r="BF142" i="7"/>
  <c r="BD77" i="7"/>
  <c r="BF77" i="7" s="1"/>
  <c r="BX186" i="7"/>
  <c r="BY186" i="7" s="1" a="1"/>
  <c r="BX163" i="7"/>
  <c r="BY163" i="7" s="1" a="1"/>
  <c r="BX151" i="7"/>
  <c r="BY151" i="7" s="1" a="1"/>
  <c r="BX194" i="7"/>
  <c r="BY194" i="7" s="1" a="1"/>
  <c r="BX205" i="7"/>
  <c r="BY205" i="7" s="1" a="1"/>
  <c r="BX187" i="7"/>
  <c r="BX250" i="7"/>
  <c r="BX43" i="7"/>
  <c r="BY43" i="7" s="1" a="1"/>
  <c r="BX44" i="7"/>
  <c r="BY44" i="7" s="1" a="1"/>
  <c r="BV51" i="7"/>
  <c r="BX51" i="7" s="1"/>
  <c r="BY51" i="7" s="1" a="1"/>
  <c r="BX93" i="7"/>
  <c r="BY93" i="7" s="1" a="1"/>
  <c r="BV64" i="7"/>
  <c r="BX67" i="7"/>
  <c r="BX69" i="7"/>
  <c r="AL76" i="7"/>
  <c r="AL16" i="7"/>
  <c r="AN16" i="7" s="1"/>
  <c r="AO16" i="7" s="1" a="1"/>
  <c r="BF302" i="7"/>
  <c r="BG302" i="7" s="1" a="1"/>
  <c r="BF83" i="7"/>
  <c r="BD108" i="7"/>
  <c r="BF108" i="7" s="1"/>
  <c r="BF18" i="7"/>
  <c r="BD92" i="7"/>
  <c r="BF92" i="7" s="1"/>
  <c r="BF90" i="7"/>
  <c r="BF91" i="7"/>
  <c r="BF52" i="7"/>
  <c r="BG52" i="7" s="1" a="1"/>
  <c r="BF95" i="7"/>
  <c r="BD99" i="7"/>
  <c r="BF99" i="7" s="1"/>
  <c r="BF64" i="7"/>
  <c r="BF68" i="7"/>
  <c r="BF69" i="7"/>
  <c r="Z185" i="7"/>
  <c r="AG185" i="7"/>
  <c r="AA185" i="7"/>
  <c r="Y185" i="7"/>
  <c r="AB185" i="7"/>
  <c r="W185" i="7"/>
  <c r="AD185" i="7"/>
  <c r="AC185" i="7"/>
  <c r="AE185" i="7"/>
  <c r="AF185" i="7"/>
  <c r="X185" i="7"/>
  <c r="T109" i="7"/>
  <c r="V109" i="7" s="1"/>
  <c r="W109" i="7" s="1" a="1"/>
  <c r="X260" i="7"/>
  <c r="AA260" i="7"/>
  <c r="AD260" i="7"/>
  <c r="AE137" i="7"/>
  <c r="AB137" i="7"/>
  <c r="Z137" i="7"/>
  <c r="AF4" i="7"/>
  <c r="AE4" i="7"/>
  <c r="AB4" i="7"/>
  <c r="BV87" i="7"/>
  <c r="BX87" i="7" s="1"/>
  <c r="BY87" i="7" s="1" a="1"/>
  <c r="BF186" i="7"/>
  <c r="BF220" i="7"/>
  <c r="BG220" i="7" s="1" a="1"/>
  <c r="BF154" i="7"/>
  <c r="V265" i="7"/>
  <c r="AN283" i="7"/>
  <c r="AO283" i="7" s="1" a="1"/>
  <c r="AN135" i="7"/>
  <c r="AO135" i="7" s="1" a="1"/>
  <c r="AN13" i="7"/>
  <c r="AO13" i="7" s="1" a="1"/>
  <c r="AN249" i="7"/>
  <c r="AO249" i="7" s="1" a="1"/>
  <c r="AL102" i="7"/>
  <c r="BX223" i="7"/>
  <c r="BY223" i="7" s="1" a="1"/>
  <c r="BX257" i="7"/>
  <c r="BY257" i="7" s="1" a="1"/>
  <c r="BV291" i="7"/>
  <c r="BF163" i="7"/>
  <c r="BF293" i="7"/>
  <c r="BG293" i="7" s="1" a="1"/>
  <c r="BF203" i="7"/>
  <c r="BG203" i="7" s="1" a="1"/>
  <c r="BF248" i="7"/>
  <c r="BF128" i="7"/>
  <c r="BF241" i="7"/>
  <c r="BG241" i="7" s="1" a="1"/>
  <c r="BF294" i="7"/>
  <c r="BG294" i="7" s="1" a="1"/>
  <c r="V142" i="7"/>
  <c r="V23" i="7"/>
  <c r="V144" i="7"/>
  <c r="W144" i="7" s="1" a="1"/>
  <c r="AN140" i="7"/>
  <c r="AO140" i="7" s="1" a="1"/>
  <c r="AN130" i="7"/>
  <c r="AO130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03" i="7"/>
  <c r="AO203" i="7" s="1" a="1"/>
  <c r="AN264" i="7"/>
  <c r="AO264" i="7" s="1" a="1"/>
  <c r="AN25" i="7"/>
  <c r="AO25" i="7" s="1" a="1"/>
  <c r="AN285" i="7"/>
  <c r="AO285" i="7" s="1" a="1"/>
  <c r="AL30" i="7"/>
  <c r="AN30" i="7" s="1"/>
  <c r="AO30" i="7" s="1" a="1"/>
  <c r="AN164" i="7"/>
  <c r="AO164" i="7" s="1" a="1"/>
  <c r="AN38" i="7"/>
  <c r="AO38" i="7" s="1" a="1"/>
  <c r="AL41" i="7"/>
  <c r="AN41" i="7" s="1"/>
  <c r="AO41" i="7" s="1" a="1"/>
  <c r="AN46" i="7"/>
  <c r="AO46" i="7" s="1" a="1"/>
  <c r="AN44" i="7"/>
  <c r="AO44" i="7" s="1" a="1"/>
  <c r="AN47" i="7"/>
  <c r="AO47" i="7" s="1" a="1"/>
  <c r="AN206" i="7"/>
  <c r="AO206" i="7" s="1" a="1"/>
  <c r="AL260" i="7"/>
  <c r="AN260" i="7" s="1"/>
  <c r="AO260" i="7" s="1" a="1"/>
  <c r="BV72" i="7"/>
  <c r="BX72" i="7" s="1"/>
  <c r="BY72" i="7" s="1" a="1"/>
  <c r="BX238" i="7"/>
  <c r="BY238" i="7" s="1" a="1"/>
  <c r="BX73" i="7"/>
  <c r="BY73" i="7" s="1" a="1"/>
  <c r="BX170" i="7"/>
  <c r="BY170" i="7" s="1" a="1"/>
  <c r="BX119" i="7"/>
  <c r="BY119" i="7" s="1" a="1"/>
  <c r="V313" i="7"/>
  <c r="W313" i="7" s="1" a="1"/>
  <c r="V26" i="7"/>
  <c r="V225" i="7"/>
  <c r="W225" i="7" s="1" a="1"/>
  <c r="V44" i="7"/>
  <c r="V63" i="7"/>
  <c r="W63" i="7" s="1" a="1"/>
  <c r="V292" i="7"/>
  <c r="W292" i="7" s="1" a="1"/>
  <c r="V263" i="7"/>
  <c r="W263" i="7" s="1" a="1"/>
  <c r="V141" i="7"/>
  <c r="W141" i="7" s="1" a="1"/>
  <c r="V194" i="7"/>
  <c r="W194" i="7" s="1" a="1"/>
  <c r="V151" i="7"/>
  <c r="V205" i="7"/>
  <c r="W205" i="7" s="1" a="1"/>
  <c r="V34" i="7"/>
  <c r="V295" i="7"/>
  <c r="W295" i="7" s="1" a="1"/>
  <c r="BF233" i="7"/>
  <c r="BF167" i="7"/>
  <c r="BG167" i="7" s="1" a="1"/>
  <c r="BF224" i="7"/>
  <c r="BG224" i="7" s="1" a="1"/>
  <c r="BX152" i="7"/>
  <c r="BV14" i="7"/>
  <c r="BX14" i="7" s="1"/>
  <c r="BY14" i="7" s="1" a="1"/>
  <c r="BX263" i="7"/>
  <c r="BY263" i="7" s="1" a="1"/>
  <c r="BX133" i="7"/>
  <c r="BY133" i="7" s="1" a="1"/>
  <c r="BX6" i="7"/>
  <c r="BY6" i="7" s="1" a="1"/>
  <c r="BV82" i="7"/>
  <c r="BX82" i="7" s="1"/>
  <c r="BY82" i="7" s="1" a="1"/>
  <c r="BV30" i="7"/>
  <c r="BX30" i="7" s="1"/>
  <c r="BY30" i="7" s="1" a="1"/>
  <c r="BX188" i="7"/>
  <c r="BY188" i="7" s="1" a="1"/>
  <c r="BX295" i="7"/>
  <c r="BY295" i="7" s="1" a="1"/>
  <c r="BV35" i="7"/>
  <c r="BX35" i="7" s="1"/>
  <c r="BY35" i="7" s="1" a="1"/>
  <c r="BV108" i="7"/>
  <c r="BX108" i="7" s="1"/>
  <c r="BY108" i="7" s="1" a="1"/>
  <c r="BX296" i="7"/>
  <c r="BY296" i="7" s="1" a="1"/>
  <c r="BV157" i="7"/>
  <c r="BX157" i="7" s="1"/>
  <c r="BY157" i="7" s="1" a="1"/>
  <c r="BX266" i="7"/>
  <c r="BY266" i="7" s="1" a="1"/>
  <c r="BV66" i="7"/>
  <c r="BX66" i="7" s="1"/>
  <c r="BY66" i="7" s="1" a="1"/>
  <c r="BX68" i="7"/>
  <c r="AN223" i="7"/>
  <c r="AO223" i="7" s="1" a="1"/>
  <c r="AL72" i="7"/>
  <c r="AN72" i="7" s="1"/>
  <c r="AO72" i="7" s="1" a="1"/>
  <c r="AN251" i="7"/>
  <c r="AO251" i="7" s="1" a="1"/>
  <c r="BD234" i="7"/>
  <c r="BF261" i="7"/>
  <c r="BF295" i="7"/>
  <c r="BF192" i="7"/>
  <c r="BF109" i="7"/>
  <c r="BD48" i="7"/>
  <c r="BF48" i="7" s="1"/>
  <c r="BF53" i="7"/>
  <c r="BF182" i="7"/>
  <c r="BF263" i="7"/>
  <c r="BG263" i="7" s="1" a="1"/>
  <c r="BF166" i="7"/>
  <c r="BF152" i="7"/>
  <c r="BF132" i="7"/>
  <c r="BD30" i="7"/>
  <c r="BF30" i="7" s="1"/>
  <c r="BG30" i="7" s="1" a="1"/>
  <c r="BF239" i="7"/>
  <c r="BF286" i="7"/>
  <c r="BG286" i="7" s="1" a="1"/>
  <c r="BD221" i="7"/>
  <c r="BF221" i="7" s="1"/>
  <c r="BG221" i="7" s="1" a="1"/>
  <c r="V71" i="7"/>
  <c r="V278" i="7"/>
  <c r="W278" i="7" s="1" a="1"/>
  <c r="V223" i="7"/>
  <c r="W223" i="7" s="1" a="1"/>
  <c r="V284" i="7"/>
  <c r="W284" i="7" s="1" a="1"/>
  <c r="V257" i="7"/>
  <c r="W257" i="7" s="1" a="1"/>
  <c r="V169" i="7"/>
  <c r="W169" i="7" s="1" a="1"/>
  <c r="V22" i="7"/>
  <c r="V231" i="7"/>
  <c r="W231" i="7" s="1" a="1"/>
  <c r="AN280" i="7"/>
  <c r="AO280" i="7" s="1" a="1"/>
  <c r="AN191" i="7"/>
  <c r="AO191" i="7" s="1" a="1"/>
  <c r="AN150" i="7"/>
  <c r="AO150" i="7" s="1" a="1"/>
  <c r="AN274" i="7"/>
  <c r="AO274" i="7" s="1" a="1"/>
  <c r="AN242" i="7"/>
  <c r="AO242" i="7" s="1" a="1"/>
  <c r="AN213" i="7"/>
  <c r="AO213" i="7" s="1" a="1"/>
  <c r="AN107" i="7"/>
  <c r="AO107" i="7" s="1" a="1"/>
  <c r="AN136" i="7"/>
  <c r="AO136" i="7" s="1" a="1"/>
  <c r="AN255" i="7"/>
  <c r="AO255" i="7" s="1" a="1"/>
  <c r="AN45" i="7"/>
  <c r="AO45" i="7" s="1" a="1"/>
  <c r="AN158" i="7"/>
  <c r="AO158" i="7" s="1" a="1"/>
  <c r="AL110" i="7"/>
  <c r="AN110" i="7" s="1"/>
  <c r="AO110" i="7" s="1" a="1"/>
  <c r="AN90" i="7"/>
  <c r="AO90" i="7" s="1" a="1"/>
  <c r="AL50" i="7"/>
  <c r="AN50" i="7" s="1"/>
  <c r="AO50" i="7" s="1" a="1"/>
  <c r="AN56" i="7"/>
  <c r="AO56" i="7" s="1" a="1"/>
  <c r="AN59" i="7"/>
  <c r="AO59" i="7" s="1" a="1"/>
  <c r="AN235" i="7"/>
  <c r="AO235" i="7" s="1" a="1"/>
  <c r="AN55" i="7"/>
  <c r="AO55" i="7" s="1" a="1"/>
  <c r="AN67" i="7"/>
  <c r="AO67" i="7" s="1" a="1"/>
  <c r="AN68" i="7"/>
  <c r="AO68" i="7" s="1" a="1"/>
  <c r="BX76" i="7"/>
  <c r="BY76" i="7" s="1" a="1"/>
  <c r="BX290" i="7"/>
  <c r="BY290" i="7" s="1" a="1"/>
  <c r="V27" i="7"/>
  <c r="V210" i="7"/>
  <c r="W210" i="7" s="1" a="1"/>
  <c r="V298" i="7"/>
  <c r="W298" i="7" s="1" a="1"/>
  <c r="V165" i="7"/>
  <c r="W165" i="7" s="1" a="1"/>
  <c r="V222" i="7"/>
  <c r="V177" i="7"/>
  <c r="W177" i="7" s="1" a="1"/>
  <c r="V134" i="7"/>
  <c r="W134" i="7" s="1" a="1"/>
  <c r="V149" i="7"/>
  <c r="V176" i="7"/>
  <c r="T81" i="7"/>
  <c r="V81" i="7" s="1"/>
  <c r="W81" i="7" s="1" a="1"/>
  <c r="V138" i="7"/>
  <c r="V219" i="7"/>
  <c r="W219" i="7" s="1" a="1"/>
  <c r="V164" i="7"/>
  <c r="T87" i="7"/>
  <c r="V87" i="7" s="1"/>
  <c r="W87" i="7" s="1" a="1"/>
  <c r="BF282" i="7"/>
  <c r="BG282" i="7" s="1" a="1"/>
  <c r="BF70" i="7"/>
  <c r="BF122" i="7"/>
  <c r="BD76" i="7"/>
  <c r="BF76" i="7" s="1"/>
  <c r="BG76" i="7" s="1" a="1"/>
  <c r="BF303" i="7"/>
  <c r="BG303" i="7" s="1" a="1"/>
  <c r="BF212" i="7"/>
  <c r="BG212" i="7" s="1" a="1"/>
  <c r="BF180" i="7"/>
  <c r="BX252" i="7"/>
  <c r="BY252" i="7" s="1" a="1"/>
  <c r="BX191" i="7"/>
  <c r="BY191" i="7" s="1" a="1"/>
  <c r="BX141" i="7"/>
  <c r="BY141" i="7" s="1" a="1"/>
  <c r="BX292" i="7"/>
  <c r="BY292" i="7" s="1" a="1"/>
  <c r="BX280" i="7"/>
  <c r="BY280" i="7" s="1" a="1"/>
  <c r="BX174" i="7"/>
  <c r="BX293" i="7"/>
  <c r="BX3" i="7"/>
  <c r="BY3" i="7" s="1" a="1"/>
  <c r="BX124" i="7"/>
  <c r="BY124" i="7" s="1" a="1"/>
  <c r="BX264" i="7"/>
  <c r="BY264" i="7" s="1" a="1"/>
  <c r="BX213" i="7"/>
  <c r="BY213" i="7" s="1" a="1"/>
  <c r="BX203" i="7"/>
  <c r="BV234" i="7"/>
  <c r="BX247" i="7"/>
  <c r="BY247" i="7" s="1" a="1"/>
  <c r="BX261" i="7"/>
  <c r="BX173" i="7"/>
  <c r="BY173" i="7" s="1" a="1"/>
  <c r="BX47" i="7"/>
  <c r="BY47" i="7" s="1" a="1"/>
  <c r="BV99" i="7"/>
  <c r="BX99" i="7" s="1"/>
  <c r="BY99" i="7" s="1" a="1"/>
  <c r="BX235" i="7"/>
  <c r="BX53" i="7"/>
  <c r="BY53" i="7" s="1" a="1"/>
  <c r="AN288" i="7"/>
  <c r="AO288" i="7" s="1" a="1"/>
  <c r="AL144" i="7"/>
  <c r="AN144" i="7" s="1"/>
  <c r="AO144" i="7" s="1" a="1"/>
  <c r="AN122" i="7"/>
  <c r="AO122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2" i="7"/>
  <c r="V119" i="7"/>
  <c r="W119" i="7" s="1" a="1"/>
  <c r="BD111" i="7"/>
  <c r="BF111" i="7" s="1"/>
  <c r="BF5" i="7"/>
  <c r="BF137" i="7"/>
  <c r="BF151" i="7"/>
  <c r="BG151" i="7" s="1" a="1"/>
  <c r="BF135" i="7"/>
  <c r="BG135" i="7" s="1" a="1"/>
  <c r="BD279" i="7"/>
  <c r="BF279" i="7" s="1"/>
  <c r="BG279" i="7" s="1" a="1"/>
  <c r="BF124" i="7"/>
  <c r="BF7" i="7"/>
  <c r="BF219" i="7"/>
  <c r="BF131" i="7"/>
  <c r="T104" i="7"/>
  <c r="V104" i="7" s="1"/>
  <c r="V118" i="7"/>
  <c r="V73" i="7"/>
  <c r="W73" i="7" s="1" a="1"/>
  <c r="AN293" i="7"/>
  <c r="AO293" i="7" s="1" a="1"/>
  <c r="AN146" i="7"/>
  <c r="AO146" i="7" s="1" a="1"/>
  <c r="AN190" i="7"/>
  <c r="AO190" i="7" s="1" a="1"/>
  <c r="AN246" i="7"/>
  <c r="AO246" i="7" s="1" a="1"/>
  <c r="AN314" i="7"/>
  <c r="AO314" i="7" s="1" a="1"/>
  <c r="AN160" i="7"/>
  <c r="AO160" i="7" s="1" a="1"/>
  <c r="AL85" i="7"/>
  <c r="AN85" i="7" s="1"/>
  <c r="AO85" i="7" s="1" a="1"/>
  <c r="AN192" i="7"/>
  <c r="AO192" i="7" s="1" a="1"/>
  <c r="AN266" i="7"/>
  <c r="AO266" i="7" s="1" a="1"/>
  <c r="AN165" i="7"/>
  <c r="AO165" i="7" s="1" a="1"/>
  <c r="AN42" i="7"/>
  <c r="AO42" i="7" s="1" a="1"/>
  <c r="AN5" i="7"/>
  <c r="AO5" i="7" s="1" a="1"/>
  <c r="AN299" i="7"/>
  <c r="AO299" i="7" s="1" a="1"/>
  <c r="AN63" i="7"/>
  <c r="AO63" i="7" s="1" a="1"/>
  <c r="AL159" i="7"/>
  <c r="AN159" i="7" s="1"/>
  <c r="AO159" i="7" s="1" a="1"/>
  <c r="AL64" i="7"/>
  <c r="AN96" i="7"/>
  <c r="AO96" i="7" s="1" a="1"/>
  <c r="AN66" i="7"/>
  <c r="AO66" i="7" s="1" a="1"/>
  <c r="BX273" i="7"/>
  <c r="BY273" i="7" s="1" a="1"/>
  <c r="BV77" i="7"/>
  <c r="BX77" i="7" s="1"/>
  <c r="BX232" i="7"/>
  <c r="BY232" i="7" s="1" a="1"/>
  <c r="T234" i="7"/>
  <c r="V234" i="7" s="1"/>
  <c r="W234" i="7" s="1" a="1"/>
  <c r="V160" i="7"/>
  <c r="W160" i="7" s="1" a="1"/>
  <c r="V154" i="7"/>
  <c r="V46" i="7"/>
  <c r="W46" i="7" s="1" a="1"/>
  <c r="V62" i="7"/>
  <c r="BD106" i="7"/>
  <c r="BF106" i="7" s="1"/>
  <c r="V240" i="7"/>
  <c r="W240" i="7" s="1" a="1"/>
  <c r="V191" i="7"/>
  <c r="V190" i="7"/>
  <c r="W190" i="7" s="1" a="1"/>
  <c r="V314" i="7"/>
  <c r="W314" i="7" s="1" a="1"/>
  <c r="V127" i="7"/>
  <c r="V197" i="7"/>
  <c r="W197" i="7" s="1" a="1"/>
  <c r="V209" i="7"/>
  <c r="W209" i="7" s="1" a="1"/>
  <c r="T31" i="7"/>
  <c r="V31" i="7" s="1"/>
  <c r="BF307" i="7"/>
  <c r="BD72" i="7"/>
  <c r="BF72" i="7" s="1"/>
  <c r="BF257" i="7"/>
  <c r="BG257" i="7" s="1" a="1"/>
  <c r="BF75" i="7"/>
  <c r="BF73" i="7"/>
  <c r="BF305" i="7"/>
  <c r="BG305" i="7" s="1" a="1"/>
  <c r="BX269" i="7"/>
  <c r="BY269" i="7" s="1" a="1"/>
  <c r="BX145" i="7"/>
  <c r="BX166" i="7"/>
  <c r="BX182" i="7"/>
  <c r="BY182" i="7" s="1" a="1"/>
  <c r="BX117" i="7"/>
  <c r="BY117" i="7" s="1" a="1"/>
  <c r="BX254" i="7"/>
  <c r="BY254" i="7" s="1" a="1"/>
  <c r="BX241" i="7"/>
  <c r="BY241" i="7" s="1" a="1"/>
  <c r="BX246" i="7"/>
  <c r="BY246" i="7" s="1" a="1"/>
  <c r="BX193" i="7"/>
  <c r="BY193" i="7" s="1" a="1"/>
  <c r="BX310" i="7"/>
  <c r="BY310" i="7" s="1" a="1"/>
  <c r="BX302" i="7"/>
  <c r="BY302" i="7" s="1" a="1"/>
  <c r="BX85" i="7"/>
  <c r="BY85" i="7" s="1" a="1"/>
  <c r="BV33" i="7"/>
  <c r="BX136" i="7"/>
  <c r="BY136" i="7" s="1" a="1"/>
  <c r="BX86" i="7"/>
  <c r="BY86" i="7" s="1" a="1"/>
  <c r="BX286" i="7"/>
  <c r="BX185" i="7"/>
  <c r="BX89" i="7"/>
  <c r="BY89" i="7" s="1" a="1"/>
  <c r="BX111" i="7"/>
  <c r="BY111" i="7" s="1" a="1"/>
  <c r="BV48" i="7"/>
  <c r="BX58" i="7"/>
  <c r="AN287" i="7"/>
  <c r="AO287" i="7" s="1" a="1"/>
  <c r="AN311" i="7"/>
  <c r="AO311" i="7" s="1" a="1"/>
  <c r="AL104" i="7"/>
  <c r="AN104" i="7" s="1"/>
  <c r="AO104" i="7" s="1" a="1"/>
  <c r="AN236" i="7"/>
  <c r="AO236" i="7" s="1" a="1"/>
  <c r="AN118" i="7"/>
  <c r="AO118" i="7" s="1" a="1"/>
  <c r="AN233" i="7"/>
  <c r="AO233" i="7" s="1" a="1"/>
  <c r="AN20" i="7"/>
  <c r="AO20" i="7" s="1" a="1"/>
  <c r="AN121" i="7"/>
  <c r="AO121" i="7" s="1" a="1"/>
  <c r="BD210" i="7"/>
  <c r="BF173" i="7"/>
  <c r="BF116" i="7"/>
  <c r="BF59" i="7"/>
  <c r="BF96" i="7"/>
  <c r="BD66" i="7"/>
  <c r="BF66" i="7" s="1"/>
  <c r="BG66" i="7" s="1" a="1"/>
  <c r="BF292" i="7"/>
  <c r="BG292" i="7" s="1" a="1"/>
  <c r="BF133" i="7"/>
  <c r="BG133" i="7" s="1" a="1"/>
  <c r="BF204" i="7"/>
  <c r="BG204" i="7" s="1" a="1"/>
  <c r="BF205" i="7"/>
  <c r="BG205" i="7" s="1" a="1"/>
  <c r="BF285" i="7"/>
  <c r="BG285" i="7" s="1" a="1"/>
  <c r="BF28" i="7"/>
  <c r="BG28" i="7" s="1" a="1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V105" i="7"/>
  <c r="W105" i="7" s="1" a="1"/>
  <c r="AN141" i="7"/>
  <c r="AO141" i="7" s="1" a="1"/>
  <c r="AN149" i="7"/>
  <c r="AO149" i="7" s="1" a="1"/>
  <c r="AN163" i="7"/>
  <c r="AO163" i="7" s="1" a="1"/>
  <c r="AN145" i="7"/>
  <c r="AO145" i="7" s="1" a="1"/>
  <c r="AN182" i="7"/>
  <c r="AO182" i="7" s="1" a="1"/>
  <c r="AN184" i="7"/>
  <c r="AO184" i="7" s="1" a="1"/>
  <c r="AN82" i="7"/>
  <c r="AO82" i="7" s="1" a="1"/>
  <c r="AN188" i="7"/>
  <c r="AO188" i="7" s="1" a="1"/>
  <c r="AL108" i="7"/>
  <c r="AN108" i="7" s="1"/>
  <c r="AO108" i="7" s="1" a="1"/>
  <c r="AN286" i="7"/>
  <c r="AO286" i="7" s="1" a="1"/>
  <c r="AN39" i="7"/>
  <c r="AO39" i="7" s="1" a="1"/>
  <c r="AN148" i="7"/>
  <c r="AO148" i="7" s="1" a="1"/>
  <c r="AN161" i="7"/>
  <c r="AO161" i="7" s="1" a="1"/>
  <c r="AN111" i="7"/>
  <c r="AO111" i="7" s="1" a="1"/>
  <c r="AN215" i="7"/>
  <c r="AO215" i="7" s="1" a="1"/>
  <c r="AN256" i="7"/>
  <c r="AO256" i="7" s="1" a="1"/>
  <c r="AN58" i="7"/>
  <c r="AO58" i="7" s="1" a="1"/>
  <c r="BX9" i="7"/>
  <c r="BY9" i="7" s="1" a="1"/>
  <c r="BX208" i="7"/>
  <c r="BY208" i="7" s="1" a="1"/>
  <c r="BX207" i="7"/>
  <c r="BY207" i="7" s="1" a="1"/>
  <c r="V187" i="7"/>
  <c r="W187" i="7" s="1" a="1"/>
  <c r="V136" i="7"/>
  <c r="W136" i="7" s="1" a="1"/>
  <c r="V195" i="7"/>
  <c r="V92" i="7"/>
  <c r="W92" i="7" s="1" a="1"/>
  <c r="V148" i="7"/>
  <c r="V48" i="7"/>
  <c r="W48" i="7" s="1" a="1"/>
  <c r="T49" i="7"/>
  <c r="V49" i="7" s="1"/>
  <c r="W49" i="7" s="1" a="1"/>
  <c r="V57" i="7"/>
  <c r="W57" i="7" s="1" a="1"/>
  <c r="T206" i="7"/>
  <c r="V206" i="7" s="1"/>
  <c r="W206" i="7" s="1" a="1"/>
  <c r="V299" i="7"/>
  <c r="W299" i="7" s="1" a="1"/>
  <c r="V52" i="7"/>
  <c r="BF119" i="7"/>
  <c r="V272" i="7"/>
  <c r="W272" i="7" s="1" a="1"/>
  <c r="V310" i="7"/>
  <c r="W310" i="7" s="1" a="1"/>
  <c r="V280" i="7"/>
  <c r="W280" i="7" s="1" a="1"/>
  <c r="V204" i="7"/>
  <c r="W204" i="7" s="1" a="1"/>
  <c r="V78" i="7"/>
  <c r="V200" i="7"/>
  <c r="W200" i="7" s="1" a="1"/>
  <c r="V175" i="7"/>
  <c r="W175" i="7" s="1" a="1"/>
  <c r="T83" i="7"/>
  <c r="V83" i="7" s="1"/>
  <c r="W83" i="7" s="1" a="1"/>
  <c r="BF273" i="7"/>
  <c r="BG273" i="7" s="1" a="1"/>
  <c r="BD181" i="7"/>
  <c r="BF181" i="7" s="1"/>
  <c r="BG181" i="7" s="1" a="1"/>
  <c r="BF118" i="7"/>
  <c r="BG118" i="7" s="1" a="1"/>
  <c r="BF20" i="7"/>
  <c r="BD24" i="7"/>
  <c r="BF24" i="7" s="1"/>
  <c r="BF308" i="7"/>
  <c r="BG308" i="7" s="1" a="1"/>
  <c r="BX274" i="7"/>
  <c r="BY274" i="7" s="1" a="1"/>
  <c r="BX197" i="7"/>
  <c r="BY197" i="7" s="1" a="1"/>
  <c r="BX242" i="7"/>
  <c r="BY242" i="7" s="1" a="1"/>
  <c r="BX126" i="7"/>
  <c r="BX198" i="7"/>
  <c r="BX120" i="7"/>
  <c r="BY120" i="7" s="1" a="1"/>
  <c r="BX204" i="7"/>
  <c r="BY204" i="7" s="1" a="1"/>
  <c r="BX218" i="7"/>
  <c r="BY218" i="7" s="1" a="1"/>
  <c r="BX80" i="7"/>
  <c r="BY80" i="7" s="1" a="1"/>
  <c r="BV31" i="7"/>
  <c r="BX31" i="7" s="1"/>
  <c r="BY31" i="7" s="1" a="1"/>
  <c r="BV84" i="7"/>
  <c r="BX84" i="7" s="1"/>
  <c r="BY84" i="7" s="1" a="1"/>
  <c r="BX195" i="7"/>
  <c r="BY195" i="7" s="1" a="1"/>
  <c r="BX245" i="7"/>
  <c r="BY245" i="7" s="1" a="1"/>
  <c r="BX91" i="7"/>
  <c r="BX56" i="7"/>
  <c r="BY56" i="7" s="1" a="1"/>
  <c r="BV57" i="7"/>
  <c r="BX57" i="7" s="1"/>
  <c r="BY57" i="7" s="1" a="1"/>
  <c r="BX96" i="7"/>
  <c r="BY96" i="7" s="1" a="1"/>
  <c r="AN169" i="7"/>
  <c r="AO169" i="7" s="1" a="1"/>
  <c r="BF313" i="7"/>
  <c r="BG313" i="7" s="1" a="1"/>
  <c r="BF27" i="7"/>
  <c r="BG27" i="7" s="1" a="1"/>
  <c r="BF175" i="7"/>
  <c r="BD34" i="7"/>
  <c r="BF34" i="7" s="1"/>
  <c r="BF43" i="7"/>
  <c r="BF158" i="7"/>
  <c r="BG158" i="7" s="1" a="1"/>
  <c r="BF44" i="7"/>
  <c r="BF19" i="7"/>
  <c r="BG19" i="7" s="1" a="1"/>
  <c r="BF55" i="7"/>
  <c r="V16" i="7"/>
  <c r="W16" i="7" s="1" a="1"/>
  <c r="BD51" i="7"/>
  <c r="BF51" i="7" s="1"/>
  <c r="W70" i="7" a="1"/>
  <c r="BG242" i="7" a="1"/>
  <c r="W82" i="7" a="1"/>
  <c r="W8" i="7" a="1"/>
  <c r="BG244" i="7" a="1"/>
  <c r="W162" i="7" a="1"/>
  <c r="BG243" i="7" a="1"/>
  <c r="W273" i="7" a="1"/>
  <c r="W208" i="7" a="1"/>
  <c r="W249" i="7" a="1"/>
  <c r="BG209" i="7" a="1"/>
  <c r="BG276" i="7" a="1"/>
  <c r="BG288" i="7" a="1"/>
  <c r="BG268" i="7" a="1"/>
  <c r="BG218" i="7" a="1"/>
  <c r="W107" i="7" a="1"/>
  <c r="BG289" i="7" a="1"/>
  <c r="W170" i="7" a="1"/>
  <c r="W51" i="7" a="1"/>
  <c r="BG219" i="7" a="1"/>
  <c r="W286" i="7" a="1"/>
  <c r="BG277" i="7" a="1"/>
  <c r="W288" i="7" a="1"/>
  <c r="BG261" i="7" a="1"/>
  <c r="BG147" i="7" a="1"/>
  <c r="BG208" i="7" a="1"/>
  <c r="BG207" i="7" a="1"/>
  <c r="BY282" i="7" a="1"/>
  <c r="BG265" i="7" a="1"/>
  <c r="W253" i="7" a="1"/>
  <c r="BG187" i="7" a="1"/>
  <c r="W112" i="7" a="1"/>
  <c r="W157" i="7" a="1"/>
  <c r="BG246" i="7" a="1"/>
  <c r="W239" i="7" a="1"/>
  <c r="W131" i="7" a="1"/>
  <c r="BG280" i="7" a="1"/>
  <c r="BG231" i="7" a="1"/>
  <c r="W142" i="7" a="1"/>
  <c r="W233" i="7" a="1"/>
  <c r="W80" i="7" a="1"/>
  <c r="BG252" i="7" a="1"/>
  <c r="W99" i="7" a="1"/>
  <c r="W271" i="7" a="1"/>
  <c r="BG40" i="7" a="1"/>
  <c r="W127" i="7" a="1"/>
  <c r="W115" i="7" a="1"/>
  <c r="W173" i="7" a="1"/>
  <c r="BG254" i="7" a="1"/>
  <c r="W98" i="7" a="1"/>
  <c r="W34" i="7" a="1"/>
  <c r="BG307" i="7" a="1"/>
  <c r="BG271" i="7" a="1"/>
  <c r="W143" i="7" a="1"/>
  <c r="W111" i="7" a="1"/>
  <c r="BG247" i="7" a="1"/>
  <c r="BG232" i="7" a="1"/>
  <c r="W268" i="7" a="1"/>
  <c r="W265" i="7" a="1"/>
  <c r="BG15" i="7" a="1"/>
  <c r="BG281" i="7" a="1"/>
  <c r="BG275" i="7" a="1"/>
  <c r="W180" i="7" a="1"/>
  <c r="BG239" i="7" a="1"/>
  <c r="W85" i="7" a="1"/>
  <c r="W215" i="7" a="1"/>
  <c r="BG121" i="7" a="1"/>
  <c r="BG201" i="7" a="1"/>
  <c r="BG225" i="7" a="1"/>
  <c r="W179" i="7" a="1"/>
  <c r="BG272" i="7" a="1"/>
  <c r="W77" i="7" a="1"/>
  <c r="BG311" i="7" a="1"/>
  <c r="BG295" i="7" a="1"/>
  <c r="W146" i="7" a="1"/>
  <c r="BG262" i="7" a="1"/>
  <c r="W222" i="7" a="1"/>
  <c r="W47" i="7" a="1"/>
  <c r="W217" i="7" a="1"/>
  <c r="W256" i="7" a="1"/>
  <c r="BG269" i="7" a="1"/>
  <c r="BG259" i="7" a="1"/>
  <c r="BG264" i="7" a="1"/>
  <c r="W229" i="7" a="1"/>
  <c r="W207" i="7" a="1"/>
  <c r="BY311" i="7" a="1"/>
  <c r="W287" i="7" a="1"/>
  <c r="BG274" i="7" a="1"/>
  <c r="W251" i="7" a="1"/>
  <c r="BG304" i="7" a="1"/>
  <c r="W182" i="7" a="1"/>
  <c r="BG217" i="7" a="1"/>
  <c r="BG211" i="7" a="1"/>
  <c r="BG233" i="7" a="1"/>
  <c r="BG267" i="7" a="1"/>
  <c r="BG284" i="7" a="1"/>
  <c r="W79" i="7" a="1"/>
  <c r="BG130" i="7" a="1"/>
  <c r="BG230" i="7" a="1"/>
  <c r="W132" i="7" a="1"/>
  <c r="W291" i="7" a="1"/>
  <c r="W304" i="7" a="1"/>
  <c r="W41" i="7" a="1"/>
  <c r="BG202" i="7" a="1"/>
  <c r="BG228" i="7" a="1"/>
  <c r="BG240" i="7" a="1"/>
  <c r="BG290" i="7" a="1"/>
  <c r="W275" i="7" a="1"/>
  <c r="W188" i="7" a="1"/>
  <c r="BG26" i="7" a="1"/>
  <c r="W266" i="7" a="1"/>
  <c r="W35" i="7" a="1"/>
  <c r="W281" i="7" a="1"/>
  <c r="BG223" i="7" a="1"/>
  <c r="W250" i="7" a="1"/>
  <c r="BG291" i="7" a="1"/>
  <c r="W294" i="7" a="1"/>
  <c r="W154" i="7" a="1"/>
  <c r="W14" i="7" a="1"/>
  <c r="W212" i="7" a="1"/>
  <c r="BG312" i="7" a="1"/>
  <c r="W308" i="7" a="1"/>
  <c r="W230" i="7" a="1"/>
  <c r="W108" i="7" a="1"/>
  <c r="BG299" i="7" a="1"/>
  <c r="BG238" i="7" a="1"/>
  <c r="BG248" i="7" a="1"/>
  <c r="W84" i="7" a="1"/>
  <c r="W89" i="7" a="1"/>
  <c r="W216" i="7" a="1"/>
  <c r="W37" i="7" a="1"/>
  <c r="BG255" i="7" a="1"/>
  <c r="BG94" i="7" a="1"/>
  <c r="BG61" i="7" a="1"/>
  <c r="W42" i="7" a="1"/>
  <c r="BG72" i="7" a="1"/>
  <c r="W95" i="7" a="1"/>
  <c r="BG138" i="7" a="1"/>
  <c r="BG29" i="7" a="1"/>
  <c r="BG148" i="7" a="1"/>
  <c r="W149" i="7" a="1"/>
  <c r="BG78" i="7" a="1"/>
  <c r="BG153" i="7" a="1"/>
  <c r="BG122" i="7" a="1"/>
  <c r="BG184" i="7" a="1"/>
  <c r="BG62" i="7" a="1"/>
  <c r="BG71" i="7" a="1"/>
  <c r="BG53" i="7" a="1"/>
  <c r="BG22" i="7" a="1"/>
  <c r="BG117" i="7" a="1"/>
  <c r="BG10" i="7" a="1"/>
  <c r="BG191" i="7" a="1"/>
  <c r="BG104" i="7" a="1"/>
  <c r="BG31" i="7" a="1"/>
  <c r="BG120" i="7" a="1"/>
  <c r="BG44" i="7" a="1"/>
  <c r="BY126" i="7" a="1"/>
  <c r="BG168" i="7" a="1"/>
  <c r="W64" i="7" a="1"/>
  <c r="W18" i="7" a="1"/>
  <c r="BG174" i="7" a="1"/>
  <c r="BG169" i="7" a="1"/>
  <c r="BG103" i="7" a="1"/>
  <c r="W10" i="7" a="1"/>
  <c r="BG48" i="7" a="1"/>
  <c r="BG75" i="7" a="1"/>
  <c r="BG39" i="7" a="1"/>
  <c r="BG140" i="7" a="1"/>
  <c r="BG51" i="7" a="1"/>
  <c r="BG178" i="7" a="1"/>
  <c r="BG54" i="7" a="1"/>
  <c r="W43" i="7" a="1"/>
  <c r="W174" i="7" a="1"/>
  <c r="BG146" i="7" a="1"/>
  <c r="BG16" i="7" a="1"/>
  <c r="BG70" i="7" a="1"/>
  <c r="BG84" i="7" a="1"/>
  <c r="BG143" i="7" a="1"/>
  <c r="BG116" i="7" a="1"/>
  <c r="BG42" i="7" a="1"/>
  <c r="BG173" i="7" a="1"/>
  <c r="BG111" i="7" a="1"/>
  <c r="BG154" i="7" a="1"/>
  <c r="BG134" i="7" a="1"/>
  <c r="W71" i="7" a="1"/>
  <c r="W159" i="7" a="1"/>
  <c r="BG96" i="7" a="1"/>
  <c r="BG190" i="7" a="1"/>
  <c r="BG46" i="7" a="1"/>
  <c r="BG79" i="7" a="1"/>
  <c r="W27" i="7" a="1"/>
  <c r="BG60" i="7" a="1"/>
  <c r="W66" i="7" a="1"/>
  <c r="W147" i="7" a="1"/>
  <c r="W168" i="7" a="1"/>
  <c r="W61" i="7" a="1"/>
  <c r="BG50" i="7" a="1"/>
  <c r="BG55" i="7" a="1"/>
  <c r="BG73" i="7" a="1"/>
  <c r="W120" i="7" a="1"/>
  <c r="BG144" i="7" a="1"/>
  <c r="BG6" i="7" a="1"/>
  <c r="BG129" i="7" a="1"/>
  <c r="BG69" i="7" a="1"/>
  <c r="BG67" i="7" a="1"/>
  <c r="BG157" i="7" a="1"/>
  <c r="BG180" i="7" a="1"/>
  <c r="W50" i="7" a="1"/>
  <c r="W32" i="7" a="1"/>
  <c r="BG132" i="7" a="1"/>
  <c r="BG109" i="7" a="1"/>
  <c r="BG97" i="7" a="1"/>
  <c r="BG35" i="7" a="1"/>
  <c r="BG101" i="7" a="1"/>
  <c r="BG200" i="7" a="1"/>
  <c r="W23" i="7" a="1"/>
  <c r="BG199" i="7" a="1"/>
  <c r="BG106" i="7" a="1"/>
  <c r="BG65" i="7" a="1"/>
  <c r="W181" i="7" a="1"/>
  <c r="BG92" i="7" a="1"/>
  <c r="BG11" i="7" a="1"/>
  <c r="BG98" i="7" a="1"/>
  <c r="BG24" i="7" a="1"/>
  <c r="W164" i="7" a="1"/>
  <c r="BY187" i="7" a="1"/>
  <c r="W75" i="7" a="1"/>
  <c r="BG115" i="7" a="1"/>
  <c r="BG127" i="7" a="1"/>
  <c r="BG150" i="7" a="1"/>
  <c r="BG125" i="7" a="1"/>
  <c r="W94" i="7" a="1"/>
  <c r="BG193" i="7" a="1"/>
  <c r="W151" i="7" a="1"/>
  <c r="W158" i="7" a="1"/>
  <c r="W176" i="7" a="1"/>
  <c r="BG131" i="7" a="1"/>
  <c r="BG57" i="7" a="1"/>
  <c r="W184" i="7" a="1"/>
  <c r="BG162" i="7" a="1"/>
  <c r="BG18" i="7" a="1"/>
  <c r="BG38" i="7" a="1"/>
  <c r="W78" i="7" a="1"/>
  <c r="BG189" i="7" a="1"/>
  <c r="BG20" i="7" a="1"/>
  <c r="W44" i="7" a="1"/>
  <c r="BG90" i="7" a="1"/>
  <c r="BG149" i="7" a="1"/>
  <c r="W25" i="7" a="1"/>
  <c r="BG82" i="7" a="1"/>
  <c r="BG64" i="7" a="1"/>
  <c r="BG139" i="7" a="1"/>
  <c r="W9" i="7" a="1"/>
  <c r="W28" i="7" a="1"/>
  <c r="BG142" i="7" a="1"/>
  <c r="BG113" i="7" a="1"/>
  <c r="BG93" i="7" a="1"/>
  <c r="BG172" i="7" a="1"/>
  <c r="W53" i="7" a="1"/>
  <c r="BG74" i="7" a="1"/>
  <c r="BG43" i="7" a="1"/>
  <c r="BG126" i="7" a="1"/>
  <c r="BG198" i="7" a="1"/>
  <c r="BG8" i="7" a="1"/>
  <c r="BG179" i="7" a="1"/>
  <c r="BG171" i="7" a="1"/>
  <c r="BG186" i="7" a="1"/>
  <c r="BG170" i="7" a="1"/>
  <c r="W118" i="7" a="1"/>
  <c r="BG136" i="7" a="1"/>
  <c r="BG100" i="7" a="1"/>
  <c r="W167" i="7" a="1"/>
  <c r="BG58" i="7" a="1"/>
  <c r="BG12" i="7" a="1"/>
  <c r="BG155" i="7" a="1"/>
  <c r="W15" i="7" a="1"/>
  <c r="BG68" i="7" a="1"/>
  <c r="W72" i="7" a="1"/>
  <c r="W29" i="7" a="1"/>
  <c r="BG95" i="7" a="1"/>
  <c r="W97" i="7" a="1"/>
  <c r="BG91" i="7" a="1"/>
  <c r="W52" i="7" a="1"/>
  <c r="W31" i="7" a="1"/>
  <c r="BG86" i="7" a="1"/>
  <c r="W130" i="7" a="1"/>
  <c r="BG59" i="7" a="1"/>
  <c r="W153" i="7" a="1"/>
  <c r="BG37" i="7" a="1"/>
  <c r="BG112" i="7" a="1"/>
  <c r="W104" i="7" a="1"/>
  <c r="W62" i="7" a="1"/>
  <c r="BG152" i="7" a="1"/>
  <c r="BG89" i="7" a="1"/>
  <c r="BG123" i="7" a="1"/>
  <c r="BG81" i="7" a="1"/>
  <c r="BG197" i="7" a="1"/>
  <c r="W166" i="7" a="1"/>
  <c r="BG164" i="7" a="1"/>
  <c r="BG47" i="7" a="1"/>
  <c r="BG128" i="7" a="1"/>
  <c r="BG108" i="7" a="1"/>
  <c r="BG175" i="7" a="1"/>
  <c r="BG63" i="7" a="1"/>
  <c r="BG145" i="7" a="1"/>
  <c r="W122" i="7" a="1"/>
  <c r="BY172" i="7" a="1"/>
  <c r="BG5" i="7" a="1"/>
  <c r="BG99" i="7" a="1"/>
  <c r="BG163" i="7" a="1"/>
  <c r="BG176" i="7" a="1"/>
  <c r="BG3" i="7" a="1"/>
  <c r="W138" i="7" a="1"/>
  <c r="BG7" i="7" a="1"/>
  <c r="W161" i="7" a="1"/>
  <c r="BG188" i="7" a="1"/>
  <c r="BG165" i="7" a="1"/>
  <c r="W195" i="7" a="1"/>
  <c r="BG34" i="7" a="1"/>
  <c r="W17" i="7" a="1"/>
  <c r="BG182" i="7" a="1"/>
  <c r="BG13" i="7" a="1"/>
  <c r="BG124" i="7" a="1"/>
  <c r="BG185" i="7" a="1"/>
  <c r="W191" i="7" a="1"/>
  <c r="W22" i="7" a="1"/>
  <c r="BG88" i="7" a="1"/>
  <c r="BG80" i="7" a="1"/>
  <c r="BG156" i="7" a="1"/>
  <c r="BG194" i="7" a="1"/>
  <c r="BG192" i="7" a="1"/>
  <c r="BG114" i="7" a="1"/>
  <c r="BG77" i="7" a="1"/>
  <c r="BG196" i="7" a="1"/>
  <c r="BG14" i="7" a="1"/>
  <c r="BG41" i="7" a="1"/>
  <c r="W148" i="7" a="1"/>
  <c r="BG87" i="7" a="1"/>
  <c r="BG83" i="7" a="1"/>
  <c r="BG195" i="7" a="1"/>
  <c r="BG119" i="7" a="1"/>
  <c r="W135" i="7" a="1"/>
  <c r="BG166" i="7" a="1"/>
  <c r="W45" i="7" a="1"/>
  <c r="W121" i="7" a="1"/>
  <c r="BG177" i="7" a="1"/>
  <c r="BG183" i="7" a="1"/>
  <c r="W117" i="7" a="1"/>
  <c r="W21" i="7" a="1"/>
  <c r="W40" i="7" a="1"/>
  <c r="BY198" i="7" a="1"/>
  <c r="W133" i="7" a="1"/>
  <c r="W19" i="7" a="1"/>
  <c r="BG161" i="7" a="1"/>
  <c r="W76" i="7" a="1"/>
  <c r="BG137" i="7" a="1"/>
  <c r="W30" i="7" a="1"/>
  <c r="BG4" i="7" a="1"/>
  <c r="BG141" i="7" a="1"/>
  <c r="BG56" i="7" a="1"/>
  <c r="W26" i="7" a="1"/>
  <c r="BG160" i="7" a="1"/>
  <c r="Y260" i="7" l="1"/>
  <c r="AG260" i="7"/>
  <c r="Z260" i="7"/>
  <c r="AB140" i="7"/>
  <c r="Y248" i="7"/>
  <c r="W228" i="7"/>
  <c r="AC100" i="7"/>
  <c r="AE260" i="7"/>
  <c r="AB260" i="7"/>
  <c r="AG140" i="7"/>
  <c r="AC260" i="7"/>
  <c r="W260" i="7"/>
  <c r="X140" i="7"/>
  <c r="W88" i="7"/>
  <c r="AA100" i="7"/>
  <c r="Q20" i="6"/>
  <c r="S20" i="6" s="1"/>
  <c r="R20" i="6"/>
  <c r="P21" i="6"/>
  <c r="Y140" i="7"/>
  <c r="AA140" i="7"/>
  <c r="AA248" i="7"/>
  <c r="Z248" i="7"/>
  <c r="AB248" i="7"/>
  <c r="AG88" i="7"/>
  <c r="Y88" i="7"/>
  <c r="AC88" i="7"/>
  <c r="Z100" i="7"/>
  <c r="W100" i="7"/>
  <c r="AE100" i="7"/>
  <c r="Z140" i="7"/>
  <c r="AE140" i="7"/>
  <c r="AD140" i="7"/>
  <c r="AC248" i="7"/>
  <c r="W248" i="7"/>
  <c r="AE248" i="7"/>
  <c r="AA88" i="7"/>
  <c r="Z88" i="7"/>
  <c r="AB88" i="7"/>
  <c r="AC116" i="7"/>
  <c r="AB100" i="7"/>
  <c r="AF100" i="7"/>
  <c r="AF140" i="7"/>
  <c r="AC140" i="7"/>
  <c r="X248" i="7"/>
  <c r="AG248" i="7"/>
  <c r="AD88" i="7"/>
  <c r="AE88" i="7"/>
  <c r="X100" i="7"/>
  <c r="AG100" i="7"/>
  <c r="AC124" i="7"/>
  <c r="AB124" i="7"/>
  <c r="Y137" i="7"/>
  <c r="W137" i="7"/>
  <c r="AF137" i="7"/>
  <c r="AA137" i="7"/>
  <c r="AG137" i="7"/>
  <c r="AC137" i="7"/>
  <c r="AC5" i="7"/>
  <c r="AG5" i="7"/>
  <c r="AR181" i="7"/>
  <c r="AW181" i="7"/>
  <c r="AY181" i="7"/>
  <c r="W5" i="7"/>
  <c r="AT181" i="7"/>
  <c r="X4" i="7"/>
  <c r="Z4" i="7"/>
  <c r="AC4" i="7"/>
  <c r="AG4" i="7"/>
  <c r="AA4" i="7"/>
  <c r="AE65" i="7"/>
  <c r="Y65" i="7"/>
  <c r="W65" i="7"/>
  <c r="AB65" i="7"/>
  <c r="Z65" i="7"/>
  <c r="X65" i="7"/>
  <c r="AG101" i="7"/>
  <c r="AD101" i="7"/>
  <c r="AF101" i="7"/>
  <c r="Y101" i="7"/>
  <c r="AE101" i="7"/>
  <c r="AD4" i="7"/>
  <c r="AD137" i="7"/>
  <c r="W4" i="7"/>
  <c r="Y4" i="7"/>
  <c r="X137" i="7"/>
  <c r="AD65" i="7"/>
  <c r="X101" i="7"/>
  <c r="AB101" i="7"/>
  <c r="AE5" i="7"/>
  <c r="AA203" i="7"/>
  <c r="W203" i="7"/>
  <c r="AD91" i="7"/>
  <c r="X91" i="7"/>
  <c r="AA91" i="7"/>
  <c r="AC91" i="7"/>
  <c r="Y67" i="7"/>
  <c r="X67" i="7"/>
  <c r="W67" i="7"/>
  <c r="AD67" i="7"/>
  <c r="AB224" i="7"/>
  <c r="AE224" i="7"/>
  <c r="AA224" i="7"/>
  <c r="Z224" i="7"/>
  <c r="CJ300" i="7"/>
  <c r="AC123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6" i="7"/>
  <c r="AC126" i="7"/>
  <c r="AA126" i="7"/>
  <c r="AD120" i="7"/>
  <c r="AA66" i="7"/>
  <c r="AD166" i="7"/>
  <c r="Y166" i="7"/>
  <c r="AA166" i="7"/>
  <c r="AB166" i="7"/>
  <c r="AC166" i="7"/>
  <c r="X166" i="7"/>
  <c r="AD184" i="7"/>
  <c r="AE174" i="7"/>
  <c r="AB21" i="7"/>
  <c r="AG21" i="7"/>
  <c r="AA21" i="7"/>
  <c r="AC21" i="7"/>
  <c r="Z21" i="7"/>
  <c r="AF21" i="7"/>
  <c r="X21" i="7"/>
  <c r="Y21" i="7"/>
  <c r="AE21" i="7"/>
  <c r="AD21" i="7"/>
  <c r="W21" i="7"/>
  <c r="AF69" i="7"/>
  <c r="AG287" i="7"/>
  <c r="W124" i="7"/>
  <c r="CK300" i="7"/>
  <c r="AD307" i="7"/>
  <c r="W58" i="7"/>
  <c r="AG307" i="7"/>
  <c r="AB59" i="7"/>
  <c r="Z58" i="7"/>
  <c r="Y276" i="7"/>
  <c r="AD114" i="7"/>
  <c r="W66" i="7"/>
  <c r="AE58" i="7"/>
  <c r="Z307" i="7"/>
  <c r="X59" i="7"/>
  <c r="AB283" i="7"/>
  <c r="AO181" i="7"/>
  <c r="AS181" i="7"/>
  <c r="X184" i="7"/>
  <c r="AG145" i="7"/>
  <c r="AF174" i="7"/>
  <c r="AA145" i="7"/>
  <c r="W145" i="7"/>
  <c r="AC145" i="7"/>
  <c r="AD232" i="7"/>
  <c r="AD174" i="7"/>
  <c r="Y145" i="7"/>
  <c r="AF145" i="7"/>
  <c r="AG202" i="7"/>
  <c r="AG174" i="7"/>
  <c r="AD145" i="7"/>
  <c r="Z145" i="7"/>
  <c r="AE145" i="7"/>
  <c r="CF230" i="7"/>
  <c r="X145" i="7"/>
  <c r="AG186" i="7"/>
  <c r="AA124" i="7"/>
  <c r="X124" i="7"/>
  <c r="Z124" i="7"/>
  <c r="AF58" i="7"/>
  <c r="X58" i="7"/>
  <c r="AF307" i="7"/>
  <c r="AE307" i="7"/>
  <c r="Z68" i="7"/>
  <c r="Z125" i="7"/>
  <c r="W186" i="7"/>
  <c r="X114" i="7"/>
  <c r="AA114" i="7"/>
  <c r="AF124" i="7"/>
  <c r="Y124" i="7"/>
  <c r="AC58" i="7"/>
  <c r="AA58" i="7"/>
  <c r="AD58" i="7"/>
  <c r="Y307" i="7"/>
  <c r="AC307" i="7"/>
  <c r="X307" i="7"/>
  <c r="AB152" i="7"/>
  <c r="AB287" i="7"/>
  <c r="AC183" i="7"/>
  <c r="AB186" i="7"/>
  <c r="X5" i="7"/>
  <c r="AB114" i="7"/>
  <c r="AV181" i="7"/>
  <c r="AU181" i="7"/>
  <c r="AX181" i="7"/>
  <c r="AG124" i="7"/>
  <c r="AE124" i="7"/>
  <c r="AB58" i="7"/>
  <c r="AG58" i="7"/>
  <c r="AB307" i="7"/>
  <c r="AA307" i="7"/>
  <c r="AF261" i="7"/>
  <c r="Y152" i="7"/>
  <c r="Y120" i="7"/>
  <c r="AG66" i="7"/>
  <c r="AB5" i="7"/>
  <c r="AD5" i="7"/>
  <c r="W114" i="7"/>
  <c r="AQ181" i="7"/>
  <c r="AD55" i="7"/>
  <c r="Y93" i="7"/>
  <c r="AD123" i="7"/>
  <c r="AC287" i="7"/>
  <c r="AD203" i="7"/>
  <c r="AG55" i="7"/>
  <c r="X276" i="7"/>
  <c r="AE183" i="7"/>
  <c r="W93" i="7"/>
  <c r="AC186" i="7"/>
  <c r="AF186" i="7"/>
  <c r="AG114" i="7"/>
  <c r="AF114" i="7"/>
  <c r="X261" i="7"/>
  <c r="AF68" i="7"/>
  <c r="X120" i="7"/>
  <c r="AB203" i="7"/>
  <c r="AC125" i="7"/>
  <c r="AA183" i="7"/>
  <c r="AE59" i="7"/>
  <c r="AD66" i="7"/>
  <c r="Y186" i="7"/>
  <c r="AC114" i="7"/>
  <c r="AE114" i="7"/>
  <c r="X123" i="7"/>
  <c r="W123" i="7"/>
  <c r="AF152" i="7"/>
  <c r="AE152" i="7"/>
  <c r="Z152" i="7"/>
  <c r="AA287" i="7"/>
  <c r="Y287" i="7"/>
  <c r="AD287" i="7"/>
  <c r="AE203" i="7"/>
  <c r="X203" i="7"/>
  <c r="AF125" i="7"/>
  <c r="AD125" i="7"/>
  <c r="AE93" i="7"/>
  <c r="AD93" i="7"/>
  <c r="AG123" i="7"/>
  <c r="AA123" i="7"/>
  <c r="W152" i="7"/>
  <c r="AA152" i="7"/>
  <c r="Z287" i="7"/>
  <c r="X287" i="7"/>
  <c r="W287" i="7"/>
  <c r="AF203" i="7"/>
  <c r="Y203" i="7"/>
  <c r="AG203" i="7"/>
  <c r="AB125" i="7"/>
  <c r="Y125" i="7"/>
  <c r="AC93" i="7"/>
  <c r="AB93" i="7"/>
  <c r="Y123" i="7"/>
  <c r="Z123" i="7"/>
  <c r="AD152" i="7"/>
  <c r="X152" i="7"/>
  <c r="AF287" i="7"/>
  <c r="AE287" i="7"/>
  <c r="Z203" i="7"/>
  <c r="AC203" i="7"/>
  <c r="AG125" i="7"/>
  <c r="AE125" i="7"/>
  <c r="Z93" i="7"/>
  <c r="AG93" i="7"/>
  <c r="AE186" i="7"/>
  <c r="AA186" i="7"/>
  <c r="CG230" i="7"/>
  <c r="W232" i="7"/>
  <c r="AF202" i="7"/>
  <c r="AC184" i="7"/>
  <c r="AC174" i="7"/>
  <c r="X174" i="7"/>
  <c r="Y202" i="7"/>
  <c r="AF184" i="7"/>
  <c r="Z174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2" i="7"/>
  <c r="X82" i="7"/>
  <c r="Y82" i="7"/>
  <c r="W82" i="7"/>
  <c r="AE82" i="7"/>
  <c r="AF82" i="7"/>
  <c r="AG82" i="7"/>
  <c r="AC82" i="7"/>
  <c r="AD82" i="7"/>
  <c r="AA82" i="7"/>
  <c r="Z82" i="7"/>
  <c r="AD202" i="7"/>
  <c r="AB202" i="7"/>
  <c r="W202" i="7"/>
  <c r="AB184" i="7"/>
  <c r="W184" i="7"/>
  <c r="AB232" i="7"/>
  <c r="Y232" i="7"/>
  <c r="Z232" i="7"/>
  <c r="AB174" i="7"/>
  <c r="W174" i="7"/>
  <c r="AA174" i="7"/>
  <c r="CD230" i="7"/>
  <c r="CC230" i="7"/>
  <c r="AB123" i="7"/>
  <c r="AF123" i="7"/>
  <c r="X202" i="7"/>
  <c r="AC202" i="7"/>
  <c r="AB220" i="7"/>
  <c r="AC152" i="7"/>
  <c r="AG184" i="7"/>
  <c r="Z184" i="7"/>
  <c r="AA184" i="7"/>
  <c r="Z293" i="7"/>
  <c r="AF232" i="7"/>
  <c r="AE232" i="7"/>
  <c r="AG232" i="7"/>
  <c r="Y174" i="7"/>
  <c r="AA125" i="7"/>
  <c r="W125" i="7"/>
  <c r="AA93" i="7"/>
  <c r="AF93" i="7"/>
  <c r="X186" i="7"/>
  <c r="Z186" i="7"/>
  <c r="Z114" i="7"/>
  <c r="BY230" i="7"/>
  <c r="CH230" i="7"/>
  <c r="BZ230" i="7"/>
  <c r="AA202" i="7"/>
  <c r="Z202" i="7"/>
  <c r="Y184" i="7"/>
  <c r="AE184" i="7"/>
  <c r="X232" i="7"/>
  <c r="AC232" i="7"/>
  <c r="CE230" i="7"/>
  <c r="CI230" i="7"/>
  <c r="AG220" i="7"/>
  <c r="Y293" i="7"/>
  <c r="AA228" i="7"/>
  <c r="AF283" i="7"/>
  <c r="AE116" i="7"/>
  <c r="X69" i="7"/>
  <c r="Z276" i="7"/>
  <c r="AF224" i="7"/>
  <c r="AC224" i="7"/>
  <c r="AG224" i="7"/>
  <c r="AA261" i="7"/>
  <c r="Z220" i="7"/>
  <c r="X293" i="7"/>
  <c r="Y68" i="7"/>
  <c r="AF228" i="7"/>
  <c r="AA120" i="7"/>
  <c r="Z120" i="7"/>
  <c r="AC283" i="7"/>
  <c r="AF55" i="7"/>
  <c r="AF116" i="7"/>
  <c r="AC69" i="7"/>
  <c r="AB276" i="7"/>
  <c r="AF183" i="7"/>
  <c r="W166" i="7"/>
  <c r="AE166" i="7"/>
  <c r="AF166" i="7"/>
  <c r="AD59" i="7"/>
  <c r="AB91" i="7"/>
  <c r="AF91" i="7"/>
  <c r="AE91" i="7"/>
  <c r="Y66" i="7"/>
  <c r="AC67" i="7"/>
  <c r="AE67" i="7"/>
  <c r="Z67" i="7"/>
  <c r="AD126" i="7"/>
  <c r="AG126" i="7"/>
  <c r="Z126" i="7"/>
  <c r="Y5" i="7"/>
  <c r="Z5" i="7"/>
  <c r="AD224" i="7"/>
  <c r="Z261" i="7"/>
  <c r="Y220" i="7"/>
  <c r="AD293" i="7"/>
  <c r="AA68" i="7"/>
  <c r="X228" i="7"/>
  <c r="AF120" i="7"/>
  <c r="AG120" i="7"/>
  <c r="AG283" i="7"/>
  <c r="AB55" i="7"/>
  <c r="Y55" i="7"/>
  <c r="Y116" i="7"/>
  <c r="AB69" i="7"/>
  <c r="AC276" i="7"/>
  <c r="Z183" i="7"/>
  <c r="AG166" i="7"/>
  <c r="Z166" i="7"/>
  <c r="AF59" i="7"/>
  <c r="AC59" i="7"/>
  <c r="Y91" i="7"/>
  <c r="AG91" i="7"/>
  <c r="AB66" i="7"/>
  <c r="AB67" i="7"/>
  <c r="AG67" i="7"/>
  <c r="Y126" i="7"/>
  <c r="AB126" i="7"/>
  <c r="AF5" i="7"/>
  <c r="AA5" i="7"/>
  <c r="AB261" i="7"/>
  <c r="AD261" i="7"/>
  <c r="X220" i="7"/>
  <c r="AA220" i="7"/>
  <c r="AG293" i="7"/>
  <c r="AA293" i="7"/>
  <c r="AE68" i="7"/>
  <c r="AC68" i="7"/>
  <c r="Y228" i="7"/>
  <c r="AG228" i="7"/>
  <c r="AE120" i="7"/>
  <c r="AC120" i="7"/>
  <c r="W120" i="7"/>
  <c r="AA283" i="7"/>
  <c r="Z283" i="7"/>
  <c r="AA55" i="7"/>
  <c r="AC55" i="7"/>
  <c r="X55" i="7"/>
  <c r="AA116" i="7"/>
  <c r="Z116" i="7"/>
  <c r="AD69" i="7"/>
  <c r="Z69" i="7"/>
  <c r="AE276" i="7"/>
  <c r="AF276" i="7"/>
  <c r="AG183" i="7"/>
  <c r="Y183" i="7"/>
  <c r="AB183" i="7"/>
  <c r="AG59" i="7"/>
  <c r="Y59" i="7"/>
  <c r="AF66" i="7"/>
  <c r="AE66" i="7"/>
  <c r="AC66" i="7"/>
  <c r="AG261" i="7"/>
  <c r="AC261" i="7"/>
  <c r="AC220" i="7"/>
  <c r="AF220" i="7"/>
  <c r="W293" i="7"/>
  <c r="AC293" i="7"/>
  <c r="X68" i="7"/>
  <c r="W68" i="7"/>
  <c r="AD228" i="7"/>
  <c r="AE228" i="7"/>
  <c r="AB120" i="7"/>
  <c r="Y283" i="7"/>
  <c r="W283" i="7"/>
  <c r="Z55" i="7"/>
  <c r="AE55" i="7"/>
  <c r="AG116" i="7"/>
  <c r="X116" i="7"/>
  <c r="AA69" i="7"/>
  <c r="W69" i="7"/>
  <c r="W276" i="7"/>
  <c r="AD276" i="7"/>
  <c r="AD183" i="7"/>
  <c r="X183" i="7"/>
  <c r="AA59" i="7"/>
  <c r="Z59" i="7"/>
  <c r="X66" i="7"/>
  <c r="Z66" i="7"/>
  <c r="BG279" i="7"/>
  <c r="BQ279" i="7"/>
  <c r="BN279" i="7"/>
  <c r="BM279" i="7"/>
  <c r="BJ279" i="7"/>
  <c r="BO279" i="7"/>
  <c r="BH279" i="7"/>
  <c r="BP279" i="7"/>
  <c r="BK279" i="7"/>
  <c r="BL279" i="7"/>
  <c r="BI279" i="7"/>
  <c r="BO156" i="7"/>
  <c r="BQ156" i="7"/>
  <c r="BP156" i="7"/>
  <c r="BK156" i="7"/>
  <c r="BI156" i="7"/>
  <c r="BL156" i="7"/>
  <c r="BG156" i="7"/>
  <c r="BN156" i="7"/>
  <c r="BM156" i="7"/>
  <c r="BH156" i="7"/>
  <c r="BJ156" i="7"/>
  <c r="BH144" i="7"/>
  <c r="BJ144" i="7"/>
  <c r="BM144" i="7"/>
  <c r="BO144" i="7"/>
  <c r="BQ144" i="7"/>
  <c r="BP144" i="7"/>
  <c r="BK144" i="7"/>
  <c r="BI144" i="7"/>
  <c r="BL144" i="7"/>
  <c r="BG144" i="7"/>
  <c r="BN144" i="7"/>
  <c r="BO153" i="7"/>
  <c r="BM153" i="7"/>
  <c r="BP153" i="7"/>
  <c r="BK153" i="7"/>
  <c r="BJ153" i="7"/>
  <c r="BL153" i="7"/>
  <c r="BG153" i="7"/>
  <c r="BI153" i="7"/>
  <c r="BH153" i="7"/>
  <c r="BN153" i="7"/>
  <c r="BQ153" i="7"/>
  <c r="BP155" i="7"/>
  <c r="BK155" i="7"/>
  <c r="BJ155" i="7"/>
  <c r="BL155" i="7"/>
  <c r="BG155" i="7"/>
  <c r="BI155" i="7"/>
  <c r="BH155" i="7"/>
  <c r="BN155" i="7"/>
  <c r="BQ155" i="7"/>
  <c r="BM155" i="7"/>
  <c r="BO155" i="7"/>
  <c r="BK40" i="7"/>
  <c r="BM40" i="7"/>
  <c r="BP40" i="7"/>
  <c r="BG40" i="7"/>
  <c r="BH40" i="7"/>
  <c r="BJ40" i="7"/>
  <c r="BN40" i="7"/>
  <c r="BQ40" i="7"/>
  <c r="BO40" i="7"/>
  <c r="BI40" i="7"/>
  <c r="BL40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6" i="7"/>
  <c r="BK76" i="7"/>
  <c r="BI76" i="7"/>
  <c r="BL76" i="7"/>
  <c r="BG76" i="7"/>
  <c r="BN76" i="7"/>
  <c r="BH76" i="7"/>
  <c r="BJ76" i="7"/>
  <c r="BM76" i="7"/>
  <c r="BO76" i="7"/>
  <c r="BQ76" i="7"/>
  <c r="BO74" i="7"/>
  <c r="BQ74" i="7"/>
  <c r="BP74" i="7"/>
  <c r="BK74" i="7"/>
  <c r="BI74" i="7"/>
  <c r="BL74" i="7"/>
  <c r="BG74" i="7"/>
  <c r="BN74" i="7"/>
  <c r="BH74" i="7"/>
  <c r="BJ74" i="7"/>
  <c r="BM74" i="7"/>
  <c r="BO79" i="7"/>
  <c r="BM79" i="7"/>
  <c r="BP79" i="7"/>
  <c r="BK79" i="7"/>
  <c r="BJ79" i="7"/>
  <c r="BL79" i="7"/>
  <c r="BG79" i="7"/>
  <c r="BQ79" i="7"/>
  <c r="BH79" i="7"/>
  <c r="BN79" i="7"/>
  <c r="BI79" i="7"/>
  <c r="BL181" i="7"/>
  <c r="BG181" i="7"/>
  <c r="BI181" i="7"/>
  <c r="BH181" i="7"/>
  <c r="BN181" i="7"/>
  <c r="BQ181" i="7"/>
  <c r="BO181" i="7"/>
  <c r="BM181" i="7"/>
  <c r="BK181" i="7"/>
  <c r="BJ181" i="7"/>
  <c r="BP181" i="7"/>
  <c r="BH219" i="7"/>
  <c r="BN219" i="7"/>
  <c r="BM219" i="7"/>
  <c r="BO219" i="7"/>
  <c r="BJ219" i="7"/>
  <c r="BP219" i="7"/>
  <c r="BK219" i="7"/>
  <c r="BI219" i="7"/>
  <c r="BQ219" i="7"/>
  <c r="BL219" i="7"/>
  <c r="BG219" i="7"/>
  <c r="BL128" i="7"/>
  <c r="BG128" i="7"/>
  <c r="BN128" i="7"/>
  <c r="BH128" i="7"/>
  <c r="BJ128" i="7"/>
  <c r="BM128" i="7"/>
  <c r="BO128" i="7"/>
  <c r="BQ128" i="7"/>
  <c r="BI128" i="7"/>
  <c r="BP128" i="7"/>
  <c r="BK128" i="7"/>
  <c r="BL150" i="7"/>
  <c r="BG150" i="7"/>
  <c r="BN150" i="7"/>
  <c r="BH150" i="7"/>
  <c r="BJ150" i="7"/>
  <c r="BM150" i="7"/>
  <c r="BO150" i="7"/>
  <c r="BQ150" i="7"/>
  <c r="BP150" i="7"/>
  <c r="BK150" i="7"/>
  <c r="BI150" i="7"/>
  <c r="BG309" i="7"/>
  <c r="BL309" i="7"/>
  <c r="BN309" i="7"/>
  <c r="BM309" i="7"/>
  <c r="BP309" i="7"/>
  <c r="BO309" i="7"/>
  <c r="BH309" i="7"/>
  <c r="BJ309" i="7"/>
  <c r="BK309" i="7"/>
  <c r="BQ309" i="7"/>
  <c r="BI309" i="7"/>
  <c r="BO134" i="7"/>
  <c r="BQ134" i="7"/>
  <c r="BP134" i="7"/>
  <c r="BK134" i="7"/>
  <c r="BI134" i="7"/>
  <c r="BL134" i="7"/>
  <c r="BG134" i="7"/>
  <c r="BN134" i="7"/>
  <c r="BH134" i="7"/>
  <c r="BJ134" i="7"/>
  <c r="BM134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59" i="7"/>
  <c r="BG159" i="7"/>
  <c r="BQ159" i="7"/>
  <c r="BH159" i="7"/>
  <c r="BN159" i="7"/>
  <c r="BI159" i="7"/>
  <c r="BO159" i="7"/>
  <c r="BM159" i="7"/>
  <c r="BP159" i="7"/>
  <c r="BK159" i="7"/>
  <c r="BJ159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7" i="7"/>
  <c r="BK187" i="7"/>
  <c r="BJ187" i="7"/>
  <c r="BL187" i="7"/>
  <c r="BG187" i="7"/>
  <c r="BQ187" i="7"/>
  <c r="BH187" i="7"/>
  <c r="BN187" i="7"/>
  <c r="BI187" i="7"/>
  <c r="BO187" i="7"/>
  <c r="BM187" i="7"/>
  <c r="BP57" i="7"/>
  <c r="BK57" i="7"/>
  <c r="BJ57" i="7"/>
  <c r="BL57" i="7"/>
  <c r="BG57" i="7"/>
  <c r="BQ57" i="7"/>
  <c r="BH57" i="7"/>
  <c r="BN57" i="7"/>
  <c r="BI57" i="7"/>
  <c r="BO57" i="7"/>
  <c r="BM57" i="7"/>
  <c r="BH127" i="7"/>
  <c r="BN127" i="7"/>
  <c r="BI127" i="7"/>
  <c r="BO127" i="7"/>
  <c r="BM127" i="7"/>
  <c r="BP127" i="7"/>
  <c r="BK127" i="7"/>
  <c r="BJ127" i="7"/>
  <c r="BG127" i="7"/>
  <c r="BQ127" i="7"/>
  <c r="BL127" i="7"/>
  <c r="BH183" i="7"/>
  <c r="BN183" i="7"/>
  <c r="BI183" i="7"/>
  <c r="BO183" i="7"/>
  <c r="BM183" i="7"/>
  <c r="BP183" i="7"/>
  <c r="BK183" i="7"/>
  <c r="BJ183" i="7"/>
  <c r="BQ183" i="7"/>
  <c r="BL183" i="7"/>
  <c r="BG183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5" i="7"/>
  <c r="BN175" i="7"/>
  <c r="BI175" i="7"/>
  <c r="BO175" i="7"/>
  <c r="BM175" i="7"/>
  <c r="BP175" i="7"/>
  <c r="BK175" i="7"/>
  <c r="BJ175" i="7"/>
  <c r="BG175" i="7"/>
  <c r="BQ175" i="7"/>
  <c r="BL175" i="7"/>
  <c r="BO308" i="7"/>
  <c r="BI308" i="7"/>
  <c r="BP308" i="7"/>
  <c r="BK308" i="7"/>
  <c r="BQ308" i="7"/>
  <c r="BM308" i="7"/>
  <c r="BG308" i="7"/>
  <c r="BL308" i="7"/>
  <c r="BJ308" i="7"/>
  <c r="BN308" i="7"/>
  <c r="BH308" i="7"/>
  <c r="BL205" i="7"/>
  <c r="BG205" i="7"/>
  <c r="BQ205" i="7"/>
  <c r="BH205" i="7"/>
  <c r="BN205" i="7"/>
  <c r="BI205" i="7"/>
  <c r="BO205" i="7"/>
  <c r="BM205" i="7"/>
  <c r="BP205" i="7"/>
  <c r="BK205" i="7"/>
  <c r="BJ205" i="7"/>
  <c r="BO55" i="7"/>
  <c r="BM55" i="7"/>
  <c r="BP55" i="7"/>
  <c r="BK55" i="7"/>
  <c r="BJ55" i="7"/>
  <c r="BL55" i="7"/>
  <c r="BG55" i="7"/>
  <c r="BI55" i="7"/>
  <c r="BN55" i="7"/>
  <c r="BQ55" i="7"/>
  <c r="BH55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204" i="7"/>
  <c r="BK204" i="7"/>
  <c r="BI204" i="7"/>
  <c r="BL204" i="7"/>
  <c r="BG204" i="7"/>
  <c r="BN204" i="7"/>
  <c r="BH204" i="7"/>
  <c r="BJ204" i="7"/>
  <c r="BM204" i="7"/>
  <c r="BO204" i="7"/>
  <c r="BQ204" i="7"/>
  <c r="BH72" i="7"/>
  <c r="BJ72" i="7"/>
  <c r="BM72" i="7"/>
  <c r="BO72" i="7"/>
  <c r="BQ72" i="7"/>
  <c r="BP72" i="7"/>
  <c r="BK72" i="7"/>
  <c r="BI72" i="7"/>
  <c r="BN72" i="7"/>
  <c r="BL72" i="7"/>
  <c r="BG72" i="7"/>
  <c r="BH106" i="7"/>
  <c r="BJ106" i="7"/>
  <c r="BM106" i="7"/>
  <c r="BO106" i="7"/>
  <c r="BQ106" i="7"/>
  <c r="BP106" i="7"/>
  <c r="BK106" i="7"/>
  <c r="BI106" i="7"/>
  <c r="BG106" i="7"/>
  <c r="BN106" i="7"/>
  <c r="BL106" i="7"/>
  <c r="BL166" i="7"/>
  <c r="BG166" i="7"/>
  <c r="BN166" i="7"/>
  <c r="BH166" i="7"/>
  <c r="BJ166" i="7"/>
  <c r="BM166" i="7"/>
  <c r="BO166" i="7"/>
  <c r="BQ166" i="7"/>
  <c r="BK166" i="7"/>
  <c r="BI166" i="7"/>
  <c r="BP166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8" i="7"/>
  <c r="BH28" i="7"/>
  <c r="BJ28" i="7"/>
  <c r="BN28" i="7"/>
  <c r="BQ28" i="7"/>
  <c r="BO28" i="7"/>
  <c r="BI28" i="7"/>
  <c r="BL28" i="7"/>
  <c r="BK28" i="7"/>
  <c r="BM28" i="7"/>
  <c r="BP28" i="7"/>
  <c r="BP133" i="7"/>
  <c r="BK133" i="7"/>
  <c r="BJ133" i="7"/>
  <c r="BL133" i="7"/>
  <c r="BG133" i="7"/>
  <c r="BQ133" i="7"/>
  <c r="BH133" i="7"/>
  <c r="BN133" i="7"/>
  <c r="BI133" i="7"/>
  <c r="BO133" i="7"/>
  <c r="BM133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8" i="7"/>
  <c r="BG68" i="7"/>
  <c r="BN68" i="7"/>
  <c r="BH68" i="7"/>
  <c r="BJ68" i="7"/>
  <c r="BM68" i="7"/>
  <c r="BO68" i="7"/>
  <c r="BQ68" i="7"/>
  <c r="BK68" i="7"/>
  <c r="BI68" i="7"/>
  <c r="BP68" i="7"/>
  <c r="BL83" i="7"/>
  <c r="BG83" i="7"/>
  <c r="BQ83" i="7"/>
  <c r="BH83" i="7"/>
  <c r="BN83" i="7"/>
  <c r="BI83" i="7"/>
  <c r="BO83" i="7"/>
  <c r="BM83" i="7"/>
  <c r="BJ83" i="7"/>
  <c r="BP83" i="7"/>
  <c r="BK83" i="7"/>
  <c r="BH168" i="7"/>
  <c r="BJ168" i="7"/>
  <c r="BM168" i="7"/>
  <c r="BO168" i="7"/>
  <c r="BQ168" i="7"/>
  <c r="BP168" i="7"/>
  <c r="BK168" i="7"/>
  <c r="BI168" i="7"/>
  <c r="BN168" i="7"/>
  <c r="BL168" i="7"/>
  <c r="BG168" i="7"/>
  <c r="BP148" i="7"/>
  <c r="BK148" i="7"/>
  <c r="BI148" i="7"/>
  <c r="BL148" i="7"/>
  <c r="BG148" i="7"/>
  <c r="BN148" i="7"/>
  <c r="BH148" i="7"/>
  <c r="BJ148" i="7"/>
  <c r="BM148" i="7"/>
  <c r="BO148" i="7"/>
  <c r="BQ148" i="7"/>
  <c r="BO41" i="7"/>
  <c r="BH41" i="7"/>
  <c r="BJ41" i="7"/>
  <c r="BK41" i="7"/>
  <c r="BQ41" i="7"/>
  <c r="BI41" i="7"/>
  <c r="BG41" i="7"/>
  <c r="BL41" i="7"/>
  <c r="BN41" i="7"/>
  <c r="BM41" i="7"/>
  <c r="BP41" i="7"/>
  <c r="BH82" i="7"/>
  <c r="BJ82" i="7"/>
  <c r="BM82" i="7"/>
  <c r="BO82" i="7"/>
  <c r="BQ82" i="7"/>
  <c r="BP82" i="7"/>
  <c r="BK82" i="7"/>
  <c r="BI82" i="7"/>
  <c r="BL82" i="7"/>
  <c r="BG82" i="7"/>
  <c r="BN82" i="7"/>
  <c r="BP123" i="7"/>
  <c r="BK123" i="7"/>
  <c r="BJ123" i="7"/>
  <c r="BL123" i="7"/>
  <c r="BG123" i="7"/>
  <c r="BI123" i="7"/>
  <c r="BH123" i="7"/>
  <c r="BN123" i="7"/>
  <c r="BQ123" i="7"/>
  <c r="BO123" i="7"/>
  <c r="BM123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1" i="7"/>
  <c r="BK81" i="7"/>
  <c r="BJ81" i="7"/>
  <c r="BL81" i="7"/>
  <c r="BG81" i="7"/>
  <c r="BQ81" i="7"/>
  <c r="BH81" i="7"/>
  <c r="BN81" i="7"/>
  <c r="BI81" i="7"/>
  <c r="BO81" i="7"/>
  <c r="BM81" i="7"/>
  <c r="BP114" i="7"/>
  <c r="BK114" i="7"/>
  <c r="BI114" i="7"/>
  <c r="BL114" i="7"/>
  <c r="BG114" i="7"/>
  <c r="BN114" i="7"/>
  <c r="BH114" i="7"/>
  <c r="BJ114" i="7"/>
  <c r="BM114" i="7"/>
  <c r="BO114" i="7"/>
  <c r="BQ114" i="7"/>
  <c r="BP160" i="7"/>
  <c r="BK160" i="7"/>
  <c r="BI160" i="7"/>
  <c r="BL160" i="7"/>
  <c r="BG160" i="7"/>
  <c r="BN160" i="7"/>
  <c r="BH160" i="7"/>
  <c r="BJ160" i="7"/>
  <c r="BM160" i="7"/>
  <c r="BO160" i="7"/>
  <c r="BQ160" i="7"/>
  <c r="BK4" i="7"/>
  <c r="BM4" i="7"/>
  <c r="BP4" i="7"/>
  <c r="BG4" i="7"/>
  <c r="BH4" i="7"/>
  <c r="BJ4" i="7"/>
  <c r="BN4" i="7"/>
  <c r="BQ4" i="7"/>
  <c r="BI4" i="7"/>
  <c r="BL4" i="7"/>
  <c r="BO4" i="7"/>
  <c r="BO129" i="7"/>
  <c r="BM129" i="7"/>
  <c r="BP129" i="7"/>
  <c r="BK129" i="7"/>
  <c r="BJ129" i="7"/>
  <c r="BL129" i="7"/>
  <c r="BG129" i="7"/>
  <c r="BQ129" i="7"/>
  <c r="BI129" i="7"/>
  <c r="BH129" i="7"/>
  <c r="BN129" i="7"/>
  <c r="BH65" i="7"/>
  <c r="BN65" i="7"/>
  <c r="BI65" i="7"/>
  <c r="BO65" i="7"/>
  <c r="BM65" i="7"/>
  <c r="BP65" i="7"/>
  <c r="BK65" i="7"/>
  <c r="BJ65" i="7"/>
  <c r="BG65" i="7"/>
  <c r="BQ65" i="7"/>
  <c r="BL65" i="7"/>
  <c r="BP54" i="7"/>
  <c r="BK54" i="7"/>
  <c r="BI54" i="7"/>
  <c r="BL54" i="7"/>
  <c r="BG54" i="7"/>
  <c r="BN54" i="7"/>
  <c r="BH54" i="7"/>
  <c r="BJ54" i="7"/>
  <c r="BM54" i="7"/>
  <c r="BO54" i="7"/>
  <c r="BQ54" i="7"/>
  <c r="BN16" i="7"/>
  <c r="BQ16" i="7"/>
  <c r="BO16" i="7"/>
  <c r="BI16" i="7"/>
  <c r="BL16" i="7"/>
  <c r="BK16" i="7"/>
  <c r="BM16" i="7"/>
  <c r="BJ16" i="7"/>
  <c r="BG16" i="7"/>
  <c r="BH16" i="7"/>
  <c r="BP16" i="7"/>
  <c r="BL88" i="7"/>
  <c r="BG88" i="7"/>
  <c r="BN88" i="7"/>
  <c r="BH88" i="7"/>
  <c r="BJ88" i="7"/>
  <c r="BM88" i="7"/>
  <c r="BO88" i="7"/>
  <c r="BQ88" i="7"/>
  <c r="BP88" i="7"/>
  <c r="BK88" i="7"/>
  <c r="BI88" i="7"/>
  <c r="BG13" i="7"/>
  <c r="BL13" i="7"/>
  <c r="BI13" i="7"/>
  <c r="BM13" i="7"/>
  <c r="BP13" i="7"/>
  <c r="BO13" i="7"/>
  <c r="BH13" i="7"/>
  <c r="BJ13" i="7"/>
  <c r="BK13" i="7"/>
  <c r="BQ13" i="7"/>
  <c r="BN13" i="7"/>
  <c r="BP196" i="7"/>
  <c r="BK196" i="7"/>
  <c r="BI196" i="7"/>
  <c r="BL196" i="7"/>
  <c r="BG196" i="7"/>
  <c r="BN196" i="7"/>
  <c r="BH196" i="7"/>
  <c r="BJ196" i="7"/>
  <c r="BM196" i="7"/>
  <c r="BO196" i="7"/>
  <c r="BQ196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5" i="7"/>
  <c r="BK195" i="7"/>
  <c r="BJ195" i="7"/>
  <c r="BL195" i="7"/>
  <c r="BG195" i="7"/>
  <c r="BQ195" i="7"/>
  <c r="BH195" i="7"/>
  <c r="BN195" i="7"/>
  <c r="BI195" i="7"/>
  <c r="BM195" i="7"/>
  <c r="BO195" i="7"/>
  <c r="BO244" i="7"/>
  <c r="BL244" i="7"/>
  <c r="BI244" i="7"/>
  <c r="BK244" i="7"/>
  <c r="BP244" i="7"/>
  <c r="BM244" i="7"/>
  <c r="BG244" i="7"/>
  <c r="BJ244" i="7"/>
  <c r="BH244" i="7"/>
  <c r="BQ244" i="7"/>
  <c r="BN244" i="7"/>
  <c r="BO84" i="7"/>
  <c r="BQ84" i="7"/>
  <c r="BP84" i="7"/>
  <c r="BK84" i="7"/>
  <c r="BI84" i="7"/>
  <c r="BL84" i="7"/>
  <c r="BG84" i="7"/>
  <c r="BN84" i="7"/>
  <c r="BH84" i="7"/>
  <c r="BJ84" i="7"/>
  <c r="BM84" i="7"/>
  <c r="BO245" i="7"/>
  <c r="BJ245" i="7"/>
  <c r="BH245" i="7"/>
  <c r="BK245" i="7"/>
  <c r="BN245" i="7"/>
  <c r="BQ245" i="7"/>
  <c r="BG245" i="7"/>
  <c r="BI245" i="7"/>
  <c r="BL245" i="7"/>
  <c r="BP245" i="7"/>
  <c r="BM245" i="7"/>
  <c r="BP66" i="7"/>
  <c r="BK66" i="7"/>
  <c r="BI66" i="7"/>
  <c r="BL66" i="7"/>
  <c r="BG66" i="7"/>
  <c r="BN66" i="7"/>
  <c r="BH66" i="7"/>
  <c r="BJ66" i="7"/>
  <c r="BM66" i="7"/>
  <c r="BO66" i="7"/>
  <c r="BQ66" i="7"/>
  <c r="BL116" i="7"/>
  <c r="BG116" i="7"/>
  <c r="BN116" i="7"/>
  <c r="BH116" i="7"/>
  <c r="BJ116" i="7"/>
  <c r="BM116" i="7"/>
  <c r="BO116" i="7"/>
  <c r="BQ116" i="7"/>
  <c r="BK116" i="7"/>
  <c r="BI116" i="7"/>
  <c r="BP116" i="7"/>
  <c r="BO43" i="7"/>
  <c r="BJ43" i="7"/>
  <c r="BH43" i="7"/>
  <c r="BK43" i="7"/>
  <c r="BN43" i="7"/>
  <c r="BQ43" i="7"/>
  <c r="BG43" i="7"/>
  <c r="BI43" i="7"/>
  <c r="BL43" i="7"/>
  <c r="BP43" i="7"/>
  <c r="BM43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0" i="7"/>
  <c r="BJ180" i="7"/>
  <c r="BM180" i="7"/>
  <c r="BO180" i="7"/>
  <c r="BQ180" i="7"/>
  <c r="BP180" i="7"/>
  <c r="BK180" i="7"/>
  <c r="BI180" i="7"/>
  <c r="BL180" i="7"/>
  <c r="BG180" i="7"/>
  <c r="BN180" i="7"/>
  <c r="BG30" i="7"/>
  <c r="BJ30" i="7"/>
  <c r="BH30" i="7"/>
  <c r="BQ30" i="7"/>
  <c r="BN30" i="7"/>
  <c r="BO30" i="7"/>
  <c r="BL30" i="7"/>
  <c r="BI30" i="7"/>
  <c r="BK30" i="7"/>
  <c r="BP30" i="7"/>
  <c r="BM30" i="7"/>
  <c r="BH163" i="7"/>
  <c r="BN163" i="7"/>
  <c r="BI163" i="7"/>
  <c r="BO163" i="7"/>
  <c r="BM163" i="7"/>
  <c r="BP163" i="7"/>
  <c r="BK163" i="7"/>
  <c r="BJ163" i="7"/>
  <c r="BL163" i="7"/>
  <c r="BG163" i="7"/>
  <c r="BQ163" i="7"/>
  <c r="BL186" i="7"/>
  <c r="BG186" i="7"/>
  <c r="BN186" i="7"/>
  <c r="BH186" i="7"/>
  <c r="BJ186" i="7"/>
  <c r="BM186" i="7"/>
  <c r="BO186" i="7"/>
  <c r="BQ186" i="7"/>
  <c r="BP186" i="7"/>
  <c r="BK186" i="7"/>
  <c r="BI186" i="7"/>
  <c r="BP69" i="7"/>
  <c r="BK69" i="7"/>
  <c r="BJ69" i="7"/>
  <c r="BL69" i="7"/>
  <c r="BG69" i="7"/>
  <c r="BQ69" i="7"/>
  <c r="BH69" i="7"/>
  <c r="BN69" i="7"/>
  <c r="BI69" i="7"/>
  <c r="BO69" i="7"/>
  <c r="BM69" i="7"/>
  <c r="BH90" i="7"/>
  <c r="BJ90" i="7"/>
  <c r="BM90" i="7"/>
  <c r="BO90" i="7"/>
  <c r="BQ90" i="7"/>
  <c r="BP90" i="7"/>
  <c r="BK90" i="7"/>
  <c r="BI90" i="7"/>
  <c r="BL90" i="7"/>
  <c r="BG90" i="7"/>
  <c r="BN90" i="7"/>
  <c r="BH77" i="7"/>
  <c r="BN77" i="7"/>
  <c r="BQ77" i="7"/>
  <c r="BO77" i="7"/>
  <c r="BM77" i="7"/>
  <c r="BP77" i="7"/>
  <c r="BK77" i="7"/>
  <c r="BJ77" i="7"/>
  <c r="BI77" i="7"/>
  <c r="BL77" i="7"/>
  <c r="BG77" i="7"/>
  <c r="BK310" i="7"/>
  <c r="BP310" i="7"/>
  <c r="BM310" i="7"/>
  <c r="BQ310" i="7"/>
  <c r="BN310" i="7"/>
  <c r="BO310" i="7"/>
  <c r="BI310" i="7"/>
  <c r="BG310" i="7"/>
  <c r="BH310" i="7"/>
  <c r="BL310" i="7"/>
  <c r="BJ310" i="7"/>
  <c r="BP19" i="7"/>
  <c r="BM19" i="7"/>
  <c r="BO19" i="7"/>
  <c r="BJ19" i="7"/>
  <c r="BH19" i="7"/>
  <c r="BK19" i="7"/>
  <c r="BN19" i="7"/>
  <c r="BL19" i="7"/>
  <c r="BI19" i="7"/>
  <c r="BQ19" i="7"/>
  <c r="BG19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5" i="7"/>
  <c r="BG135" i="7"/>
  <c r="BQ135" i="7"/>
  <c r="BH135" i="7"/>
  <c r="BN135" i="7"/>
  <c r="BI135" i="7"/>
  <c r="BO135" i="7"/>
  <c r="BM135" i="7"/>
  <c r="BK135" i="7"/>
  <c r="BJ135" i="7"/>
  <c r="BP135" i="7"/>
  <c r="BG298" i="7"/>
  <c r="BI298" i="7"/>
  <c r="BH298" i="7"/>
  <c r="BO298" i="7"/>
  <c r="BL298" i="7"/>
  <c r="BM298" i="7"/>
  <c r="BK298" i="7"/>
  <c r="BJ298" i="7"/>
  <c r="BQ298" i="7"/>
  <c r="BN298" i="7"/>
  <c r="BP298" i="7"/>
  <c r="BG44" i="7"/>
  <c r="BH44" i="7"/>
  <c r="BJ44" i="7"/>
  <c r="BN44" i="7"/>
  <c r="BQ44" i="7"/>
  <c r="BO44" i="7"/>
  <c r="BI44" i="7"/>
  <c r="BL44" i="7"/>
  <c r="BK44" i="7"/>
  <c r="BM44" i="7"/>
  <c r="BP44" i="7"/>
  <c r="BO20" i="7"/>
  <c r="BI20" i="7"/>
  <c r="BL20" i="7"/>
  <c r="BK20" i="7"/>
  <c r="BM20" i="7"/>
  <c r="BP20" i="7"/>
  <c r="BG20" i="7"/>
  <c r="BH20" i="7"/>
  <c r="BJ20" i="7"/>
  <c r="BN20" i="7"/>
  <c r="BQ20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59" i="7"/>
  <c r="BG59" i="7"/>
  <c r="BQ59" i="7"/>
  <c r="BH59" i="7"/>
  <c r="BN59" i="7"/>
  <c r="BI59" i="7"/>
  <c r="BO59" i="7"/>
  <c r="BM59" i="7"/>
  <c r="BP59" i="7"/>
  <c r="BK59" i="7"/>
  <c r="BJ59" i="7"/>
  <c r="BK307" i="7"/>
  <c r="BM307" i="7"/>
  <c r="BN307" i="7"/>
  <c r="BG307" i="7"/>
  <c r="BH307" i="7"/>
  <c r="BL307" i="7"/>
  <c r="BP307" i="7"/>
  <c r="BI307" i="7"/>
  <c r="BJ307" i="7"/>
  <c r="BQ307" i="7"/>
  <c r="BO307" i="7"/>
  <c r="BO124" i="7"/>
  <c r="BQ124" i="7"/>
  <c r="BP124" i="7"/>
  <c r="BK124" i="7"/>
  <c r="BI124" i="7"/>
  <c r="BL124" i="7"/>
  <c r="BG124" i="7"/>
  <c r="BN124" i="7"/>
  <c r="BH124" i="7"/>
  <c r="BJ124" i="7"/>
  <c r="BM124" i="7"/>
  <c r="BH151" i="7"/>
  <c r="BN151" i="7"/>
  <c r="BI151" i="7"/>
  <c r="BO151" i="7"/>
  <c r="BM151" i="7"/>
  <c r="BP151" i="7"/>
  <c r="BK151" i="7"/>
  <c r="BJ151" i="7"/>
  <c r="BL151" i="7"/>
  <c r="BG151" i="7"/>
  <c r="BQ151" i="7"/>
  <c r="BK303" i="7"/>
  <c r="BM303" i="7"/>
  <c r="BL303" i="7"/>
  <c r="BG303" i="7"/>
  <c r="BH303" i="7"/>
  <c r="BI303" i="7"/>
  <c r="BP303" i="7"/>
  <c r="BQ303" i="7"/>
  <c r="BO303" i="7"/>
  <c r="BJ303" i="7"/>
  <c r="BN303" i="7"/>
  <c r="BO182" i="7"/>
  <c r="BQ182" i="7"/>
  <c r="BP182" i="7"/>
  <c r="BK182" i="7"/>
  <c r="BI182" i="7"/>
  <c r="BL182" i="7"/>
  <c r="BG182" i="7"/>
  <c r="BN182" i="7"/>
  <c r="BH182" i="7"/>
  <c r="BJ182" i="7"/>
  <c r="BM182" i="7"/>
  <c r="BL224" i="7"/>
  <c r="BG224" i="7"/>
  <c r="BM224" i="7"/>
  <c r="BH224" i="7"/>
  <c r="BN224" i="7"/>
  <c r="BI224" i="7"/>
  <c r="BO224" i="7"/>
  <c r="BJ224" i="7"/>
  <c r="BQ224" i="7"/>
  <c r="BP224" i="7"/>
  <c r="BK224" i="7"/>
  <c r="BP203" i="7"/>
  <c r="BK203" i="7"/>
  <c r="BJ203" i="7"/>
  <c r="BL203" i="7"/>
  <c r="BG203" i="7"/>
  <c r="BQ203" i="7"/>
  <c r="BH203" i="7"/>
  <c r="BN203" i="7"/>
  <c r="BI203" i="7"/>
  <c r="BO203" i="7"/>
  <c r="BM203" i="7"/>
  <c r="BO52" i="7"/>
  <c r="BQ52" i="7"/>
  <c r="BP52" i="7"/>
  <c r="BK52" i="7"/>
  <c r="BI52" i="7"/>
  <c r="BL52" i="7"/>
  <c r="BG52" i="7"/>
  <c r="BN52" i="7"/>
  <c r="BJ52" i="7"/>
  <c r="BM52" i="7"/>
  <c r="BH52" i="7"/>
  <c r="BQ302" i="7"/>
  <c r="BH302" i="7"/>
  <c r="BK302" i="7"/>
  <c r="BN302" i="7"/>
  <c r="BM302" i="7"/>
  <c r="BI302" i="7"/>
  <c r="BO302" i="7"/>
  <c r="BP302" i="7"/>
  <c r="BG302" i="7"/>
  <c r="BJ302" i="7"/>
  <c r="BL302" i="7"/>
  <c r="BO213" i="7"/>
  <c r="BM213" i="7"/>
  <c r="BP213" i="7"/>
  <c r="BK213" i="7"/>
  <c r="BJ213" i="7"/>
  <c r="BL213" i="7"/>
  <c r="BG213" i="7"/>
  <c r="BQ213" i="7"/>
  <c r="BI213" i="7"/>
  <c r="BH213" i="7"/>
  <c r="BN213" i="7"/>
  <c r="BL231" i="7"/>
  <c r="BG231" i="7"/>
  <c r="BM231" i="7"/>
  <c r="BH231" i="7"/>
  <c r="BN231" i="7"/>
  <c r="BI231" i="7"/>
  <c r="BO231" i="7"/>
  <c r="BJ231" i="7"/>
  <c r="BP231" i="7"/>
  <c r="BK231" i="7"/>
  <c r="BQ231" i="7"/>
  <c r="BM37" i="7"/>
  <c r="BP37" i="7"/>
  <c r="BO37" i="7"/>
  <c r="BH37" i="7"/>
  <c r="BJ37" i="7"/>
  <c r="BK37" i="7"/>
  <c r="BQ37" i="7"/>
  <c r="BN37" i="7"/>
  <c r="BI37" i="7"/>
  <c r="BG37" i="7"/>
  <c r="BL37" i="7"/>
  <c r="BH200" i="7"/>
  <c r="BJ200" i="7"/>
  <c r="BM200" i="7"/>
  <c r="BO200" i="7"/>
  <c r="BQ200" i="7"/>
  <c r="BP200" i="7"/>
  <c r="BK200" i="7"/>
  <c r="BI200" i="7"/>
  <c r="BG200" i="7"/>
  <c r="BN200" i="7"/>
  <c r="BL200" i="7"/>
  <c r="BP174" i="7"/>
  <c r="BK174" i="7"/>
  <c r="BI174" i="7"/>
  <c r="BL174" i="7"/>
  <c r="BG174" i="7"/>
  <c r="BN174" i="7"/>
  <c r="BH174" i="7"/>
  <c r="BJ174" i="7"/>
  <c r="BM174" i="7"/>
  <c r="BO174" i="7"/>
  <c r="BQ174" i="7"/>
  <c r="BP93" i="7"/>
  <c r="BK93" i="7"/>
  <c r="BJ93" i="7"/>
  <c r="BL93" i="7"/>
  <c r="BG93" i="7"/>
  <c r="BQ93" i="7"/>
  <c r="BH93" i="7"/>
  <c r="BN93" i="7"/>
  <c r="BI93" i="7"/>
  <c r="BM93" i="7"/>
  <c r="BO93" i="7"/>
  <c r="BO172" i="7"/>
  <c r="BQ172" i="7"/>
  <c r="BP172" i="7"/>
  <c r="BK172" i="7"/>
  <c r="BI172" i="7"/>
  <c r="BL172" i="7"/>
  <c r="BG172" i="7"/>
  <c r="BN172" i="7"/>
  <c r="BH172" i="7"/>
  <c r="BJ172" i="7"/>
  <c r="BM172" i="7"/>
  <c r="BP179" i="7"/>
  <c r="BK179" i="7"/>
  <c r="BJ179" i="7"/>
  <c r="BL179" i="7"/>
  <c r="BG179" i="7"/>
  <c r="BQ179" i="7"/>
  <c r="BH179" i="7"/>
  <c r="BN179" i="7"/>
  <c r="BI179" i="7"/>
  <c r="BO179" i="7"/>
  <c r="BM179" i="7"/>
  <c r="BG259" i="7"/>
  <c r="BL259" i="7"/>
  <c r="BI259" i="7"/>
  <c r="BM259" i="7"/>
  <c r="BP259" i="7"/>
  <c r="BO259" i="7"/>
  <c r="BH259" i="7"/>
  <c r="BJ259" i="7"/>
  <c r="BK259" i="7"/>
  <c r="BQ259" i="7"/>
  <c r="BN259" i="7"/>
  <c r="BO177" i="7"/>
  <c r="BM177" i="7"/>
  <c r="BP177" i="7"/>
  <c r="BK177" i="7"/>
  <c r="BJ177" i="7"/>
  <c r="BL177" i="7"/>
  <c r="BG177" i="7"/>
  <c r="BQ177" i="7"/>
  <c r="BI177" i="7"/>
  <c r="BH177" i="7"/>
  <c r="BN177" i="7"/>
  <c r="BL101" i="7"/>
  <c r="BG101" i="7"/>
  <c r="BQ101" i="7"/>
  <c r="BH101" i="7"/>
  <c r="BN101" i="7"/>
  <c r="BI101" i="7"/>
  <c r="BO101" i="7"/>
  <c r="BM101" i="7"/>
  <c r="BP101" i="7"/>
  <c r="BK101" i="7"/>
  <c r="BJ101" i="7"/>
  <c r="BH120" i="7"/>
  <c r="BJ120" i="7"/>
  <c r="BM120" i="7"/>
  <c r="BO120" i="7"/>
  <c r="BQ120" i="7"/>
  <c r="BP120" i="7"/>
  <c r="BK120" i="7"/>
  <c r="BI120" i="7"/>
  <c r="BN120" i="7"/>
  <c r="BL120" i="7"/>
  <c r="BG120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0" i="7"/>
  <c r="BJ130" i="7"/>
  <c r="BM130" i="7"/>
  <c r="BO130" i="7"/>
  <c r="BQ130" i="7"/>
  <c r="BP130" i="7"/>
  <c r="BK130" i="7"/>
  <c r="BI130" i="7"/>
  <c r="BL130" i="7"/>
  <c r="BG130" i="7"/>
  <c r="BN130" i="7"/>
  <c r="BO60" i="7"/>
  <c r="BQ60" i="7"/>
  <c r="BP60" i="7"/>
  <c r="BK60" i="7"/>
  <c r="BI60" i="7"/>
  <c r="BL60" i="7"/>
  <c r="BG60" i="7"/>
  <c r="BN60" i="7"/>
  <c r="BM60" i="7"/>
  <c r="BH60" i="7"/>
  <c r="BJ60" i="7"/>
  <c r="BN254" i="7"/>
  <c r="BQ254" i="7"/>
  <c r="BO254" i="7"/>
  <c r="BI254" i="7"/>
  <c r="BL254" i="7"/>
  <c r="BK254" i="7"/>
  <c r="BM254" i="7"/>
  <c r="BP254" i="7"/>
  <c r="BJ254" i="7"/>
  <c r="BG254" i="7"/>
  <c r="BH254" i="7"/>
  <c r="BL149" i="7"/>
  <c r="BG149" i="7"/>
  <c r="BQ149" i="7"/>
  <c r="BH149" i="7"/>
  <c r="BN149" i="7"/>
  <c r="BI149" i="7"/>
  <c r="BO149" i="7"/>
  <c r="BM149" i="7"/>
  <c r="BJ149" i="7"/>
  <c r="BP149" i="7"/>
  <c r="BK149" i="7"/>
  <c r="BK42" i="7"/>
  <c r="BP42" i="7"/>
  <c r="BM42" i="7"/>
  <c r="BG42" i="7"/>
  <c r="BJ42" i="7"/>
  <c r="BH42" i="7"/>
  <c r="BQ42" i="7"/>
  <c r="BN42" i="7"/>
  <c r="BO42" i="7"/>
  <c r="BL42" i="7"/>
  <c r="BI42" i="7"/>
  <c r="BP169" i="7"/>
  <c r="BK169" i="7"/>
  <c r="BJ169" i="7"/>
  <c r="BL169" i="7"/>
  <c r="BG169" i="7"/>
  <c r="BQ169" i="7"/>
  <c r="BH169" i="7"/>
  <c r="BN169" i="7"/>
  <c r="BI169" i="7"/>
  <c r="BO169" i="7"/>
  <c r="BM169" i="7"/>
  <c r="BK257" i="7"/>
  <c r="BN257" i="7"/>
  <c r="BQ257" i="7"/>
  <c r="BG257" i="7"/>
  <c r="BI257" i="7"/>
  <c r="BL257" i="7"/>
  <c r="BP257" i="7"/>
  <c r="BM257" i="7"/>
  <c r="BO257" i="7"/>
  <c r="BJ257" i="7"/>
  <c r="BH257" i="7"/>
  <c r="BH137" i="7"/>
  <c r="BN137" i="7"/>
  <c r="BI137" i="7"/>
  <c r="BO137" i="7"/>
  <c r="BM137" i="7"/>
  <c r="BP137" i="7"/>
  <c r="BK137" i="7"/>
  <c r="BJ137" i="7"/>
  <c r="BQ137" i="7"/>
  <c r="BL137" i="7"/>
  <c r="BG137" i="7"/>
  <c r="BO282" i="7"/>
  <c r="BL282" i="7"/>
  <c r="BM282" i="7"/>
  <c r="BK282" i="7"/>
  <c r="BN282" i="7"/>
  <c r="BG282" i="7"/>
  <c r="BI282" i="7"/>
  <c r="BH282" i="7"/>
  <c r="BP282" i="7"/>
  <c r="BJ282" i="7"/>
  <c r="BQ282" i="7"/>
  <c r="BH152" i="7"/>
  <c r="BJ152" i="7"/>
  <c r="BM152" i="7"/>
  <c r="BO152" i="7"/>
  <c r="BQ152" i="7"/>
  <c r="BP152" i="7"/>
  <c r="BK152" i="7"/>
  <c r="BI152" i="7"/>
  <c r="BG152" i="7"/>
  <c r="BN152" i="7"/>
  <c r="BL152" i="7"/>
  <c r="BH53" i="7"/>
  <c r="BN53" i="7"/>
  <c r="BI53" i="7"/>
  <c r="BO53" i="7"/>
  <c r="BM53" i="7"/>
  <c r="BP53" i="7"/>
  <c r="BK53" i="7"/>
  <c r="BJ53" i="7"/>
  <c r="BL53" i="7"/>
  <c r="BG53" i="7"/>
  <c r="BQ53" i="7"/>
  <c r="BO192" i="7"/>
  <c r="BQ192" i="7"/>
  <c r="BP192" i="7"/>
  <c r="BK192" i="7"/>
  <c r="BI192" i="7"/>
  <c r="BL192" i="7"/>
  <c r="BG192" i="7"/>
  <c r="BN192" i="7"/>
  <c r="BJ192" i="7"/>
  <c r="BM192" i="7"/>
  <c r="BH192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220" i="7"/>
  <c r="BJ220" i="7"/>
  <c r="BP220" i="7"/>
  <c r="BK220" i="7"/>
  <c r="BM220" i="7"/>
  <c r="BL220" i="7"/>
  <c r="BG220" i="7"/>
  <c r="BI220" i="7"/>
  <c r="BH220" i="7"/>
  <c r="BN220" i="7"/>
  <c r="BQ220" i="7"/>
  <c r="BO91" i="7"/>
  <c r="BM91" i="7"/>
  <c r="BP91" i="7"/>
  <c r="BK91" i="7"/>
  <c r="BJ91" i="7"/>
  <c r="BL91" i="7"/>
  <c r="BG91" i="7"/>
  <c r="BQ91" i="7"/>
  <c r="BH91" i="7"/>
  <c r="BN91" i="7"/>
  <c r="BI91" i="7"/>
  <c r="BK9" i="7"/>
  <c r="BQ9" i="7"/>
  <c r="BI9" i="7"/>
  <c r="BG9" i="7"/>
  <c r="BL9" i="7"/>
  <c r="BN9" i="7"/>
  <c r="BM9" i="7"/>
  <c r="BP9" i="7"/>
  <c r="BO9" i="7"/>
  <c r="BH9" i="7"/>
  <c r="BJ9" i="7"/>
  <c r="BO185" i="7"/>
  <c r="BM185" i="7"/>
  <c r="BP185" i="7"/>
  <c r="BK185" i="7"/>
  <c r="BJ185" i="7"/>
  <c r="BL185" i="7"/>
  <c r="BG185" i="7"/>
  <c r="BQ185" i="7"/>
  <c r="BH185" i="7"/>
  <c r="BN185" i="7"/>
  <c r="BI185" i="7"/>
  <c r="BO193" i="7"/>
  <c r="BM193" i="7"/>
  <c r="BP193" i="7"/>
  <c r="BK193" i="7"/>
  <c r="BJ193" i="7"/>
  <c r="BL193" i="7"/>
  <c r="BG193" i="7"/>
  <c r="BQ193" i="7"/>
  <c r="BH193" i="7"/>
  <c r="BN193" i="7"/>
  <c r="BI193" i="7"/>
  <c r="BO306" i="7"/>
  <c r="BL306" i="7"/>
  <c r="BH306" i="7"/>
  <c r="BG306" i="7"/>
  <c r="BI306" i="7"/>
  <c r="BM306" i="7"/>
  <c r="BQ306" i="7"/>
  <c r="BN306" i="7"/>
  <c r="BJ306" i="7"/>
  <c r="BK306" i="7"/>
  <c r="BP306" i="7"/>
  <c r="BP86" i="7"/>
  <c r="BK86" i="7"/>
  <c r="BI86" i="7"/>
  <c r="BL86" i="7"/>
  <c r="BG86" i="7"/>
  <c r="BN86" i="7"/>
  <c r="BH86" i="7"/>
  <c r="BJ86" i="7"/>
  <c r="BM86" i="7"/>
  <c r="BQ86" i="7"/>
  <c r="BO86" i="7"/>
  <c r="BL78" i="7"/>
  <c r="BG78" i="7"/>
  <c r="BN78" i="7"/>
  <c r="BH78" i="7"/>
  <c r="BJ78" i="7"/>
  <c r="BM78" i="7"/>
  <c r="BO78" i="7"/>
  <c r="BQ78" i="7"/>
  <c r="BI78" i="7"/>
  <c r="BP78" i="7"/>
  <c r="BK78" i="7"/>
  <c r="BL71" i="7"/>
  <c r="BG71" i="7"/>
  <c r="BQ71" i="7"/>
  <c r="BH71" i="7"/>
  <c r="BN71" i="7"/>
  <c r="BI71" i="7"/>
  <c r="BO71" i="7"/>
  <c r="BM71" i="7"/>
  <c r="BK71" i="7"/>
  <c r="BJ71" i="7"/>
  <c r="BP71" i="7"/>
  <c r="BP184" i="7"/>
  <c r="BK184" i="7"/>
  <c r="BI184" i="7"/>
  <c r="BL184" i="7"/>
  <c r="BG184" i="7"/>
  <c r="BN184" i="7"/>
  <c r="BH184" i="7"/>
  <c r="BJ184" i="7"/>
  <c r="BM184" i="7"/>
  <c r="BQ184" i="7"/>
  <c r="BO184" i="7"/>
  <c r="BL189" i="7"/>
  <c r="BG189" i="7"/>
  <c r="BQ189" i="7"/>
  <c r="BH189" i="7"/>
  <c r="BN189" i="7"/>
  <c r="BI189" i="7"/>
  <c r="BO189" i="7"/>
  <c r="BM189" i="7"/>
  <c r="BJ189" i="7"/>
  <c r="BP189" i="7"/>
  <c r="BK189" i="7"/>
  <c r="BO238" i="7"/>
  <c r="BI238" i="7"/>
  <c r="BL238" i="7"/>
  <c r="BK238" i="7"/>
  <c r="BM238" i="7"/>
  <c r="BP238" i="7"/>
  <c r="BG238" i="7"/>
  <c r="BH238" i="7"/>
  <c r="BJ238" i="7"/>
  <c r="BN238" i="7"/>
  <c r="BQ238" i="7"/>
  <c r="BH209" i="7"/>
  <c r="BN209" i="7"/>
  <c r="BQ209" i="7"/>
  <c r="BO209" i="7"/>
  <c r="BM209" i="7"/>
  <c r="BP209" i="7"/>
  <c r="BK209" i="7"/>
  <c r="BJ209" i="7"/>
  <c r="BG209" i="7"/>
  <c r="BI209" i="7"/>
  <c r="BL209" i="7"/>
  <c r="BO146" i="7"/>
  <c r="BQ146" i="7"/>
  <c r="BP146" i="7"/>
  <c r="BK146" i="7"/>
  <c r="BI146" i="7"/>
  <c r="BL146" i="7"/>
  <c r="BG146" i="7"/>
  <c r="BN146" i="7"/>
  <c r="BJ146" i="7"/>
  <c r="BM146" i="7"/>
  <c r="BH146" i="7"/>
  <c r="BO165" i="7"/>
  <c r="BM165" i="7"/>
  <c r="BP165" i="7"/>
  <c r="BK165" i="7"/>
  <c r="BJ165" i="7"/>
  <c r="BL165" i="7"/>
  <c r="BG165" i="7"/>
  <c r="BQ165" i="7"/>
  <c r="BN165" i="7"/>
  <c r="BI165" i="7"/>
  <c r="BH165" i="7"/>
  <c r="BM17" i="7"/>
  <c r="BP17" i="7"/>
  <c r="BO17" i="7"/>
  <c r="BH17" i="7"/>
  <c r="BJ17" i="7"/>
  <c r="BK17" i="7"/>
  <c r="BQ17" i="7"/>
  <c r="BN17" i="7"/>
  <c r="BL17" i="7"/>
  <c r="BI17" i="7"/>
  <c r="BG17" i="7"/>
  <c r="BP223" i="7"/>
  <c r="BK223" i="7"/>
  <c r="BQ223" i="7"/>
  <c r="BL223" i="7"/>
  <c r="BG223" i="7"/>
  <c r="BM223" i="7"/>
  <c r="BH223" i="7"/>
  <c r="BN223" i="7"/>
  <c r="BI223" i="7"/>
  <c r="BO223" i="7"/>
  <c r="BJ223" i="7"/>
  <c r="BO228" i="7"/>
  <c r="BJ228" i="7"/>
  <c r="BP228" i="7"/>
  <c r="BK228" i="7"/>
  <c r="BM228" i="7"/>
  <c r="BL228" i="7"/>
  <c r="BG228" i="7"/>
  <c r="BI228" i="7"/>
  <c r="BH228" i="7"/>
  <c r="BN228" i="7"/>
  <c r="BQ228" i="7"/>
  <c r="BO141" i="7"/>
  <c r="BM141" i="7"/>
  <c r="BP141" i="7"/>
  <c r="BK141" i="7"/>
  <c r="BJ141" i="7"/>
  <c r="BL141" i="7"/>
  <c r="BG141" i="7"/>
  <c r="BQ141" i="7"/>
  <c r="BH141" i="7"/>
  <c r="BN141" i="7"/>
  <c r="BI141" i="7"/>
  <c r="BO100" i="7"/>
  <c r="BQ100" i="7"/>
  <c r="BP100" i="7"/>
  <c r="BK100" i="7"/>
  <c r="BI100" i="7"/>
  <c r="BL100" i="7"/>
  <c r="BG100" i="7"/>
  <c r="BN100" i="7"/>
  <c r="BJ100" i="7"/>
  <c r="BM100" i="7"/>
  <c r="BH100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1" i="7"/>
  <c r="BM201" i="7"/>
  <c r="BP201" i="7"/>
  <c r="BK201" i="7"/>
  <c r="BJ201" i="7"/>
  <c r="BL201" i="7"/>
  <c r="BG201" i="7"/>
  <c r="BI201" i="7"/>
  <c r="BN201" i="7"/>
  <c r="BQ201" i="7"/>
  <c r="BH201" i="7"/>
  <c r="BL56" i="7"/>
  <c r="BG56" i="7"/>
  <c r="BN56" i="7"/>
  <c r="BH56" i="7"/>
  <c r="BJ56" i="7"/>
  <c r="BM56" i="7"/>
  <c r="BO56" i="7"/>
  <c r="BQ56" i="7"/>
  <c r="BP56" i="7"/>
  <c r="BK56" i="7"/>
  <c r="BI56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7" i="7"/>
  <c r="AG77" i="7"/>
  <c r="AC77" i="7"/>
  <c r="AD77" i="7"/>
  <c r="AF77" i="7"/>
  <c r="AA77" i="7"/>
  <c r="AB77" i="7"/>
  <c r="X77" i="7"/>
  <c r="Y77" i="7"/>
  <c r="Z77" i="7"/>
  <c r="W77" i="7"/>
  <c r="BG12" i="7"/>
  <c r="BH12" i="7"/>
  <c r="BJ12" i="7"/>
  <c r="BN12" i="7"/>
  <c r="BQ12" i="7"/>
  <c r="BO12" i="7"/>
  <c r="BI12" i="7"/>
  <c r="BL12" i="7"/>
  <c r="BP12" i="7"/>
  <c r="BK12" i="7"/>
  <c r="BM12" i="7"/>
  <c r="BH191" i="7"/>
  <c r="BN191" i="7"/>
  <c r="BQ191" i="7"/>
  <c r="BO191" i="7"/>
  <c r="BM191" i="7"/>
  <c r="BP191" i="7"/>
  <c r="BK191" i="7"/>
  <c r="BJ191" i="7"/>
  <c r="BL191" i="7"/>
  <c r="BG191" i="7"/>
  <c r="BI191" i="7"/>
  <c r="BH103" i="7"/>
  <c r="BN103" i="7"/>
  <c r="BI103" i="7"/>
  <c r="BO103" i="7"/>
  <c r="BM103" i="7"/>
  <c r="BP103" i="7"/>
  <c r="BK103" i="7"/>
  <c r="BJ103" i="7"/>
  <c r="BL103" i="7"/>
  <c r="BG103" i="7"/>
  <c r="BQ103" i="7"/>
  <c r="BG246" i="7"/>
  <c r="BH246" i="7"/>
  <c r="BP246" i="7"/>
  <c r="BN246" i="7"/>
  <c r="BQ246" i="7"/>
  <c r="BO246" i="7"/>
  <c r="BI246" i="7"/>
  <c r="BL246" i="7"/>
  <c r="BM246" i="7"/>
  <c r="BJ246" i="7"/>
  <c r="BK246" i="7"/>
  <c r="AG79" i="7"/>
  <c r="AF79" i="7"/>
  <c r="AA79" i="7"/>
  <c r="AC79" i="7"/>
  <c r="AD79" i="7"/>
  <c r="Y79" i="7"/>
  <c r="Z79" i="7"/>
  <c r="AB79" i="7"/>
  <c r="X79" i="7"/>
  <c r="W79" i="7"/>
  <c r="AE79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4" i="7"/>
  <c r="BG104" i="7"/>
  <c r="BN104" i="7"/>
  <c r="BH104" i="7"/>
  <c r="BJ104" i="7"/>
  <c r="BM104" i="7"/>
  <c r="BO104" i="7"/>
  <c r="BQ104" i="7"/>
  <c r="BP104" i="7"/>
  <c r="BK104" i="7"/>
  <c r="BI104" i="7"/>
  <c r="AD115" i="7"/>
  <c r="AE115" i="7"/>
  <c r="AG115" i="7"/>
  <c r="AB115" i="7"/>
  <c r="X115" i="7"/>
  <c r="Y115" i="7"/>
  <c r="AC115" i="7"/>
  <c r="W115" i="7"/>
  <c r="Z115" i="7"/>
  <c r="AF115" i="7"/>
  <c r="AA115" i="7"/>
  <c r="BL140" i="7"/>
  <c r="BG140" i="7"/>
  <c r="BN140" i="7"/>
  <c r="BH140" i="7"/>
  <c r="BJ140" i="7"/>
  <c r="BM140" i="7"/>
  <c r="BO140" i="7"/>
  <c r="BQ140" i="7"/>
  <c r="BP140" i="7"/>
  <c r="BK140" i="7"/>
  <c r="BI140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3" i="7"/>
  <c r="AD173" i="7"/>
  <c r="AB173" i="7"/>
  <c r="X173" i="7"/>
  <c r="AA173" i="7"/>
  <c r="AC173" i="7"/>
  <c r="Y173" i="7"/>
  <c r="AG173" i="7"/>
  <c r="W173" i="7"/>
  <c r="AE173" i="7"/>
  <c r="Z173" i="7"/>
  <c r="Y288" i="7"/>
  <c r="X288" i="7"/>
  <c r="AF288" i="7"/>
  <c r="AB288" i="7"/>
  <c r="AG288" i="7"/>
  <c r="AE288" i="7"/>
  <c r="AD288" i="7"/>
  <c r="AC288" i="7"/>
  <c r="Z288" i="7"/>
  <c r="AA288" i="7"/>
  <c r="W288" i="7"/>
  <c r="BH218" i="7"/>
  <c r="BJ218" i="7"/>
  <c r="BM218" i="7"/>
  <c r="BO218" i="7"/>
  <c r="BQ218" i="7"/>
  <c r="BP218" i="7"/>
  <c r="BK218" i="7"/>
  <c r="BI218" i="7"/>
  <c r="BN218" i="7"/>
  <c r="BL218" i="7"/>
  <c r="BG218" i="7"/>
  <c r="BL171" i="7"/>
  <c r="BG171" i="7"/>
  <c r="BQ171" i="7"/>
  <c r="BH171" i="7"/>
  <c r="BN171" i="7"/>
  <c r="BI171" i="7"/>
  <c r="BO171" i="7"/>
  <c r="BM171" i="7"/>
  <c r="BP171" i="7"/>
  <c r="BK171" i="7"/>
  <c r="BJ171" i="7"/>
  <c r="BQ10" i="7"/>
  <c r="BN10" i="7"/>
  <c r="BO10" i="7"/>
  <c r="BL10" i="7"/>
  <c r="BI10" i="7"/>
  <c r="BK10" i="7"/>
  <c r="BP10" i="7"/>
  <c r="BM10" i="7"/>
  <c r="BG10" i="7"/>
  <c r="BJ10" i="7"/>
  <c r="BH10" i="7"/>
  <c r="X18" i="7"/>
  <c r="AF18" i="7"/>
  <c r="AC18" i="7"/>
  <c r="Z18" i="7"/>
  <c r="W18" i="7"/>
  <c r="AE18" i="7"/>
  <c r="AB18" i="7"/>
  <c r="Y18" i="7"/>
  <c r="AG18" i="7"/>
  <c r="AD18" i="7"/>
  <c r="AA18" i="7"/>
  <c r="BO38" i="7"/>
  <c r="BL38" i="7"/>
  <c r="BI38" i="7"/>
  <c r="BK38" i="7"/>
  <c r="BP38" i="7"/>
  <c r="BM38" i="7"/>
  <c r="BG38" i="7"/>
  <c r="BJ38" i="7"/>
  <c r="BH38" i="7"/>
  <c r="BN38" i="7"/>
  <c r="BQ38" i="7"/>
  <c r="BL197" i="7"/>
  <c r="BG197" i="7"/>
  <c r="BQ197" i="7"/>
  <c r="BH197" i="7"/>
  <c r="BN197" i="7"/>
  <c r="BI197" i="7"/>
  <c r="BO197" i="7"/>
  <c r="BM197" i="7"/>
  <c r="BP197" i="7"/>
  <c r="BK197" i="7"/>
  <c r="BJ197" i="7"/>
  <c r="BH58" i="7"/>
  <c r="BJ58" i="7"/>
  <c r="BM58" i="7"/>
  <c r="BO58" i="7"/>
  <c r="BQ58" i="7"/>
  <c r="BP58" i="7"/>
  <c r="BK58" i="7"/>
  <c r="BI58" i="7"/>
  <c r="BG58" i="7"/>
  <c r="BN58" i="7"/>
  <c r="BL58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1" i="7"/>
  <c r="BM121" i="7"/>
  <c r="BL121" i="7"/>
  <c r="BG121" i="7"/>
  <c r="BI121" i="7"/>
  <c r="BK121" i="7"/>
  <c r="BN121" i="7"/>
  <c r="BP121" i="7"/>
  <c r="BJ121" i="7"/>
  <c r="BH121" i="7"/>
  <c r="BQ121" i="7"/>
  <c r="AD99" i="7"/>
  <c r="AF99" i="7"/>
  <c r="AA99" i="7"/>
  <c r="Y99" i="7"/>
  <c r="AG99" i="7"/>
  <c r="X99" i="7"/>
  <c r="AC99" i="7"/>
  <c r="AB99" i="7"/>
  <c r="W99" i="7"/>
  <c r="AE99" i="7"/>
  <c r="Z99" i="7"/>
  <c r="BG252" i="7"/>
  <c r="BJ252" i="7"/>
  <c r="BH252" i="7"/>
  <c r="BQ252" i="7"/>
  <c r="BN252" i="7"/>
  <c r="BO252" i="7"/>
  <c r="BL252" i="7"/>
  <c r="BI252" i="7"/>
  <c r="BK252" i="7"/>
  <c r="BP252" i="7"/>
  <c r="BM252" i="7"/>
  <c r="BO202" i="7"/>
  <c r="BQ202" i="7"/>
  <c r="BP202" i="7"/>
  <c r="BK202" i="7"/>
  <c r="BI202" i="7"/>
  <c r="BL202" i="7"/>
  <c r="BG202" i="7"/>
  <c r="BN202" i="7"/>
  <c r="BM202" i="7"/>
  <c r="BH202" i="7"/>
  <c r="BJ202" i="7"/>
  <c r="BH190" i="7"/>
  <c r="BJ190" i="7"/>
  <c r="BM190" i="7"/>
  <c r="BO190" i="7"/>
  <c r="BQ190" i="7"/>
  <c r="BP190" i="7"/>
  <c r="BK190" i="7"/>
  <c r="BI190" i="7"/>
  <c r="BL190" i="7"/>
  <c r="BG190" i="7"/>
  <c r="BN190" i="7"/>
  <c r="BK288" i="7"/>
  <c r="BQ288" i="7"/>
  <c r="BJ288" i="7"/>
  <c r="BG288" i="7"/>
  <c r="BL288" i="7"/>
  <c r="BH288" i="7"/>
  <c r="BN288" i="7"/>
  <c r="BP288" i="7"/>
  <c r="BI288" i="7"/>
  <c r="BM288" i="7"/>
  <c r="BO288" i="7"/>
  <c r="BH199" i="7"/>
  <c r="BN199" i="7"/>
  <c r="BI199" i="7"/>
  <c r="BO199" i="7"/>
  <c r="BM199" i="7"/>
  <c r="BP199" i="7"/>
  <c r="BK199" i="7"/>
  <c r="BJ199" i="7"/>
  <c r="BL199" i="7"/>
  <c r="BG199" i="7"/>
  <c r="BQ199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6" i="7"/>
  <c r="BK126" i="7"/>
  <c r="BI126" i="7"/>
  <c r="BL126" i="7"/>
  <c r="BG126" i="7"/>
  <c r="BN126" i="7"/>
  <c r="BH126" i="7"/>
  <c r="BJ126" i="7"/>
  <c r="BM126" i="7"/>
  <c r="BO126" i="7"/>
  <c r="BQ126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39" i="7"/>
  <c r="AE139" i="7"/>
  <c r="AB139" i="7"/>
  <c r="AG139" i="7"/>
  <c r="AD139" i="7"/>
  <c r="X139" i="7"/>
  <c r="AC139" i="7"/>
  <c r="AA139" i="7"/>
  <c r="Z139" i="7"/>
  <c r="W139" i="7"/>
  <c r="Y139" i="7"/>
  <c r="BP138" i="7"/>
  <c r="BK138" i="7"/>
  <c r="BI138" i="7"/>
  <c r="BL138" i="7"/>
  <c r="BG138" i="7"/>
  <c r="BN138" i="7"/>
  <c r="BH138" i="7"/>
  <c r="BJ138" i="7"/>
  <c r="BM138" i="7"/>
  <c r="BQ138" i="7"/>
  <c r="BO138" i="7"/>
  <c r="BL115" i="7"/>
  <c r="BG115" i="7"/>
  <c r="BI115" i="7"/>
  <c r="BH115" i="7"/>
  <c r="BN115" i="7"/>
  <c r="BQ115" i="7"/>
  <c r="BO115" i="7"/>
  <c r="BM115" i="7"/>
  <c r="BP115" i="7"/>
  <c r="BK115" i="7"/>
  <c r="BJ115" i="7"/>
  <c r="Y215" i="7"/>
  <c r="Z215" i="7"/>
  <c r="X215" i="7"/>
  <c r="AF215" i="7"/>
  <c r="AB215" i="7"/>
  <c r="AC215" i="7"/>
  <c r="AG215" i="7"/>
  <c r="AE215" i="7"/>
  <c r="AD215" i="7"/>
  <c r="AA215" i="7"/>
  <c r="W215" i="7"/>
  <c r="AE286" i="7"/>
  <c r="Y286" i="7"/>
  <c r="AC286" i="7"/>
  <c r="X286" i="7"/>
  <c r="W286" i="7"/>
  <c r="AG286" i="7"/>
  <c r="AB286" i="7"/>
  <c r="AF286" i="7"/>
  <c r="AD286" i="7"/>
  <c r="Z286" i="7"/>
  <c r="AA286" i="7"/>
  <c r="AC122" i="7"/>
  <c r="AB122" i="7"/>
  <c r="Y122" i="7"/>
  <c r="Z122" i="7"/>
  <c r="AA122" i="7"/>
  <c r="W122" i="7"/>
  <c r="X122" i="7"/>
  <c r="AF122" i="7"/>
  <c r="AD122" i="7"/>
  <c r="AE122" i="7"/>
  <c r="AG122" i="7"/>
  <c r="BL125" i="7"/>
  <c r="BG125" i="7"/>
  <c r="BQ125" i="7"/>
  <c r="BH125" i="7"/>
  <c r="BN125" i="7"/>
  <c r="BI125" i="7"/>
  <c r="BO125" i="7"/>
  <c r="BM125" i="7"/>
  <c r="BP125" i="7"/>
  <c r="BK125" i="7"/>
  <c r="BJ125" i="7"/>
  <c r="BL176" i="7"/>
  <c r="BG176" i="7"/>
  <c r="BN176" i="7"/>
  <c r="BH176" i="7"/>
  <c r="BJ176" i="7"/>
  <c r="BM176" i="7"/>
  <c r="BO176" i="7"/>
  <c r="BQ176" i="7"/>
  <c r="BI176" i="7"/>
  <c r="BP176" i="7"/>
  <c r="BK176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1" i="7"/>
  <c r="AA131" i="7"/>
  <c r="Z131" i="7"/>
  <c r="X131" i="7"/>
  <c r="AG131" i="7"/>
  <c r="W131" i="7"/>
  <c r="AB131" i="7"/>
  <c r="AF131" i="7"/>
  <c r="Y131" i="7"/>
  <c r="AE131" i="7"/>
  <c r="AD131" i="7"/>
  <c r="Z207" i="7"/>
  <c r="X207" i="7"/>
  <c r="AF207" i="7"/>
  <c r="AG207" i="7"/>
  <c r="AC207" i="7"/>
  <c r="AD207" i="7"/>
  <c r="W207" i="7"/>
  <c r="AB207" i="7"/>
  <c r="Y207" i="7"/>
  <c r="AE207" i="7"/>
  <c r="AA207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5" i="7"/>
  <c r="BK145" i="7"/>
  <c r="BJ145" i="7"/>
  <c r="BL145" i="7"/>
  <c r="BG145" i="7"/>
  <c r="BQ145" i="7"/>
  <c r="BH145" i="7"/>
  <c r="BN145" i="7"/>
  <c r="BI145" i="7"/>
  <c r="BO145" i="7"/>
  <c r="BM145" i="7"/>
  <c r="BK26" i="7"/>
  <c r="BP26" i="7"/>
  <c r="BM26" i="7"/>
  <c r="BG26" i="7"/>
  <c r="BJ26" i="7"/>
  <c r="BH26" i="7"/>
  <c r="BQ26" i="7"/>
  <c r="BN26" i="7"/>
  <c r="BI26" i="7"/>
  <c r="BO26" i="7"/>
  <c r="BL26" i="7"/>
  <c r="AF85" i="7"/>
  <c r="AD85" i="7"/>
  <c r="AB85" i="7"/>
  <c r="X85" i="7"/>
  <c r="Y85" i="7"/>
  <c r="Z85" i="7"/>
  <c r="W85" i="7"/>
  <c r="AE85" i="7"/>
  <c r="AA85" i="7"/>
  <c r="AC85" i="7"/>
  <c r="AG85" i="7"/>
  <c r="Z158" i="7"/>
  <c r="W158" i="7"/>
  <c r="AA158" i="7"/>
  <c r="AB158" i="7"/>
  <c r="Y158" i="7"/>
  <c r="AG158" i="7"/>
  <c r="AD158" i="7"/>
  <c r="AE158" i="7"/>
  <c r="X158" i="7"/>
  <c r="AF158" i="7"/>
  <c r="AC158" i="7"/>
  <c r="Y80" i="7"/>
  <c r="Z80" i="7"/>
  <c r="AB80" i="7"/>
  <c r="W80" i="7"/>
  <c r="AE80" i="7"/>
  <c r="AC80" i="7"/>
  <c r="AD80" i="7"/>
  <c r="AF80" i="7"/>
  <c r="AG80" i="7"/>
  <c r="AA80" i="7"/>
  <c r="X80" i="7"/>
  <c r="AB179" i="7"/>
  <c r="AF179" i="7"/>
  <c r="AG179" i="7"/>
  <c r="AA179" i="7"/>
  <c r="AD179" i="7"/>
  <c r="Z179" i="7"/>
  <c r="AC179" i="7"/>
  <c r="Y179" i="7"/>
  <c r="AE179" i="7"/>
  <c r="W179" i="7"/>
  <c r="X179" i="7"/>
  <c r="BH117" i="7"/>
  <c r="BN117" i="7"/>
  <c r="BI117" i="7"/>
  <c r="BO117" i="7"/>
  <c r="BM117" i="7"/>
  <c r="BP117" i="7"/>
  <c r="BK117" i="7"/>
  <c r="BJ117" i="7"/>
  <c r="BG117" i="7"/>
  <c r="BQ117" i="7"/>
  <c r="BL117" i="7"/>
  <c r="BK269" i="7"/>
  <c r="BN269" i="7"/>
  <c r="BQ269" i="7"/>
  <c r="BG269" i="7"/>
  <c r="BI269" i="7"/>
  <c r="BL269" i="7"/>
  <c r="BP269" i="7"/>
  <c r="BM269" i="7"/>
  <c r="BO269" i="7"/>
  <c r="BJ269" i="7"/>
  <c r="BH269" i="7"/>
  <c r="BO67" i="7"/>
  <c r="BM67" i="7"/>
  <c r="BP67" i="7"/>
  <c r="BK67" i="7"/>
  <c r="BJ67" i="7"/>
  <c r="BL67" i="7"/>
  <c r="BG67" i="7"/>
  <c r="BI67" i="7"/>
  <c r="BQ67" i="7"/>
  <c r="BH67" i="7"/>
  <c r="BN67" i="7"/>
  <c r="AB239" i="7"/>
  <c r="AD239" i="7"/>
  <c r="AG239" i="7"/>
  <c r="Y239" i="7"/>
  <c r="AA239" i="7"/>
  <c r="W239" i="7"/>
  <c r="Z239" i="7"/>
  <c r="X239" i="7"/>
  <c r="AF239" i="7"/>
  <c r="AE239" i="7"/>
  <c r="AC239" i="7"/>
  <c r="BL198" i="7"/>
  <c r="BG198" i="7"/>
  <c r="BN198" i="7"/>
  <c r="BH198" i="7"/>
  <c r="BJ198" i="7"/>
  <c r="BM198" i="7"/>
  <c r="BO198" i="7"/>
  <c r="BQ198" i="7"/>
  <c r="BP198" i="7"/>
  <c r="BK198" i="7"/>
  <c r="BI198" i="7"/>
  <c r="AG33" i="7"/>
  <c r="X33" i="7"/>
  <c r="Z33" i="7"/>
  <c r="AB33" i="7"/>
  <c r="AD33" i="7"/>
  <c r="AC33" i="7"/>
  <c r="W33" i="7"/>
  <c r="Y33" i="7"/>
  <c r="AF33" i="7"/>
  <c r="AE33" i="7"/>
  <c r="AA33" i="7"/>
  <c r="BZ153" i="7"/>
  <c r="CA153" i="7"/>
  <c r="CC153" i="7"/>
  <c r="CG153" i="7"/>
  <c r="CE153" i="7"/>
  <c r="CH153" i="7"/>
  <c r="CB153" i="7"/>
  <c r="BY153" i="7"/>
  <c r="CD153" i="7"/>
  <c r="CF153" i="7"/>
  <c r="CI153" i="7"/>
  <c r="AV62" i="7"/>
  <c r="AO62" i="7"/>
  <c r="AW62" i="7"/>
  <c r="AT62" i="7"/>
  <c r="AR62" i="7"/>
  <c r="AQ62" i="7"/>
  <c r="AS62" i="7"/>
  <c r="AY62" i="7"/>
  <c r="AX62" i="7"/>
  <c r="AP62" i="7"/>
  <c r="AU62" i="7"/>
  <c r="BM63" i="7"/>
  <c r="BI63" i="7"/>
  <c r="BQ63" i="7"/>
  <c r="BJ63" i="7"/>
  <c r="BH63" i="7"/>
  <c r="BN63" i="7"/>
  <c r="BO63" i="7"/>
  <c r="BP63" i="7"/>
  <c r="BK63" i="7"/>
  <c r="BL63" i="7"/>
  <c r="BG63" i="7"/>
  <c r="AR48" i="7"/>
  <c r="AW48" i="7"/>
  <c r="AP48" i="7"/>
  <c r="AV48" i="7"/>
  <c r="AO48" i="7"/>
  <c r="AT48" i="7"/>
  <c r="AS48" i="7"/>
  <c r="AU48" i="7"/>
  <c r="AQ48" i="7"/>
  <c r="AX48" i="7"/>
  <c r="AY48" i="7"/>
  <c r="CF36" i="7"/>
  <c r="CE36" i="7"/>
  <c r="CB36" i="7"/>
  <c r="BZ36" i="7"/>
  <c r="CH36" i="7"/>
  <c r="BY36" i="7"/>
  <c r="CG36" i="7"/>
  <c r="CI36" i="7"/>
  <c r="CD36" i="7"/>
  <c r="CA36" i="7"/>
  <c r="CC36" i="7"/>
  <c r="CH63" i="7"/>
  <c r="CA63" i="7"/>
  <c r="CF63" i="7"/>
  <c r="CG63" i="7"/>
  <c r="CI63" i="7"/>
  <c r="CC63" i="7"/>
  <c r="BY63" i="7"/>
  <c r="CE63" i="7"/>
  <c r="CD63" i="7"/>
  <c r="CB63" i="7"/>
  <c r="BZ63" i="7"/>
  <c r="CG98" i="7"/>
  <c r="CE98" i="7"/>
  <c r="CF98" i="7"/>
  <c r="CC98" i="7"/>
  <c r="CA98" i="7"/>
  <c r="CD98" i="7"/>
  <c r="BY98" i="7"/>
  <c r="CH98" i="7"/>
  <c r="CB98" i="7"/>
  <c r="CI98" i="7"/>
  <c r="BZ98" i="7"/>
  <c r="BJ278" i="7"/>
  <c r="BQ278" i="7"/>
  <c r="BL278" i="7"/>
  <c r="BK278" i="7"/>
  <c r="BM278" i="7"/>
  <c r="BP278" i="7"/>
  <c r="BG278" i="7"/>
  <c r="BN278" i="7"/>
  <c r="BO278" i="7"/>
  <c r="BI278" i="7"/>
  <c r="BH278" i="7"/>
  <c r="CI157" i="7"/>
  <c r="CC157" i="7"/>
  <c r="BZ157" i="7"/>
  <c r="CA157" i="7"/>
  <c r="CH157" i="7"/>
  <c r="CB157" i="7"/>
  <c r="BY157" i="7"/>
  <c r="CG157" i="7"/>
  <c r="CD157" i="7"/>
  <c r="CF157" i="7"/>
  <c r="CE157" i="7"/>
  <c r="BM99" i="7"/>
  <c r="BQ99" i="7"/>
  <c r="BJ99" i="7"/>
  <c r="BI99" i="7"/>
  <c r="BH99" i="7"/>
  <c r="BN99" i="7"/>
  <c r="BO99" i="7"/>
  <c r="BP99" i="7"/>
  <c r="BK99" i="7"/>
  <c r="BL99" i="7"/>
  <c r="BG99" i="7"/>
  <c r="CG206" i="7"/>
  <c r="BY206" i="7"/>
  <c r="CE206" i="7"/>
  <c r="CB206" i="7"/>
  <c r="CA206" i="7"/>
  <c r="CD206" i="7"/>
  <c r="CC206" i="7"/>
  <c r="CH206" i="7"/>
  <c r="BZ206" i="7"/>
  <c r="CF206" i="7"/>
  <c r="CI206" i="7"/>
  <c r="AW81" i="7"/>
  <c r="AV81" i="7"/>
  <c r="AP81" i="7"/>
  <c r="AY81" i="7"/>
  <c r="AX81" i="7"/>
  <c r="AU81" i="7"/>
  <c r="AO81" i="7"/>
  <c r="AQ81" i="7"/>
  <c r="AT81" i="7"/>
  <c r="AR81" i="7"/>
  <c r="AS81" i="7"/>
  <c r="CF40" i="7"/>
  <c r="CB40" i="7"/>
  <c r="BZ40" i="7"/>
  <c r="CH40" i="7"/>
  <c r="CE40" i="7"/>
  <c r="CD40" i="7"/>
  <c r="CA40" i="7"/>
  <c r="CC40" i="7"/>
  <c r="CI40" i="7"/>
  <c r="CG40" i="7"/>
  <c r="BY40" i="7"/>
  <c r="AP159" i="7"/>
  <c r="AX159" i="7"/>
  <c r="AW159" i="7"/>
  <c r="AR159" i="7"/>
  <c r="AT159" i="7"/>
  <c r="AY159" i="7"/>
  <c r="AO159" i="7"/>
  <c r="AU159" i="7"/>
  <c r="AV159" i="7"/>
  <c r="AQ159" i="7"/>
  <c r="AS159" i="7"/>
  <c r="AW85" i="7"/>
  <c r="AV85" i="7"/>
  <c r="AP85" i="7"/>
  <c r="AR85" i="7"/>
  <c r="AU85" i="7"/>
  <c r="AQ85" i="7"/>
  <c r="AS85" i="7"/>
  <c r="AO85" i="7"/>
  <c r="AT85" i="7"/>
  <c r="AY85" i="7"/>
  <c r="AX85" i="7"/>
  <c r="AY110" i="7"/>
  <c r="AP110" i="7"/>
  <c r="AR110" i="7"/>
  <c r="AQ110" i="7"/>
  <c r="AO110" i="7"/>
  <c r="AW110" i="7"/>
  <c r="AU110" i="7"/>
  <c r="AV110" i="7"/>
  <c r="AS110" i="7"/>
  <c r="AX110" i="7"/>
  <c r="AT110" i="7"/>
  <c r="CH82" i="7"/>
  <c r="CA82" i="7"/>
  <c r="CF82" i="7"/>
  <c r="BZ82" i="7"/>
  <c r="CE82" i="7"/>
  <c r="CB82" i="7"/>
  <c r="CD82" i="7"/>
  <c r="CG82" i="7"/>
  <c r="CI82" i="7"/>
  <c r="CC82" i="7"/>
  <c r="BY82" i="7"/>
  <c r="CH14" i="7"/>
  <c r="CA14" i="7"/>
  <c r="CF14" i="7"/>
  <c r="BZ14" i="7"/>
  <c r="CE14" i="7"/>
  <c r="CB14" i="7"/>
  <c r="BY14" i="7"/>
  <c r="CD14" i="7"/>
  <c r="CG14" i="7"/>
  <c r="CI14" i="7"/>
  <c r="CC14" i="7"/>
  <c r="AV30" i="7"/>
  <c r="AW30" i="7"/>
  <c r="AT30" i="7"/>
  <c r="AR30" i="7"/>
  <c r="AO30" i="7"/>
  <c r="AS30" i="7"/>
  <c r="AP30" i="7"/>
  <c r="AY30" i="7"/>
  <c r="AX30" i="7"/>
  <c r="AU30" i="7"/>
  <c r="AQ30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79" i="7"/>
  <c r="AP179" i="7"/>
  <c r="AX179" i="7"/>
  <c r="AW179" i="7"/>
  <c r="AY179" i="7"/>
  <c r="AO179" i="7"/>
  <c r="AS179" i="7"/>
  <c r="AU179" i="7"/>
  <c r="AV179" i="7"/>
  <c r="AQ179" i="7"/>
  <c r="AT179" i="7"/>
  <c r="AV14" i="7"/>
  <c r="AP14" i="7"/>
  <c r="AW14" i="7"/>
  <c r="AO14" i="7"/>
  <c r="AT14" i="7"/>
  <c r="AR14" i="7"/>
  <c r="AY14" i="7"/>
  <c r="AX14" i="7"/>
  <c r="AU14" i="7"/>
  <c r="AQ14" i="7"/>
  <c r="AS14" i="7"/>
  <c r="CH71" i="7"/>
  <c r="CF71" i="7"/>
  <c r="CA71" i="7"/>
  <c r="BY71" i="7"/>
  <c r="CE71" i="7"/>
  <c r="CB71" i="7"/>
  <c r="CD71" i="7"/>
  <c r="CG71" i="7"/>
  <c r="CI71" i="7"/>
  <c r="BZ71" i="7"/>
  <c r="CC71" i="7"/>
  <c r="CI221" i="7"/>
  <c r="BZ221" i="7"/>
  <c r="CA221" i="7"/>
  <c r="CH221" i="7"/>
  <c r="CB221" i="7"/>
  <c r="BY221" i="7"/>
  <c r="CC221" i="7"/>
  <c r="CG221" i="7"/>
  <c r="CF221" i="7"/>
  <c r="CE221" i="7"/>
  <c r="CD221" i="7"/>
  <c r="CI49" i="7"/>
  <c r="CD49" i="7"/>
  <c r="CH49" i="7"/>
  <c r="CE49" i="7"/>
  <c r="CG49" i="7"/>
  <c r="CB49" i="7"/>
  <c r="BZ49" i="7"/>
  <c r="CC49" i="7"/>
  <c r="CF49" i="7"/>
  <c r="BY49" i="7"/>
  <c r="CA49" i="7"/>
  <c r="CF92" i="7"/>
  <c r="CB92" i="7"/>
  <c r="CG92" i="7"/>
  <c r="CE92" i="7"/>
  <c r="CC92" i="7"/>
  <c r="CA92" i="7"/>
  <c r="BY92" i="7"/>
  <c r="CH92" i="7"/>
  <c r="CI92" i="7"/>
  <c r="CD92" i="7"/>
  <c r="BZ92" i="7"/>
  <c r="CG155" i="7"/>
  <c r="CF155" i="7"/>
  <c r="CA155" i="7"/>
  <c r="CC155" i="7"/>
  <c r="BY155" i="7"/>
  <c r="CD155" i="7"/>
  <c r="CI155" i="7"/>
  <c r="CB155" i="7"/>
  <c r="CH155" i="7"/>
  <c r="CE155" i="7"/>
  <c r="BZ155" i="7"/>
  <c r="CD108" i="7"/>
  <c r="CB108" i="7"/>
  <c r="BY108" i="7"/>
  <c r="CF108" i="7"/>
  <c r="CH108" i="7"/>
  <c r="CG108" i="7"/>
  <c r="CE108" i="7"/>
  <c r="CC108" i="7"/>
  <c r="CI108" i="7"/>
  <c r="CA108" i="7"/>
  <c r="BZ108" i="7"/>
  <c r="AW41" i="7"/>
  <c r="AV41" i="7"/>
  <c r="AP41" i="7"/>
  <c r="AS41" i="7"/>
  <c r="AT41" i="7"/>
  <c r="AR41" i="7"/>
  <c r="AY41" i="7"/>
  <c r="AX41" i="7"/>
  <c r="AU41" i="7"/>
  <c r="AQ41" i="7"/>
  <c r="AO41" i="7"/>
  <c r="AT16" i="7"/>
  <c r="AR16" i="7"/>
  <c r="AO16" i="7"/>
  <c r="AW16" i="7"/>
  <c r="AY16" i="7"/>
  <c r="AX16" i="7"/>
  <c r="AQ16" i="7"/>
  <c r="AS16" i="7"/>
  <c r="AV16" i="7"/>
  <c r="AU16" i="7"/>
  <c r="AP16" i="7"/>
  <c r="CE62" i="7"/>
  <c r="CB62" i="7"/>
  <c r="CH62" i="7"/>
  <c r="CA62" i="7"/>
  <c r="CF62" i="7"/>
  <c r="BZ62" i="7"/>
  <c r="BY62" i="7"/>
  <c r="CD62" i="7"/>
  <c r="CG62" i="7"/>
  <c r="CI62" i="7"/>
  <c r="CC62" i="7"/>
  <c r="CF196" i="7"/>
  <c r="BY196" i="7"/>
  <c r="CG196" i="7"/>
  <c r="CE196" i="7"/>
  <c r="CB196" i="7"/>
  <c r="CA196" i="7"/>
  <c r="BZ196" i="7"/>
  <c r="CH196" i="7"/>
  <c r="CI196" i="7"/>
  <c r="CD196" i="7"/>
  <c r="CC196" i="7"/>
  <c r="AT19" i="7"/>
  <c r="AO19" i="7"/>
  <c r="AY19" i="7"/>
  <c r="AX19" i="7"/>
  <c r="AR19" i="7"/>
  <c r="AU19" i="7"/>
  <c r="AW19" i="7"/>
  <c r="AQ19" i="7"/>
  <c r="AP19" i="7"/>
  <c r="AV19" i="7"/>
  <c r="AS19" i="7"/>
  <c r="CF84" i="7"/>
  <c r="CH84" i="7"/>
  <c r="CE84" i="7"/>
  <c r="CB84" i="7"/>
  <c r="BZ84" i="7"/>
  <c r="BY84" i="7"/>
  <c r="CG84" i="7"/>
  <c r="CI84" i="7"/>
  <c r="CC84" i="7"/>
  <c r="CD84" i="7"/>
  <c r="CA84" i="7"/>
  <c r="CF72" i="7"/>
  <c r="CH72" i="7"/>
  <c r="CE72" i="7"/>
  <c r="CB72" i="7"/>
  <c r="BZ72" i="7"/>
  <c r="CD72" i="7"/>
  <c r="CA72" i="7"/>
  <c r="CC72" i="7"/>
  <c r="CI72" i="7"/>
  <c r="CG72" i="7"/>
  <c r="BY72" i="7"/>
  <c r="BM108" i="7"/>
  <c r="BO108" i="7"/>
  <c r="BI108" i="7"/>
  <c r="BP108" i="7"/>
  <c r="BK108" i="7"/>
  <c r="BQ108" i="7"/>
  <c r="BJ108" i="7"/>
  <c r="BL108" i="7"/>
  <c r="BG108" i="7"/>
  <c r="BH108" i="7"/>
  <c r="BN108" i="7"/>
  <c r="AW77" i="7"/>
  <c r="AV77" i="7"/>
  <c r="AP77" i="7"/>
  <c r="AS77" i="7"/>
  <c r="AO77" i="7"/>
  <c r="AY77" i="7"/>
  <c r="AX77" i="7"/>
  <c r="AT77" i="7"/>
  <c r="AR77" i="7"/>
  <c r="AU77" i="7"/>
  <c r="AQ77" i="7"/>
  <c r="AW168" i="7"/>
  <c r="AP168" i="7"/>
  <c r="AV168" i="7"/>
  <c r="AO168" i="7"/>
  <c r="AT168" i="7"/>
  <c r="AR168" i="7"/>
  <c r="AQ168" i="7"/>
  <c r="AY168" i="7"/>
  <c r="AX168" i="7"/>
  <c r="AS168" i="7"/>
  <c r="AU168" i="7"/>
  <c r="CG210" i="7"/>
  <c r="CE210" i="7"/>
  <c r="CB210" i="7"/>
  <c r="BY210" i="7"/>
  <c r="BZ210" i="7"/>
  <c r="CH210" i="7"/>
  <c r="CI210" i="7"/>
  <c r="CF210" i="7"/>
  <c r="CD210" i="7"/>
  <c r="CC210" i="7"/>
  <c r="CA210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0" i="7"/>
  <c r="BH50" i="7"/>
  <c r="BN50" i="7"/>
  <c r="BO50" i="7"/>
  <c r="BP50" i="7"/>
  <c r="BK50" i="7"/>
  <c r="BI50" i="7"/>
  <c r="BJ50" i="7"/>
  <c r="BQ50" i="7"/>
  <c r="BL50" i="7"/>
  <c r="BG50" i="7"/>
  <c r="AV58" i="7"/>
  <c r="AO58" i="7"/>
  <c r="AW58" i="7"/>
  <c r="AT58" i="7"/>
  <c r="AR58" i="7"/>
  <c r="AP58" i="7"/>
  <c r="AS58" i="7"/>
  <c r="AY58" i="7"/>
  <c r="AX58" i="7"/>
  <c r="AU58" i="7"/>
  <c r="AQ58" i="7"/>
  <c r="AW184" i="7"/>
  <c r="AP184" i="7"/>
  <c r="AV184" i="7"/>
  <c r="AO184" i="7"/>
  <c r="AT184" i="7"/>
  <c r="AR184" i="7"/>
  <c r="AQ184" i="7"/>
  <c r="AY184" i="7"/>
  <c r="AX184" i="7"/>
  <c r="AU184" i="7"/>
  <c r="AS184" i="7"/>
  <c r="AW20" i="7"/>
  <c r="AT20" i="7"/>
  <c r="AR20" i="7"/>
  <c r="AO20" i="7"/>
  <c r="AU20" i="7"/>
  <c r="AS20" i="7"/>
  <c r="AX20" i="7"/>
  <c r="AY20" i="7"/>
  <c r="AP20" i="7"/>
  <c r="AQ20" i="7"/>
  <c r="AV20" i="7"/>
  <c r="BY58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1" i="7"/>
  <c r="AO141" i="7"/>
  <c r="AV141" i="7"/>
  <c r="AT141" i="7"/>
  <c r="AS141" i="7"/>
  <c r="AY141" i="7"/>
  <c r="AX141" i="7"/>
  <c r="AU141" i="7"/>
  <c r="AR141" i="7"/>
  <c r="AQ141" i="7"/>
  <c r="AW141" i="7"/>
  <c r="BM173" i="7"/>
  <c r="BQ173" i="7"/>
  <c r="BI173" i="7"/>
  <c r="BJ173" i="7"/>
  <c r="BH173" i="7"/>
  <c r="BN173" i="7"/>
  <c r="BO173" i="7"/>
  <c r="BP173" i="7"/>
  <c r="BK173" i="7"/>
  <c r="BL173" i="7"/>
  <c r="BG173" i="7"/>
  <c r="CF85" i="7"/>
  <c r="CG85" i="7"/>
  <c r="CD85" i="7"/>
  <c r="CH85" i="7"/>
  <c r="CI85" i="7"/>
  <c r="BY85" i="7"/>
  <c r="BZ85" i="7"/>
  <c r="CE85" i="7"/>
  <c r="CC85" i="7"/>
  <c r="CA85" i="7"/>
  <c r="CB85" i="7"/>
  <c r="AX165" i="7"/>
  <c r="AS165" i="7"/>
  <c r="AY165" i="7"/>
  <c r="AR165" i="7"/>
  <c r="AU165" i="7"/>
  <c r="AT165" i="7"/>
  <c r="AP165" i="7"/>
  <c r="AQ165" i="7"/>
  <c r="AV165" i="7"/>
  <c r="AW165" i="7"/>
  <c r="AO165" i="7"/>
  <c r="AV50" i="7"/>
  <c r="AO50" i="7"/>
  <c r="AW50" i="7"/>
  <c r="AT50" i="7"/>
  <c r="AR50" i="7"/>
  <c r="AU50" i="7"/>
  <c r="AQ50" i="7"/>
  <c r="AP50" i="7"/>
  <c r="AS50" i="7"/>
  <c r="AY50" i="7"/>
  <c r="AX50" i="7"/>
  <c r="BM48" i="7"/>
  <c r="BL48" i="7"/>
  <c r="BG48" i="7"/>
  <c r="BI48" i="7"/>
  <c r="BH48" i="7"/>
  <c r="BN48" i="7"/>
  <c r="BQ48" i="7"/>
  <c r="BO48" i="7"/>
  <c r="BJ48" i="7"/>
  <c r="BP48" i="7"/>
  <c r="BK48" i="7"/>
  <c r="CB66" i="7"/>
  <c r="CH66" i="7"/>
  <c r="CA66" i="7"/>
  <c r="CF66" i="7"/>
  <c r="BZ66" i="7"/>
  <c r="CE66" i="7"/>
  <c r="CD66" i="7"/>
  <c r="CG66" i="7"/>
  <c r="CI66" i="7"/>
  <c r="CC66" i="7"/>
  <c r="BY66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43" i="7"/>
  <c r="CF43" i="7"/>
  <c r="CA43" i="7"/>
  <c r="CB43" i="7"/>
  <c r="CC43" i="7"/>
  <c r="BY43" i="7"/>
  <c r="CD43" i="7"/>
  <c r="BZ43" i="7"/>
  <c r="CE43" i="7"/>
  <c r="CG43" i="7"/>
  <c r="CI43" i="7"/>
  <c r="AX155" i="7"/>
  <c r="AW155" i="7"/>
  <c r="AR155" i="7"/>
  <c r="AP155" i="7"/>
  <c r="AQ155" i="7"/>
  <c r="AT155" i="7"/>
  <c r="AY155" i="7"/>
  <c r="AO155" i="7"/>
  <c r="AS155" i="7"/>
  <c r="AU155" i="7"/>
  <c r="AV155" i="7"/>
  <c r="CC90" i="7"/>
  <c r="CA90" i="7"/>
  <c r="CD90" i="7"/>
  <c r="BY90" i="7"/>
  <c r="CH90" i="7"/>
  <c r="CB90" i="7"/>
  <c r="CI90" i="7"/>
  <c r="BZ90" i="7"/>
  <c r="CG90" i="7"/>
  <c r="CE90" i="7"/>
  <c r="CF90" i="7"/>
  <c r="CG271" i="7"/>
  <c r="CD271" i="7"/>
  <c r="BZ271" i="7"/>
  <c r="CH271" i="7"/>
  <c r="CE271" i="7"/>
  <c r="CC271" i="7"/>
  <c r="BY271" i="7"/>
  <c r="CI271" i="7"/>
  <c r="CF271" i="7"/>
  <c r="CA271" i="7"/>
  <c r="CB271" i="7"/>
  <c r="CF176" i="7"/>
  <c r="CG176" i="7"/>
  <c r="BY176" i="7"/>
  <c r="CE176" i="7"/>
  <c r="CB176" i="7"/>
  <c r="CA176" i="7"/>
  <c r="BZ176" i="7"/>
  <c r="CH176" i="7"/>
  <c r="CI176" i="7"/>
  <c r="CD176" i="7"/>
  <c r="CC176" i="7"/>
  <c r="AV101" i="7"/>
  <c r="AT101" i="7"/>
  <c r="AP101" i="7"/>
  <c r="AO101" i="7"/>
  <c r="AQ101" i="7"/>
  <c r="AS101" i="7"/>
  <c r="AY101" i="7"/>
  <c r="AX101" i="7"/>
  <c r="AR101" i="7"/>
  <c r="AW101" i="7"/>
  <c r="AU101" i="7"/>
  <c r="AR40" i="7"/>
  <c r="AW40" i="7"/>
  <c r="AP40" i="7"/>
  <c r="AV40" i="7"/>
  <c r="AO40" i="7"/>
  <c r="AT40" i="7"/>
  <c r="AY40" i="7"/>
  <c r="AX40" i="7"/>
  <c r="AQ40" i="7"/>
  <c r="AS40" i="7"/>
  <c r="AU40" i="7"/>
  <c r="AV220" i="7"/>
  <c r="AO220" i="7"/>
  <c r="AT220" i="7"/>
  <c r="AR220" i="7"/>
  <c r="AW220" i="7"/>
  <c r="AP220" i="7"/>
  <c r="AU220" i="7"/>
  <c r="AS220" i="7"/>
  <c r="AQ220" i="7"/>
  <c r="AX220" i="7"/>
  <c r="AY220" i="7"/>
  <c r="BM45" i="7"/>
  <c r="BJ45" i="7"/>
  <c r="BP45" i="7"/>
  <c r="BI45" i="7"/>
  <c r="BH45" i="7"/>
  <c r="BN45" i="7"/>
  <c r="BG45" i="7"/>
  <c r="BL45" i="7"/>
  <c r="BO45" i="7"/>
  <c r="BQ45" i="7"/>
  <c r="BK45" i="7"/>
  <c r="BM162" i="7"/>
  <c r="BP162" i="7"/>
  <c r="BK162" i="7"/>
  <c r="BJ162" i="7"/>
  <c r="BL162" i="7"/>
  <c r="BG162" i="7"/>
  <c r="BH162" i="7"/>
  <c r="BN162" i="7"/>
  <c r="BI162" i="7"/>
  <c r="BO162" i="7"/>
  <c r="BQ162" i="7"/>
  <c r="CF52" i="7"/>
  <c r="BZ52" i="7"/>
  <c r="CH52" i="7"/>
  <c r="CE52" i="7"/>
  <c r="CB52" i="7"/>
  <c r="BY52" i="7"/>
  <c r="CG52" i="7"/>
  <c r="CI52" i="7"/>
  <c r="CA52" i="7"/>
  <c r="CC52" i="7"/>
  <c r="CD52" i="7"/>
  <c r="CH15" i="7"/>
  <c r="CF15" i="7"/>
  <c r="CA15" i="7"/>
  <c r="CG15" i="7"/>
  <c r="CI15" i="7"/>
  <c r="CC15" i="7"/>
  <c r="BY15" i="7"/>
  <c r="CE15" i="7"/>
  <c r="BZ15" i="7"/>
  <c r="CB15" i="7"/>
  <c r="CD15" i="7"/>
  <c r="CD177" i="7"/>
  <c r="CF177" i="7"/>
  <c r="CI177" i="7"/>
  <c r="BZ177" i="7"/>
  <c r="CA177" i="7"/>
  <c r="CC177" i="7"/>
  <c r="CG177" i="7"/>
  <c r="CE177" i="7"/>
  <c r="BY177" i="7"/>
  <c r="CH177" i="7"/>
  <c r="CB177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7" i="7"/>
  <c r="AS87" i="7"/>
  <c r="AX87" i="7"/>
  <c r="AP87" i="7"/>
  <c r="AV87" i="7"/>
  <c r="AR87" i="7"/>
  <c r="AY87" i="7"/>
  <c r="AO87" i="7"/>
  <c r="AW87" i="7"/>
  <c r="AT87" i="7"/>
  <c r="AQ87" i="7"/>
  <c r="AR4" i="7"/>
  <c r="AO4" i="7"/>
  <c r="AW4" i="7"/>
  <c r="AT4" i="7"/>
  <c r="AS4" i="7"/>
  <c r="AU4" i="7"/>
  <c r="AQ4" i="7"/>
  <c r="AX4" i="7"/>
  <c r="AP4" i="7"/>
  <c r="AV4" i="7"/>
  <c r="AY4" i="7"/>
  <c r="CD110" i="7"/>
  <c r="CB110" i="7"/>
  <c r="BY110" i="7"/>
  <c r="CF110" i="7"/>
  <c r="CG110" i="7"/>
  <c r="CE110" i="7"/>
  <c r="CH110" i="7"/>
  <c r="BZ110" i="7"/>
  <c r="CC110" i="7"/>
  <c r="CI110" i="7"/>
  <c r="CA110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5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4" i="7"/>
  <c r="AY174" i="7"/>
  <c r="AP174" i="7"/>
  <c r="AU174" i="7"/>
  <c r="AT174" i="7"/>
  <c r="AQ174" i="7"/>
  <c r="AO174" i="7"/>
  <c r="AX174" i="7"/>
  <c r="AR174" i="7"/>
  <c r="AV174" i="7"/>
  <c r="AW174" i="7"/>
  <c r="AS201" i="7"/>
  <c r="AV201" i="7"/>
  <c r="AU201" i="7"/>
  <c r="AW201" i="7"/>
  <c r="AQ201" i="7"/>
  <c r="AR201" i="7"/>
  <c r="AT201" i="7"/>
  <c r="AX201" i="7"/>
  <c r="AP201" i="7"/>
  <c r="AY201" i="7"/>
  <c r="AO201" i="7"/>
  <c r="AT216" i="7"/>
  <c r="AR216" i="7"/>
  <c r="AW216" i="7"/>
  <c r="AP216" i="7"/>
  <c r="AO216" i="7"/>
  <c r="AV216" i="7"/>
  <c r="AS216" i="7"/>
  <c r="AU216" i="7"/>
  <c r="AY216" i="7"/>
  <c r="AQ216" i="7"/>
  <c r="AX216" i="7"/>
  <c r="BP229" i="7"/>
  <c r="BQ229" i="7"/>
  <c r="BM229" i="7"/>
  <c r="BI229" i="7"/>
  <c r="BJ229" i="7"/>
  <c r="BO229" i="7"/>
  <c r="BN229" i="7"/>
  <c r="BG229" i="7"/>
  <c r="BH229" i="7"/>
  <c r="BL229" i="7"/>
  <c r="BK229" i="7"/>
  <c r="AP217" i="7"/>
  <c r="AV217" i="7"/>
  <c r="AS217" i="7"/>
  <c r="AY217" i="7"/>
  <c r="AO217" i="7"/>
  <c r="AU217" i="7"/>
  <c r="AW217" i="7"/>
  <c r="AQ217" i="7"/>
  <c r="AR217" i="7"/>
  <c r="AT217" i="7"/>
  <c r="AX217" i="7"/>
  <c r="CD118" i="7"/>
  <c r="CB118" i="7"/>
  <c r="CI118" i="7"/>
  <c r="CC118" i="7"/>
  <c r="CA118" i="7"/>
  <c r="CH118" i="7"/>
  <c r="CG118" i="7"/>
  <c r="BZ118" i="7"/>
  <c r="BY118" i="7"/>
  <c r="CE118" i="7"/>
  <c r="CF118" i="7"/>
  <c r="AW65" i="7"/>
  <c r="AV65" i="7"/>
  <c r="AP65" i="7"/>
  <c r="AS65" i="7"/>
  <c r="AY65" i="7"/>
  <c r="AX65" i="7"/>
  <c r="AO65" i="7"/>
  <c r="AU65" i="7"/>
  <c r="AT65" i="7"/>
  <c r="AR65" i="7"/>
  <c r="AQ65" i="7"/>
  <c r="AV51" i="7"/>
  <c r="AO51" i="7"/>
  <c r="AX51" i="7"/>
  <c r="AP51" i="7"/>
  <c r="AU51" i="7"/>
  <c r="AR51" i="7"/>
  <c r="AQ51" i="7"/>
  <c r="AW51" i="7"/>
  <c r="AS51" i="7"/>
  <c r="AT51" i="7"/>
  <c r="AY51" i="7"/>
  <c r="AR147" i="7"/>
  <c r="AP147" i="7"/>
  <c r="AX147" i="7"/>
  <c r="AW147" i="7"/>
  <c r="AY147" i="7"/>
  <c r="AO147" i="7"/>
  <c r="AS147" i="7"/>
  <c r="AU147" i="7"/>
  <c r="AV147" i="7"/>
  <c r="AQ147" i="7"/>
  <c r="AT147" i="7"/>
  <c r="AV125" i="7"/>
  <c r="AT125" i="7"/>
  <c r="AP125" i="7"/>
  <c r="AO125" i="7"/>
  <c r="AS125" i="7"/>
  <c r="AY125" i="7"/>
  <c r="AX125" i="7"/>
  <c r="AU125" i="7"/>
  <c r="AR125" i="7"/>
  <c r="AQ125" i="7"/>
  <c r="AW125" i="7"/>
  <c r="BM112" i="7"/>
  <c r="BP112" i="7"/>
  <c r="BK112" i="7"/>
  <c r="BJ112" i="7"/>
  <c r="BL112" i="7"/>
  <c r="BG112" i="7"/>
  <c r="BH112" i="7"/>
  <c r="BN112" i="7"/>
  <c r="BI112" i="7"/>
  <c r="BO112" i="7"/>
  <c r="BQ112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4" i="7"/>
  <c r="CD94" i="7"/>
  <c r="BY94" i="7"/>
  <c r="CH94" i="7"/>
  <c r="CI94" i="7"/>
  <c r="BZ94" i="7"/>
  <c r="CG94" i="7"/>
  <c r="CE94" i="7"/>
  <c r="CB94" i="7"/>
  <c r="CC94" i="7"/>
  <c r="CA94" i="7"/>
  <c r="CD107" i="7"/>
  <c r="CH107" i="7"/>
  <c r="BZ107" i="7"/>
  <c r="CG107" i="7"/>
  <c r="CE107" i="7"/>
  <c r="BY107" i="7"/>
  <c r="CF107" i="7"/>
  <c r="CB107" i="7"/>
  <c r="CC107" i="7"/>
  <c r="CI107" i="7"/>
  <c r="CA107" i="7"/>
  <c r="CI13" i="7"/>
  <c r="CC13" i="7"/>
  <c r="CF13" i="7"/>
  <c r="BY13" i="7"/>
  <c r="CA13" i="7"/>
  <c r="CH13" i="7"/>
  <c r="CE13" i="7"/>
  <c r="CG13" i="7"/>
  <c r="CB13" i="7"/>
  <c r="BZ13" i="7"/>
  <c r="CD13" i="7"/>
  <c r="BY183" i="7" a="1"/>
  <c r="CC169" i="7"/>
  <c r="CI169" i="7"/>
  <c r="CD169" i="7"/>
  <c r="CF169" i="7"/>
  <c r="CG169" i="7"/>
  <c r="CE169" i="7"/>
  <c r="BZ169" i="7"/>
  <c r="CB169" i="7"/>
  <c r="CA169" i="7"/>
  <c r="CH169" i="7"/>
  <c r="BY169" i="7"/>
  <c r="CI289" i="7"/>
  <c r="CD289" i="7"/>
  <c r="BY289" i="7"/>
  <c r="CA289" i="7"/>
  <c r="CG289" i="7"/>
  <c r="CB289" i="7"/>
  <c r="CE289" i="7"/>
  <c r="CF289" i="7"/>
  <c r="CH289" i="7"/>
  <c r="BZ289" i="7"/>
  <c r="CC289" i="7"/>
  <c r="AV222" i="7"/>
  <c r="AR222" i="7"/>
  <c r="AO222" i="7"/>
  <c r="AW222" i="7"/>
  <c r="AT222" i="7"/>
  <c r="AP222" i="7"/>
  <c r="AS222" i="7"/>
  <c r="AU222" i="7"/>
  <c r="AY222" i="7"/>
  <c r="AQ222" i="7"/>
  <c r="AX222" i="7"/>
  <c r="AW37" i="7"/>
  <c r="AV37" i="7"/>
  <c r="AP37" i="7"/>
  <c r="AS37" i="7"/>
  <c r="AR37" i="7"/>
  <c r="AY37" i="7"/>
  <c r="AX37" i="7"/>
  <c r="AU37" i="7"/>
  <c r="AO37" i="7"/>
  <c r="AT37" i="7"/>
  <c r="AQ37" i="7"/>
  <c r="AQ83" i="7"/>
  <c r="AY83" i="7"/>
  <c r="AX83" i="7"/>
  <c r="AU83" i="7"/>
  <c r="AR83" i="7"/>
  <c r="AS83" i="7"/>
  <c r="AO83" i="7"/>
  <c r="AP83" i="7"/>
  <c r="AW83" i="7"/>
  <c r="AT83" i="7"/>
  <c r="AV83" i="7"/>
  <c r="AV15" i="7"/>
  <c r="AO15" i="7"/>
  <c r="AU15" i="7"/>
  <c r="AP15" i="7"/>
  <c r="AQ15" i="7"/>
  <c r="AR15" i="7"/>
  <c r="AS15" i="7"/>
  <c r="AT15" i="7"/>
  <c r="AX15" i="7"/>
  <c r="AW15" i="7"/>
  <c r="AY15" i="7"/>
  <c r="AX177" i="7"/>
  <c r="AS177" i="7"/>
  <c r="AY177" i="7"/>
  <c r="AR177" i="7"/>
  <c r="AO177" i="7"/>
  <c r="AU177" i="7"/>
  <c r="AT177" i="7"/>
  <c r="AQ177" i="7"/>
  <c r="AP177" i="7"/>
  <c r="AW177" i="7"/>
  <c r="AV177" i="7"/>
  <c r="BM62" i="7"/>
  <c r="BO62" i="7"/>
  <c r="BI62" i="7"/>
  <c r="BP62" i="7"/>
  <c r="BK62" i="7"/>
  <c r="BQ62" i="7"/>
  <c r="BJ62" i="7"/>
  <c r="BL62" i="7"/>
  <c r="BG62" i="7"/>
  <c r="BH62" i="7"/>
  <c r="BN62" i="7"/>
  <c r="AS103" i="7"/>
  <c r="AR103" i="7"/>
  <c r="AW103" i="7"/>
  <c r="AQ103" i="7"/>
  <c r="AP103" i="7"/>
  <c r="AT103" i="7"/>
  <c r="AX103" i="7"/>
  <c r="AY103" i="7"/>
  <c r="AO103" i="7"/>
  <c r="AU103" i="7"/>
  <c r="AV103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4" i="7"/>
  <c r="BZ74" i="7"/>
  <c r="CE74" i="7"/>
  <c r="CB74" i="7"/>
  <c r="CH74" i="7"/>
  <c r="CA74" i="7"/>
  <c r="CC74" i="7"/>
  <c r="BY74" i="7"/>
  <c r="CD74" i="7"/>
  <c r="CI74" i="7"/>
  <c r="CG74" i="7"/>
  <c r="BM158" i="7"/>
  <c r="BO158" i="7"/>
  <c r="BI158" i="7"/>
  <c r="BJ158" i="7"/>
  <c r="BP158" i="7"/>
  <c r="BK158" i="7"/>
  <c r="BQ158" i="7"/>
  <c r="BL158" i="7"/>
  <c r="BG158" i="7"/>
  <c r="BH158" i="7"/>
  <c r="BN158" i="7"/>
  <c r="BY91" i="7" a="1"/>
  <c r="CD126" i="7"/>
  <c r="CB126" i="7"/>
  <c r="CG126" i="7"/>
  <c r="CE126" i="7"/>
  <c r="BY126" i="7"/>
  <c r="CF126" i="7"/>
  <c r="CH126" i="7"/>
  <c r="CC126" i="7"/>
  <c r="BZ126" i="7"/>
  <c r="CI126" i="7"/>
  <c r="CA126" i="7"/>
  <c r="BM119" i="7"/>
  <c r="BI119" i="7"/>
  <c r="BQ119" i="7"/>
  <c r="BJ119" i="7"/>
  <c r="BO119" i="7"/>
  <c r="BP119" i="7"/>
  <c r="BK119" i="7"/>
  <c r="BL119" i="7"/>
  <c r="BG119" i="7"/>
  <c r="BH119" i="7"/>
  <c r="BN119" i="7"/>
  <c r="AV108" i="7"/>
  <c r="AO108" i="7"/>
  <c r="AT108" i="7"/>
  <c r="AR108" i="7"/>
  <c r="AP108" i="7"/>
  <c r="AW108" i="7"/>
  <c r="AS108" i="7"/>
  <c r="AU108" i="7"/>
  <c r="AX108" i="7"/>
  <c r="AY108" i="7"/>
  <c r="AQ108" i="7"/>
  <c r="AW104" i="7"/>
  <c r="AP104" i="7"/>
  <c r="AV104" i="7"/>
  <c r="AO104" i="7"/>
  <c r="AT104" i="7"/>
  <c r="AR104" i="7"/>
  <c r="AY104" i="7"/>
  <c r="AX104" i="7"/>
  <c r="AQ104" i="7"/>
  <c r="AU104" i="7"/>
  <c r="AS104" i="7"/>
  <c r="BY185" i="7" a="1"/>
  <c r="CI57" i="7"/>
  <c r="CD57" i="7"/>
  <c r="BY57" i="7"/>
  <c r="CA57" i="7"/>
  <c r="CH57" i="7"/>
  <c r="CE57" i="7"/>
  <c r="CG57" i="7"/>
  <c r="CB57" i="7"/>
  <c r="BZ57" i="7"/>
  <c r="CC57" i="7"/>
  <c r="CF57" i="7"/>
  <c r="CF204" i="7"/>
  <c r="CE204" i="7"/>
  <c r="CB204" i="7"/>
  <c r="BY204" i="7"/>
  <c r="CG204" i="7"/>
  <c r="CH204" i="7"/>
  <c r="CI204" i="7"/>
  <c r="CA204" i="7"/>
  <c r="BZ204" i="7"/>
  <c r="CD204" i="7"/>
  <c r="CC204" i="7"/>
  <c r="AR256" i="7"/>
  <c r="AW256" i="7"/>
  <c r="AP256" i="7"/>
  <c r="AV256" i="7"/>
  <c r="AO256" i="7"/>
  <c r="AT256" i="7"/>
  <c r="AY256" i="7"/>
  <c r="AX256" i="7"/>
  <c r="AQ256" i="7"/>
  <c r="AU256" i="7"/>
  <c r="AS256" i="7"/>
  <c r="AS182" i="7"/>
  <c r="AY182" i="7"/>
  <c r="AP182" i="7"/>
  <c r="AX182" i="7"/>
  <c r="AU182" i="7"/>
  <c r="AT182" i="7"/>
  <c r="AQ182" i="7"/>
  <c r="AO182" i="7"/>
  <c r="AV182" i="7"/>
  <c r="AR182" i="7"/>
  <c r="AW182" i="7"/>
  <c r="BY286" i="7" a="1"/>
  <c r="CB182" i="7"/>
  <c r="CA182" i="7"/>
  <c r="CG182" i="7"/>
  <c r="BY182" i="7"/>
  <c r="CE182" i="7"/>
  <c r="CC182" i="7"/>
  <c r="CD182" i="7"/>
  <c r="CH182" i="7"/>
  <c r="CF182" i="7"/>
  <c r="BZ182" i="7"/>
  <c r="CI182" i="7"/>
  <c r="BY77" i="7" a="1"/>
  <c r="AU63" i="7"/>
  <c r="AX63" i="7"/>
  <c r="AO63" i="7"/>
  <c r="AY63" i="7"/>
  <c r="AT63" i="7"/>
  <c r="AV63" i="7"/>
  <c r="AW63" i="7"/>
  <c r="AQ63" i="7"/>
  <c r="AR63" i="7"/>
  <c r="AP63" i="7"/>
  <c r="AS63" i="7"/>
  <c r="AV144" i="7"/>
  <c r="AO144" i="7"/>
  <c r="AT144" i="7"/>
  <c r="AR144" i="7"/>
  <c r="AW144" i="7"/>
  <c r="AP144" i="7"/>
  <c r="AY144" i="7"/>
  <c r="AX144" i="7"/>
  <c r="AQ144" i="7"/>
  <c r="AU144" i="7"/>
  <c r="AS144" i="7"/>
  <c r="BY235" i="7" a="1"/>
  <c r="BY203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6" i="7"/>
  <c r="AP136" i="7"/>
  <c r="AV136" i="7"/>
  <c r="AO136" i="7"/>
  <c r="AT136" i="7"/>
  <c r="AR136" i="7"/>
  <c r="AY136" i="7"/>
  <c r="AX136" i="7"/>
  <c r="AQ136" i="7"/>
  <c r="AU136" i="7"/>
  <c r="AS136" i="7"/>
  <c r="BP221" i="7"/>
  <c r="BQ221" i="7"/>
  <c r="BM221" i="7"/>
  <c r="BI221" i="7"/>
  <c r="BJ221" i="7"/>
  <c r="BO221" i="7"/>
  <c r="BN221" i="7"/>
  <c r="BG221" i="7"/>
  <c r="BH221" i="7"/>
  <c r="BK221" i="7"/>
  <c r="BL221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4" i="7"/>
  <c r="AW44" i="7"/>
  <c r="AP44" i="7"/>
  <c r="AV44" i="7"/>
  <c r="AO44" i="7"/>
  <c r="AT44" i="7"/>
  <c r="AY44" i="7"/>
  <c r="AX44" i="7"/>
  <c r="AQ44" i="7"/>
  <c r="AS44" i="7"/>
  <c r="AU44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4" i="7"/>
  <c r="CG194" i="7"/>
  <c r="BY194" i="7"/>
  <c r="CE194" i="7"/>
  <c r="CB194" i="7"/>
  <c r="BZ194" i="7"/>
  <c r="CH194" i="7"/>
  <c r="CI194" i="7"/>
  <c r="CC194" i="7"/>
  <c r="CD194" i="7"/>
  <c r="CF194" i="7"/>
  <c r="BY180" i="7" a="1"/>
  <c r="AV78" i="7"/>
  <c r="AO78" i="7"/>
  <c r="AW78" i="7"/>
  <c r="AT78" i="7"/>
  <c r="AR78" i="7"/>
  <c r="AQ78" i="7"/>
  <c r="AS78" i="7"/>
  <c r="AY78" i="7"/>
  <c r="AX78" i="7"/>
  <c r="AU78" i="7"/>
  <c r="AP78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1" i="7"/>
  <c r="BQ51" i="7"/>
  <c r="BJ51" i="7"/>
  <c r="BI51" i="7"/>
  <c r="BL51" i="7"/>
  <c r="BG51" i="7"/>
  <c r="BH51" i="7"/>
  <c r="BN51" i="7"/>
  <c r="BO51" i="7"/>
  <c r="BP51" i="7"/>
  <c r="BK51" i="7"/>
  <c r="CG195" i="7"/>
  <c r="CF195" i="7"/>
  <c r="CA195" i="7"/>
  <c r="CD195" i="7"/>
  <c r="BY195" i="7"/>
  <c r="CC195" i="7"/>
  <c r="BZ195" i="7"/>
  <c r="CE195" i="7"/>
  <c r="CI195" i="7"/>
  <c r="CB195" i="7"/>
  <c r="CH195" i="7"/>
  <c r="CH197" i="7"/>
  <c r="CB197" i="7"/>
  <c r="BY197" i="7"/>
  <c r="CI197" i="7"/>
  <c r="BZ197" i="7"/>
  <c r="CA197" i="7"/>
  <c r="CC197" i="7"/>
  <c r="CD197" i="7"/>
  <c r="CG197" i="7"/>
  <c r="CF197" i="7"/>
  <c r="CE197" i="7"/>
  <c r="AS215" i="7"/>
  <c r="AV215" i="7"/>
  <c r="AP215" i="7"/>
  <c r="AY215" i="7"/>
  <c r="AR215" i="7"/>
  <c r="AU215" i="7"/>
  <c r="AT215" i="7"/>
  <c r="AQ215" i="7"/>
  <c r="AO215" i="7"/>
  <c r="AW215" i="7"/>
  <c r="AX215" i="7"/>
  <c r="AR188" i="7"/>
  <c r="AW188" i="7"/>
  <c r="AP188" i="7"/>
  <c r="AV188" i="7"/>
  <c r="AO188" i="7"/>
  <c r="AT188" i="7"/>
  <c r="AU188" i="7"/>
  <c r="AS188" i="7"/>
  <c r="AQ188" i="7"/>
  <c r="AX188" i="7"/>
  <c r="AY188" i="7"/>
  <c r="AT311" i="7"/>
  <c r="AQ311" i="7"/>
  <c r="AP311" i="7"/>
  <c r="AY311" i="7"/>
  <c r="AV311" i="7"/>
  <c r="AS311" i="7"/>
  <c r="AU311" i="7"/>
  <c r="AX311" i="7"/>
  <c r="AW311" i="7"/>
  <c r="AO311" i="7"/>
  <c r="AR311" i="7"/>
  <c r="CF86" i="7"/>
  <c r="CD86" i="7"/>
  <c r="BY86" i="7"/>
  <c r="CH86" i="7"/>
  <c r="CI86" i="7"/>
  <c r="BZ86" i="7"/>
  <c r="CG86" i="7"/>
  <c r="CE86" i="7"/>
  <c r="CC86" i="7"/>
  <c r="CA86" i="7"/>
  <c r="CB86" i="7"/>
  <c r="CF241" i="7"/>
  <c r="CB241" i="7"/>
  <c r="CD241" i="7"/>
  <c r="CC241" i="7"/>
  <c r="CA241" i="7"/>
  <c r="CI241" i="7"/>
  <c r="BZ241" i="7"/>
  <c r="BY241" i="7"/>
  <c r="CE241" i="7"/>
  <c r="CG241" i="7"/>
  <c r="CH241" i="7"/>
  <c r="BY166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6" i="7"/>
  <c r="AU146" i="7"/>
  <c r="AX146" i="7"/>
  <c r="AS146" i="7"/>
  <c r="AQ146" i="7"/>
  <c r="AR146" i="7"/>
  <c r="AV146" i="7"/>
  <c r="AW146" i="7"/>
  <c r="AO146" i="7"/>
  <c r="AY146" i="7"/>
  <c r="AP146" i="7"/>
  <c r="BM111" i="7"/>
  <c r="BI111" i="7"/>
  <c r="BQ111" i="7"/>
  <c r="BJ111" i="7"/>
  <c r="BO111" i="7"/>
  <c r="BP111" i="7"/>
  <c r="BK111" i="7"/>
  <c r="BL111" i="7"/>
  <c r="BG111" i="7"/>
  <c r="BH111" i="7"/>
  <c r="BN111" i="7"/>
  <c r="BM212" i="7"/>
  <c r="BP212" i="7"/>
  <c r="BK212" i="7"/>
  <c r="BJ212" i="7"/>
  <c r="BL212" i="7"/>
  <c r="BG212" i="7"/>
  <c r="BH212" i="7"/>
  <c r="BN212" i="7"/>
  <c r="BI212" i="7"/>
  <c r="BO212" i="7"/>
  <c r="BQ212" i="7"/>
  <c r="CF76" i="7"/>
  <c r="CE76" i="7"/>
  <c r="CB76" i="7"/>
  <c r="BZ76" i="7"/>
  <c r="CH76" i="7"/>
  <c r="CG76" i="7"/>
  <c r="CI76" i="7"/>
  <c r="CA76" i="7"/>
  <c r="BY76" i="7"/>
  <c r="CC76" i="7"/>
  <c r="CD76" i="7"/>
  <c r="AP235" i="7"/>
  <c r="AV235" i="7"/>
  <c r="AS235" i="7"/>
  <c r="AW235" i="7"/>
  <c r="AX235" i="7"/>
  <c r="AY235" i="7"/>
  <c r="AR235" i="7"/>
  <c r="AU235" i="7"/>
  <c r="AT235" i="7"/>
  <c r="AQ235" i="7"/>
  <c r="AO235" i="7"/>
  <c r="AS158" i="7"/>
  <c r="AY158" i="7"/>
  <c r="AP158" i="7"/>
  <c r="AU158" i="7"/>
  <c r="AT158" i="7"/>
  <c r="AQ158" i="7"/>
  <c r="AO158" i="7"/>
  <c r="AX158" i="7"/>
  <c r="AV158" i="7"/>
  <c r="AR158" i="7"/>
  <c r="AW158" i="7"/>
  <c r="AV107" i="7"/>
  <c r="AW107" i="7"/>
  <c r="AR107" i="7"/>
  <c r="AP107" i="7"/>
  <c r="AY107" i="7"/>
  <c r="AX107" i="7"/>
  <c r="AT107" i="7"/>
  <c r="AU107" i="7"/>
  <c r="AQ107" i="7"/>
  <c r="AS107" i="7"/>
  <c r="AO107" i="7"/>
  <c r="AS150" i="7"/>
  <c r="AY150" i="7"/>
  <c r="AP150" i="7"/>
  <c r="AX150" i="7"/>
  <c r="AU150" i="7"/>
  <c r="AT150" i="7"/>
  <c r="AQ150" i="7"/>
  <c r="AO150" i="7"/>
  <c r="AV150" i="7"/>
  <c r="AR150" i="7"/>
  <c r="AW150" i="7"/>
  <c r="CB296" i="7"/>
  <c r="CI296" i="7"/>
  <c r="CA296" i="7"/>
  <c r="CG296" i="7"/>
  <c r="CC296" i="7"/>
  <c r="CF296" i="7"/>
  <c r="CE296" i="7"/>
  <c r="CH296" i="7"/>
  <c r="CD296" i="7"/>
  <c r="BY296" i="7"/>
  <c r="BZ296" i="7"/>
  <c r="CI133" i="7"/>
  <c r="CH133" i="7"/>
  <c r="CB133" i="7"/>
  <c r="BY133" i="7"/>
  <c r="BZ133" i="7"/>
  <c r="CA133" i="7"/>
  <c r="CC133" i="7"/>
  <c r="CF133" i="7"/>
  <c r="CE133" i="7"/>
  <c r="CD133" i="7"/>
  <c r="CG133" i="7"/>
  <c r="BY152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6" i="7"/>
  <c r="AO46" i="7"/>
  <c r="AW46" i="7"/>
  <c r="AT46" i="7"/>
  <c r="AR46" i="7"/>
  <c r="AP46" i="7"/>
  <c r="AQ46" i="7"/>
  <c r="AS46" i="7"/>
  <c r="AY46" i="7"/>
  <c r="AX46" i="7"/>
  <c r="AU46" i="7"/>
  <c r="AV164" i="7"/>
  <c r="AO164" i="7"/>
  <c r="AT164" i="7"/>
  <c r="AR164" i="7"/>
  <c r="AP164" i="7"/>
  <c r="AW164" i="7"/>
  <c r="AS164" i="7"/>
  <c r="AU164" i="7"/>
  <c r="AY164" i="7"/>
  <c r="AQ164" i="7"/>
  <c r="AX164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0" i="7"/>
  <c r="AU130" i="7"/>
  <c r="AT130" i="7"/>
  <c r="AQ130" i="7"/>
  <c r="AO130" i="7"/>
  <c r="AS130" i="7"/>
  <c r="AV130" i="7"/>
  <c r="AW130" i="7"/>
  <c r="AY130" i="7"/>
  <c r="AP130" i="7"/>
  <c r="AR130" i="7"/>
  <c r="AW249" i="7"/>
  <c r="AV249" i="7"/>
  <c r="AP249" i="7"/>
  <c r="AU249" i="7"/>
  <c r="AR249" i="7"/>
  <c r="AS249" i="7"/>
  <c r="AY249" i="7"/>
  <c r="AQ249" i="7"/>
  <c r="AO249" i="7"/>
  <c r="AX249" i="7"/>
  <c r="AT249" i="7"/>
  <c r="CF87" i="7"/>
  <c r="CB87" i="7"/>
  <c r="BY87" i="7"/>
  <c r="CD87" i="7"/>
  <c r="BZ87" i="7"/>
  <c r="CI87" i="7"/>
  <c r="CH87" i="7"/>
  <c r="CG87" i="7"/>
  <c r="CE87" i="7"/>
  <c r="CC87" i="7"/>
  <c r="CA87" i="7"/>
  <c r="BM95" i="7"/>
  <c r="BQ95" i="7"/>
  <c r="BJ95" i="7"/>
  <c r="BI95" i="7"/>
  <c r="BH95" i="7"/>
  <c r="BN95" i="7"/>
  <c r="BO95" i="7"/>
  <c r="BP95" i="7"/>
  <c r="BK95" i="7"/>
  <c r="BL95" i="7"/>
  <c r="BG95" i="7"/>
  <c r="BM92" i="7"/>
  <c r="BO92" i="7"/>
  <c r="BI92" i="7"/>
  <c r="BJ92" i="7"/>
  <c r="BP92" i="7"/>
  <c r="BK92" i="7"/>
  <c r="BQ92" i="7"/>
  <c r="BL92" i="7"/>
  <c r="BG92" i="7"/>
  <c r="BN92" i="7"/>
  <c r="BH92" i="7"/>
  <c r="CF93" i="7"/>
  <c r="CB93" i="7"/>
  <c r="BZ93" i="7"/>
  <c r="CG93" i="7"/>
  <c r="CE93" i="7"/>
  <c r="CC93" i="7"/>
  <c r="CA93" i="7"/>
  <c r="BY93" i="7"/>
  <c r="CD93" i="7"/>
  <c r="CH93" i="7"/>
  <c r="CI93" i="7"/>
  <c r="BY250" i="7" a="1"/>
  <c r="CG151" i="7"/>
  <c r="CF151" i="7"/>
  <c r="CA151" i="7"/>
  <c r="CH151" i="7"/>
  <c r="CI151" i="7"/>
  <c r="CE151" i="7"/>
  <c r="BZ151" i="7"/>
  <c r="CD151" i="7"/>
  <c r="CC151" i="7"/>
  <c r="BY151" i="7"/>
  <c r="CB151" i="7"/>
  <c r="CD121" i="7"/>
  <c r="CH121" i="7"/>
  <c r="CB121" i="7"/>
  <c r="BZ121" i="7"/>
  <c r="CI121" i="7"/>
  <c r="CC121" i="7"/>
  <c r="CA121" i="7"/>
  <c r="CE121" i="7"/>
  <c r="CF121" i="7"/>
  <c r="CG121" i="7"/>
  <c r="BY121" i="7"/>
  <c r="CG179" i="7"/>
  <c r="CF179" i="7"/>
  <c r="CA179" i="7"/>
  <c r="CD179" i="7"/>
  <c r="BY179" i="7"/>
  <c r="CC179" i="7"/>
  <c r="CE179" i="7"/>
  <c r="CH179" i="7"/>
  <c r="CB179" i="7"/>
  <c r="CI179" i="7"/>
  <c r="BZ179" i="7"/>
  <c r="AQ93" i="7"/>
  <c r="AY93" i="7"/>
  <c r="AR93" i="7"/>
  <c r="AU93" i="7"/>
  <c r="AV93" i="7"/>
  <c r="AS93" i="7"/>
  <c r="AW93" i="7"/>
  <c r="AT93" i="7"/>
  <c r="AP93" i="7"/>
  <c r="AO93" i="7"/>
  <c r="AX93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7" i="7"/>
  <c r="AW127" i="7"/>
  <c r="AR127" i="7"/>
  <c r="AS127" i="7"/>
  <c r="AO127" i="7"/>
  <c r="AY127" i="7"/>
  <c r="AX127" i="7"/>
  <c r="AP127" i="7"/>
  <c r="AU127" i="7"/>
  <c r="AT127" i="7"/>
  <c r="AQ127" i="7"/>
  <c r="BQ253" i="7"/>
  <c r="BL253" i="7"/>
  <c r="BG253" i="7"/>
  <c r="BI253" i="7"/>
  <c r="BP253" i="7"/>
  <c r="BM253" i="7"/>
  <c r="BO253" i="7"/>
  <c r="BJ253" i="7"/>
  <c r="BH253" i="7"/>
  <c r="BN253" i="7"/>
  <c r="BK253" i="7"/>
  <c r="BM87" i="7"/>
  <c r="BQ87" i="7"/>
  <c r="BJ87" i="7"/>
  <c r="BI87" i="7"/>
  <c r="BH87" i="7"/>
  <c r="BN87" i="7"/>
  <c r="BO87" i="7"/>
  <c r="BP87" i="7"/>
  <c r="BK87" i="7"/>
  <c r="BL87" i="7"/>
  <c r="BG87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5" i="7"/>
  <c r="CC45" i="7"/>
  <c r="CF45" i="7"/>
  <c r="BY45" i="7"/>
  <c r="CA45" i="7"/>
  <c r="CH45" i="7"/>
  <c r="CE45" i="7"/>
  <c r="BZ45" i="7"/>
  <c r="CD45" i="7"/>
  <c r="CG45" i="7"/>
  <c r="CB45" i="7"/>
  <c r="CI17" i="7"/>
  <c r="CD17" i="7"/>
  <c r="CH17" i="7"/>
  <c r="CE17" i="7"/>
  <c r="CG17" i="7"/>
  <c r="CB17" i="7"/>
  <c r="BZ17" i="7"/>
  <c r="CC17" i="7"/>
  <c r="CF17" i="7"/>
  <c r="CA17" i="7"/>
  <c r="BY17" i="7"/>
  <c r="BY285" i="7" a="1"/>
  <c r="CG135" i="7"/>
  <c r="CA135" i="7"/>
  <c r="CF135" i="7"/>
  <c r="CH135" i="7"/>
  <c r="CI135" i="7"/>
  <c r="CE135" i="7"/>
  <c r="BZ135" i="7"/>
  <c r="CB135" i="7"/>
  <c r="CD135" i="7"/>
  <c r="CC135" i="7"/>
  <c r="BY135" i="7"/>
  <c r="CA305" i="7"/>
  <c r="CG305" i="7"/>
  <c r="CB305" i="7"/>
  <c r="CI305" i="7"/>
  <c r="CD305" i="7"/>
  <c r="BY305" i="7"/>
  <c r="CC305" i="7"/>
  <c r="CE305" i="7"/>
  <c r="CF305" i="7"/>
  <c r="BZ305" i="7"/>
  <c r="CH305" i="7"/>
  <c r="AP113" i="7"/>
  <c r="AO113" i="7"/>
  <c r="AV113" i="7"/>
  <c r="AT113" i="7"/>
  <c r="AU113" i="7"/>
  <c r="AW113" i="7"/>
  <c r="AQ113" i="7"/>
  <c r="AS113" i="7"/>
  <c r="AR113" i="7"/>
  <c r="AY113" i="7"/>
  <c r="AX113" i="7"/>
  <c r="AV139" i="7"/>
  <c r="AW139" i="7"/>
  <c r="AR139" i="7"/>
  <c r="AP139" i="7"/>
  <c r="AY139" i="7"/>
  <c r="AX139" i="7"/>
  <c r="AT139" i="7"/>
  <c r="AU139" i="7"/>
  <c r="AQ139" i="7"/>
  <c r="AO139" i="7"/>
  <c r="AS139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1" i="7"/>
  <c r="CH61" i="7"/>
  <c r="CE61" i="7"/>
  <c r="CG61" i="7"/>
  <c r="CB61" i="7"/>
  <c r="BZ61" i="7"/>
  <c r="CD61" i="7"/>
  <c r="CC61" i="7"/>
  <c r="CF61" i="7"/>
  <c r="CA61" i="7"/>
  <c r="BY61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0" i="7"/>
  <c r="CA140" i="7"/>
  <c r="CG140" i="7"/>
  <c r="BY140" i="7"/>
  <c r="CE140" i="7"/>
  <c r="CB140" i="7"/>
  <c r="BZ140" i="7"/>
  <c r="CH140" i="7"/>
  <c r="CI140" i="7"/>
  <c r="CD140" i="7"/>
  <c r="CC140" i="7"/>
  <c r="CH75" i="7"/>
  <c r="CF75" i="7"/>
  <c r="CA75" i="7"/>
  <c r="CB75" i="7"/>
  <c r="CC75" i="7"/>
  <c r="BY75" i="7"/>
  <c r="CD75" i="7"/>
  <c r="BZ75" i="7"/>
  <c r="CG75" i="7"/>
  <c r="CI75" i="7"/>
  <c r="CE75" i="7"/>
  <c r="CG143" i="7"/>
  <c r="CF143" i="7"/>
  <c r="CA143" i="7"/>
  <c r="BZ143" i="7"/>
  <c r="CH143" i="7"/>
  <c r="CI143" i="7"/>
  <c r="CE143" i="7"/>
  <c r="CB143" i="7"/>
  <c r="CC143" i="7"/>
  <c r="BY143" i="7"/>
  <c r="CD143" i="7"/>
  <c r="AR94" i="7"/>
  <c r="AX94" i="7"/>
  <c r="AS94" i="7"/>
  <c r="AO94" i="7"/>
  <c r="AV94" i="7"/>
  <c r="AY94" i="7"/>
  <c r="AP94" i="7"/>
  <c r="AU94" i="7"/>
  <c r="AW94" i="7"/>
  <c r="AQ94" i="7"/>
  <c r="AT94" i="7"/>
  <c r="AS221" i="7"/>
  <c r="AP221" i="7"/>
  <c r="AV221" i="7"/>
  <c r="AT221" i="7"/>
  <c r="AX221" i="7"/>
  <c r="AY221" i="7"/>
  <c r="AO221" i="7"/>
  <c r="AU221" i="7"/>
  <c r="AW221" i="7"/>
  <c r="AQ221" i="7"/>
  <c r="AR221" i="7"/>
  <c r="AV250" i="7"/>
  <c r="AT250" i="7"/>
  <c r="AR250" i="7"/>
  <c r="AO250" i="7"/>
  <c r="AW250" i="7"/>
  <c r="AY250" i="7"/>
  <c r="AX250" i="7"/>
  <c r="AU250" i="7"/>
  <c r="AQ250" i="7"/>
  <c r="AP250" i="7"/>
  <c r="AS250" i="7"/>
  <c r="AV123" i="7"/>
  <c r="AW123" i="7"/>
  <c r="AR123" i="7"/>
  <c r="AP123" i="7"/>
  <c r="AY123" i="7"/>
  <c r="AX123" i="7"/>
  <c r="AT123" i="7"/>
  <c r="AU123" i="7"/>
  <c r="AQ123" i="7"/>
  <c r="AS123" i="7"/>
  <c r="AO123" i="7"/>
  <c r="AV143" i="7"/>
  <c r="AW143" i="7"/>
  <c r="AR143" i="7"/>
  <c r="AS143" i="7"/>
  <c r="AO143" i="7"/>
  <c r="AY143" i="7"/>
  <c r="AX143" i="7"/>
  <c r="AP143" i="7"/>
  <c r="AU143" i="7"/>
  <c r="AT143" i="7"/>
  <c r="AQ143" i="7"/>
  <c r="CF18" i="7"/>
  <c r="BZ18" i="7"/>
  <c r="CE18" i="7"/>
  <c r="CB18" i="7"/>
  <c r="CH18" i="7"/>
  <c r="CA18" i="7"/>
  <c r="CD18" i="7"/>
  <c r="CG18" i="7"/>
  <c r="CI18" i="7"/>
  <c r="CC18" i="7"/>
  <c r="BY18" i="7"/>
  <c r="CI25" i="7"/>
  <c r="CD25" i="7"/>
  <c r="BY25" i="7"/>
  <c r="CA25" i="7"/>
  <c r="CH25" i="7"/>
  <c r="CE25" i="7"/>
  <c r="CG25" i="7"/>
  <c r="CB25" i="7"/>
  <c r="BZ25" i="7"/>
  <c r="CC25" i="7"/>
  <c r="CF25" i="7"/>
  <c r="CI201" i="7"/>
  <c r="CC201" i="7"/>
  <c r="CG201" i="7"/>
  <c r="CE201" i="7"/>
  <c r="CD201" i="7"/>
  <c r="CF201" i="7"/>
  <c r="CH201" i="7"/>
  <c r="BY201" i="7"/>
  <c r="BZ201" i="7"/>
  <c r="CB201" i="7"/>
  <c r="CA201" i="7"/>
  <c r="AW95" i="7"/>
  <c r="AS95" i="7"/>
  <c r="AR95" i="7"/>
  <c r="AT95" i="7"/>
  <c r="AX95" i="7"/>
  <c r="AY95" i="7"/>
  <c r="AO95" i="7"/>
  <c r="AU95" i="7"/>
  <c r="AV95" i="7"/>
  <c r="AQ95" i="7"/>
  <c r="AP95" i="7"/>
  <c r="AY296" i="7"/>
  <c r="AP296" i="7"/>
  <c r="AX296" i="7"/>
  <c r="AT296" i="7"/>
  <c r="AR296" i="7"/>
  <c r="AO296" i="7"/>
  <c r="AW296" i="7"/>
  <c r="AQ296" i="7"/>
  <c r="AV296" i="7"/>
  <c r="AU296" i="7"/>
  <c r="AS296" i="7"/>
  <c r="AT120" i="7"/>
  <c r="AR120" i="7"/>
  <c r="AW120" i="7"/>
  <c r="AP120" i="7"/>
  <c r="AV120" i="7"/>
  <c r="AO120" i="7"/>
  <c r="AY120" i="7"/>
  <c r="AX120" i="7"/>
  <c r="AQ120" i="7"/>
  <c r="AU120" i="7"/>
  <c r="AS120" i="7"/>
  <c r="AS186" i="7"/>
  <c r="AQ186" i="7"/>
  <c r="AR186" i="7"/>
  <c r="AV186" i="7"/>
  <c r="AY186" i="7"/>
  <c r="AP186" i="7"/>
  <c r="AO186" i="7"/>
  <c r="AX186" i="7"/>
  <c r="AW186" i="7"/>
  <c r="AU186" i="7"/>
  <c r="AT186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6" i="7"/>
  <c r="BP136" i="7"/>
  <c r="BK136" i="7"/>
  <c r="BL136" i="7"/>
  <c r="BG136" i="7"/>
  <c r="BJ136" i="7"/>
  <c r="BH136" i="7"/>
  <c r="BN136" i="7"/>
  <c r="BI136" i="7"/>
  <c r="BQ136" i="7"/>
  <c r="BO136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8" i="7"/>
  <c r="BZ28" i="7"/>
  <c r="CH28" i="7"/>
  <c r="CE28" i="7"/>
  <c r="CB28" i="7"/>
  <c r="CG28" i="7"/>
  <c r="CI28" i="7"/>
  <c r="CA28" i="7"/>
  <c r="BY28" i="7"/>
  <c r="CC28" i="7"/>
  <c r="CD28" i="7"/>
  <c r="AR172" i="7"/>
  <c r="AW172" i="7"/>
  <c r="AP172" i="7"/>
  <c r="AV172" i="7"/>
  <c r="AO172" i="7"/>
  <c r="AT172" i="7"/>
  <c r="AU172" i="7"/>
  <c r="AS172" i="7"/>
  <c r="AY172" i="7"/>
  <c r="AQ172" i="7"/>
  <c r="AX172" i="7"/>
  <c r="AT176" i="7"/>
  <c r="AR176" i="7"/>
  <c r="AW176" i="7"/>
  <c r="AP176" i="7"/>
  <c r="AO176" i="7"/>
  <c r="AV176" i="7"/>
  <c r="AY176" i="7"/>
  <c r="AX176" i="7"/>
  <c r="AQ176" i="7"/>
  <c r="AU176" i="7"/>
  <c r="AS176" i="7"/>
  <c r="AX106" i="7"/>
  <c r="AV106" i="7"/>
  <c r="AW106" i="7"/>
  <c r="AY106" i="7"/>
  <c r="AP106" i="7"/>
  <c r="AR106" i="7"/>
  <c r="AU106" i="7"/>
  <c r="AT106" i="7"/>
  <c r="AS106" i="7"/>
  <c r="AQ106" i="7"/>
  <c r="AO106" i="7"/>
  <c r="AT208" i="7"/>
  <c r="AR208" i="7"/>
  <c r="AW208" i="7"/>
  <c r="AP208" i="7"/>
  <c r="AO208" i="7"/>
  <c r="AV208" i="7"/>
  <c r="AS208" i="7"/>
  <c r="AU208" i="7"/>
  <c r="AX208" i="7"/>
  <c r="AY208" i="7"/>
  <c r="AQ208" i="7"/>
  <c r="CD256" i="7"/>
  <c r="CH256" i="7"/>
  <c r="CB256" i="7"/>
  <c r="BZ256" i="7"/>
  <c r="BY256" i="7"/>
  <c r="CF256" i="7"/>
  <c r="CG256" i="7"/>
  <c r="CE256" i="7"/>
  <c r="CI256" i="7"/>
  <c r="CA256" i="7"/>
  <c r="CC256" i="7"/>
  <c r="CD128" i="7"/>
  <c r="CB128" i="7"/>
  <c r="BZ128" i="7"/>
  <c r="CG128" i="7"/>
  <c r="CE128" i="7"/>
  <c r="BY128" i="7"/>
  <c r="CF128" i="7"/>
  <c r="CC128" i="7"/>
  <c r="CI128" i="7"/>
  <c r="CH128" i="7"/>
  <c r="CA128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3" i="7"/>
  <c r="AS193" i="7"/>
  <c r="AQ193" i="7"/>
  <c r="AR193" i="7"/>
  <c r="AT193" i="7"/>
  <c r="AX193" i="7"/>
  <c r="AY193" i="7"/>
  <c r="AO193" i="7"/>
  <c r="AP193" i="7"/>
  <c r="AU193" i="7"/>
  <c r="AW193" i="7"/>
  <c r="AU306" i="7"/>
  <c r="AR306" i="7"/>
  <c r="AX306" i="7"/>
  <c r="AQ306" i="7"/>
  <c r="AV306" i="7"/>
  <c r="AP306" i="7"/>
  <c r="AW306" i="7"/>
  <c r="AY306" i="7"/>
  <c r="AS306" i="7"/>
  <c r="AO306" i="7"/>
  <c r="AT306" i="7"/>
  <c r="AS207" i="7"/>
  <c r="AV207" i="7"/>
  <c r="AY207" i="7"/>
  <c r="AR207" i="7"/>
  <c r="AU207" i="7"/>
  <c r="AT207" i="7"/>
  <c r="AQ207" i="7"/>
  <c r="AO207" i="7"/>
  <c r="AW207" i="7"/>
  <c r="AX207" i="7"/>
  <c r="AP207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6" i="7"/>
  <c r="BY156" i="7"/>
  <c r="CE156" i="7"/>
  <c r="CB156" i="7"/>
  <c r="CG156" i="7"/>
  <c r="CA156" i="7"/>
  <c r="BZ156" i="7"/>
  <c r="CH156" i="7"/>
  <c r="CI156" i="7"/>
  <c r="CC156" i="7"/>
  <c r="CD156" i="7"/>
  <c r="CB304" i="7"/>
  <c r="CE304" i="7"/>
  <c r="BZ304" i="7"/>
  <c r="CA304" i="7"/>
  <c r="CG304" i="7"/>
  <c r="CI304" i="7"/>
  <c r="CD304" i="7"/>
  <c r="CH304" i="7"/>
  <c r="CC304" i="7"/>
  <c r="CF304" i="7"/>
  <c r="BY304" i="7"/>
  <c r="AS154" i="7"/>
  <c r="AQ154" i="7"/>
  <c r="AR154" i="7"/>
  <c r="AV154" i="7"/>
  <c r="AY154" i="7"/>
  <c r="AP154" i="7"/>
  <c r="AO154" i="7"/>
  <c r="AX154" i="7"/>
  <c r="AW154" i="7"/>
  <c r="AU154" i="7"/>
  <c r="AT154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7" i="7"/>
  <c r="AP137" i="7"/>
  <c r="AO137" i="7"/>
  <c r="AV137" i="7"/>
  <c r="AU137" i="7"/>
  <c r="AQ137" i="7"/>
  <c r="AS137" i="7"/>
  <c r="AW137" i="7"/>
  <c r="AX137" i="7"/>
  <c r="AR137" i="7"/>
  <c r="AY137" i="7"/>
  <c r="AR212" i="7"/>
  <c r="AW212" i="7"/>
  <c r="AP212" i="7"/>
  <c r="AV212" i="7"/>
  <c r="AO212" i="7"/>
  <c r="AT212" i="7"/>
  <c r="AU212" i="7"/>
  <c r="AS212" i="7"/>
  <c r="AY212" i="7"/>
  <c r="AQ212" i="7"/>
  <c r="AX212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199" i="7"/>
  <c r="CF199" i="7"/>
  <c r="CA199" i="7"/>
  <c r="CH199" i="7"/>
  <c r="CI199" i="7"/>
  <c r="CE199" i="7"/>
  <c r="CB199" i="7"/>
  <c r="BZ199" i="7"/>
  <c r="CC199" i="7"/>
  <c r="CD199" i="7"/>
  <c r="BY199" i="7"/>
  <c r="AW28" i="7"/>
  <c r="AP28" i="7"/>
  <c r="AV28" i="7"/>
  <c r="AO28" i="7"/>
  <c r="AT28" i="7"/>
  <c r="AR28" i="7"/>
  <c r="AU28" i="7"/>
  <c r="AS28" i="7"/>
  <c r="AX28" i="7"/>
  <c r="AY28" i="7"/>
  <c r="AQ28" i="7"/>
  <c r="CD105" i="7"/>
  <c r="BZ105" i="7"/>
  <c r="CH105" i="7"/>
  <c r="CI105" i="7"/>
  <c r="CC105" i="7"/>
  <c r="CA105" i="7"/>
  <c r="CB105" i="7"/>
  <c r="CG105" i="7"/>
  <c r="CF105" i="7"/>
  <c r="BY105" i="7"/>
  <c r="CE105" i="7"/>
  <c r="AU71" i="7"/>
  <c r="AS71" i="7"/>
  <c r="AX71" i="7"/>
  <c r="AP71" i="7"/>
  <c r="AR71" i="7"/>
  <c r="AY71" i="7"/>
  <c r="AO71" i="7"/>
  <c r="AV71" i="7"/>
  <c r="AW71" i="7"/>
  <c r="AQ71" i="7"/>
  <c r="AT71" i="7"/>
  <c r="CD96" i="7"/>
  <c r="CF96" i="7"/>
  <c r="CB96" i="7"/>
  <c r="CG96" i="7"/>
  <c r="CE96" i="7"/>
  <c r="BY96" i="7"/>
  <c r="CH96" i="7"/>
  <c r="CA96" i="7"/>
  <c r="BZ96" i="7"/>
  <c r="CC96" i="7"/>
  <c r="CI96" i="7"/>
  <c r="CE218" i="7"/>
  <c r="CB218" i="7"/>
  <c r="BY218" i="7"/>
  <c r="CG218" i="7"/>
  <c r="BZ218" i="7"/>
  <c r="CH218" i="7"/>
  <c r="CI218" i="7"/>
  <c r="CA218" i="7"/>
  <c r="CC218" i="7"/>
  <c r="CD218" i="7"/>
  <c r="CF218" i="7"/>
  <c r="BM118" i="7"/>
  <c r="BL118" i="7"/>
  <c r="BG118" i="7"/>
  <c r="BI118" i="7"/>
  <c r="BJ118" i="7"/>
  <c r="BH118" i="7"/>
  <c r="BN118" i="7"/>
  <c r="BQ118" i="7"/>
  <c r="BO118" i="7"/>
  <c r="BP118" i="7"/>
  <c r="BK118" i="7"/>
  <c r="AX161" i="7"/>
  <c r="AS161" i="7"/>
  <c r="AY161" i="7"/>
  <c r="AR161" i="7"/>
  <c r="AO161" i="7"/>
  <c r="AU161" i="7"/>
  <c r="AT161" i="7"/>
  <c r="AQ161" i="7"/>
  <c r="AW161" i="7"/>
  <c r="AV161" i="7"/>
  <c r="AP161" i="7"/>
  <c r="AX149" i="7"/>
  <c r="AS149" i="7"/>
  <c r="AY149" i="7"/>
  <c r="AR149" i="7"/>
  <c r="AU149" i="7"/>
  <c r="AT149" i="7"/>
  <c r="AP149" i="7"/>
  <c r="AQ149" i="7"/>
  <c r="AV149" i="7"/>
  <c r="AO149" i="7"/>
  <c r="AW149" i="7"/>
  <c r="BZ193" i="7"/>
  <c r="CA193" i="7"/>
  <c r="CC193" i="7"/>
  <c r="CG193" i="7"/>
  <c r="CE193" i="7"/>
  <c r="CH193" i="7"/>
  <c r="CB193" i="7"/>
  <c r="BY193" i="7"/>
  <c r="CD193" i="7"/>
  <c r="CF193" i="7"/>
  <c r="CI193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07" i="7"/>
  <c r="CF207" i="7"/>
  <c r="CA207" i="7"/>
  <c r="CB207" i="7"/>
  <c r="BZ207" i="7"/>
  <c r="CH207" i="7"/>
  <c r="CI207" i="7"/>
  <c r="BY207" i="7"/>
  <c r="CC207" i="7"/>
  <c r="CD207" i="7"/>
  <c r="CE207" i="7"/>
  <c r="AV148" i="7"/>
  <c r="AO148" i="7"/>
  <c r="AT148" i="7"/>
  <c r="AR148" i="7"/>
  <c r="AW148" i="7"/>
  <c r="AP148" i="7"/>
  <c r="AS148" i="7"/>
  <c r="AU148" i="7"/>
  <c r="AX148" i="7"/>
  <c r="AY148" i="7"/>
  <c r="AQ148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6" i="7"/>
  <c r="AR96" i="7"/>
  <c r="AW96" i="7"/>
  <c r="AP96" i="7"/>
  <c r="AO96" i="7"/>
  <c r="AV96" i="7"/>
  <c r="AQ96" i="7"/>
  <c r="AY96" i="7"/>
  <c r="AX96" i="7"/>
  <c r="AS96" i="7"/>
  <c r="AU96" i="7"/>
  <c r="AV190" i="7"/>
  <c r="AR190" i="7"/>
  <c r="AO190" i="7"/>
  <c r="AW190" i="7"/>
  <c r="AT190" i="7"/>
  <c r="AP190" i="7"/>
  <c r="AS190" i="7"/>
  <c r="AU190" i="7"/>
  <c r="AY190" i="7"/>
  <c r="AQ190" i="7"/>
  <c r="AX190" i="7"/>
  <c r="CI173" i="7"/>
  <c r="CC173" i="7"/>
  <c r="CG173" i="7"/>
  <c r="CE173" i="7"/>
  <c r="CD173" i="7"/>
  <c r="CF173" i="7"/>
  <c r="CB173" i="7"/>
  <c r="BZ173" i="7"/>
  <c r="CA173" i="7"/>
  <c r="CH173" i="7"/>
  <c r="BY173" i="7"/>
  <c r="CH3" i="7"/>
  <c r="CF3" i="7"/>
  <c r="CA3" i="7"/>
  <c r="CD3" i="7"/>
  <c r="BZ3" i="7"/>
  <c r="CG3" i="7"/>
  <c r="CI3" i="7"/>
  <c r="CB3" i="7"/>
  <c r="CC3" i="7"/>
  <c r="BY3" i="7"/>
  <c r="CE3" i="7"/>
  <c r="AT55" i="7"/>
  <c r="AU55" i="7"/>
  <c r="AQ55" i="7"/>
  <c r="AR55" i="7"/>
  <c r="AS55" i="7"/>
  <c r="AP55" i="7"/>
  <c r="AW55" i="7"/>
  <c r="AY55" i="7"/>
  <c r="AX55" i="7"/>
  <c r="AO55" i="7"/>
  <c r="AV55" i="7"/>
  <c r="AW274" i="7"/>
  <c r="AO274" i="7"/>
  <c r="AT274" i="7"/>
  <c r="AP274" i="7"/>
  <c r="AQ274" i="7"/>
  <c r="AR274" i="7"/>
  <c r="AS274" i="7"/>
  <c r="AY274" i="7"/>
  <c r="AX274" i="7"/>
  <c r="AV274" i="7"/>
  <c r="AU274" i="7"/>
  <c r="AR72" i="7"/>
  <c r="AW72" i="7"/>
  <c r="AP72" i="7"/>
  <c r="AV72" i="7"/>
  <c r="AO72" i="7"/>
  <c r="AT72" i="7"/>
  <c r="AY72" i="7"/>
  <c r="AX72" i="7"/>
  <c r="AU72" i="7"/>
  <c r="AQ72" i="7"/>
  <c r="AS72" i="7"/>
  <c r="CH30" i="7"/>
  <c r="CA30" i="7"/>
  <c r="CF30" i="7"/>
  <c r="BZ30" i="7"/>
  <c r="CE30" i="7"/>
  <c r="CB30" i="7"/>
  <c r="BY30" i="7"/>
  <c r="CD30" i="7"/>
  <c r="CG30" i="7"/>
  <c r="CI30" i="7"/>
  <c r="CC30" i="7"/>
  <c r="CI73" i="7"/>
  <c r="CD73" i="7"/>
  <c r="CG73" i="7"/>
  <c r="CB73" i="7"/>
  <c r="BZ73" i="7"/>
  <c r="CC73" i="7"/>
  <c r="CF73" i="7"/>
  <c r="BY73" i="7"/>
  <c r="CA73" i="7"/>
  <c r="CE73" i="7"/>
  <c r="CH73" i="7"/>
  <c r="AV38" i="7"/>
  <c r="AO38" i="7"/>
  <c r="AW38" i="7"/>
  <c r="AT38" i="7"/>
  <c r="AR38" i="7"/>
  <c r="AP38" i="7"/>
  <c r="AY38" i="7"/>
  <c r="AX38" i="7"/>
  <c r="AU38" i="7"/>
  <c r="AQ38" i="7"/>
  <c r="AS38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39" i="7"/>
  <c r="CA139" i="7"/>
  <c r="CF139" i="7"/>
  <c r="CC139" i="7"/>
  <c r="BY139" i="7"/>
  <c r="CD139" i="7"/>
  <c r="CH139" i="7"/>
  <c r="CE139" i="7"/>
  <c r="BZ139" i="7"/>
  <c r="CB139" i="7"/>
  <c r="CI139" i="7"/>
  <c r="CD120" i="7"/>
  <c r="CI120" i="7"/>
  <c r="CH120" i="7"/>
  <c r="CB120" i="7"/>
  <c r="CC120" i="7"/>
  <c r="CA120" i="7"/>
  <c r="CG120" i="7"/>
  <c r="BY120" i="7"/>
  <c r="BZ120" i="7"/>
  <c r="CE120" i="7"/>
  <c r="CF120" i="7"/>
  <c r="CF208" i="7"/>
  <c r="CG208" i="7"/>
  <c r="CE208" i="7"/>
  <c r="CB208" i="7"/>
  <c r="BY208" i="7"/>
  <c r="CH208" i="7"/>
  <c r="CI208" i="7"/>
  <c r="BZ208" i="7"/>
  <c r="CA208" i="7"/>
  <c r="CD208" i="7"/>
  <c r="CC208" i="7"/>
  <c r="AT39" i="7"/>
  <c r="AS39" i="7"/>
  <c r="AU39" i="7"/>
  <c r="AQ39" i="7"/>
  <c r="AR39" i="7"/>
  <c r="AO39" i="7"/>
  <c r="AX39" i="7"/>
  <c r="AP39" i="7"/>
  <c r="AW39" i="7"/>
  <c r="AY39" i="7"/>
  <c r="AV39" i="7"/>
  <c r="AX145" i="7"/>
  <c r="AS145" i="7"/>
  <c r="AQ145" i="7"/>
  <c r="AW145" i="7"/>
  <c r="AY145" i="7"/>
  <c r="AR145" i="7"/>
  <c r="AO145" i="7"/>
  <c r="AU145" i="7"/>
  <c r="AT145" i="7"/>
  <c r="AP145" i="7"/>
  <c r="AV145" i="7"/>
  <c r="BM96" i="7"/>
  <c r="BL96" i="7"/>
  <c r="BG96" i="7"/>
  <c r="BI96" i="7"/>
  <c r="BH96" i="7"/>
  <c r="BN96" i="7"/>
  <c r="BQ96" i="7"/>
  <c r="BJ96" i="7"/>
  <c r="BO96" i="7"/>
  <c r="BP96" i="7"/>
  <c r="BK96" i="7"/>
  <c r="AV118" i="7"/>
  <c r="AW118" i="7"/>
  <c r="AU118" i="7"/>
  <c r="AT118" i="7"/>
  <c r="AO118" i="7"/>
  <c r="AX118" i="7"/>
  <c r="AY118" i="7"/>
  <c r="AR118" i="7"/>
  <c r="AQ118" i="7"/>
  <c r="AP118" i="7"/>
  <c r="AS118" i="7"/>
  <c r="CD111" i="7"/>
  <c r="CH111" i="7"/>
  <c r="CB111" i="7"/>
  <c r="BZ111" i="7"/>
  <c r="BY111" i="7"/>
  <c r="CF111" i="7"/>
  <c r="CG111" i="7"/>
  <c r="CE111" i="7"/>
  <c r="CI111" i="7"/>
  <c r="CC111" i="7"/>
  <c r="CA111" i="7"/>
  <c r="CF302" i="7"/>
  <c r="CB302" i="7"/>
  <c r="CI302" i="7"/>
  <c r="CD302" i="7"/>
  <c r="BY302" i="7"/>
  <c r="BZ302" i="7"/>
  <c r="CH302" i="7"/>
  <c r="CE302" i="7"/>
  <c r="CC302" i="7"/>
  <c r="CA302" i="7"/>
  <c r="CG302" i="7"/>
  <c r="BM73" i="7"/>
  <c r="BI73" i="7"/>
  <c r="BQ73" i="7"/>
  <c r="BJ73" i="7"/>
  <c r="BL73" i="7"/>
  <c r="BG73" i="7"/>
  <c r="BH73" i="7"/>
  <c r="BN73" i="7"/>
  <c r="BO73" i="7"/>
  <c r="BP73" i="7"/>
  <c r="BK73" i="7"/>
  <c r="AT299" i="7"/>
  <c r="AV299" i="7"/>
  <c r="AQ299" i="7"/>
  <c r="AP299" i="7"/>
  <c r="AY299" i="7"/>
  <c r="AS299" i="7"/>
  <c r="AU299" i="7"/>
  <c r="AX299" i="7"/>
  <c r="AO299" i="7"/>
  <c r="AR299" i="7"/>
  <c r="AW299" i="7"/>
  <c r="AT160" i="7"/>
  <c r="AR160" i="7"/>
  <c r="AW160" i="7"/>
  <c r="AP160" i="7"/>
  <c r="AV160" i="7"/>
  <c r="AO160" i="7"/>
  <c r="AY160" i="7"/>
  <c r="AX160" i="7"/>
  <c r="AQ160" i="7"/>
  <c r="AU160" i="7"/>
  <c r="AS160" i="7"/>
  <c r="CD99" i="7"/>
  <c r="CH99" i="7"/>
  <c r="CB99" i="7"/>
  <c r="BZ99" i="7"/>
  <c r="CG99" i="7"/>
  <c r="CE99" i="7"/>
  <c r="BY99" i="7"/>
  <c r="CF99" i="7"/>
  <c r="CA99" i="7"/>
  <c r="CC99" i="7"/>
  <c r="CI99" i="7"/>
  <c r="BY261" i="7" a="1"/>
  <c r="CI213" i="7"/>
  <c r="CC213" i="7"/>
  <c r="CH213" i="7"/>
  <c r="CB213" i="7"/>
  <c r="BY213" i="7"/>
  <c r="BZ213" i="7"/>
  <c r="CA213" i="7"/>
  <c r="CF213" i="7"/>
  <c r="CE213" i="7"/>
  <c r="CG213" i="7"/>
  <c r="CD213" i="7"/>
  <c r="BY293" i="7" a="1"/>
  <c r="CI141" i="7"/>
  <c r="CC141" i="7"/>
  <c r="BZ141" i="7"/>
  <c r="CA141" i="7"/>
  <c r="CH141" i="7"/>
  <c r="CB141" i="7"/>
  <c r="BY141" i="7"/>
  <c r="CG141" i="7"/>
  <c r="CD141" i="7"/>
  <c r="CF141" i="7"/>
  <c r="CE141" i="7"/>
  <c r="BM122" i="7"/>
  <c r="BH122" i="7"/>
  <c r="BN122" i="7"/>
  <c r="BJ122" i="7"/>
  <c r="BO122" i="7"/>
  <c r="BP122" i="7"/>
  <c r="BK122" i="7"/>
  <c r="BI122" i="7"/>
  <c r="BG122" i="7"/>
  <c r="BL122" i="7"/>
  <c r="BQ122" i="7"/>
  <c r="AX169" i="7"/>
  <c r="AS169" i="7"/>
  <c r="AY169" i="7"/>
  <c r="AR169" i="7"/>
  <c r="AP169" i="7"/>
  <c r="AU169" i="7"/>
  <c r="AT169" i="7"/>
  <c r="AQ169" i="7"/>
  <c r="AO169" i="7"/>
  <c r="AW169" i="7"/>
  <c r="AV169" i="7"/>
  <c r="CF56" i="7"/>
  <c r="CH56" i="7"/>
  <c r="CE56" i="7"/>
  <c r="CB56" i="7"/>
  <c r="BZ56" i="7"/>
  <c r="CD56" i="7"/>
  <c r="CA56" i="7"/>
  <c r="CC56" i="7"/>
  <c r="CG56" i="7"/>
  <c r="BY56" i="7"/>
  <c r="CI56" i="7"/>
  <c r="CF80" i="7"/>
  <c r="BZ80" i="7"/>
  <c r="CH80" i="7"/>
  <c r="CE80" i="7"/>
  <c r="CB80" i="7"/>
  <c r="CA80" i="7"/>
  <c r="CC80" i="7"/>
  <c r="CD80" i="7"/>
  <c r="CG80" i="7"/>
  <c r="BY80" i="7"/>
  <c r="CI80" i="7"/>
  <c r="CB198" i="7"/>
  <c r="CG198" i="7"/>
  <c r="CA198" i="7"/>
  <c r="CF198" i="7"/>
  <c r="BY198" i="7"/>
  <c r="CE198" i="7"/>
  <c r="CC198" i="7"/>
  <c r="CD198" i="7"/>
  <c r="CI198" i="7"/>
  <c r="CH198" i="7"/>
  <c r="BZ198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1" i="7"/>
  <c r="AW111" i="7"/>
  <c r="AR111" i="7"/>
  <c r="AS111" i="7"/>
  <c r="AO111" i="7"/>
  <c r="AY111" i="7"/>
  <c r="AX111" i="7"/>
  <c r="AP111" i="7"/>
  <c r="AU111" i="7"/>
  <c r="AQ111" i="7"/>
  <c r="AT111" i="7"/>
  <c r="AX286" i="7"/>
  <c r="AQ286" i="7"/>
  <c r="AV286" i="7"/>
  <c r="AP286" i="7"/>
  <c r="AU286" i="7"/>
  <c r="AR286" i="7"/>
  <c r="AS286" i="7"/>
  <c r="AO286" i="7"/>
  <c r="AT286" i="7"/>
  <c r="AW286" i="7"/>
  <c r="AY286" i="7"/>
  <c r="AV82" i="7"/>
  <c r="AO82" i="7"/>
  <c r="AW82" i="7"/>
  <c r="AT82" i="7"/>
  <c r="AR82" i="7"/>
  <c r="AP82" i="7"/>
  <c r="AU82" i="7"/>
  <c r="AQ82" i="7"/>
  <c r="AS82" i="7"/>
  <c r="AY82" i="7"/>
  <c r="AX82" i="7"/>
  <c r="AR163" i="7"/>
  <c r="AP163" i="7"/>
  <c r="AX163" i="7"/>
  <c r="AW163" i="7"/>
  <c r="AY163" i="7"/>
  <c r="AO163" i="7"/>
  <c r="AS163" i="7"/>
  <c r="AU163" i="7"/>
  <c r="AV163" i="7"/>
  <c r="AQ163" i="7"/>
  <c r="AT163" i="7"/>
  <c r="AO121" i="7"/>
  <c r="AV121" i="7"/>
  <c r="AT121" i="7"/>
  <c r="AP121" i="7"/>
  <c r="AU121" i="7"/>
  <c r="AQ121" i="7"/>
  <c r="AS121" i="7"/>
  <c r="AW121" i="7"/>
  <c r="AY121" i="7"/>
  <c r="AX121" i="7"/>
  <c r="AR121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89" i="7"/>
  <c r="BZ89" i="7"/>
  <c r="CF89" i="7"/>
  <c r="CI89" i="7"/>
  <c r="CH89" i="7"/>
  <c r="CC89" i="7"/>
  <c r="CA89" i="7"/>
  <c r="CG89" i="7"/>
  <c r="BY89" i="7"/>
  <c r="CE89" i="7"/>
  <c r="CD89" i="7"/>
  <c r="CG136" i="7"/>
  <c r="CA136" i="7"/>
  <c r="CF136" i="7"/>
  <c r="BY136" i="7"/>
  <c r="CE136" i="7"/>
  <c r="CB136" i="7"/>
  <c r="CC136" i="7"/>
  <c r="CD136" i="7"/>
  <c r="CH136" i="7"/>
  <c r="BZ136" i="7"/>
  <c r="CI136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5" i="7" a="1"/>
  <c r="BM75" i="7"/>
  <c r="BI75" i="7"/>
  <c r="BQ75" i="7"/>
  <c r="BJ75" i="7"/>
  <c r="BH75" i="7"/>
  <c r="BN75" i="7"/>
  <c r="BO75" i="7"/>
  <c r="BP75" i="7"/>
  <c r="BK75" i="7"/>
  <c r="BL75" i="7"/>
  <c r="BG75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2" i="7"/>
  <c r="AW192" i="7"/>
  <c r="AP192" i="7"/>
  <c r="AV192" i="7"/>
  <c r="AO192" i="7"/>
  <c r="AT192" i="7"/>
  <c r="AS192" i="7"/>
  <c r="AU192" i="7"/>
  <c r="AX192" i="7"/>
  <c r="AY192" i="7"/>
  <c r="AQ192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4" i="7" a="1"/>
  <c r="CG191" i="7"/>
  <c r="CF191" i="7"/>
  <c r="CA191" i="7"/>
  <c r="CB191" i="7"/>
  <c r="BZ191" i="7"/>
  <c r="BY191" i="7"/>
  <c r="CH191" i="7"/>
  <c r="CI191" i="7"/>
  <c r="CE191" i="7"/>
  <c r="CD191" i="7"/>
  <c r="CC191" i="7"/>
  <c r="BM70" i="7"/>
  <c r="BL70" i="7"/>
  <c r="BG70" i="7"/>
  <c r="BI70" i="7"/>
  <c r="BH70" i="7"/>
  <c r="BN70" i="7"/>
  <c r="BQ70" i="7"/>
  <c r="BO70" i="7"/>
  <c r="BJ70" i="7"/>
  <c r="BK70" i="7"/>
  <c r="BP70" i="7"/>
  <c r="AR68" i="7"/>
  <c r="AW68" i="7"/>
  <c r="AP68" i="7"/>
  <c r="AV68" i="7"/>
  <c r="AO68" i="7"/>
  <c r="AT68" i="7"/>
  <c r="AY68" i="7"/>
  <c r="AQ68" i="7"/>
  <c r="AU68" i="7"/>
  <c r="AS68" i="7"/>
  <c r="AX68" i="7"/>
  <c r="AV59" i="7"/>
  <c r="AT59" i="7"/>
  <c r="AQ59" i="7"/>
  <c r="AP59" i="7"/>
  <c r="AS59" i="7"/>
  <c r="AY59" i="7"/>
  <c r="AX59" i="7"/>
  <c r="AR59" i="7"/>
  <c r="AU59" i="7"/>
  <c r="AW59" i="7"/>
  <c r="AO59" i="7"/>
  <c r="AX90" i="7"/>
  <c r="AW90" i="7"/>
  <c r="AS90" i="7"/>
  <c r="AO90" i="7"/>
  <c r="AY90" i="7"/>
  <c r="AP90" i="7"/>
  <c r="AU90" i="7"/>
  <c r="AT90" i="7"/>
  <c r="AR90" i="7"/>
  <c r="AQ90" i="7"/>
  <c r="AV90" i="7"/>
  <c r="AW45" i="7"/>
  <c r="AV45" i="7"/>
  <c r="AP45" i="7"/>
  <c r="AY45" i="7"/>
  <c r="AX45" i="7"/>
  <c r="AO45" i="7"/>
  <c r="AR45" i="7"/>
  <c r="AU45" i="7"/>
  <c r="AT45" i="7"/>
  <c r="AQ45" i="7"/>
  <c r="AS45" i="7"/>
  <c r="AV213" i="7"/>
  <c r="AS213" i="7"/>
  <c r="AP213" i="7"/>
  <c r="AT213" i="7"/>
  <c r="AX213" i="7"/>
  <c r="AY213" i="7"/>
  <c r="AO213" i="7"/>
  <c r="AU213" i="7"/>
  <c r="AW213" i="7"/>
  <c r="AQ213" i="7"/>
  <c r="AR213" i="7"/>
  <c r="AS191" i="7"/>
  <c r="AV191" i="7"/>
  <c r="AQ191" i="7"/>
  <c r="AO191" i="7"/>
  <c r="AW191" i="7"/>
  <c r="AX191" i="7"/>
  <c r="AY191" i="7"/>
  <c r="AR191" i="7"/>
  <c r="AT191" i="7"/>
  <c r="AP191" i="7"/>
  <c r="AU191" i="7"/>
  <c r="BN286" i="7"/>
  <c r="BH286" i="7"/>
  <c r="BP286" i="7"/>
  <c r="BM286" i="7"/>
  <c r="BJ286" i="7"/>
  <c r="BO286" i="7"/>
  <c r="BQ286" i="7"/>
  <c r="BK286" i="7"/>
  <c r="BG286" i="7"/>
  <c r="BI286" i="7"/>
  <c r="BL286" i="7"/>
  <c r="BM132" i="7"/>
  <c r="BO132" i="7"/>
  <c r="BI132" i="7"/>
  <c r="BJ132" i="7"/>
  <c r="BP132" i="7"/>
  <c r="BK132" i="7"/>
  <c r="BQ132" i="7"/>
  <c r="BL132" i="7"/>
  <c r="BG132" i="7"/>
  <c r="BH132" i="7"/>
  <c r="BN132" i="7"/>
  <c r="BM109" i="7"/>
  <c r="BI109" i="7"/>
  <c r="BQ109" i="7"/>
  <c r="BJ109" i="7"/>
  <c r="BH109" i="7"/>
  <c r="BN109" i="7"/>
  <c r="BO109" i="7"/>
  <c r="BP109" i="7"/>
  <c r="BK109" i="7"/>
  <c r="BL109" i="7"/>
  <c r="BG109" i="7"/>
  <c r="AS223" i="7"/>
  <c r="AP223" i="7"/>
  <c r="AV223" i="7"/>
  <c r="AW223" i="7"/>
  <c r="AX223" i="7"/>
  <c r="AY223" i="7"/>
  <c r="AR223" i="7"/>
  <c r="AU223" i="7"/>
  <c r="AT223" i="7"/>
  <c r="AQ223" i="7"/>
  <c r="AO223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19" i="7"/>
  <c r="BZ119" i="7"/>
  <c r="CH119" i="7"/>
  <c r="CB119" i="7"/>
  <c r="CI119" i="7"/>
  <c r="CC119" i="7"/>
  <c r="CA119" i="7"/>
  <c r="CE119" i="7"/>
  <c r="BY119" i="7"/>
  <c r="CF119" i="7"/>
  <c r="CG119" i="7"/>
  <c r="AV206" i="7"/>
  <c r="AT206" i="7"/>
  <c r="AR206" i="7"/>
  <c r="AO206" i="7"/>
  <c r="AW206" i="7"/>
  <c r="AP206" i="7"/>
  <c r="AS206" i="7"/>
  <c r="AU206" i="7"/>
  <c r="AX206" i="7"/>
  <c r="AY206" i="7"/>
  <c r="AQ206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0" i="7"/>
  <c r="AO140" i="7"/>
  <c r="AT140" i="7"/>
  <c r="AR140" i="7"/>
  <c r="AW140" i="7"/>
  <c r="AP140" i="7"/>
  <c r="AS140" i="7"/>
  <c r="AU140" i="7"/>
  <c r="AX140" i="7"/>
  <c r="AY140" i="7"/>
  <c r="AQ140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4" i="7"/>
  <c r="BH154" i="7"/>
  <c r="BN154" i="7"/>
  <c r="BJ154" i="7"/>
  <c r="BO154" i="7"/>
  <c r="BP154" i="7"/>
  <c r="BK154" i="7"/>
  <c r="BI154" i="7"/>
  <c r="BQ154" i="7"/>
  <c r="BL154" i="7"/>
  <c r="BG154" i="7"/>
  <c r="BM64" i="7"/>
  <c r="BP64" i="7"/>
  <c r="BK64" i="7"/>
  <c r="BL64" i="7"/>
  <c r="BG64" i="7"/>
  <c r="BJ64" i="7"/>
  <c r="BH64" i="7"/>
  <c r="BN64" i="7"/>
  <c r="BI64" i="7"/>
  <c r="BO64" i="7"/>
  <c r="BQ64" i="7"/>
  <c r="BP18" i="7"/>
  <c r="BM18" i="7"/>
  <c r="BH18" i="7"/>
  <c r="BI18" i="7"/>
  <c r="BK18" i="7"/>
  <c r="BN18" i="7"/>
  <c r="BG18" i="7"/>
  <c r="BL18" i="7"/>
  <c r="BO18" i="7"/>
  <c r="BJ18" i="7"/>
  <c r="BQ18" i="7"/>
  <c r="BY69" i="7" a="1"/>
  <c r="CH51" i="7"/>
  <c r="CF51" i="7"/>
  <c r="CA51" i="7"/>
  <c r="CD51" i="7"/>
  <c r="BZ51" i="7"/>
  <c r="CG51" i="7"/>
  <c r="CI51" i="7"/>
  <c r="CB51" i="7"/>
  <c r="CC51" i="7"/>
  <c r="CE51" i="7"/>
  <c r="BY51" i="7"/>
  <c r="CG187" i="7"/>
  <c r="CF187" i="7"/>
  <c r="CA187" i="7"/>
  <c r="CC187" i="7"/>
  <c r="BY187" i="7"/>
  <c r="CD187" i="7"/>
  <c r="CI187" i="7"/>
  <c r="CE187" i="7"/>
  <c r="CB187" i="7"/>
  <c r="CH187" i="7"/>
  <c r="BZ187" i="7"/>
  <c r="CG163" i="7"/>
  <c r="CF163" i="7"/>
  <c r="CA163" i="7"/>
  <c r="CD163" i="7"/>
  <c r="CC163" i="7"/>
  <c r="BY163" i="7"/>
  <c r="BZ163" i="7"/>
  <c r="CB163" i="7"/>
  <c r="CH163" i="7"/>
  <c r="CI163" i="7"/>
  <c r="CE163" i="7"/>
  <c r="BM142" i="7"/>
  <c r="BL142" i="7"/>
  <c r="BG142" i="7"/>
  <c r="BI142" i="7"/>
  <c r="BH142" i="7"/>
  <c r="BN142" i="7"/>
  <c r="BQ142" i="7"/>
  <c r="BJ142" i="7"/>
  <c r="BO142" i="7"/>
  <c r="BP142" i="7"/>
  <c r="BK142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7" i="7"/>
  <c r="AP197" i="7"/>
  <c r="AT197" i="7"/>
  <c r="AX197" i="7"/>
  <c r="AV197" i="7"/>
  <c r="AY197" i="7"/>
  <c r="AO197" i="7"/>
  <c r="AU197" i="7"/>
  <c r="AW197" i="7"/>
  <c r="AQ197" i="7"/>
  <c r="AR197" i="7"/>
  <c r="BP46" i="7"/>
  <c r="BH46" i="7"/>
  <c r="BN46" i="7"/>
  <c r="BM46" i="7"/>
  <c r="BI46" i="7"/>
  <c r="BL46" i="7"/>
  <c r="BO46" i="7"/>
  <c r="BQ46" i="7"/>
  <c r="BK46" i="7"/>
  <c r="BJ46" i="7"/>
  <c r="BG46" i="7"/>
  <c r="CF148" i="7"/>
  <c r="CE148" i="7"/>
  <c r="CB148" i="7"/>
  <c r="CA148" i="7"/>
  <c r="CG148" i="7"/>
  <c r="BY148" i="7"/>
  <c r="CH148" i="7"/>
  <c r="CI148" i="7"/>
  <c r="BZ148" i="7"/>
  <c r="CC148" i="7"/>
  <c r="CD148" i="7"/>
  <c r="CG211" i="7"/>
  <c r="CF211" i="7"/>
  <c r="CA211" i="7"/>
  <c r="CD211" i="7"/>
  <c r="CE211" i="7"/>
  <c r="CC211" i="7"/>
  <c r="CH211" i="7"/>
  <c r="CB211" i="7"/>
  <c r="BZ211" i="7"/>
  <c r="CI211" i="7"/>
  <c r="BY211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6" i="7"/>
  <c r="AO126" i="7"/>
  <c r="AY126" i="7"/>
  <c r="AP126" i="7"/>
  <c r="AR126" i="7"/>
  <c r="AT126" i="7"/>
  <c r="AS126" i="7"/>
  <c r="AW126" i="7"/>
  <c r="AU126" i="7"/>
  <c r="AX126" i="7"/>
  <c r="AV126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78" i="7"/>
  <c r="AQ178" i="7"/>
  <c r="AV178" i="7"/>
  <c r="AY178" i="7"/>
  <c r="AP178" i="7"/>
  <c r="AO178" i="7"/>
  <c r="AR178" i="7"/>
  <c r="AT178" i="7"/>
  <c r="AW178" i="7"/>
  <c r="AU178" i="7"/>
  <c r="AX178" i="7"/>
  <c r="CF50" i="7"/>
  <c r="BZ50" i="7"/>
  <c r="CE50" i="7"/>
  <c r="CB50" i="7"/>
  <c r="CH50" i="7"/>
  <c r="CA50" i="7"/>
  <c r="CD50" i="7"/>
  <c r="CG50" i="7"/>
  <c r="CI50" i="7"/>
  <c r="CC50" i="7"/>
  <c r="BY50" i="7"/>
  <c r="CF225" i="7"/>
  <c r="CB225" i="7"/>
  <c r="CC225" i="7"/>
  <c r="CA225" i="7"/>
  <c r="CD225" i="7"/>
  <c r="CI225" i="7"/>
  <c r="BZ225" i="7"/>
  <c r="CH225" i="7"/>
  <c r="CG225" i="7"/>
  <c r="CE225" i="7"/>
  <c r="BY225" i="7"/>
  <c r="CB78" i="7"/>
  <c r="CH78" i="7"/>
  <c r="CA78" i="7"/>
  <c r="CF78" i="7"/>
  <c r="BZ78" i="7"/>
  <c r="CE78" i="7"/>
  <c r="BY78" i="7"/>
  <c r="CD78" i="7"/>
  <c r="CG78" i="7"/>
  <c r="CI78" i="7"/>
  <c r="CC78" i="7"/>
  <c r="BY224" i="7" a="1"/>
  <c r="CH70" i="7"/>
  <c r="CA70" i="7"/>
  <c r="CF70" i="7"/>
  <c r="BZ70" i="7"/>
  <c r="CE70" i="7"/>
  <c r="CB70" i="7"/>
  <c r="CG70" i="7"/>
  <c r="CI70" i="7"/>
  <c r="CC70" i="7"/>
  <c r="BY70" i="7"/>
  <c r="CD70" i="7"/>
  <c r="AX271" i="7"/>
  <c r="AS271" i="7"/>
  <c r="AU271" i="7"/>
  <c r="AV271" i="7"/>
  <c r="AQ271" i="7"/>
  <c r="AP271" i="7"/>
  <c r="AW271" i="7"/>
  <c r="AT271" i="7"/>
  <c r="AO271" i="7"/>
  <c r="AY271" i="7"/>
  <c r="AR271" i="7"/>
  <c r="AV200" i="7"/>
  <c r="AO200" i="7"/>
  <c r="AT200" i="7"/>
  <c r="AR200" i="7"/>
  <c r="AP200" i="7"/>
  <c r="AW200" i="7"/>
  <c r="AS200" i="7"/>
  <c r="AU200" i="7"/>
  <c r="AY200" i="7"/>
  <c r="AQ200" i="7"/>
  <c r="AX200" i="7"/>
  <c r="AV230" i="7"/>
  <c r="AW230" i="7"/>
  <c r="AT230" i="7"/>
  <c r="AR230" i="7"/>
  <c r="AO230" i="7"/>
  <c r="AP230" i="7"/>
  <c r="AS230" i="7"/>
  <c r="AY230" i="7"/>
  <c r="AX230" i="7"/>
  <c r="AU230" i="7"/>
  <c r="AQ230" i="7"/>
  <c r="CH54" i="7"/>
  <c r="CA54" i="7"/>
  <c r="CF54" i="7"/>
  <c r="BZ54" i="7"/>
  <c r="CE54" i="7"/>
  <c r="CB54" i="7"/>
  <c r="CG54" i="7"/>
  <c r="CI54" i="7"/>
  <c r="CC54" i="7"/>
  <c r="BY54" i="7"/>
  <c r="CD54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1" i="7"/>
  <c r="AR151" i="7"/>
  <c r="AP151" i="7"/>
  <c r="AX151" i="7"/>
  <c r="AU151" i="7"/>
  <c r="AV151" i="7"/>
  <c r="AQ151" i="7"/>
  <c r="AT151" i="7"/>
  <c r="AY151" i="7"/>
  <c r="AO151" i="7"/>
  <c r="AS151" i="7"/>
  <c r="AS162" i="7"/>
  <c r="AQ162" i="7"/>
  <c r="AV162" i="7"/>
  <c r="AY162" i="7"/>
  <c r="AP162" i="7"/>
  <c r="AO162" i="7"/>
  <c r="AR162" i="7"/>
  <c r="AU162" i="7"/>
  <c r="AW162" i="7"/>
  <c r="AX162" i="7"/>
  <c r="AT162" i="7"/>
  <c r="AT105" i="7"/>
  <c r="AP105" i="7"/>
  <c r="AO105" i="7"/>
  <c r="AV105" i="7"/>
  <c r="AU105" i="7"/>
  <c r="AQ105" i="7"/>
  <c r="AS105" i="7"/>
  <c r="AW105" i="7"/>
  <c r="AX105" i="7"/>
  <c r="AR105" i="7"/>
  <c r="AY105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38" i="7"/>
  <c r="BY138" i="7"/>
  <c r="CG138" i="7"/>
  <c r="CE138" i="7"/>
  <c r="BZ138" i="7"/>
  <c r="CH138" i="7"/>
  <c r="CI138" i="7"/>
  <c r="CA138" i="7"/>
  <c r="CC138" i="7"/>
  <c r="CF138" i="7"/>
  <c r="CD138" i="7"/>
  <c r="BY122" i="7" a="1"/>
  <c r="AX157" i="7"/>
  <c r="AS157" i="7"/>
  <c r="AP157" i="7"/>
  <c r="AY157" i="7"/>
  <c r="AR157" i="7"/>
  <c r="AV157" i="7"/>
  <c r="AU157" i="7"/>
  <c r="AT157" i="7"/>
  <c r="AQ157" i="7"/>
  <c r="AO157" i="7"/>
  <c r="AW157" i="7"/>
  <c r="AS199" i="7"/>
  <c r="AV199" i="7"/>
  <c r="AU199" i="7"/>
  <c r="AT199" i="7"/>
  <c r="AQ199" i="7"/>
  <c r="AO199" i="7"/>
  <c r="AW199" i="7"/>
  <c r="AX199" i="7"/>
  <c r="AR199" i="7"/>
  <c r="AP199" i="7"/>
  <c r="AY199" i="7"/>
  <c r="AW152" i="7"/>
  <c r="AP152" i="7"/>
  <c r="AV152" i="7"/>
  <c r="AO152" i="7"/>
  <c r="AT152" i="7"/>
  <c r="AR152" i="7"/>
  <c r="AQ152" i="7"/>
  <c r="AY152" i="7"/>
  <c r="AX152" i="7"/>
  <c r="AU152" i="7"/>
  <c r="AS152" i="7"/>
  <c r="BN255" i="7"/>
  <c r="BH255" i="7"/>
  <c r="BM255" i="7"/>
  <c r="BJ255" i="7"/>
  <c r="BP255" i="7"/>
  <c r="BI255" i="7"/>
  <c r="BO255" i="7"/>
  <c r="BQ255" i="7"/>
  <c r="BK255" i="7"/>
  <c r="BG255" i="7"/>
  <c r="BL255" i="7"/>
  <c r="BM94" i="7"/>
  <c r="BP94" i="7"/>
  <c r="BK94" i="7"/>
  <c r="BL94" i="7"/>
  <c r="BG94" i="7"/>
  <c r="BJ94" i="7"/>
  <c r="BH94" i="7"/>
  <c r="BN94" i="7"/>
  <c r="BI94" i="7"/>
  <c r="BQ94" i="7"/>
  <c r="BO94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4" i="7" a="1"/>
  <c r="BY202" i="7" a="1"/>
  <c r="BY184" i="7" a="1"/>
  <c r="BM143" i="7"/>
  <c r="BI143" i="7"/>
  <c r="BQ143" i="7"/>
  <c r="BJ143" i="7"/>
  <c r="BH143" i="7"/>
  <c r="BN143" i="7"/>
  <c r="BO143" i="7"/>
  <c r="BP143" i="7"/>
  <c r="BK143" i="7"/>
  <c r="BL143" i="7"/>
  <c r="BG143" i="7"/>
  <c r="CD265" i="7"/>
  <c r="CI265" i="7"/>
  <c r="CH265" i="7"/>
  <c r="CC265" i="7"/>
  <c r="CA265" i="7"/>
  <c r="CE265" i="7"/>
  <c r="CF265" i="7"/>
  <c r="BY265" i="7"/>
  <c r="CG265" i="7"/>
  <c r="CB265" i="7"/>
  <c r="BZ265" i="7"/>
  <c r="AW69" i="7"/>
  <c r="AV69" i="7"/>
  <c r="AP69" i="7"/>
  <c r="AR69" i="7"/>
  <c r="AY69" i="7"/>
  <c r="AX69" i="7"/>
  <c r="AU69" i="7"/>
  <c r="AQ69" i="7"/>
  <c r="AO69" i="7"/>
  <c r="AS69" i="7"/>
  <c r="AT69" i="7"/>
  <c r="AW29" i="7"/>
  <c r="AV29" i="7"/>
  <c r="AP29" i="7"/>
  <c r="AR29" i="7"/>
  <c r="AQ29" i="7"/>
  <c r="AT29" i="7"/>
  <c r="AS29" i="7"/>
  <c r="AY29" i="7"/>
  <c r="AX29" i="7"/>
  <c r="AO29" i="7"/>
  <c r="AU29" i="7"/>
  <c r="AR124" i="7"/>
  <c r="AW124" i="7"/>
  <c r="AP124" i="7"/>
  <c r="AV124" i="7"/>
  <c r="AO124" i="7"/>
  <c r="AT124" i="7"/>
  <c r="AS124" i="7"/>
  <c r="AU124" i="7"/>
  <c r="AY124" i="7"/>
  <c r="AQ124" i="7"/>
  <c r="AX124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09" i="7"/>
  <c r="BZ109" i="7"/>
  <c r="CH109" i="7"/>
  <c r="CC109" i="7"/>
  <c r="CA109" i="7"/>
  <c r="CI109" i="7"/>
  <c r="CB109" i="7"/>
  <c r="BY109" i="7"/>
  <c r="CE109" i="7"/>
  <c r="CF109" i="7"/>
  <c r="CG109" i="7"/>
  <c r="CG219" i="7"/>
  <c r="CF219" i="7"/>
  <c r="CA219" i="7"/>
  <c r="CC219" i="7"/>
  <c r="BY219" i="7"/>
  <c r="CD219" i="7"/>
  <c r="CI219" i="7"/>
  <c r="CE219" i="7"/>
  <c r="CB219" i="7"/>
  <c r="BZ219" i="7"/>
  <c r="CH219" i="7"/>
  <c r="CC236" i="7"/>
  <c r="CA236" i="7"/>
  <c r="BZ236" i="7"/>
  <c r="CI236" i="7"/>
  <c r="CF236" i="7"/>
  <c r="BY236" i="7"/>
  <c r="CH236" i="7"/>
  <c r="CE236" i="7"/>
  <c r="CD236" i="7"/>
  <c r="CG236" i="7"/>
  <c r="CB236" i="7"/>
  <c r="AV131" i="7"/>
  <c r="AR131" i="7"/>
  <c r="AW131" i="7"/>
  <c r="AP131" i="7"/>
  <c r="AQ131" i="7"/>
  <c r="AS131" i="7"/>
  <c r="AY131" i="7"/>
  <c r="AX131" i="7"/>
  <c r="AT131" i="7"/>
  <c r="AO131" i="7"/>
  <c r="AU131" i="7"/>
  <c r="AV301" i="7"/>
  <c r="AO301" i="7"/>
  <c r="AY301" i="7"/>
  <c r="AW301" i="7"/>
  <c r="AP301" i="7"/>
  <c r="AX301" i="7"/>
  <c r="AR301" i="7"/>
  <c r="AS301" i="7"/>
  <c r="AQ301" i="7"/>
  <c r="AU301" i="7"/>
  <c r="AT301" i="7"/>
  <c r="AO117" i="7"/>
  <c r="AV117" i="7"/>
  <c r="AT117" i="7"/>
  <c r="AP117" i="7"/>
  <c r="AS117" i="7"/>
  <c r="AR117" i="7"/>
  <c r="AY117" i="7"/>
  <c r="AX117" i="7"/>
  <c r="AU117" i="7"/>
  <c r="AQ117" i="7"/>
  <c r="AW117" i="7"/>
  <c r="AW73" i="7"/>
  <c r="AV73" i="7"/>
  <c r="AP73" i="7"/>
  <c r="AU73" i="7"/>
  <c r="AT73" i="7"/>
  <c r="AR73" i="7"/>
  <c r="AQ73" i="7"/>
  <c r="AS73" i="7"/>
  <c r="AY73" i="7"/>
  <c r="AO73" i="7"/>
  <c r="AX73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1" i="7"/>
  <c r="CD81" i="7"/>
  <c r="CH81" i="7"/>
  <c r="CE81" i="7"/>
  <c r="CG81" i="7"/>
  <c r="CB81" i="7"/>
  <c r="BZ81" i="7"/>
  <c r="CC81" i="7"/>
  <c r="CF81" i="7"/>
  <c r="BY81" i="7"/>
  <c r="CA81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6" i="7"/>
  <c r="CB106" i="7"/>
  <c r="BY106" i="7"/>
  <c r="CF106" i="7"/>
  <c r="CG106" i="7"/>
  <c r="CE106" i="7"/>
  <c r="CH106" i="7"/>
  <c r="CC106" i="7"/>
  <c r="CI106" i="7"/>
  <c r="BZ106" i="7"/>
  <c r="CA106" i="7"/>
  <c r="AP36" i="7"/>
  <c r="AW36" i="7"/>
  <c r="AO36" i="7"/>
  <c r="AT36" i="7"/>
  <c r="AR36" i="7"/>
  <c r="AY36" i="7"/>
  <c r="AX36" i="7"/>
  <c r="AQ36" i="7"/>
  <c r="AS36" i="7"/>
  <c r="AV36" i="7"/>
  <c r="AU36" i="7"/>
  <c r="AP195" i="7"/>
  <c r="AW195" i="7"/>
  <c r="AX195" i="7"/>
  <c r="AY195" i="7"/>
  <c r="AR195" i="7"/>
  <c r="AU195" i="7"/>
  <c r="AT195" i="7"/>
  <c r="AS195" i="7"/>
  <c r="AQ195" i="7"/>
  <c r="AO195" i="7"/>
  <c r="AV195" i="7"/>
  <c r="CD117" i="7"/>
  <c r="CH117" i="7"/>
  <c r="BZ117" i="7"/>
  <c r="CB117" i="7"/>
  <c r="BY117" i="7"/>
  <c r="CF117" i="7"/>
  <c r="CG117" i="7"/>
  <c r="CE117" i="7"/>
  <c r="CI117" i="7"/>
  <c r="CA117" i="7"/>
  <c r="CC117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6" i="7"/>
  <c r="AO66" i="7"/>
  <c r="AW66" i="7"/>
  <c r="AT66" i="7"/>
  <c r="AR66" i="7"/>
  <c r="AP66" i="7"/>
  <c r="AU66" i="7"/>
  <c r="AQ66" i="7"/>
  <c r="AS66" i="7"/>
  <c r="AY66" i="7"/>
  <c r="AX66" i="7"/>
  <c r="AV42" i="7"/>
  <c r="AO42" i="7"/>
  <c r="AW42" i="7"/>
  <c r="AT42" i="7"/>
  <c r="AR42" i="7"/>
  <c r="AP42" i="7"/>
  <c r="AS42" i="7"/>
  <c r="AY42" i="7"/>
  <c r="AX42" i="7"/>
  <c r="AU42" i="7"/>
  <c r="AQ42" i="7"/>
  <c r="AV246" i="7"/>
  <c r="AO246" i="7"/>
  <c r="AW246" i="7"/>
  <c r="AT246" i="7"/>
  <c r="AR246" i="7"/>
  <c r="AP246" i="7"/>
  <c r="AS246" i="7"/>
  <c r="AY246" i="7"/>
  <c r="AX246" i="7"/>
  <c r="AU246" i="7"/>
  <c r="AQ246" i="7"/>
  <c r="BM131" i="7"/>
  <c r="BQ131" i="7"/>
  <c r="BJ131" i="7"/>
  <c r="BI131" i="7"/>
  <c r="BO131" i="7"/>
  <c r="BP131" i="7"/>
  <c r="BK131" i="7"/>
  <c r="BL131" i="7"/>
  <c r="BG131" i="7"/>
  <c r="BH131" i="7"/>
  <c r="BN131" i="7"/>
  <c r="AX122" i="7"/>
  <c r="AV122" i="7"/>
  <c r="AW122" i="7"/>
  <c r="AS122" i="7"/>
  <c r="AY122" i="7"/>
  <c r="AP122" i="7"/>
  <c r="AR122" i="7"/>
  <c r="AU122" i="7"/>
  <c r="AT122" i="7"/>
  <c r="AQ122" i="7"/>
  <c r="AO122" i="7"/>
  <c r="CI53" i="7"/>
  <c r="CG53" i="7"/>
  <c r="CB53" i="7"/>
  <c r="BZ53" i="7"/>
  <c r="CD53" i="7"/>
  <c r="CC53" i="7"/>
  <c r="CF53" i="7"/>
  <c r="BY53" i="7"/>
  <c r="CA53" i="7"/>
  <c r="CH53" i="7"/>
  <c r="CE53" i="7"/>
  <c r="CH47" i="7"/>
  <c r="CF47" i="7"/>
  <c r="CA47" i="7"/>
  <c r="CG47" i="7"/>
  <c r="CI47" i="7"/>
  <c r="CC47" i="7"/>
  <c r="BY47" i="7"/>
  <c r="CE47" i="7"/>
  <c r="CD47" i="7"/>
  <c r="BZ47" i="7"/>
  <c r="CB47" i="7"/>
  <c r="CD124" i="7"/>
  <c r="CG124" i="7"/>
  <c r="CE124" i="7"/>
  <c r="CH124" i="7"/>
  <c r="CB124" i="7"/>
  <c r="BY124" i="7"/>
  <c r="CF124" i="7"/>
  <c r="CC124" i="7"/>
  <c r="BZ124" i="7"/>
  <c r="CI124" i="7"/>
  <c r="CA124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7" i="7"/>
  <c r="AO67" i="7"/>
  <c r="AY67" i="7"/>
  <c r="AX67" i="7"/>
  <c r="AR67" i="7"/>
  <c r="AU67" i="7"/>
  <c r="AW67" i="7"/>
  <c r="AQ67" i="7"/>
  <c r="AP67" i="7"/>
  <c r="AS67" i="7"/>
  <c r="AV67" i="7"/>
  <c r="AR56" i="7"/>
  <c r="AW56" i="7"/>
  <c r="AP56" i="7"/>
  <c r="AV56" i="7"/>
  <c r="AO56" i="7"/>
  <c r="AT56" i="7"/>
  <c r="AQ56" i="7"/>
  <c r="AY56" i="7"/>
  <c r="AX56" i="7"/>
  <c r="AU56" i="7"/>
  <c r="AS56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8" i="7" a="1"/>
  <c r="CF188" i="7"/>
  <c r="BY188" i="7"/>
  <c r="CG188" i="7"/>
  <c r="CE188" i="7"/>
  <c r="CB188" i="7"/>
  <c r="BZ188" i="7"/>
  <c r="CA188" i="7"/>
  <c r="CH188" i="7"/>
  <c r="CI188" i="7"/>
  <c r="CD188" i="7"/>
  <c r="CC188" i="7"/>
  <c r="BM167" i="7"/>
  <c r="BI167" i="7"/>
  <c r="BJ167" i="7"/>
  <c r="BQ167" i="7"/>
  <c r="BH167" i="7"/>
  <c r="BN167" i="7"/>
  <c r="BO167" i="7"/>
  <c r="BP167" i="7"/>
  <c r="BK167" i="7"/>
  <c r="BL167" i="7"/>
  <c r="BG167" i="7"/>
  <c r="CB170" i="7"/>
  <c r="BY170" i="7"/>
  <c r="CG170" i="7"/>
  <c r="CE170" i="7"/>
  <c r="BZ170" i="7"/>
  <c r="CH170" i="7"/>
  <c r="CI170" i="7"/>
  <c r="CF170" i="7"/>
  <c r="CC170" i="7"/>
  <c r="CD170" i="7"/>
  <c r="CA170" i="7"/>
  <c r="AY47" i="7"/>
  <c r="AX47" i="7"/>
  <c r="AT47" i="7"/>
  <c r="AQ47" i="7"/>
  <c r="AW47" i="7"/>
  <c r="AU47" i="7"/>
  <c r="AP47" i="7"/>
  <c r="AS47" i="7"/>
  <c r="AO47" i="7"/>
  <c r="AV47" i="7"/>
  <c r="AR47" i="7"/>
  <c r="AP203" i="7"/>
  <c r="AW203" i="7"/>
  <c r="AX203" i="7"/>
  <c r="AY203" i="7"/>
  <c r="AR203" i="7"/>
  <c r="AU203" i="7"/>
  <c r="AT203" i="7"/>
  <c r="AV203" i="7"/>
  <c r="AQ203" i="7"/>
  <c r="AS203" i="7"/>
  <c r="AO203" i="7"/>
  <c r="CH223" i="7"/>
  <c r="CA223" i="7"/>
  <c r="CF223" i="7"/>
  <c r="CD223" i="7"/>
  <c r="BY223" i="7"/>
  <c r="CG223" i="7"/>
  <c r="CC223" i="7"/>
  <c r="CB223" i="7"/>
  <c r="CE223" i="7"/>
  <c r="CI223" i="7"/>
  <c r="BZ223" i="7"/>
  <c r="AV135" i="7"/>
  <c r="AR135" i="7"/>
  <c r="AW135" i="7"/>
  <c r="AU135" i="7"/>
  <c r="AQ135" i="7"/>
  <c r="AP135" i="7"/>
  <c r="AS135" i="7"/>
  <c r="AO135" i="7"/>
  <c r="AY135" i="7"/>
  <c r="AX135" i="7"/>
  <c r="AT135" i="7"/>
  <c r="BY67" i="7" a="1"/>
  <c r="CF44" i="7"/>
  <c r="BZ44" i="7"/>
  <c r="CH44" i="7"/>
  <c r="CE44" i="7"/>
  <c r="CB44" i="7"/>
  <c r="CG44" i="7"/>
  <c r="CI44" i="7"/>
  <c r="CA44" i="7"/>
  <c r="BY44" i="7"/>
  <c r="CC44" i="7"/>
  <c r="CD44" i="7"/>
  <c r="CG205" i="7"/>
  <c r="CE205" i="7"/>
  <c r="CD205" i="7"/>
  <c r="CF205" i="7"/>
  <c r="CI205" i="7"/>
  <c r="CH205" i="7"/>
  <c r="BY205" i="7"/>
  <c r="BZ205" i="7"/>
  <c r="CC205" i="7"/>
  <c r="CB205" i="7"/>
  <c r="CA205" i="7"/>
  <c r="CA186" i="7"/>
  <c r="CG186" i="7"/>
  <c r="BY186" i="7"/>
  <c r="CE186" i="7"/>
  <c r="CB186" i="7"/>
  <c r="CH186" i="7"/>
  <c r="CI186" i="7"/>
  <c r="BZ186" i="7"/>
  <c r="CD186" i="7"/>
  <c r="CC186" i="7"/>
  <c r="CF186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8" i="7"/>
  <c r="AW88" i="7"/>
  <c r="AP88" i="7"/>
  <c r="AV88" i="7"/>
  <c r="AO88" i="7"/>
  <c r="AT88" i="7"/>
  <c r="AY88" i="7"/>
  <c r="AX88" i="7"/>
  <c r="AQ88" i="7"/>
  <c r="AU88" i="7"/>
  <c r="AS88" i="7"/>
  <c r="AW258" i="7"/>
  <c r="AT258" i="7"/>
  <c r="AO258" i="7"/>
  <c r="AP258" i="7"/>
  <c r="AQ258" i="7"/>
  <c r="AR258" i="7"/>
  <c r="AS258" i="7"/>
  <c r="AY258" i="7"/>
  <c r="AX258" i="7"/>
  <c r="AU258" i="7"/>
  <c r="AV258" i="7"/>
  <c r="AV204" i="7"/>
  <c r="AO204" i="7"/>
  <c r="AT204" i="7"/>
  <c r="AR204" i="7"/>
  <c r="AP204" i="7"/>
  <c r="AW204" i="7"/>
  <c r="AU204" i="7"/>
  <c r="AS204" i="7"/>
  <c r="AQ204" i="7"/>
  <c r="AX204" i="7"/>
  <c r="AY204" i="7"/>
  <c r="AW183" i="7"/>
  <c r="AR183" i="7"/>
  <c r="AP183" i="7"/>
  <c r="AX183" i="7"/>
  <c r="AU183" i="7"/>
  <c r="AV183" i="7"/>
  <c r="AQ183" i="7"/>
  <c r="AT183" i="7"/>
  <c r="AY183" i="7"/>
  <c r="AS183" i="7"/>
  <c r="AO183" i="7"/>
  <c r="BM89" i="7"/>
  <c r="BQ89" i="7"/>
  <c r="BJ89" i="7"/>
  <c r="BI89" i="7"/>
  <c r="BO89" i="7"/>
  <c r="BP89" i="7"/>
  <c r="BK89" i="7"/>
  <c r="BL89" i="7"/>
  <c r="BG89" i="7"/>
  <c r="BH89" i="7"/>
  <c r="BN89" i="7"/>
  <c r="BY116" i="7" a="1"/>
  <c r="BY239" i="7" a="1"/>
  <c r="CI189" i="7"/>
  <c r="CC189" i="7"/>
  <c r="CD189" i="7"/>
  <c r="CF189" i="7"/>
  <c r="CG189" i="7"/>
  <c r="CE189" i="7"/>
  <c r="BZ189" i="7"/>
  <c r="BY189" i="7"/>
  <c r="CB189" i="7"/>
  <c r="CA189" i="7"/>
  <c r="CH189" i="7"/>
  <c r="BM178" i="7"/>
  <c r="BO178" i="7"/>
  <c r="BI178" i="7"/>
  <c r="BP178" i="7"/>
  <c r="BK178" i="7"/>
  <c r="BQ178" i="7"/>
  <c r="BJ178" i="7"/>
  <c r="BL178" i="7"/>
  <c r="BG178" i="7"/>
  <c r="BN178" i="7"/>
  <c r="BH178" i="7"/>
  <c r="CA178" i="7"/>
  <c r="CG178" i="7"/>
  <c r="BY178" i="7"/>
  <c r="CE178" i="7"/>
  <c r="CB178" i="7"/>
  <c r="BZ178" i="7"/>
  <c r="CH178" i="7"/>
  <c r="CI178" i="7"/>
  <c r="CD178" i="7"/>
  <c r="CC178" i="7"/>
  <c r="CF178" i="7"/>
  <c r="AV218" i="7"/>
  <c r="AO218" i="7"/>
  <c r="AW218" i="7"/>
  <c r="AT218" i="7"/>
  <c r="AR218" i="7"/>
  <c r="AY218" i="7"/>
  <c r="AX218" i="7"/>
  <c r="AP218" i="7"/>
  <c r="AQ218" i="7"/>
  <c r="AU218" i="7"/>
  <c r="AS218" i="7"/>
  <c r="AS166" i="7"/>
  <c r="AY166" i="7"/>
  <c r="AP166" i="7"/>
  <c r="AX166" i="7"/>
  <c r="AU166" i="7"/>
  <c r="AT166" i="7"/>
  <c r="AQ166" i="7"/>
  <c r="AO166" i="7"/>
  <c r="AR166" i="7"/>
  <c r="AV166" i="7"/>
  <c r="AW166" i="7"/>
  <c r="AW224" i="7"/>
  <c r="AP224" i="7"/>
  <c r="AV224" i="7"/>
  <c r="AO224" i="7"/>
  <c r="AT224" i="7"/>
  <c r="AR224" i="7"/>
  <c r="AS224" i="7"/>
  <c r="AU224" i="7"/>
  <c r="AX224" i="7"/>
  <c r="AY224" i="7"/>
  <c r="AQ224" i="7"/>
  <c r="CH19" i="7"/>
  <c r="CF19" i="7"/>
  <c r="CA19" i="7"/>
  <c r="CD19" i="7"/>
  <c r="BZ19" i="7"/>
  <c r="CG19" i="7"/>
  <c r="CI19" i="7"/>
  <c r="CB19" i="7"/>
  <c r="CC19" i="7"/>
  <c r="CE19" i="7"/>
  <c r="BY19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4" i="7"/>
  <c r="AW84" i="7"/>
  <c r="AP84" i="7"/>
  <c r="AV84" i="7"/>
  <c r="AO84" i="7"/>
  <c r="AT84" i="7"/>
  <c r="AU84" i="7"/>
  <c r="AQ84" i="7"/>
  <c r="AS84" i="7"/>
  <c r="AY84" i="7"/>
  <c r="AX84" i="7"/>
  <c r="AV194" i="7"/>
  <c r="AO194" i="7"/>
  <c r="AW194" i="7"/>
  <c r="AT194" i="7"/>
  <c r="AR194" i="7"/>
  <c r="AQ194" i="7"/>
  <c r="AP194" i="7"/>
  <c r="AY194" i="7"/>
  <c r="AX194" i="7"/>
  <c r="AS194" i="7"/>
  <c r="AU194" i="7"/>
  <c r="AT133" i="7"/>
  <c r="AP133" i="7"/>
  <c r="AO133" i="7"/>
  <c r="AV133" i="7"/>
  <c r="AS133" i="7"/>
  <c r="AR133" i="7"/>
  <c r="AY133" i="7"/>
  <c r="AX133" i="7"/>
  <c r="AU133" i="7"/>
  <c r="AW133" i="7"/>
  <c r="AQ133" i="7"/>
  <c r="BP29" i="7"/>
  <c r="BI29" i="7"/>
  <c r="BN29" i="7"/>
  <c r="BH29" i="7"/>
  <c r="BM29" i="7"/>
  <c r="BJ29" i="7"/>
  <c r="BL29" i="7"/>
  <c r="BO29" i="7"/>
  <c r="BQ29" i="7"/>
  <c r="BK29" i="7"/>
  <c r="BG29" i="7"/>
  <c r="CB42" i="7"/>
  <c r="CH42" i="7"/>
  <c r="CA42" i="7"/>
  <c r="CF42" i="7"/>
  <c r="BZ42" i="7"/>
  <c r="CE42" i="7"/>
  <c r="CC42" i="7"/>
  <c r="BY42" i="7"/>
  <c r="CD42" i="7"/>
  <c r="CG42" i="7"/>
  <c r="CI42" i="7"/>
  <c r="CD262" i="7"/>
  <c r="CB262" i="7"/>
  <c r="BZ262" i="7"/>
  <c r="CH262" i="7"/>
  <c r="BY262" i="7"/>
  <c r="CF262" i="7"/>
  <c r="CG262" i="7"/>
  <c r="CE262" i="7"/>
  <c r="CI262" i="7"/>
  <c r="CA262" i="7"/>
  <c r="CC262" i="7"/>
  <c r="BY220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4" i="7"/>
  <c r="BL194" i="7"/>
  <c r="BG194" i="7"/>
  <c r="BI194" i="7"/>
  <c r="BH194" i="7"/>
  <c r="BN194" i="7"/>
  <c r="BQ194" i="7"/>
  <c r="BO194" i="7"/>
  <c r="BP194" i="7"/>
  <c r="BJ194" i="7"/>
  <c r="BK194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11" i="7"/>
  <c r="BI211" i="7"/>
  <c r="BQ211" i="7"/>
  <c r="BJ211" i="7"/>
  <c r="BO211" i="7"/>
  <c r="BP211" i="7"/>
  <c r="BK211" i="7"/>
  <c r="BL211" i="7"/>
  <c r="BG211" i="7"/>
  <c r="BH211" i="7"/>
  <c r="BN211" i="7"/>
  <c r="BM216" i="7"/>
  <c r="BH216" i="7"/>
  <c r="BN216" i="7"/>
  <c r="BO216" i="7"/>
  <c r="BJ216" i="7"/>
  <c r="BP216" i="7"/>
  <c r="BK216" i="7"/>
  <c r="BI216" i="7"/>
  <c r="BG216" i="7"/>
  <c r="BL216" i="7"/>
  <c r="BQ216" i="7"/>
  <c r="AT291" i="7"/>
  <c r="AP291" i="7"/>
  <c r="AY291" i="7"/>
  <c r="AV291" i="7"/>
  <c r="AQ291" i="7"/>
  <c r="AS291" i="7"/>
  <c r="AU291" i="7"/>
  <c r="AX291" i="7"/>
  <c r="AW291" i="7"/>
  <c r="AO291" i="7"/>
  <c r="AR291" i="7"/>
  <c r="BQ217" i="7"/>
  <c r="BM217" i="7"/>
  <c r="BJ217" i="7"/>
  <c r="BI217" i="7"/>
  <c r="BH217" i="7"/>
  <c r="BN217" i="7"/>
  <c r="BO217" i="7"/>
  <c r="BP217" i="7"/>
  <c r="BK217" i="7"/>
  <c r="BL217" i="7"/>
  <c r="BG217" i="7"/>
  <c r="CF20" i="7"/>
  <c r="CE20" i="7"/>
  <c r="CB20" i="7"/>
  <c r="BZ20" i="7"/>
  <c r="CH20" i="7"/>
  <c r="BY20" i="7"/>
  <c r="CG20" i="7"/>
  <c r="CI20" i="7"/>
  <c r="CC20" i="7"/>
  <c r="CD20" i="7"/>
  <c r="CA20" i="7"/>
  <c r="CD181" i="7"/>
  <c r="CF181" i="7"/>
  <c r="CC181" i="7"/>
  <c r="CG181" i="7"/>
  <c r="CE181" i="7"/>
  <c r="CI181" i="7"/>
  <c r="BZ181" i="7"/>
  <c r="CB181" i="7"/>
  <c r="CA181" i="7"/>
  <c r="CH181" i="7"/>
  <c r="BY181" i="7"/>
  <c r="AW61" i="7"/>
  <c r="AV61" i="7"/>
  <c r="AP61" i="7"/>
  <c r="AR61" i="7"/>
  <c r="AQ61" i="7"/>
  <c r="AO61" i="7"/>
  <c r="AS61" i="7"/>
  <c r="AT61" i="7"/>
  <c r="AY61" i="7"/>
  <c r="AX61" i="7"/>
  <c r="AU61" i="7"/>
  <c r="AV18" i="7"/>
  <c r="AR18" i="7"/>
  <c r="AP18" i="7"/>
  <c r="AW18" i="7"/>
  <c r="AO18" i="7"/>
  <c r="AT18" i="7"/>
  <c r="AU18" i="7"/>
  <c r="AQ18" i="7"/>
  <c r="AS18" i="7"/>
  <c r="AY18" i="7"/>
  <c r="AX18" i="7"/>
  <c r="AV202" i="7"/>
  <c r="AW202" i="7"/>
  <c r="AT202" i="7"/>
  <c r="AR202" i="7"/>
  <c r="AO202" i="7"/>
  <c r="AY202" i="7"/>
  <c r="AX202" i="7"/>
  <c r="AP202" i="7"/>
  <c r="AQ202" i="7"/>
  <c r="AU202" i="7"/>
  <c r="AS202" i="7"/>
  <c r="AW269" i="7"/>
  <c r="AV269" i="7"/>
  <c r="AT269" i="7"/>
  <c r="AP269" i="7"/>
  <c r="AO269" i="7"/>
  <c r="AY269" i="7"/>
  <c r="AX269" i="7"/>
  <c r="AQ269" i="7"/>
  <c r="AU269" i="7"/>
  <c r="AS269" i="7"/>
  <c r="AR269" i="7"/>
  <c r="AW167" i="7"/>
  <c r="AR167" i="7"/>
  <c r="AP167" i="7"/>
  <c r="AX167" i="7"/>
  <c r="AU167" i="7"/>
  <c r="AV167" i="7"/>
  <c r="AQ167" i="7"/>
  <c r="AT167" i="7"/>
  <c r="AO167" i="7"/>
  <c r="AS167" i="7"/>
  <c r="AY167" i="7"/>
  <c r="BY101" i="7" a="1"/>
  <c r="BY123" i="7" a="1"/>
  <c r="CI149" i="7"/>
  <c r="CC149" i="7"/>
  <c r="CD149" i="7"/>
  <c r="CF149" i="7"/>
  <c r="CG149" i="7"/>
  <c r="CE149" i="7"/>
  <c r="CA149" i="7"/>
  <c r="CB149" i="7"/>
  <c r="CH149" i="7"/>
  <c r="BY149" i="7"/>
  <c r="BZ149" i="7"/>
  <c r="BJ304" i="7"/>
  <c r="BH304" i="7"/>
  <c r="BP304" i="7"/>
  <c r="BM304" i="7"/>
  <c r="BL304" i="7"/>
  <c r="BI304" i="7"/>
  <c r="BO304" i="7"/>
  <c r="BQ304" i="7"/>
  <c r="BN304" i="7"/>
  <c r="BK304" i="7"/>
  <c r="BG304" i="7"/>
  <c r="BY79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3" i="7"/>
  <c r="AS173" i="7"/>
  <c r="AP173" i="7"/>
  <c r="AY173" i="7"/>
  <c r="AR173" i="7"/>
  <c r="AV173" i="7"/>
  <c r="AU173" i="7"/>
  <c r="AT173" i="7"/>
  <c r="AQ173" i="7"/>
  <c r="AW173" i="7"/>
  <c r="AO173" i="7"/>
  <c r="AR80" i="7"/>
  <c r="AW80" i="7"/>
  <c r="AP80" i="7"/>
  <c r="AV80" i="7"/>
  <c r="AO80" i="7"/>
  <c r="AT80" i="7"/>
  <c r="AQ80" i="7"/>
  <c r="AS80" i="7"/>
  <c r="AY80" i="7"/>
  <c r="AX80" i="7"/>
  <c r="AU80" i="7"/>
  <c r="AV219" i="7"/>
  <c r="AP219" i="7"/>
  <c r="AW219" i="7"/>
  <c r="AX219" i="7"/>
  <c r="AS219" i="7"/>
  <c r="AY219" i="7"/>
  <c r="AR219" i="7"/>
  <c r="AU219" i="7"/>
  <c r="AT219" i="7"/>
  <c r="AQ219" i="7"/>
  <c r="AO219" i="7"/>
  <c r="BM97" i="7"/>
  <c r="BI97" i="7"/>
  <c r="BQ97" i="7"/>
  <c r="BJ97" i="7"/>
  <c r="BH97" i="7"/>
  <c r="BN97" i="7"/>
  <c r="BO97" i="7"/>
  <c r="BP97" i="7"/>
  <c r="BK97" i="7"/>
  <c r="BL97" i="7"/>
  <c r="BG97" i="7"/>
  <c r="BP222" i="7"/>
  <c r="BQ222" i="7"/>
  <c r="BM222" i="7"/>
  <c r="BI222" i="7"/>
  <c r="BH222" i="7"/>
  <c r="BG222" i="7"/>
  <c r="BL222" i="7"/>
  <c r="BJ222" i="7"/>
  <c r="BK222" i="7"/>
  <c r="BO222" i="7"/>
  <c r="BN222" i="7"/>
  <c r="AV75" i="7"/>
  <c r="AS75" i="7"/>
  <c r="AT75" i="7"/>
  <c r="AP75" i="7"/>
  <c r="AY75" i="7"/>
  <c r="AU75" i="7"/>
  <c r="AQ75" i="7"/>
  <c r="AR75" i="7"/>
  <c r="AX75" i="7"/>
  <c r="AO75" i="7"/>
  <c r="AW75" i="7"/>
  <c r="AW9" i="7"/>
  <c r="AP9" i="7"/>
  <c r="AV9" i="7"/>
  <c r="AQ9" i="7"/>
  <c r="AT9" i="7"/>
  <c r="AR9" i="7"/>
  <c r="AS9" i="7"/>
  <c r="AY9" i="7"/>
  <c r="AX9" i="7"/>
  <c r="AU9" i="7"/>
  <c r="AO9" i="7"/>
  <c r="CE38" i="7"/>
  <c r="CB38" i="7"/>
  <c r="CH38" i="7"/>
  <c r="CA38" i="7"/>
  <c r="BZ38" i="7"/>
  <c r="CF38" i="7"/>
  <c r="CG38" i="7"/>
  <c r="CI38" i="7"/>
  <c r="CC38" i="7"/>
  <c r="BY38" i="7"/>
  <c r="CD38" i="7"/>
  <c r="CI209" i="7"/>
  <c r="CH209" i="7"/>
  <c r="CB209" i="7"/>
  <c r="BY209" i="7"/>
  <c r="BZ209" i="7"/>
  <c r="CA209" i="7"/>
  <c r="CF209" i="7"/>
  <c r="CG209" i="7"/>
  <c r="CE209" i="7"/>
  <c r="CC209" i="7"/>
  <c r="CD209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7" i="7"/>
  <c r="BQ157" i="7"/>
  <c r="BJ157" i="7"/>
  <c r="BI157" i="7"/>
  <c r="BO157" i="7"/>
  <c r="BP157" i="7"/>
  <c r="BK157" i="7"/>
  <c r="BL157" i="7"/>
  <c r="BG157" i="7"/>
  <c r="BH157" i="7"/>
  <c r="BN157" i="7"/>
  <c r="AX153" i="7"/>
  <c r="AS153" i="7"/>
  <c r="AY153" i="7"/>
  <c r="AR153" i="7"/>
  <c r="AP153" i="7"/>
  <c r="AU153" i="7"/>
  <c r="AT153" i="7"/>
  <c r="AQ153" i="7"/>
  <c r="AO153" i="7"/>
  <c r="AW153" i="7"/>
  <c r="AV153" i="7"/>
  <c r="AU278" i="7"/>
  <c r="AR278" i="7"/>
  <c r="AX278" i="7"/>
  <c r="AQ278" i="7"/>
  <c r="AP278" i="7"/>
  <c r="AV278" i="7"/>
  <c r="AT278" i="7"/>
  <c r="AW278" i="7"/>
  <c r="AY278" i="7"/>
  <c r="AS278" i="7"/>
  <c r="AO278" i="7"/>
  <c r="CH59" i="7"/>
  <c r="CF59" i="7"/>
  <c r="CA59" i="7"/>
  <c r="CB59" i="7"/>
  <c r="CC59" i="7"/>
  <c r="BY59" i="7"/>
  <c r="CD59" i="7"/>
  <c r="BZ59" i="7"/>
  <c r="CI59" i="7"/>
  <c r="CG59" i="7"/>
  <c r="CE59" i="7"/>
  <c r="CH83" i="7"/>
  <c r="CF83" i="7"/>
  <c r="CA83" i="7"/>
  <c r="CD83" i="7"/>
  <c r="BZ83" i="7"/>
  <c r="CG83" i="7"/>
  <c r="CI83" i="7"/>
  <c r="CB83" i="7"/>
  <c r="CC83" i="7"/>
  <c r="CE83" i="7"/>
  <c r="BY83" i="7"/>
  <c r="CH137" i="7"/>
  <c r="CB137" i="7"/>
  <c r="BY137" i="7"/>
  <c r="CD137" i="7"/>
  <c r="CF137" i="7"/>
  <c r="CI137" i="7"/>
  <c r="BZ137" i="7"/>
  <c r="CA137" i="7"/>
  <c r="CC137" i="7"/>
  <c r="CG137" i="7"/>
  <c r="CE137" i="7"/>
  <c r="BY307" i="7" a="1"/>
  <c r="AR128" i="7"/>
  <c r="AW128" i="7"/>
  <c r="AP128" i="7"/>
  <c r="AV128" i="7"/>
  <c r="AO128" i="7"/>
  <c r="AT128" i="7"/>
  <c r="AQ128" i="7"/>
  <c r="AY128" i="7"/>
  <c r="AX128" i="7"/>
  <c r="AU128" i="7"/>
  <c r="AS128" i="7"/>
  <c r="CF168" i="7"/>
  <c r="CB168" i="7"/>
  <c r="CA168" i="7"/>
  <c r="CG168" i="7"/>
  <c r="BY168" i="7"/>
  <c r="CE168" i="7"/>
  <c r="CH168" i="7"/>
  <c r="CI168" i="7"/>
  <c r="BZ168" i="7"/>
  <c r="CD168" i="7"/>
  <c r="CC168" i="7"/>
  <c r="CF216" i="7"/>
  <c r="CA216" i="7"/>
  <c r="CG216" i="7"/>
  <c r="BY216" i="7"/>
  <c r="CE216" i="7"/>
  <c r="CB216" i="7"/>
  <c r="CC216" i="7"/>
  <c r="CD216" i="7"/>
  <c r="CH216" i="7"/>
  <c r="BZ216" i="7"/>
  <c r="CI216" i="7"/>
  <c r="BM98" i="7"/>
  <c r="BH98" i="7"/>
  <c r="BN98" i="7"/>
  <c r="BO98" i="7"/>
  <c r="BJ98" i="7"/>
  <c r="BP98" i="7"/>
  <c r="BK98" i="7"/>
  <c r="BI98" i="7"/>
  <c r="BL98" i="7"/>
  <c r="BG98" i="7"/>
  <c r="BQ98" i="7"/>
  <c r="CI41" i="7"/>
  <c r="CD41" i="7"/>
  <c r="CG41" i="7"/>
  <c r="CB41" i="7"/>
  <c r="BZ41" i="7"/>
  <c r="CC41" i="7"/>
  <c r="CF41" i="7"/>
  <c r="BY41" i="7"/>
  <c r="CA41" i="7"/>
  <c r="CH41" i="7"/>
  <c r="CE41" i="7"/>
  <c r="AR52" i="7"/>
  <c r="AW52" i="7"/>
  <c r="AP52" i="7"/>
  <c r="AV52" i="7"/>
  <c r="AO52" i="7"/>
  <c r="AT52" i="7"/>
  <c r="AQ52" i="7"/>
  <c r="AY52" i="7"/>
  <c r="AX52" i="7"/>
  <c r="AU52" i="7"/>
  <c r="AS52" i="7"/>
  <c r="BM80" i="7"/>
  <c r="BH80" i="7"/>
  <c r="BN80" i="7"/>
  <c r="BO80" i="7"/>
  <c r="BJ80" i="7"/>
  <c r="BP80" i="7"/>
  <c r="BK80" i="7"/>
  <c r="BI80" i="7"/>
  <c r="BL80" i="7"/>
  <c r="BG80" i="7"/>
  <c r="BQ80" i="7"/>
  <c r="AY312" i="7"/>
  <c r="AP312" i="7"/>
  <c r="AX312" i="7"/>
  <c r="AT312" i="7"/>
  <c r="AR312" i="7"/>
  <c r="AW312" i="7"/>
  <c r="AQ312" i="7"/>
  <c r="AO312" i="7"/>
  <c r="AS312" i="7"/>
  <c r="AV312" i="7"/>
  <c r="AU312" i="7"/>
  <c r="CI65" i="7"/>
  <c r="CD65" i="7"/>
  <c r="CC65" i="7"/>
  <c r="CF65" i="7"/>
  <c r="BY65" i="7"/>
  <c r="CA65" i="7"/>
  <c r="CH65" i="7"/>
  <c r="CE65" i="7"/>
  <c r="CG65" i="7"/>
  <c r="CB65" i="7"/>
  <c r="BZ65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2" i="7"/>
  <c r="CE132" i="7"/>
  <c r="BZ132" i="7"/>
  <c r="CH132" i="7"/>
  <c r="CI132" i="7"/>
  <c r="CB132" i="7"/>
  <c r="BY132" i="7"/>
  <c r="CD132" i="7"/>
  <c r="CG132" i="7"/>
  <c r="CC132" i="7"/>
  <c r="CA132" i="7"/>
  <c r="CB134" i="7"/>
  <c r="BY134" i="7"/>
  <c r="CG134" i="7"/>
  <c r="CE134" i="7"/>
  <c r="CH134" i="7"/>
  <c r="CI134" i="7"/>
  <c r="BZ134" i="7"/>
  <c r="CF134" i="7"/>
  <c r="CD134" i="7"/>
  <c r="CC134" i="7"/>
  <c r="CA134" i="7"/>
  <c r="BM208" i="7"/>
  <c r="BO208" i="7"/>
  <c r="BI208" i="7"/>
  <c r="BJ208" i="7"/>
  <c r="BP208" i="7"/>
  <c r="BK208" i="7"/>
  <c r="BQ208" i="7"/>
  <c r="BL208" i="7"/>
  <c r="BG208" i="7"/>
  <c r="BH208" i="7"/>
  <c r="BN208" i="7"/>
  <c r="AR100" i="7"/>
  <c r="AW100" i="7"/>
  <c r="AP100" i="7"/>
  <c r="AV100" i="7"/>
  <c r="AO100" i="7"/>
  <c r="AT100" i="7"/>
  <c r="AS100" i="7"/>
  <c r="AU100" i="7"/>
  <c r="AX100" i="7"/>
  <c r="AY100" i="7"/>
  <c r="AQ100" i="7"/>
  <c r="AW49" i="7"/>
  <c r="AV49" i="7"/>
  <c r="AP49" i="7"/>
  <c r="AR49" i="7"/>
  <c r="AU49" i="7"/>
  <c r="AQ49" i="7"/>
  <c r="AO49" i="7"/>
  <c r="AS49" i="7"/>
  <c r="AT49" i="7"/>
  <c r="AX49" i="7"/>
  <c r="AY49" i="7"/>
  <c r="AX187" i="7"/>
  <c r="AW187" i="7"/>
  <c r="AR187" i="7"/>
  <c r="AP187" i="7"/>
  <c r="AQ187" i="7"/>
  <c r="AT187" i="7"/>
  <c r="AY187" i="7"/>
  <c r="AO187" i="7"/>
  <c r="AS187" i="7"/>
  <c r="AU187" i="7"/>
  <c r="AV187" i="7"/>
  <c r="AV119" i="7"/>
  <c r="AW119" i="7"/>
  <c r="AR119" i="7"/>
  <c r="AU119" i="7"/>
  <c r="AQ119" i="7"/>
  <c r="AP119" i="7"/>
  <c r="AS119" i="7"/>
  <c r="AO119" i="7"/>
  <c r="AX119" i="7"/>
  <c r="AT119" i="7"/>
  <c r="AY119" i="7"/>
  <c r="CG215" i="7"/>
  <c r="CA215" i="7"/>
  <c r="CF215" i="7"/>
  <c r="CH215" i="7"/>
  <c r="CI215" i="7"/>
  <c r="CE215" i="7"/>
  <c r="BZ215" i="7"/>
  <c r="CD215" i="7"/>
  <c r="CC215" i="7"/>
  <c r="BY215" i="7"/>
  <c r="CB215" i="7"/>
  <c r="CA281" i="7"/>
  <c r="CG281" i="7"/>
  <c r="CB281" i="7"/>
  <c r="CI281" i="7"/>
  <c r="CD281" i="7"/>
  <c r="BY281" i="7"/>
  <c r="CC281" i="7"/>
  <c r="CE281" i="7"/>
  <c r="CF281" i="7"/>
  <c r="CH281" i="7"/>
  <c r="BZ281" i="7"/>
  <c r="AT43" i="7"/>
  <c r="AQ43" i="7"/>
  <c r="AS43" i="7"/>
  <c r="AO43" i="7"/>
  <c r="AY43" i="7"/>
  <c r="AX43" i="7"/>
  <c r="AP43" i="7"/>
  <c r="AR43" i="7"/>
  <c r="AV43" i="7"/>
  <c r="AW43" i="7"/>
  <c r="AU43" i="7"/>
  <c r="AS209" i="7"/>
  <c r="AV209" i="7"/>
  <c r="AY209" i="7"/>
  <c r="AO209" i="7"/>
  <c r="AU209" i="7"/>
  <c r="AW209" i="7"/>
  <c r="AQ209" i="7"/>
  <c r="AR209" i="7"/>
  <c r="AP209" i="7"/>
  <c r="AT209" i="7"/>
  <c r="AX209" i="7"/>
  <c r="BL249" i="7"/>
  <c r="BP249" i="7"/>
  <c r="BM249" i="7"/>
  <c r="BO249" i="7"/>
  <c r="BJ249" i="7"/>
  <c r="BH249" i="7"/>
  <c r="BQ249" i="7"/>
  <c r="BK249" i="7"/>
  <c r="BN249" i="7"/>
  <c r="BG249" i="7"/>
  <c r="BI249" i="7"/>
  <c r="BM164" i="7"/>
  <c r="BL164" i="7"/>
  <c r="BG164" i="7"/>
  <c r="BI164" i="7"/>
  <c r="BH164" i="7"/>
  <c r="BN164" i="7"/>
  <c r="BQ164" i="7"/>
  <c r="BJ164" i="7"/>
  <c r="BO164" i="7"/>
  <c r="BK164" i="7"/>
  <c r="BP164" i="7"/>
  <c r="AY142" i="7"/>
  <c r="AP142" i="7"/>
  <c r="AR142" i="7"/>
  <c r="AQ142" i="7"/>
  <c r="AO142" i="7"/>
  <c r="AV142" i="7"/>
  <c r="AT142" i="7"/>
  <c r="AW142" i="7"/>
  <c r="AS142" i="7"/>
  <c r="AX142" i="7"/>
  <c r="AU142" i="7"/>
  <c r="CD88" i="7"/>
  <c r="CB88" i="7"/>
  <c r="CF88" i="7"/>
  <c r="CI88" i="7"/>
  <c r="BZ88" i="7"/>
  <c r="CC88" i="7"/>
  <c r="CA88" i="7"/>
  <c r="CG88" i="7"/>
  <c r="BY88" i="7"/>
  <c r="CE88" i="7"/>
  <c r="CH88" i="7"/>
  <c r="CF172" i="7"/>
  <c r="CA172" i="7"/>
  <c r="CG172" i="7"/>
  <c r="BY172" i="7"/>
  <c r="CE172" i="7"/>
  <c r="CB172" i="7"/>
  <c r="CC172" i="7"/>
  <c r="CD172" i="7"/>
  <c r="CH172" i="7"/>
  <c r="BZ172" i="7"/>
  <c r="CI172" i="7"/>
  <c r="AW53" i="7"/>
  <c r="AV53" i="7"/>
  <c r="AP53" i="7"/>
  <c r="AS53" i="7"/>
  <c r="AY53" i="7"/>
  <c r="AX53" i="7"/>
  <c r="AR53" i="7"/>
  <c r="AU53" i="7"/>
  <c r="AO53" i="7"/>
  <c r="AQ53" i="7"/>
  <c r="AT53" i="7"/>
  <c r="AS211" i="7"/>
  <c r="AP211" i="7"/>
  <c r="AW211" i="7"/>
  <c r="AX211" i="7"/>
  <c r="AY211" i="7"/>
  <c r="AR211" i="7"/>
  <c r="AU211" i="7"/>
  <c r="AT211" i="7"/>
  <c r="AQ211" i="7"/>
  <c r="AO211" i="7"/>
  <c r="AV211" i="7"/>
  <c r="AX171" i="7"/>
  <c r="AW171" i="7"/>
  <c r="AR171" i="7"/>
  <c r="AP171" i="7"/>
  <c r="AQ171" i="7"/>
  <c r="AT171" i="7"/>
  <c r="AY171" i="7"/>
  <c r="AO171" i="7"/>
  <c r="AS171" i="7"/>
  <c r="AU171" i="7"/>
  <c r="AV171" i="7"/>
  <c r="AT232" i="7"/>
  <c r="AR232" i="7"/>
  <c r="AW232" i="7"/>
  <c r="AP232" i="7"/>
  <c r="AO232" i="7"/>
  <c r="AV232" i="7"/>
  <c r="AS232" i="7"/>
  <c r="AU232" i="7"/>
  <c r="AY232" i="7"/>
  <c r="AQ232" i="7"/>
  <c r="AX232" i="7"/>
  <c r="CH46" i="7"/>
  <c r="CA46" i="7"/>
  <c r="CF46" i="7"/>
  <c r="BZ46" i="7"/>
  <c r="CE46" i="7"/>
  <c r="CB46" i="7"/>
  <c r="BY46" i="7"/>
  <c r="CD46" i="7"/>
  <c r="CG46" i="7"/>
  <c r="CI46" i="7"/>
  <c r="CC46" i="7"/>
  <c r="CI29" i="7"/>
  <c r="CH29" i="7"/>
  <c r="CE29" i="7"/>
  <c r="CG29" i="7"/>
  <c r="CB29" i="7"/>
  <c r="BZ29" i="7"/>
  <c r="CD29" i="7"/>
  <c r="CC29" i="7"/>
  <c r="CF29" i="7"/>
  <c r="BY29" i="7"/>
  <c r="CA29" i="7"/>
  <c r="CG150" i="7"/>
  <c r="CE150" i="7"/>
  <c r="CB150" i="7"/>
  <c r="BY150" i="7"/>
  <c r="CH150" i="7"/>
  <c r="CI150" i="7"/>
  <c r="BZ150" i="7"/>
  <c r="CF150" i="7"/>
  <c r="CD150" i="7"/>
  <c r="CA150" i="7"/>
  <c r="CC150" i="7"/>
  <c r="BM170" i="7"/>
  <c r="BH170" i="7"/>
  <c r="BN170" i="7"/>
  <c r="BO170" i="7"/>
  <c r="BJ170" i="7"/>
  <c r="BP170" i="7"/>
  <c r="BK170" i="7"/>
  <c r="BI170" i="7"/>
  <c r="BL170" i="7"/>
  <c r="BG170" i="7"/>
  <c r="BQ170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39" i="7"/>
  <c r="BL39" i="7"/>
  <c r="BK39" i="7"/>
  <c r="BN39" i="7"/>
  <c r="BP39" i="7"/>
  <c r="BM39" i="7"/>
  <c r="BG39" i="7"/>
  <c r="BJ39" i="7"/>
  <c r="BI39" i="7"/>
  <c r="BO39" i="7"/>
  <c r="BH39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79" i="7"/>
  <c r="AU79" i="7"/>
  <c r="AO79" i="7"/>
  <c r="AW79" i="7"/>
  <c r="AY79" i="7"/>
  <c r="AT79" i="7"/>
  <c r="AQ79" i="7"/>
  <c r="AP79" i="7"/>
  <c r="AV79" i="7"/>
  <c r="AR79" i="7"/>
  <c r="AX79" i="7"/>
  <c r="AS91" i="7"/>
  <c r="AX91" i="7"/>
  <c r="AR91" i="7"/>
  <c r="AY91" i="7"/>
  <c r="AO91" i="7"/>
  <c r="AU91" i="7"/>
  <c r="AV91" i="7"/>
  <c r="AQ91" i="7"/>
  <c r="AP91" i="7"/>
  <c r="AW91" i="7"/>
  <c r="AT91" i="7"/>
  <c r="BK47" i="7"/>
  <c r="BN47" i="7"/>
  <c r="BQ47" i="7"/>
  <c r="BP47" i="7"/>
  <c r="BM47" i="7"/>
  <c r="BL47" i="7"/>
  <c r="BI47" i="7"/>
  <c r="BO47" i="7"/>
  <c r="BH47" i="7"/>
  <c r="BG47" i="7"/>
  <c r="BJ47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5" i="7"/>
  <c r="CB165" i="7"/>
  <c r="BY165" i="7"/>
  <c r="BZ165" i="7"/>
  <c r="CA165" i="7"/>
  <c r="CC165" i="7"/>
  <c r="CF165" i="7"/>
  <c r="CE165" i="7"/>
  <c r="CD165" i="7"/>
  <c r="CI165" i="7"/>
  <c r="CG165" i="7"/>
  <c r="BY154" i="7"/>
  <c r="CG154" i="7"/>
  <c r="CE154" i="7"/>
  <c r="CB154" i="7"/>
  <c r="BZ154" i="7"/>
  <c r="CH154" i="7"/>
  <c r="CI154" i="7"/>
  <c r="CA154" i="7"/>
  <c r="CC154" i="7"/>
  <c r="CF154" i="7"/>
  <c r="CD154" i="7"/>
  <c r="CH309" i="7"/>
  <c r="CC309" i="7"/>
  <c r="CE309" i="7"/>
  <c r="BZ309" i="7"/>
  <c r="CF309" i="7"/>
  <c r="CI309" i="7"/>
  <c r="BY309" i="7"/>
  <c r="CA309" i="7"/>
  <c r="CB309" i="7"/>
  <c r="CD309" i="7"/>
  <c r="CG309" i="7"/>
  <c r="CD125" i="7"/>
  <c r="BZ125" i="7"/>
  <c r="CH125" i="7"/>
  <c r="CI125" i="7"/>
  <c r="CC125" i="7"/>
  <c r="CA125" i="7"/>
  <c r="CE125" i="7"/>
  <c r="CF125" i="7"/>
  <c r="CG125" i="7"/>
  <c r="CB125" i="7"/>
  <c r="BY125" i="7"/>
  <c r="CG190" i="7"/>
  <c r="BY190" i="7"/>
  <c r="CE190" i="7"/>
  <c r="CB190" i="7"/>
  <c r="CA190" i="7"/>
  <c r="CD190" i="7"/>
  <c r="CC190" i="7"/>
  <c r="BZ190" i="7"/>
  <c r="CH190" i="7"/>
  <c r="CI190" i="7"/>
  <c r="CF190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89" i="7"/>
  <c r="AR89" i="7"/>
  <c r="AQ89" i="7"/>
  <c r="AO89" i="7"/>
  <c r="AU89" i="7"/>
  <c r="AV89" i="7"/>
  <c r="AW89" i="7"/>
  <c r="AP89" i="7"/>
  <c r="AT89" i="7"/>
  <c r="AX89" i="7"/>
  <c r="AS89" i="7"/>
  <c r="AX189" i="7"/>
  <c r="AS189" i="7"/>
  <c r="AP189" i="7"/>
  <c r="AY189" i="7"/>
  <c r="AR189" i="7"/>
  <c r="AV189" i="7"/>
  <c r="AU189" i="7"/>
  <c r="AT189" i="7"/>
  <c r="AQ189" i="7"/>
  <c r="AO189" i="7"/>
  <c r="AW189" i="7"/>
  <c r="BJ215" i="7"/>
  <c r="BI215" i="7"/>
  <c r="BQ215" i="7"/>
  <c r="BM215" i="7"/>
  <c r="BH215" i="7"/>
  <c r="BN215" i="7"/>
  <c r="BO215" i="7"/>
  <c r="BP215" i="7"/>
  <c r="BK215" i="7"/>
  <c r="BG215" i="7"/>
  <c r="BL215" i="7"/>
  <c r="AS170" i="7"/>
  <c r="AQ170" i="7"/>
  <c r="AR170" i="7"/>
  <c r="AV170" i="7"/>
  <c r="AY170" i="7"/>
  <c r="AP170" i="7"/>
  <c r="AO170" i="7"/>
  <c r="AU170" i="7"/>
  <c r="AT170" i="7"/>
  <c r="AW170" i="7"/>
  <c r="AX170" i="7"/>
  <c r="CD100" i="7"/>
  <c r="CB100" i="7"/>
  <c r="BY100" i="7"/>
  <c r="CF100" i="7"/>
  <c r="CH100" i="7"/>
  <c r="CG100" i="7"/>
  <c r="CE100" i="7"/>
  <c r="CC100" i="7"/>
  <c r="CI100" i="7"/>
  <c r="CA100" i="7"/>
  <c r="BZ100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2" i="7"/>
  <c r="AP132" i="7"/>
  <c r="AV132" i="7"/>
  <c r="AO132" i="7"/>
  <c r="AT132" i="7"/>
  <c r="AR132" i="7"/>
  <c r="AU132" i="7"/>
  <c r="AS132" i="7"/>
  <c r="AY132" i="7"/>
  <c r="AQ132" i="7"/>
  <c r="AX132" i="7"/>
  <c r="AV180" i="7"/>
  <c r="AO180" i="7"/>
  <c r="AT180" i="7"/>
  <c r="AR180" i="7"/>
  <c r="AP180" i="7"/>
  <c r="AW180" i="7"/>
  <c r="AS180" i="7"/>
  <c r="AU180" i="7"/>
  <c r="AX180" i="7"/>
  <c r="AY180" i="7"/>
  <c r="AQ180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0" i="7"/>
  <c r="CD130" i="7"/>
  <c r="CB130" i="7"/>
  <c r="BZ130" i="7"/>
  <c r="CC130" i="7"/>
  <c r="CA130" i="7"/>
  <c r="CI130" i="7"/>
  <c r="BY130" i="7"/>
  <c r="CE130" i="7"/>
  <c r="CF130" i="7"/>
  <c r="CG130" i="7"/>
  <c r="CF212" i="7"/>
  <c r="CE212" i="7"/>
  <c r="CB212" i="7"/>
  <c r="CA212" i="7"/>
  <c r="CG212" i="7"/>
  <c r="BY212" i="7"/>
  <c r="CC212" i="7"/>
  <c r="CD212" i="7"/>
  <c r="CH212" i="7"/>
  <c r="BZ212" i="7"/>
  <c r="CI212" i="7"/>
  <c r="AR60" i="7"/>
  <c r="AW60" i="7"/>
  <c r="AP60" i="7"/>
  <c r="AV60" i="7"/>
  <c r="AO60" i="7"/>
  <c r="AT60" i="7"/>
  <c r="AU60" i="7"/>
  <c r="AS60" i="7"/>
  <c r="AY60" i="7"/>
  <c r="AQ60" i="7"/>
  <c r="AX60" i="7"/>
  <c r="AV129" i="7"/>
  <c r="AT129" i="7"/>
  <c r="AP129" i="7"/>
  <c r="AO129" i="7"/>
  <c r="AU129" i="7"/>
  <c r="AW129" i="7"/>
  <c r="AQ129" i="7"/>
  <c r="AS129" i="7"/>
  <c r="AY129" i="7"/>
  <c r="AX129" i="7"/>
  <c r="AR129" i="7"/>
  <c r="AV22" i="7"/>
  <c r="AT22" i="7"/>
  <c r="AR22" i="7"/>
  <c r="AP22" i="7"/>
  <c r="AO22" i="7"/>
  <c r="AW22" i="7"/>
  <c r="AQ22" i="7"/>
  <c r="AS22" i="7"/>
  <c r="AY22" i="7"/>
  <c r="AX22" i="7"/>
  <c r="AU22" i="7"/>
  <c r="AV115" i="7"/>
  <c r="AW115" i="7"/>
  <c r="AR115" i="7"/>
  <c r="AP115" i="7"/>
  <c r="AQ115" i="7"/>
  <c r="AS115" i="7"/>
  <c r="AY115" i="7"/>
  <c r="AX115" i="7"/>
  <c r="AT115" i="7"/>
  <c r="AU115" i="7"/>
  <c r="AO115" i="7"/>
  <c r="CB222" i="7"/>
  <c r="CA222" i="7"/>
  <c r="CG222" i="7"/>
  <c r="BY222" i="7"/>
  <c r="CE222" i="7"/>
  <c r="CH222" i="7"/>
  <c r="CI222" i="7"/>
  <c r="BZ222" i="7"/>
  <c r="CC222" i="7"/>
  <c r="CF222" i="7"/>
  <c r="CD222" i="7"/>
  <c r="CE162" i="7"/>
  <c r="CB162" i="7"/>
  <c r="BY162" i="7"/>
  <c r="CG162" i="7"/>
  <c r="BZ162" i="7"/>
  <c r="CA162" i="7"/>
  <c r="CH162" i="7"/>
  <c r="CI162" i="7"/>
  <c r="CD162" i="7"/>
  <c r="CC162" i="7"/>
  <c r="CF162" i="7"/>
  <c r="CI21" i="7"/>
  <c r="CG21" i="7"/>
  <c r="CB21" i="7"/>
  <c r="BZ21" i="7"/>
  <c r="CD21" i="7"/>
  <c r="CC21" i="7"/>
  <c r="CF21" i="7"/>
  <c r="BY21" i="7"/>
  <c r="CA21" i="7"/>
  <c r="CH21" i="7"/>
  <c r="CE21" i="7"/>
  <c r="AO97" i="7"/>
  <c r="AV97" i="7"/>
  <c r="AT97" i="7"/>
  <c r="AP97" i="7"/>
  <c r="AS97" i="7"/>
  <c r="AW97" i="7"/>
  <c r="AY97" i="7"/>
  <c r="AX97" i="7"/>
  <c r="AU97" i="7"/>
  <c r="AQ97" i="7"/>
  <c r="AR97" i="7"/>
  <c r="AW17" i="7"/>
  <c r="AV17" i="7"/>
  <c r="AP17" i="7"/>
  <c r="AS17" i="7"/>
  <c r="AR17" i="7"/>
  <c r="AY17" i="7"/>
  <c r="AX17" i="7"/>
  <c r="AO17" i="7"/>
  <c r="AU17" i="7"/>
  <c r="AT17" i="7"/>
  <c r="AQ17" i="7"/>
  <c r="AV198" i="7"/>
  <c r="AW198" i="7"/>
  <c r="AT198" i="7"/>
  <c r="AR198" i="7"/>
  <c r="AO198" i="7"/>
  <c r="AP198" i="7"/>
  <c r="AU198" i="7"/>
  <c r="AS198" i="7"/>
  <c r="AY198" i="7"/>
  <c r="AQ198" i="7"/>
  <c r="AX198" i="7"/>
  <c r="AU134" i="7"/>
  <c r="AT134" i="7"/>
  <c r="AV134" i="7"/>
  <c r="AW134" i="7"/>
  <c r="AP134" i="7"/>
  <c r="AX134" i="7"/>
  <c r="AO134" i="7"/>
  <c r="AS134" i="7"/>
  <c r="AY134" i="7"/>
  <c r="AR134" i="7"/>
  <c r="AQ134" i="7"/>
  <c r="CF95" i="7"/>
  <c r="CB95" i="7"/>
  <c r="BY95" i="7"/>
  <c r="CD95" i="7"/>
  <c r="CI95" i="7"/>
  <c r="CH95" i="7"/>
  <c r="CG95" i="7"/>
  <c r="CE95" i="7"/>
  <c r="BZ95" i="7"/>
  <c r="CC95" i="7"/>
  <c r="CA95" i="7"/>
  <c r="BY158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07" i="7"/>
  <c r="BQ207" i="7"/>
  <c r="BJ207" i="7"/>
  <c r="BI207" i="7"/>
  <c r="BO207" i="7"/>
  <c r="BP207" i="7"/>
  <c r="BK207" i="7"/>
  <c r="BL207" i="7"/>
  <c r="BG207" i="7"/>
  <c r="BN207" i="7"/>
  <c r="BH207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220" i="7"/>
  <c r="W220" i="7"/>
  <c r="AB293" i="7"/>
  <c r="AF293" i="7"/>
  <c r="AD68" i="7"/>
  <c r="AG68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6" i="7"/>
  <c r="AB116" i="7"/>
  <c r="AE69" i="7"/>
  <c r="Y69" i="7"/>
  <c r="AV210" i="7"/>
  <c r="AT210" i="7"/>
  <c r="AR210" i="7"/>
  <c r="AO210" i="7"/>
  <c r="AW210" i="7"/>
  <c r="AQ210" i="7"/>
  <c r="AP210" i="7"/>
  <c r="AY210" i="7"/>
  <c r="AX210" i="7"/>
  <c r="AU210" i="7"/>
  <c r="AS210" i="7"/>
  <c r="AA276" i="7"/>
  <c r="BM206" i="7"/>
  <c r="BH206" i="7"/>
  <c r="BN206" i="7"/>
  <c r="BJ206" i="7"/>
  <c r="BO206" i="7"/>
  <c r="BP206" i="7"/>
  <c r="BK206" i="7"/>
  <c r="BI206" i="7"/>
  <c r="BL206" i="7"/>
  <c r="BG206" i="7"/>
  <c r="BQ206" i="7"/>
  <c r="CD112" i="7"/>
  <c r="CI112" i="7"/>
  <c r="CH112" i="7"/>
  <c r="CC112" i="7"/>
  <c r="CA112" i="7"/>
  <c r="CG112" i="7"/>
  <c r="BY112" i="7"/>
  <c r="BZ112" i="7"/>
  <c r="CE112" i="7"/>
  <c r="CB112" i="7"/>
  <c r="CF112" i="7"/>
  <c r="AX185" i="7"/>
  <c r="AS185" i="7"/>
  <c r="AY185" i="7"/>
  <c r="AR185" i="7"/>
  <c r="AP185" i="7"/>
  <c r="AU185" i="7"/>
  <c r="AT185" i="7"/>
  <c r="AQ185" i="7"/>
  <c r="AO185" i="7"/>
  <c r="AW185" i="7"/>
  <c r="AV185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0" i="7"/>
  <c r="AO70" i="7"/>
  <c r="AW70" i="7"/>
  <c r="AT70" i="7"/>
  <c r="AR70" i="7"/>
  <c r="AY70" i="7"/>
  <c r="AX70" i="7"/>
  <c r="AP70" i="7"/>
  <c r="AU70" i="7"/>
  <c r="AQ70" i="7"/>
  <c r="AS70" i="7"/>
  <c r="CI161" i="7"/>
  <c r="CC161" i="7"/>
  <c r="CH161" i="7"/>
  <c r="CB161" i="7"/>
  <c r="BY161" i="7"/>
  <c r="BZ161" i="7"/>
  <c r="CA161" i="7"/>
  <c r="CF161" i="7"/>
  <c r="CE161" i="7"/>
  <c r="CD161" i="7"/>
  <c r="CG161" i="7"/>
  <c r="CG131" i="7"/>
  <c r="CH131" i="7"/>
  <c r="CD131" i="7"/>
  <c r="BZ131" i="7"/>
  <c r="CA131" i="7"/>
  <c r="BY131" i="7"/>
  <c r="CI131" i="7"/>
  <c r="CB131" i="7"/>
  <c r="CC131" i="7"/>
  <c r="CF131" i="7"/>
  <c r="CE131" i="7"/>
  <c r="CG175" i="7"/>
  <c r="CF175" i="7"/>
  <c r="CA175" i="7"/>
  <c r="BZ175" i="7"/>
  <c r="BY175" i="7"/>
  <c r="CH175" i="7"/>
  <c r="CI175" i="7"/>
  <c r="CB175" i="7"/>
  <c r="CC175" i="7"/>
  <c r="CE175" i="7"/>
  <c r="CD175" i="7"/>
  <c r="CF200" i="7"/>
  <c r="BY200" i="7"/>
  <c r="CG200" i="7"/>
  <c r="CE200" i="7"/>
  <c r="CB200" i="7"/>
  <c r="CC200" i="7"/>
  <c r="CD200" i="7"/>
  <c r="CH200" i="7"/>
  <c r="BZ200" i="7"/>
  <c r="CA200" i="7"/>
  <c r="CI200" i="7"/>
  <c r="CG146" i="7"/>
  <c r="CE146" i="7"/>
  <c r="CB146" i="7"/>
  <c r="BY146" i="7"/>
  <c r="BZ146" i="7"/>
  <c r="CA146" i="7"/>
  <c r="CH146" i="7"/>
  <c r="CI146" i="7"/>
  <c r="CF146" i="7"/>
  <c r="CD146" i="7"/>
  <c r="CC146" i="7"/>
  <c r="CE277" i="7"/>
  <c r="BZ277" i="7"/>
  <c r="CF277" i="7"/>
  <c r="CH277" i="7"/>
  <c r="CC277" i="7"/>
  <c r="CA277" i="7"/>
  <c r="CB277" i="7"/>
  <c r="CD277" i="7"/>
  <c r="CG277" i="7"/>
  <c r="CI277" i="7"/>
  <c r="BY277" i="7"/>
  <c r="AP175" i="7"/>
  <c r="AX175" i="7"/>
  <c r="AW175" i="7"/>
  <c r="AR175" i="7"/>
  <c r="AT175" i="7"/>
  <c r="AY175" i="7"/>
  <c r="AO175" i="7"/>
  <c r="AU175" i="7"/>
  <c r="AV175" i="7"/>
  <c r="AS175" i="7"/>
  <c r="AQ175" i="7"/>
  <c r="AX138" i="7"/>
  <c r="AV138" i="7"/>
  <c r="AW138" i="7"/>
  <c r="AY138" i="7"/>
  <c r="AP138" i="7"/>
  <c r="AR138" i="7"/>
  <c r="AU138" i="7"/>
  <c r="AT138" i="7"/>
  <c r="AS138" i="7"/>
  <c r="AO138" i="7"/>
  <c r="AQ138" i="7"/>
  <c r="BM188" i="7"/>
  <c r="BP188" i="7"/>
  <c r="BK188" i="7"/>
  <c r="BL188" i="7"/>
  <c r="BG188" i="7"/>
  <c r="BH188" i="7"/>
  <c r="BN188" i="7"/>
  <c r="BI188" i="7"/>
  <c r="BJ188" i="7"/>
  <c r="BQ188" i="7"/>
  <c r="BO188" i="7"/>
  <c r="CD113" i="7"/>
  <c r="BZ113" i="7"/>
  <c r="CH113" i="7"/>
  <c r="CB113" i="7"/>
  <c r="BY113" i="7"/>
  <c r="CF113" i="7"/>
  <c r="CG113" i="7"/>
  <c r="CE113" i="7"/>
  <c r="CI113" i="7"/>
  <c r="CA113" i="7"/>
  <c r="CC113" i="7"/>
  <c r="CE301" i="7"/>
  <c r="BZ301" i="7"/>
  <c r="CF301" i="7"/>
  <c r="CH301" i="7"/>
  <c r="CC301" i="7"/>
  <c r="CG301" i="7"/>
  <c r="CI301" i="7"/>
  <c r="BY301" i="7"/>
  <c r="CD301" i="7"/>
  <c r="CA301" i="7"/>
  <c r="CB301" i="7"/>
  <c r="BZ217" i="7"/>
  <c r="CA217" i="7"/>
  <c r="CH217" i="7"/>
  <c r="CB217" i="7"/>
  <c r="BY217" i="7"/>
  <c r="CE217" i="7"/>
  <c r="CD217" i="7"/>
  <c r="CG217" i="7"/>
  <c r="CC217" i="7"/>
  <c r="CI217" i="7"/>
  <c r="CF217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7" i="7"/>
  <c r="CF97" i="7"/>
  <c r="CB97" i="7"/>
  <c r="CG97" i="7"/>
  <c r="CE97" i="7"/>
  <c r="BY97" i="7"/>
  <c r="CD97" i="7"/>
  <c r="CA97" i="7"/>
  <c r="CH97" i="7"/>
  <c r="CC97" i="7"/>
  <c r="CI97" i="7"/>
  <c r="CF192" i="7"/>
  <c r="CG192" i="7"/>
  <c r="CE192" i="7"/>
  <c r="CB192" i="7"/>
  <c r="BY192" i="7"/>
  <c r="BZ192" i="7"/>
  <c r="CH192" i="7"/>
  <c r="CI192" i="7"/>
  <c r="CD192" i="7"/>
  <c r="CA192" i="7"/>
  <c r="CC192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2" i="7"/>
  <c r="AR92" i="7"/>
  <c r="AW92" i="7"/>
  <c r="AP92" i="7"/>
  <c r="AO92" i="7"/>
  <c r="AV92" i="7"/>
  <c r="AS92" i="7"/>
  <c r="AU92" i="7"/>
  <c r="AY92" i="7"/>
  <c r="AQ92" i="7"/>
  <c r="AX92" i="7"/>
  <c r="AS205" i="7"/>
  <c r="AP205" i="7"/>
  <c r="AT205" i="7"/>
  <c r="AX205" i="7"/>
  <c r="AV205" i="7"/>
  <c r="AY205" i="7"/>
  <c r="AO205" i="7"/>
  <c r="AU205" i="7"/>
  <c r="AW205" i="7"/>
  <c r="AQ205" i="7"/>
  <c r="AR205" i="7"/>
  <c r="AT304" i="7"/>
  <c r="AR304" i="7"/>
  <c r="AY304" i="7"/>
  <c r="AP304" i="7"/>
  <c r="AX304" i="7"/>
  <c r="AO304" i="7"/>
  <c r="AW304" i="7"/>
  <c r="AQ304" i="7"/>
  <c r="AS304" i="7"/>
  <c r="AV304" i="7"/>
  <c r="AU304" i="7"/>
  <c r="CH55" i="7"/>
  <c r="CF55" i="7"/>
  <c r="CA55" i="7"/>
  <c r="BY55" i="7"/>
  <c r="CE55" i="7"/>
  <c r="CB55" i="7"/>
  <c r="CD55" i="7"/>
  <c r="CG55" i="7"/>
  <c r="CI55" i="7"/>
  <c r="CC55" i="7"/>
  <c r="BZ55" i="7"/>
  <c r="CH39" i="7"/>
  <c r="CA39" i="7"/>
  <c r="CF39" i="7"/>
  <c r="BY39" i="7"/>
  <c r="CE39" i="7"/>
  <c r="CB39" i="7"/>
  <c r="CD39" i="7"/>
  <c r="CG39" i="7"/>
  <c r="CI39" i="7"/>
  <c r="CC39" i="7"/>
  <c r="BZ39" i="7"/>
  <c r="CH7" i="7"/>
  <c r="CA7" i="7"/>
  <c r="CF7" i="7"/>
  <c r="BY7" i="7"/>
  <c r="CE7" i="7"/>
  <c r="CB7" i="7"/>
  <c r="CD7" i="7"/>
  <c r="CG7" i="7"/>
  <c r="CI7" i="7"/>
  <c r="BZ7" i="7"/>
  <c r="CC7" i="7"/>
  <c r="CB129" i="7"/>
  <c r="CH129" i="7"/>
  <c r="CD129" i="7"/>
  <c r="BZ129" i="7"/>
  <c r="CC129" i="7"/>
  <c r="CA129" i="7"/>
  <c r="CI129" i="7"/>
  <c r="CF129" i="7"/>
  <c r="CG129" i="7"/>
  <c r="BY129" i="7"/>
  <c r="CE129" i="7"/>
  <c r="CG167" i="7"/>
  <c r="CF167" i="7"/>
  <c r="CA167" i="7"/>
  <c r="CH167" i="7"/>
  <c r="CI167" i="7"/>
  <c r="BZ167" i="7"/>
  <c r="BY167" i="7"/>
  <c r="CE167" i="7"/>
  <c r="CB167" i="7"/>
  <c r="CD167" i="7"/>
  <c r="CC167" i="7"/>
  <c r="AV54" i="7"/>
  <c r="AO54" i="7"/>
  <c r="AW54" i="7"/>
  <c r="AT54" i="7"/>
  <c r="AR54" i="7"/>
  <c r="AP54" i="7"/>
  <c r="AY54" i="7"/>
  <c r="AX54" i="7"/>
  <c r="AU54" i="7"/>
  <c r="AQ54" i="7"/>
  <c r="AS54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3" i="7"/>
  <c r="BQ113" i="7"/>
  <c r="BJ113" i="7"/>
  <c r="BI113" i="7"/>
  <c r="BO113" i="7"/>
  <c r="BP113" i="7"/>
  <c r="BK113" i="7"/>
  <c r="BL113" i="7"/>
  <c r="BG113" i="7"/>
  <c r="BH113" i="7"/>
  <c r="BN113" i="7"/>
  <c r="BM61" i="7"/>
  <c r="BQ61" i="7"/>
  <c r="BJ61" i="7"/>
  <c r="BI61" i="7"/>
  <c r="BH61" i="7"/>
  <c r="BN61" i="7"/>
  <c r="BO61" i="7"/>
  <c r="BP61" i="7"/>
  <c r="BK61" i="7"/>
  <c r="BL61" i="7"/>
  <c r="BG61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7" i="7"/>
  <c r="BY37" i="7"/>
  <c r="CA37" i="7"/>
  <c r="CH37" i="7"/>
  <c r="CE37" i="7"/>
  <c r="CG37" i="7"/>
  <c r="CB37" i="7"/>
  <c r="BZ37" i="7"/>
  <c r="CD37" i="7"/>
  <c r="CC37" i="7"/>
  <c r="CF37" i="7"/>
  <c r="CF164" i="7"/>
  <c r="CB164" i="7"/>
  <c r="CA164" i="7"/>
  <c r="CG164" i="7"/>
  <c r="BY164" i="7"/>
  <c r="CE164" i="7"/>
  <c r="CH164" i="7"/>
  <c r="CI164" i="7"/>
  <c r="BZ164" i="7"/>
  <c r="CD164" i="7"/>
  <c r="CC164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2" i="7"/>
  <c r="CG142" i="7"/>
  <c r="CE142" i="7"/>
  <c r="CB142" i="7"/>
  <c r="CH142" i="7"/>
  <c r="CI142" i="7"/>
  <c r="CF142" i="7"/>
  <c r="BZ142" i="7"/>
  <c r="CC142" i="7"/>
  <c r="CA142" i="7"/>
  <c r="CD142" i="7"/>
  <c r="AS247" i="7"/>
  <c r="AV247" i="7"/>
  <c r="AP247" i="7"/>
  <c r="AU247" i="7"/>
  <c r="AT247" i="7"/>
  <c r="AW247" i="7"/>
  <c r="AX247" i="7"/>
  <c r="AQ247" i="7"/>
  <c r="AR247" i="7"/>
  <c r="AO247" i="7"/>
  <c r="AY247" i="7"/>
  <c r="BM139" i="7"/>
  <c r="BQ139" i="7"/>
  <c r="BJ139" i="7"/>
  <c r="BI139" i="7"/>
  <c r="BH139" i="7"/>
  <c r="BN139" i="7"/>
  <c r="BO139" i="7"/>
  <c r="BP139" i="7"/>
  <c r="BK139" i="7"/>
  <c r="BL139" i="7"/>
  <c r="BG139" i="7"/>
  <c r="CF60" i="7"/>
  <c r="CE60" i="7"/>
  <c r="CB60" i="7"/>
  <c r="BZ60" i="7"/>
  <c r="CH60" i="7"/>
  <c r="CG60" i="7"/>
  <c r="CI60" i="7"/>
  <c r="CA60" i="7"/>
  <c r="BY60" i="7"/>
  <c r="CC60" i="7"/>
  <c r="CD60" i="7"/>
  <c r="CF253" i="7"/>
  <c r="BY253" i="7"/>
  <c r="CH253" i="7"/>
  <c r="CG253" i="7"/>
  <c r="CE253" i="7"/>
  <c r="CI253" i="7"/>
  <c r="CD253" i="7"/>
  <c r="CA253" i="7"/>
  <c r="CB253" i="7"/>
  <c r="CC253" i="7"/>
  <c r="BZ253" i="7"/>
  <c r="CD103" i="7"/>
  <c r="CH103" i="7"/>
  <c r="BZ103" i="7"/>
  <c r="BY103" i="7"/>
  <c r="CF103" i="7"/>
  <c r="CG103" i="7"/>
  <c r="CE103" i="7"/>
  <c r="CB103" i="7"/>
  <c r="CC103" i="7"/>
  <c r="CI103" i="7"/>
  <c r="CA103" i="7"/>
  <c r="AS237" i="7"/>
  <c r="AP237" i="7"/>
  <c r="AV237" i="7"/>
  <c r="AT237" i="7"/>
  <c r="AX237" i="7"/>
  <c r="AY237" i="7"/>
  <c r="AO237" i="7"/>
  <c r="AU237" i="7"/>
  <c r="AW237" i="7"/>
  <c r="AQ237" i="7"/>
  <c r="AR237" i="7"/>
  <c r="BM147" i="7"/>
  <c r="BI147" i="7"/>
  <c r="BQ147" i="7"/>
  <c r="BJ147" i="7"/>
  <c r="BO147" i="7"/>
  <c r="BP147" i="7"/>
  <c r="BK147" i="7"/>
  <c r="BL147" i="7"/>
  <c r="BG147" i="7"/>
  <c r="BH147" i="7"/>
  <c r="BN147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0" i="7"/>
  <c r="CB160" i="7"/>
  <c r="CA160" i="7"/>
  <c r="CG160" i="7"/>
  <c r="BY160" i="7"/>
  <c r="CE160" i="7"/>
  <c r="CD160" i="7"/>
  <c r="CC160" i="7"/>
  <c r="BZ160" i="7"/>
  <c r="CI160" i="7"/>
  <c r="CH160" i="7"/>
  <c r="BP22" i="7"/>
  <c r="BH22" i="7"/>
  <c r="BM22" i="7"/>
  <c r="BI22" i="7"/>
  <c r="BJ22" i="7"/>
  <c r="BO22" i="7"/>
  <c r="BQ22" i="7"/>
  <c r="BK22" i="7"/>
  <c r="BN22" i="7"/>
  <c r="BG22" i="7"/>
  <c r="BL22" i="7"/>
  <c r="AX114" i="7"/>
  <c r="AU114" i="7"/>
  <c r="AT114" i="7"/>
  <c r="AQ114" i="7"/>
  <c r="AO114" i="7"/>
  <c r="AV114" i="7"/>
  <c r="AW114" i="7"/>
  <c r="AP114" i="7"/>
  <c r="AR114" i="7"/>
  <c r="AS114" i="7"/>
  <c r="AY114" i="7"/>
  <c r="AV86" i="7"/>
  <c r="AO86" i="7"/>
  <c r="AW86" i="7"/>
  <c r="AT86" i="7"/>
  <c r="AR86" i="7"/>
  <c r="AY86" i="7"/>
  <c r="AX86" i="7"/>
  <c r="AP86" i="7"/>
  <c r="AU86" i="7"/>
  <c r="AQ86" i="7"/>
  <c r="AS86" i="7"/>
  <c r="AV272" i="7"/>
  <c r="AO272" i="7"/>
  <c r="AT272" i="7"/>
  <c r="AR272" i="7"/>
  <c r="AW272" i="7"/>
  <c r="AP272" i="7"/>
  <c r="AY272" i="7"/>
  <c r="AX272" i="7"/>
  <c r="AQ272" i="7"/>
  <c r="AU272" i="7"/>
  <c r="AS272" i="7"/>
  <c r="BM161" i="7"/>
  <c r="BI161" i="7"/>
  <c r="BQ161" i="7"/>
  <c r="BJ161" i="7"/>
  <c r="BO161" i="7"/>
  <c r="BP161" i="7"/>
  <c r="BK161" i="7"/>
  <c r="BL161" i="7"/>
  <c r="BG161" i="7"/>
  <c r="BH161" i="7"/>
  <c r="BN161" i="7"/>
  <c r="CI5" i="7"/>
  <c r="BY5" i="7"/>
  <c r="CA5" i="7"/>
  <c r="CH5" i="7"/>
  <c r="CE5" i="7"/>
  <c r="CG5" i="7"/>
  <c r="CB5" i="7"/>
  <c r="BZ5" i="7"/>
  <c r="CD5" i="7"/>
  <c r="CF5" i="7"/>
  <c r="CC5" i="7"/>
  <c r="CG147" i="7"/>
  <c r="CF147" i="7"/>
  <c r="CA147" i="7"/>
  <c r="CD147" i="7"/>
  <c r="CC147" i="7"/>
  <c r="BY147" i="7"/>
  <c r="CH147" i="7"/>
  <c r="CE147" i="7"/>
  <c r="CI147" i="7"/>
  <c r="BZ147" i="7"/>
  <c r="CB147" i="7"/>
  <c r="CG171" i="7"/>
  <c r="CA171" i="7"/>
  <c r="CF171" i="7"/>
  <c r="CC171" i="7"/>
  <c r="CE171" i="7"/>
  <c r="CD171" i="7"/>
  <c r="CH171" i="7"/>
  <c r="BZ171" i="7"/>
  <c r="CB171" i="7"/>
  <c r="CI171" i="7"/>
  <c r="BY171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6" i="7"/>
  <c r="AR116" i="7"/>
  <c r="AW116" i="7"/>
  <c r="AP116" i="7"/>
  <c r="AO116" i="7"/>
  <c r="AV116" i="7"/>
  <c r="AU116" i="7"/>
  <c r="AS116" i="7"/>
  <c r="AQ116" i="7"/>
  <c r="AX116" i="7"/>
  <c r="AY116" i="7"/>
  <c r="AF83" i="7"/>
  <c r="AA83" i="7"/>
  <c r="AB83" i="7"/>
  <c r="AE83" i="7"/>
  <c r="AG83" i="7"/>
  <c r="Y83" i="7"/>
  <c r="X83" i="7"/>
  <c r="AD83" i="7"/>
  <c r="AC83" i="7"/>
  <c r="Z83" i="7"/>
  <c r="W83" i="7"/>
  <c r="AD51" i="7"/>
  <c r="AF51" i="7"/>
  <c r="X51" i="7"/>
  <c r="Y51" i="7"/>
  <c r="AA51" i="7"/>
  <c r="W51" i="7"/>
  <c r="AE51" i="7"/>
  <c r="AG51" i="7"/>
  <c r="AC51" i="7"/>
  <c r="Z51" i="7"/>
  <c r="AB51" i="7"/>
  <c r="AC289" i="7"/>
  <c r="Z289" i="7"/>
  <c r="Y289" i="7"/>
  <c r="AE289" i="7"/>
  <c r="AB289" i="7"/>
  <c r="X289" i="7"/>
  <c r="AF289" i="7"/>
  <c r="AG289" i="7"/>
  <c r="AA289" i="7"/>
  <c r="W289" i="7"/>
  <c r="AD289" i="7"/>
  <c r="AD216" i="7"/>
  <c r="AA216" i="7"/>
  <c r="X216" i="7"/>
  <c r="AG216" i="7"/>
  <c r="AB216" i="7"/>
  <c r="W216" i="7"/>
  <c r="AF216" i="7"/>
  <c r="AC216" i="7"/>
  <c r="Z216" i="7"/>
  <c r="Y216" i="7"/>
  <c r="AE216" i="7"/>
  <c r="AE40" i="7"/>
  <c r="AG40" i="7"/>
  <c r="X40" i="7"/>
  <c r="Z40" i="7"/>
  <c r="AB40" i="7"/>
  <c r="AD40" i="7"/>
  <c r="AF40" i="7"/>
  <c r="W40" i="7"/>
  <c r="CJ40" i="7" s="1"/>
  <c r="Y40" i="7"/>
  <c r="AA40" i="7"/>
  <c r="AC40" i="7"/>
  <c r="AE108" i="7"/>
  <c r="W108" i="7"/>
  <c r="X108" i="7"/>
  <c r="AC108" i="7"/>
  <c r="AB108" i="7"/>
  <c r="Y108" i="7"/>
  <c r="AF108" i="7"/>
  <c r="AD108" i="7"/>
  <c r="AA108" i="7"/>
  <c r="Z108" i="7"/>
  <c r="AG108" i="7"/>
  <c r="AG14" i="7"/>
  <c r="AE14" i="7"/>
  <c r="AC14" i="7"/>
  <c r="AA14" i="7"/>
  <c r="Y14" i="7"/>
  <c r="W14" i="7"/>
  <c r="AF14" i="7"/>
  <c r="Z14" i="7"/>
  <c r="AB14" i="7"/>
  <c r="AD14" i="7"/>
  <c r="X14" i="7"/>
  <c r="AF206" i="7"/>
  <c r="AE206" i="7"/>
  <c r="W206" i="7"/>
  <c r="AA206" i="7"/>
  <c r="AC206" i="7"/>
  <c r="AD206" i="7"/>
  <c r="Y206" i="7"/>
  <c r="X206" i="7"/>
  <c r="AG206" i="7"/>
  <c r="AB206" i="7"/>
  <c r="Z206" i="7"/>
  <c r="X107" i="7"/>
  <c r="AD107" i="7"/>
  <c r="AB107" i="7"/>
  <c r="Z107" i="7"/>
  <c r="AF107" i="7"/>
  <c r="AE107" i="7"/>
  <c r="W107" i="7"/>
  <c r="AA107" i="7"/>
  <c r="AC107" i="7"/>
  <c r="AG107" i="7"/>
  <c r="Y107" i="7"/>
  <c r="X181" i="7"/>
  <c r="AG181" i="7"/>
  <c r="AB181" i="7"/>
  <c r="AD181" i="7"/>
  <c r="W181" i="7"/>
  <c r="Z181" i="7"/>
  <c r="AF181" i="7"/>
  <c r="Y181" i="7"/>
  <c r="AC181" i="7"/>
  <c r="AE181" i="7"/>
  <c r="AA181" i="7"/>
  <c r="W46" i="7"/>
  <c r="Y46" i="7"/>
  <c r="AA46" i="7"/>
  <c r="AC46" i="7"/>
  <c r="AE46" i="7"/>
  <c r="AG46" i="7"/>
  <c r="X46" i="7"/>
  <c r="Z46" i="7"/>
  <c r="AB46" i="7"/>
  <c r="AD46" i="7"/>
  <c r="AF46" i="7"/>
  <c r="AD222" i="7"/>
  <c r="AB222" i="7"/>
  <c r="W222" i="7"/>
  <c r="AF222" i="7"/>
  <c r="AE222" i="7"/>
  <c r="X222" i="7"/>
  <c r="AA222" i="7"/>
  <c r="AC222" i="7"/>
  <c r="AG222" i="7"/>
  <c r="Y222" i="7"/>
  <c r="Z222" i="7"/>
  <c r="AD27" i="7"/>
  <c r="AF27" i="7"/>
  <c r="AC27" i="7"/>
  <c r="Y27" i="7"/>
  <c r="AA27" i="7"/>
  <c r="X27" i="7"/>
  <c r="AE27" i="7"/>
  <c r="AG27" i="7"/>
  <c r="W27" i="7"/>
  <c r="CJ27" i="7" s="1"/>
  <c r="Z27" i="7"/>
  <c r="AB27" i="7"/>
  <c r="AC71" i="7"/>
  <c r="AE71" i="7"/>
  <c r="AA71" i="7"/>
  <c r="X71" i="7"/>
  <c r="Z71" i="7"/>
  <c r="AG71" i="7"/>
  <c r="AD71" i="7"/>
  <c r="AF71" i="7"/>
  <c r="W71" i="7"/>
  <c r="CJ71" i="7" s="1"/>
  <c r="Y71" i="7"/>
  <c r="AB71" i="7"/>
  <c r="AD34" i="7"/>
  <c r="AG34" i="7"/>
  <c r="X34" i="7"/>
  <c r="W34" i="7"/>
  <c r="AB34" i="7"/>
  <c r="AA34" i="7"/>
  <c r="AF34" i="7"/>
  <c r="AE34" i="7"/>
  <c r="Y34" i="7"/>
  <c r="Z34" i="7"/>
  <c r="AC34" i="7"/>
  <c r="W109" i="7"/>
  <c r="AF109" i="7"/>
  <c r="AE109" i="7"/>
  <c r="Z109" i="7"/>
  <c r="Y109" i="7"/>
  <c r="AB109" i="7"/>
  <c r="AD109" i="7"/>
  <c r="AA109" i="7"/>
  <c r="X109" i="7"/>
  <c r="AG109" i="7"/>
  <c r="AC109" i="7"/>
  <c r="Y95" i="7"/>
  <c r="X95" i="7"/>
  <c r="AC95" i="7"/>
  <c r="AF95" i="7"/>
  <c r="AD95" i="7"/>
  <c r="W95" i="7"/>
  <c r="Z95" i="7"/>
  <c r="AG95" i="7"/>
  <c r="AB95" i="7"/>
  <c r="AE95" i="7"/>
  <c r="AA95" i="7"/>
  <c r="AE279" i="7"/>
  <c r="AF279" i="7"/>
  <c r="AB279" i="7"/>
  <c r="AC279" i="7"/>
  <c r="Y279" i="7"/>
  <c r="W279" i="7"/>
  <c r="AA279" i="7"/>
  <c r="X279" i="7"/>
  <c r="AD279" i="7"/>
  <c r="AG279" i="7"/>
  <c r="Z279" i="7"/>
  <c r="Z76" i="7"/>
  <c r="AE76" i="7"/>
  <c r="AA76" i="7"/>
  <c r="X76" i="7"/>
  <c r="AB76" i="7"/>
  <c r="AF76" i="7"/>
  <c r="AG76" i="7"/>
  <c r="Y76" i="7"/>
  <c r="W76" i="7"/>
  <c r="AD76" i="7"/>
  <c r="AC76" i="7"/>
  <c r="Y188" i="7"/>
  <c r="AB188" i="7"/>
  <c r="AC188" i="7"/>
  <c r="AE188" i="7"/>
  <c r="W188" i="7"/>
  <c r="AD188" i="7"/>
  <c r="Z188" i="7"/>
  <c r="X188" i="7"/>
  <c r="AF188" i="7"/>
  <c r="AG188" i="7"/>
  <c r="AA188" i="7"/>
  <c r="AE227" i="7"/>
  <c r="W227" i="7"/>
  <c r="AA227" i="7"/>
  <c r="AC227" i="7"/>
  <c r="AB227" i="7"/>
  <c r="X227" i="7"/>
  <c r="AF227" i="7"/>
  <c r="AD227" i="7"/>
  <c r="Y227" i="7"/>
  <c r="Z227" i="7"/>
  <c r="AG227" i="7"/>
  <c r="AD221" i="7"/>
  <c r="AC221" i="7"/>
  <c r="W221" i="7"/>
  <c r="X221" i="7"/>
  <c r="AE221" i="7"/>
  <c r="AB221" i="7"/>
  <c r="AA221" i="7"/>
  <c r="Z221" i="7"/>
  <c r="AG221" i="7"/>
  <c r="Y221" i="7"/>
  <c r="AF221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3" i="7"/>
  <c r="W153" i="7"/>
  <c r="CJ153" i="7" s="1"/>
  <c r="AC153" i="7"/>
  <c r="AE153" i="7"/>
  <c r="AB153" i="7"/>
  <c r="X153" i="7"/>
  <c r="Z153" i="7"/>
  <c r="AA153" i="7"/>
  <c r="AD153" i="7"/>
  <c r="AF153" i="7"/>
  <c r="AG153" i="7"/>
  <c r="X255" i="7"/>
  <c r="W255" i="7"/>
  <c r="AF255" i="7"/>
  <c r="AG255" i="7"/>
  <c r="Y255" i="7"/>
  <c r="AA255" i="7"/>
  <c r="Z255" i="7"/>
  <c r="AB255" i="7"/>
  <c r="AD255" i="7"/>
  <c r="AE255" i="7"/>
  <c r="AC255" i="7"/>
  <c r="AA61" i="7"/>
  <c r="AC61" i="7"/>
  <c r="AF61" i="7"/>
  <c r="AG61" i="7"/>
  <c r="X61" i="7"/>
  <c r="AE61" i="7"/>
  <c r="AB61" i="7"/>
  <c r="AD61" i="7"/>
  <c r="Z61" i="7"/>
  <c r="W61" i="7"/>
  <c r="Y61" i="7"/>
  <c r="W41" i="7"/>
  <c r="Y41" i="7"/>
  <c r="AA41" i="7"/>
  <c r="AC41" i="7"/>
  <c r="AE41" i="7"/>
  <c r="AG41" i="7"/>
  <c r="X41" i="7"/>
  <c r="Z41" i="7"/>
  <c r="AB41" i="7"/>
  <c r="AD41" i="7"/>
  <c r="AF41" i="7"/>
  <c r="AD162" i="7"/>
  <c r="AF162" i="7"/>
  <c r="W162" i="7"/>
  <c r="Y162" i="7"/>
  <c r="AE162" i="7"/>
  <c r="AC162" i="7"/>
  <c r="AA162" i="7"/>
  <c r="AG162" i="7"/>
  <c r="X162" i="7"/>
  <c r="Z162" i="7"/>
  <c r="AB162" i="7"/>
  <c r="AE89" i="7"/>
  <c r="AD89" i="7"/>
  <c r="Y89" i="7"/>
  <c r="Z89" i="7"/>
  <c r="AG89" i="7"/>
  <c r="AF89" i="7"/>
  <c r="X89" i="7"/>
  <c r="AB89" i="7"/>
  <c r="AC89" i="7"/>
  <c r="AA89" i="7"/>
  <c r="W89" i="7"/>
  <c r="AC178" i="7"/>
  <c r="AD178" i="7"/>
  <c r="AG178" i="7"/>
  <c r="X178" i="7"/>
  <c r="W178" i="7"/>
  <c r="AB178" i="7"/>
  <c r="AE178" i="7"/>
  <c r="AF178" i="7"/>
  <c r="Z178" i="7"/>
  <c r="Y178" i="7"/>
  <c r="AA178" i="7"/>
  <c r="W72" i="7"/>
  <c r="CJ72" i="7" s="1"/>
  <c r="AC72" i="7"/>
  <c r="AB72" i="7"/>
  <c r="Y72" i="7"/>
  <c r="AG72" i="7"/>
  <c r="AD72" i="7"/>
  <c r="AA72" i="7"/>
  <c r="Z72" i="7"/>
  <c r="AE72" i="7"/>
  <c r="AF72" i="7"/>
  <c r="X72" i="7"/>
  <c r="AE230" i="7"/>
  <c r="W230" i="7"/>
  <c r="AA230" i="7"/>
  <c r="AC230" i="7"/>
  <c r="AG230" i="7"/>
  <c r="Y230" i="7"/>
  <c r="X230" i="7"/>
  <c r="AD230" i="7"/>
  <c r="AB230" i="7"/>
  <c r="Z230" i="7"/>
  <c r="AF230" i="7"/>
  <c r="AE154" i="7"/>
  <c r="AC154" i="7"/>
  <c r="Z154" i="7"/>
  <c r="AG154" i="7"/>
  <c r="X154" i="7"/>
  <c r="Y154" i="7"/>
  <c r="AB154" i="7"/>
  <c r="AD154" i="7"/>
  <c r="AF154" i="7"/>
  <c r="W154" i="7"/>
  <c r="AA154" i="7"/>
  <c r="Z87" i="7"/>
  <c r="W87" i="7"/>
  <c r="AF87" i="7"/>
  <c r="AA87" i="7"/>
  <c r="AB87" i="7"/>
  <c r="AE87" i="7"/>
  <c r="AG87" i="7"/>
  <c r="Y87" i="7"/>
  <c r="X87" i="7"/>
  <c r="AD87" i="7"/>
  <c r="AC87" i="7"/>
  <c r="AF284" i="7"/>
  <c r="AD284" i="7"/>
  <c r="Z284" i="7"/>
  <c r="AA284" i="7"/>
  <c r="Y284" i="7"/>
  <c r="AB284" i="7"/>
  <c r="AG284" i="7"/>
  <c r="AE284" i="7"/>
  <c r="AC284" i="7"/>
  <c r="X284" i="7"/>
  <c r="W284" i="7"/>
  <c r="X144" i="7"/>
  <c r="AC144" i="7"/>
  <c r="W144" i="7"/>
  <c r="AG144" i="7"/>
  <c r="AB144" i="7"/>
  <c r="AA144" i="7"/>
  <c r="Z144" i="7"/>
  <c r="AD144" i="7"/>
  <c r="AE144" i="7"/>
  <c r="AF144" i="7"/>
  <c r="Y144" i="7"/>
  <c r="Y265" i="7"/>
  <c r="AC265" i="7"/>
  <c r="W265" i="7"/>
  <c r="X265" i="7"/>
  <c r="AB265" i="7"/>
  <c r="AF265" i="7"/>
  <c r="AG265" i="7"/>
  <c r="AD265" i="7"/>
  <c r="AA265" i="7"/>
  <c r="Z265" i="7"/>
  <c r="AE265" i="7"/>
  <c r="AF110" i="7"/>
  <c r="AG110" i="7"/>
  <c r="Y110" i="7"/>
  <c r="W110" i="7"/>
  <c r="AD110" i="7"/>
  <c r="AC110" i="7"/>
  <c r="Z110" i="7"/>
  <c r="X110" i="7"/>
  <c r="AE110" i="7"/>
  <c r="AB110" i="7"/>
  <c r="AA110" i="7"/>
  <c r="AA70" i="7"/>
  <c r="AC70" i="7"/>
  <c r="Z70" i="7"/>
  <c r="AG70" i="7"/>
  <c r="X70" i="7"/>
  <c r="AF70" i="7"/>
  <c r="AB70" i="7"/>
  <c r="AD70" i="7"/>
  <c r="AE70" i="7"/>
  <c r="W70" i="7"/>
  <c r="Y70" i="7"/>
  <c r="AF256" i="7"/>
  <c r="W256" i="7"/>
  <c r="AG256" i="7"/>
  <c r="AA256" i="7"/>
  <c r="AD256" i="7"/>
  <c r="AE256" i="7"/>
  <c r="Y256" i="7"/>
  <c r="Z256" i="7"/>
  <c r="AC256" i="7"/>
  <c r="AB256" i="7"/>
  <c r="X256" i="7"/>
  <c r="Z111" i="7"/>
  <c r="AF111" i="7"/>
  <c r="AE111" i="7"/>
  <c r="W111" i="7"/>
  <c r="AA111" i="7"/>
  <c r="AC111" i="7"/>
  <c r="AG111" i="7"/>
  <c r="Y111" i="7"/>
  <c r="X111" i="7"/>
  <c r="AD111" i="7"/>
  <c r="AB111" i="7"/>
  <c r="X30" i="7"/>
  <c r="AG30" i="7"/>
  <c r="AB30" i="7"/>
  <c r="AD30" i="7"/>
  <c r="AF30" i="7"/>
  <c r="W30" i="7"/>
  <c r="Z30" i="7"/>
  <c r="AA30" i="7"/>
  <c r="Y30" i="7"/>
  <c r="AE30" i="7"/>
  <c r="AC30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7" i="7"/>
  <c r="AG147" i="7"/>
  <c r="AD147" i="7"/>
  <c r="AE147" i="7"/>
  <c r="AA147" i="7"/>
  <c r="W147" i="7"/>
  <c r="AF147" i="7"/>
  <c r="Z147" i="7"/>
  <c r="Y147" i="7"/>
  <c r="AB147" i="7"/>
  <c r="AC147" i="7"/>
  <c r="AE97" i="7"/>
  <c r="AD97" i="7"/>
  <c r="Y97" i="7"/>
  <c r="X97" i="7"/>
  <c r="AC97" i="7"/>
  <c r="AF97" i="7"/>
  <c r="AG97" i="7"/>
  <c r="W97" i="7"/>
  <c r="Z97" i="7"/>
  <c r="AA97" i="7"/>
  <c r="AB97" i="7"/>
  <c r="AD39" i="7"/>
  <c r="AF39" i="7"/>
  <c r="AC39" i="7"/>
  <c r="Y39" i="7"/>
  <c r="AA39" i="7"/>
  <c r="X39" i="7"/>
  <c r="AE39" i="7"/>
  <c r="AG39" i="7"/>
  <c r="W39" i="7"/>
  <c r="Z39" i="7"/>
  <c r="AB39" i="7"/>
  <c r="AC29" i="7"/>
  <c r="AB29" i="7"/>
  <c r="AG29" i="7"/>
  <c r="AF29" i="7"/>
  <c r="W29" i="7"/>
  <c r="CJ29" i="7" s="1"/>
  <c r="Z29" i="7"/>
  <c r="AA29" i="7"/>
  <c r="AD29" i="7"/>
  <c r="AE29" i="7"/>
  <c r="Y29" i="7"/>
  <c r="X29" i="7"/>
  <c r="W75" i="7"/>
  <c r="AF75" i="7"/>
  <c r="AA75" i="7"/>
  <c r="AB75" i="7"/>
  <c r="X75" i="7"/>
  <c r="AG75" i="7"/>
  <c r="Y75" i="7"/>
  <c r="Z75" i="7"/>
  <c r="AD75" i="7"/>
  <c r="AC75" i="7"/>
  <c r="AE75" i="7"/>
  <c r="Y146" i="7"/>
  <c r="AD146" i="7"/>
  <c r="AC146" i="7"/>
  <c r="Z146" i="7"/>
  <c r="AG146" i="7"/>
  <c r="AE146" i="7"/>
  <c r="AF146" i="7"/>
  <c r="W146" i="7"/>
  <c r="X146" i="7"/>
  <c r="AB146" i="7"/>
  <c r="AA146" i="7"/>
  <c r="AB161" i="7"/>
  <c r="AD161" i="7"/>
  <c r="AF161" i="7"/>
  <c r="AA161" i="7"/>
  <c r="Y161" i="7"/>
  <c r="W161" i="7"/>
  <c r="AC161" i="7"/>
  <c r="AE161" i="7"/>
  <c r="AG161" i="7"/>
  <c r="X161" i="7"/>
  <c r="Z161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8" i="7"/>
  <c r="AA48" i="7"/>
  <c r="W48" i="7"/>
  <c r="AE48" i="7"/>
  <c r="AG48" i="7"/>
  <c r="AC48" i="7"/>
  <c r="Z48" i="7"/>
  <c r="AB48" i="7"/>
  <c r="AD48" i="7"/>
  <c r="AF48" i="7"/>
  <c r="X48" i="7"/>
  <c r="AE31" i="7"/>
  <c r="AC31" i="7"/>
  <c r="X31" i="7"/>
  <c r="AG31" i="7"/>
  <c r="AB31" i="7"/>
  <c r="AD31" i="7"/>
  <c r="AF31" i="7"/>
  <c r="W31" i="7"/>
  <c r="Z31" i="7"/>
  <c r="AA31" i="7"/>
  <c r="Y31" i="7"/>
  <c r="AF104" i="7"/>
  <c r="AA104" i="7"/>
  <c r="X104" i="7"/>
  <c r="AE104" i="7"/>
  <c r="AB104" i="7"/>
  <c r="Y104" i="7"/>
  <c r="Z104" i="7"/>
  <c r="AC104" i="7"/>
  <c r="AD104" i="7"/>
  <c r="AG104" i="7"/>
  <c r="W104" i="7"/>
  <c r="AC49" i="7"/>
  <c r="AE49" i="7"/>
  <c r="AB49" i="7"/>
  <c r="X49" i="7"/>
  <c r="Z49" i="7"/>
  <c r="AA49" i="7"/>
  <c r="AD49" i="7"/>
  <c r="AF49" i="7"/>
  <c r="W49" i="7"/>
  <c r="Y49" i="7"/>
  <c r="AG49" i="7"/>
  <c r="AA92" i="7"/>
  <c r="Z92" i="7"/>
  <c r="Y92" i="7"/>
  <c r="AF92" i="7"/>
  <c r="X92" i="7"/>
  <c r="AE92" i="7"/>
  <c r="AC92" i="7"/>
  <c r="AG92" i="7"/>
  <c r="AB92" i="7"/>
  <c r="W92" i="7"/>
  <c r="AD92" i="7"/>
  <c r="AC73" i="7"/>
  <c r="AA73" i="7"/>
  <c r="AB73" i="7"/>
  <c r="AE73" i="7"/>
  <c r="AD73" i="7"/>
  <c r="W73" i="7"/>
  <c r="Z73" i="7"/>
  <c r="AG73" i="7"/>
  <c r="AF73" i="7"/>
  <c r="X73" i="7"/>
  <c r="Y73" i="7"/>
  <c r="AB119" i="7"/>
  <c r="Z119" i="7"/>
  <c r="AF119" i="7"/>
  <c r="AE119" i="7"/>
  <c r="W119" i="7"/>
  <c r="AA119" i="7"/>
  <c r="AC119" i="7"/>
  <c r="AG119" i="7"/>
  <c r="Y119" i="7"/>
  <c r="X119" i="7"/>
  <c r="AD119" i="7"/>
  <c r="W81" i="7"/>
  <c r="AC81" i="7"/>
  <c r="AA81" i="7"/>
  <c r="Y81" i="7"/>
  <c r="AE81" i="7"/>
  <c r="AD81" i="7"/>
  <c r="AB81" i="7"/>
  <c r="Z81" i="7"/>
  <c r="AG81" i="7"/>
  <c r="AF81" i="7"/>
  <c r="X81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11" i="7"/>
  <c r="AA211" i="7"/>
  <c r="Z211" i="7"/>
  <c r="AG211" i="7"/>
  <c r="AE211" i="7"/>
  <c r="W211" i="7"/>
  <c r="X211" i="7"/>
  <c r="AC211" i="7"/>
  <c r="AB211" i="7"/>
  <c r="Y211" i="7"/>
  <c r="AF211" i="7"/>
  <c r="Y94" i="7"/>
  <c r="AF94" i="7"/>
  <c r="AG94" i="7"/>
  <c r="AB94" i="7"/>
  <c r="W94" i="7"/>
  <c r="CJ94" i="7" s="1"/>
  <c r="AD94" i="7"/>
  <c r="AA94" i="7"/>
  <c r="X94" i="7"/>
  <c r="AE94" i="7"/>
  <c r="AC94" i="7"/>
  <c r="Z94" i="7"/>
  <c r="AB170" i="7"/>
  <c r="AE170" i="7"/>
  <c r="AA170" i="7"/>
  <c r="Z170" i="7"/>
  <c r="Y170" i="7"/>
  <c r="AF170" i="7"/>
  <c r="AC170" i="7"/>
  <c r="AD170" i="7"/>
  <c r="AG170" i="7"/>
  <c r="X170" i="7"/>
  <c r="W170" i="7"/>
  <c r="Y157" i="7"/>
  <c r="W157" i="7"/>
  <c r="AD157" i="7"/>
  <c r="AE157" i="7"/>
  <c r="AG157" i="7"/>
  <c r="AC157" i="7"/>
  <c r="Z157" i="7"/>
  <c r="AB157" i="7"/>
  <c r="X157" i="7"/>
  <c r="AF157" i="7"/>
  <c r="AA157" i="7"/>
  <c r="X212" i="7"/>
  <c r="AG212" i="7"/>
  <c r="AE212" i="7"/>
  <c r="W212" i="7"/>
  <c r="AF212" i="7"/>
  <c r="AB212" i="7"/>
  <c r="Z212" i="7"/>
  <c r="Y212" i="7"/>
  <c r="AC212" i="7"/>
  <c r="AD212" i="7"/>
  <c r="AA212" i="7"/>
  <c r="Y268" i="7"/>
  <c r="X268" i="7"/>
  <c r="AC268" i="7"/>
  <c r="AB268" i="7"/>
  <c r="AG268" i="7"/>
  <c r="AF268" i="7"/>
  <c r="W268" i="7"/>
  <c r="Z268" i="7"/>
  <c r="AA268" i="7"/>
  <c r="AD268" i="7"/>
  <c r="AE268" i="7"/>
  <c r="AD45" i="7"/>
  <c r="AF45" i="7"/>
  <c r="W45" i="7"/>
  <c r="CJ45" i="7" s="1"/>
  <c r="Y45" i="7"/>
  <c r="AG45" i="7"/>
  <c r="AC45" i="7"/>
  <c r="AE45" i="7"/>
  <c r="AB45" i="7"/>
  <c r="X45" i="7"/>
  <c r="Z45" i="7"/>
  <c r="AA45" i="7"/>
  <c r="AB238" i="7"/>
  <c r="AG238" i="7"/>
  <c r="Z238" i="7"/>
  <c r="AA238" i="7"/>
  <c r="AC238" i="7"/>
  <c r="AE238" i="7"/>
  <c r="W238" i="7"/>
  <c r="AD238" i="7"/>
  <c r="AF238" i="7"/>
  <c r="X238" i="7"/>
  <c r="Y238" i="7"/>
  <c r="AB168" i="7"/>
  <c r="AE168" i="7"/>
  <c r="AF168" i="7"/>
  <c r="Z168" i="7"/>
  <c r="Y168" i="7"/>
  <c r="AA168" i="7"/>
  <c r="AC168" i="7"/>
  <c r="AD168" i="7"/>
  <c r="AG168" i="7"/>
  <c r="X168" i="7"/>
  <c r="W168" i="7"/>
  <c r="AG64" i="7"/>
  <c r="X64" i="7"/>
  <c r="AF64" i="7"/>
  <c r="AB64" i="7"/>
  <c r="AD64" i="7"/>
  <c r="AE64" i="7"/>
  <c r="W64" i="7"/>
  <c r="Y64" i="7"/>
  <c r="AA64" i="7"/>
  <c r="AC64" i="7"/>
  <c r="Z64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8" i="7"/>
  <c r="AD98" i="7"/>
  <c r="AF98" i="7"/>
  <c r="X98" i="7"/>
  <c r="AE98" i="7"/>
  <c r="AG98" i="7"/>
  <c r="Y98" i="7"/>
  <c r="Z98" i="7"/>
  <c r="AC98" i="7"/>
  <c r="AB98" i="7"/>
  <c r="AA98" i="7"/>
  <c r="Y275" i="7"/>
  <c r="X275" i="7"/>
  <c r="AC275" i="7"/>
  <c r="AB275" i="7"/>
  <c r="AG275" i="7"/>
  <c r="AF275" i="7"/>
  <c r="W275" i="7"/>
  <c r="Z275" i="7"/>
  <c r="AA275" i="7"/>
  <c r="AD275" i="7"/>
  <c r="AE275" i="7"/>
  <c r="X136" i="7"/>
  <c r="AE136" i="7"/>
  <c r="AA136" i="7"/>
  <c r="Y136" i="7"/>
  <c r="AD136" i="7"/>
  <c r="AC136" i="7"/>
  <c r="W136" i="7"/>
  <c r="AG136" i="7"/>
  <c r="AB136" i="7"/>
  <c r="AF136" i="7"/>
  <c r="Z136" i="7"/>
  <c r="AB127" i="7"/>
  <c r="Z127" i="7"/>
  <c r="AF127" i="7"/>
  <c r="AE127" i="7"/>
  <c r="W127" i="7"/>
  <c r="AA127" i="7"/>
  <c r="AC127" i="7"/>
  <c r="AG127" i="7"/>
  <c r="Y127" i="7"/>
  <c r="X127" i="7"/>
  <c r="AD127" i="7"/>
  <c r="AA16" i="7"/>
  <c r="AF16" i="7"/>
  <c r="AG16" i="7"/>
  <c r="AB16" i="7"/>
  <c r="AD16" i="7"/>
  <c r="W16" i="7"/>
  <c r="Z16" i="7"/>
  <c r="AC16" i="7"/>
  <c r="X16" i="7"/>
  <c r="AE16" i="7"/>
  <c r="Y16" i="7"/>
  <c r="AF195" i="7"/>
  <c r="W195" i="7"/>
  <c r="CJ195" i="7" s="1"/>
  <c r="AE195" i="7"/>
  <c r="AA195" i="7"/>
  <c r="AC195" i="7"/>
  <c r="Z195" i="7"/>
  <c r="AG195" i="7"/>
  <c r="X195" i="7"/>
  <c r="Y195" i="7"/>
  <c r="AB195" i="7"/>
  <c r="AD195" i="7"/>
  <c r="AA62" i="7"/>
  <c r="AD62" i="7"/>
  <c r="AE62" i="7"/>
  <c r="Y62" i="7"/>
  <c r="Z62" i="7"/>
  <c r="AC62" i="7"/>
  <c r="X62" i="7"/>
  <c r="AG62" i="7"/>
  <c r="AB62" i="7"/>
  <c r="W62" i="7"/>
  <c r="AF62" i="7"/>
  <c r="AD118" i="7"/>
  <c r="AC118" i="7"/>
  <c r="W118" i="7"/>
  <c r="CJ118" i="7" s="1"/>
  <c r="X118" i="7"/>
  <c r="AE118" i="7"/>
  <c r="AB118" i="7"/>
  <c r="AA118" i="7"/>
  <c r="Z118" i="7"/>
  <c r="AG118" i="7"/>
  <c r="Y118" i="7"/>
  <c r="AF118" i="7"/>
  <c r="W164" i="7"/>
  <c r="Y164" i="7"/>
  <c r="AF164" i="7"/>
  <c r="AC164" i="7"/>
  <c r="AA164" i="7"/>
  <c r="AG164" i="7"/>
  <c r="X164" i="7"/>
  <c r="AD164" i="7"/>
  <c r="AB164" i="7"/>
  <c r="Z164" i="7"/>
  <c r="AE164" i="7"/>
  <c r="AE210" i="7"/>
  <c r="W210" i="7"/>
  <c r="AA210" i="7"/>
  <c r="AC210" i="7"/>
  <c r="AG210" i="7"/>
  <c r="Y210" i="7"/>
  <c r="X210" i="7"/>
  <c r="AD210" i="7"/>
  <c r="AB210" i="7"/>
  <c r="Z210" i="7"/>
  <c r="AF210" i="7"/>
  <c r="AC278" i="7"/>
  <c r="X278" i="7"/>
  <c r="AF278" i="7"/>
  <c r="AB278" i="7"/>
  <c r="AD278" i="7"/>
  <c r="Y278" i="7"/>
  <c r="W278" i="7"/>
  <c r="AA278" i="7"/>
  <c r="AE278" i="7"/>
  <c r="Z278" i="7"/>
  <c r="AG278" i="7"/>
  <c r="Z194" i="7"/>
  <c r="AB194" i="7"/>
  <c r="AD194" i="7"/>
  <c r="AF194" i="7"/>
  <c r="W194" i="7"/>
  <c r="Y194" i="7"/>
  <c r="AA194" i="7"/>
  <c r="AC194" i="7"/>
  <c r="AE194" i="7"/>
  <c r="AG194" i="7"/>
  <c r="X194" i="7"/>
  <c r="AF63" i="7"/>
  <c r="W63" i="7"/>
  <c r="Y63" i="7"/>
  <c r="AA63" i="7"/>
  <c r="AC63" i="7"/>
  <c r="AE63" i="7"/>
  <c r="AG63" i="7"/>
  <c r="X63" i="7"/>
  <c r="Z63" i="7"/>
  <c r="AB63" i="7"/>
  <c r="AD63" i="7"/>
  <c r="W142" i="7"/>
  <c r="AF142" i="7"/>
  <c r="AB142" i="7"/>
  <c r="X142" i="7"/>
  <c r="Y142" i="7"/>
  <c r="AA142" i="7"/>
  <c r="AC142" i="7"/>
  <c r="Z142" i="7"/>
  <c r="AG142" i="7"/>
  <c r="AE142" i="7"/>
  <c r="AD142" i="7"/>
  <c r="Y167" i="7"/>
  <c r="W167" i="7"/>
  <c r="X167" i="7"/>
  <c r="AE167" i="7"/>
  <c r="AG167" i="7"/>
  <c r="AA167" i="7"/>
  <c r="Z167" i="7"/>
  <c r="AB167" i="7"/>
  <c r="AC167" i="7"/>
  <c r="AF167" i="7"/>
  <c r="AD167" i="7"/>
  <c r="Z74" i="7"/>
  <c r="Y74" i="7"/>
  <c r="AF74" i="7"/>
  <c r="AD74" i="7"/>
  <c r="AB74" i="7"/>
  <c r="W74" i="7"/>
  <c r="AG74" i="7"/>
  <c r="AA74" i="7"/>
  <c r="X74" i="7"/>
  <c r="AE74" i="7"/>
  <c r="AC74" i="7"/>
  <c r="Y84" i="7"/>
  <c r="W84" i="7"/>
  <c r="AD84" i="7"/>
  <c r="AA84" i="7"/>
  <c r="Z84" i="7"/>
  <c r="AE84" i="7"/>
  <c r="AF84" i="7"/>
  <c r="X84" i="7"/>
  <c r="AB84" i="7"/>
  <c r="AC84" i="7"/>
  <c r="AG84" i="7"/>
  <c r="AG113" i="7"/>
  <c r="AB113" i="7"/>
  <c r="X113" i="7"/>
  <c r="AF113" i="7"/>
  <c r="AC113" i="7"/>
  <c r="W113" i="7"/>
  <c r="Y113" i="7"/>
  <c r="AE113" i="7"/>
  <c r="AD113" i="7"/>
  <c r="AA113" i="7"/>
  <c r="Z113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208" i="7"/>
  <c r="AD208" i="7"/>
  <c r="AF208" i="7"/>
  <c r="X208" i="7"/>
  <c r="AG208" i="7"/>
  <c r="AB208" i="7"/>
  <c r="W208" i="7"/>
  <c r="Y208" i="7"/>
  <c r="AC208" i="7"/>
  <c r="Z208" i="7"/>
  <c r="AA208" i="7"/>
  <c r="Z112" i="7"/>
  <c r="AG112" i="7"/>
  <c r="AC112" i="7"/>
  <c r="W112" i="7"/>
  <c r="X112" i="7"/>
  <c r="AE112" i="7"/>
  <c r="AB112" i="7"/>
  <c r="Y112" i="7"/>
  <c r="AF112" i="7"/>
  <c r="AD112" i="7"/>
  <c r="AA112" i="7"/>
  <c r="AC47" i="7"/>
  <c r="AB47" i="7"/>
  <c r="AG47" i="7"/>
  <c r="AF47" i="7"/>
  <c r="W47" i="7"/>
  <c r="Z47" i="7"/>
  <c r="AA47" i="7"/>
  <c r="AD47" i="7"/>
  <c r="AE47" i="7"/>
  <c r="Y47" i="7"/>
  <c r="X47" i="7"/>
  <c r="AE32" i="7"/>
  <c r="Y32" i="7"/>
  <c r="Z32" i="7"/>
  <c r="AC32" i="7"/>
  <c r="AD32" i="7"/>
  <c r="AB32" i="7"/>
  <c r="X32" i="7"/>
  <c r="W32" i="7"/>
  <c r="AG32" i="7"/>
  <c r="AA32" i="7"/>
  <c r="AF32" i="7"/>
  <c r="AC96" i="7"/>
  <c r="AB96" i="7"/>
  <c r="AG96" i="7"/>
  <c r="W96" i="7"/>
  <c r="AD96" i="7"/>
  <c r="AA96" i="7"/>
  <c r="X96" i="7"/>
  <c r="AE96" i="7"/>
  <c r="AF96" i="7"/>
  <c r="Y96" i="7"/>
  <c r="Z96" i="7"/>
  <c r="AE50" i="7"/>
  <c r="Y50" i="7"/>
  <c r="X50" i="7"/>
  <c r="AC50" i="7"/>
  <c r="AB50" i="7"/>
  <c r="AG50" i="7"/>
  <c r="AF50" i="7"/>
  <c r="W50" i="7"/>
  <c r="Z50" i="7"/>
  <c r="AA50" i="7"/>
  <c r="AD50" i="7"/>
  <c r="W217" i="7"/>
  <c r="AD217" i="7"/>
  <c r="AC217" i="7"/>
  <c r="Z217" i="7"/>
  <c r="X217" i="7"/>
  <c r="AE217" i="7"/>
  <c r="AB217" i="7"/>
  <c r="AA217" i="7"/>
  <c r="AF217" i="7"/>
  <c r="AG217" i="7"/>
  <c r="Y217" i="7"/>
  <c r="AG143" i="7"/>
  <c r="Y143" i="7"/>
  <c r="Z143" i="7"/>
  <c r="AC143" i="7"/>
  <c r="X143" i="7"/>
  <c r="W143" i="7"/>
  <c r="AD143" i="7"/>
  <c r="AB143" i="7"/>
  <c r="AA143" i="7"/>
  <c r="AE143" i="7"/>
  <c r="AF143" i="7"/>
  <c r="AB226" i="7"/>
  <c r="Z226" i="7"/>
  <c r="AF226" i="7"/>
  <c r="AE226" i="7"/>
  <c r="W226" i="7"/>
  <c r="AA226" i="7"/>
  <c r="AC226" i="7"/>
  <c r="AG226" i="7"/>
  <c r="Y226" i="7"/>
  <c r="X226" i="7"/>
  <c r="AD226" i="7"/>
  <c r="W132" i="7"/>
  <c r="AF132" i="7"/>
  <c r="X132" i="7"/>
  <c r="AE132" i="7"/>
  <c r="AC132" i="7"/>
  <c r="AG132" i="7"/>
  <c r="Y132" i="7"/>
  <c r="AD132" i="7"/>
  <c r="AB132" i="7"/>
  <c r="AA132" i="7"/>
  <c r="Z132" i="7"/>
  <c r="Y234" i="7"/>
  <c r="X234" i="7"/>
  <c r="AG234" i="7"/>
  <c r="W234" i="7"/>
  <c r="AA234" i="7"/>
  <c r="AE234" i="7"/>
  <c r="AD234" i="7"/>
  <c r="AF234" i="7"/>
  <c r="AC234" i="7"/>
  <c r="AB234" i="7"/>
  <c r="Z234" i="7"/>
  <c r="AE156" i="7"/>
  <c r="W156" i="7"/>
  <c r="AD156" i="7"/>
  <c r="AC156" i="7"/>
  <c r="Y156" i="7"/>
  <c r="Z156" i="7"/>
  <c r="X156" i="7"/>
  <c r="AB156" i="7"/>
  <c r="AF156" i="7"/>
  <c r="AG156" i="7"/>
  <c r="AA156" i="7"/>
  <c r="AA196" i="7"/>
  <c r="Y196" i="7"/>
  <c r="Z196" i="7"/>
  <c r="AE196" i="7"/>
  <c r="AB196" i="7"/>
  <c r="W196" i="7"/>
  <c r="AF196" i="7"/>
  <c r="AC196" i="7"/>
  <c r="AG196" i="7"/>
  <c r="X196" i="7"/>
  <c r="AD196" i="7"/>
  <c r="AF19" i="7"/>
  <c r="AG19" i="7"/>
  <c r="AB19" i="7"/>
  <c r="AC19" i="7"/>
  <c r="AD19" i="7"/>
  <c r="W19" i="7"/>
  <c r="Z19" i="7"/>
  <c r="X19" i="7"/>
  <c r="AE19" i="7"/>
  <c r="AA19" i="7"/>
  <c r="Y19" i="7"/>
  <c r="W219" i="7"/>
  <c r="AF219" i="7"/>
  <c r="AB219" i="7"/>
  <c r="AA219" i="7"/>
  <c r="AG219" i="7"/>
  <c r="X219" i="7"/>
  <c r="Y219" i="7"/>
  <c r="AD219" i="7"/>
  <c r="AC219" i="7"/>
  <c r="Z219" i="7"/>
  <c r="AE219" i="7"/>
  <c r="Z176" i="7"/>
  <c r="W176" i="7"/>
  <c r="X176" i="7"/>
  <c r="Y176" i="7"/>
  <c r="AG176" i="7"/>
  <c r="AA176" i="7"/>
  <c r="AD176" i="7"/>
  <c r="AB176" i="7"/>
  <c r="AE176" i="7"/>
  <c r="AF176" i="7"/>
  <c r="AC176" i="7"/>
  <c r="Z257" i="7"/>
  <c r="AA257" i="7"/>
  <c r="AB257" i="7"/>
  <c r="X257" i="7"/>
  <c r="Y257" i="7"/>
  <c r="AE257" i="7"/>
  <c r="AG257" i="7"/>
  <c r="W257" i="7"/>
  <c r="AD257" i="7"/>
  <c r="AF257" i="7"/>
  <c r="AC257" i="7"/>
  <c r="AE141" i="7"/>
  <c r="Y141" i="7"/>
  <c r="AB141" i="7"/>
  <c r="AA141" i="7"/>
  <c r="AF141" i="7"/>
  <c r="Z141" i="7"/>
  <c r="AC141" i="7"/>
  <c r="X141" i="7"/>
  <c r="W141" i="7"/>
  <c r="AG141" i="7"/>
  <c r="AD141" i="7"/>
  <c r="AF44" i="7"/>
  <c r="AG44" i="7"/>
  <c r="AE44" i="7"/>
  <c r="AC44" i="7"/>
  <c r="AA44" i="7"/>
  <c r="AB44" i="7"/>
  <c r="W44" i="7"/>
  <c r="AD44" i="7"/>
  <c r="Y44" i="7"/>
  <c r="Z44" i="7"/>
  <c r="X44" i="7"/>
  <c r="Y163" i="7"/>
  <c r="AA163" i="7"/>
  <c r="Z163" i="7"/>
  <c r="AE163" i="7"/>
  <c r="AF163" i="7"/>
  <c r="AC163" i="7"/>
  <c r="AG163" i="7"/>
  <c r="X163" i="7"/>
  <c r="AD163" i="7"/>
  <c r="AB163" i="7"/>
  <c r="W163" i="7"/>
  <c r="AB10" i="7"/>
  <c r="Z10" i="7"/>
  <c r="AD10" i="7"/>
  <c r="AA10" i="7"/>
  <c r="AC10" i="7"/>
  <c r="W10" i="7"/>
  <c r="Y10" i="7"/>
  <c r="AG10" i="7"/>
  <c r="AE10" i="7"/>
  <c r="X10" i="7"/>
  <c r="AF10" i="7"/>
  <c r="X150" i="7"/>
  <c r="AG150" i="7"/>
  <c r="Z150" i="7"/>
  <c r="AF150" i="7"/>
  <c r="W150" i="7"/>
  <c r="AD150" i="7"/>
  <c r="AE150" i="7"/>
  <c r="Y150" i="7"/>
  <c r="AC150" i="7"/>
  <c r="AA150" i="7"/>
  <c r="AB150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3" i="7"/>
  <c r="AF193" i="7"/>
  <c r="Y193" i="7"/>
  <c r="AE193" i="7"/>
  <c r="AC193" i="7"/>
  <c r="Z193" i="7"/>
  <c r="AA193" i="7"/>
  <c r="X193" i="7"/>
  <c r="AG193" i="7"/>
  <c r="AD193" i="7"/>
  <c r="AB193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0" i="7"/>
  <c r="AA90" i="7"/>
  <c r="AD90" i="7"/>
  <c r="Z90" i="7"/>
  <c r="Y90" i="7"/>
  <c r="AE90" i="7"/>
  <c r="AF90" i="7"/>
  <c r="W90" i="7"/>
  <c r="AG90" i="7"/>
  <c r="AC90" i="7"/>
  <c r="AB90" i="7"/>
  <c r="AE182" i="7"/>
  <c r="Z182" i="7"/>
  <c r="AD182" i="7"/>
  <c r="W182" i="7"/>
  <c r="AC182" i="7"/>
  <c r="AF182" i="7"/>
  <c r="AG182" i="7"/>
  <c r="X182" i="7"/>
  <c r="AA182" i="7"/>
  <c r="AB182" i="7"/>
  <c r="Y182" i="7"/>
  <c r="AA155" i="7"/>
  <c r="W155" i="7"/>
  <c r="AD155" i="7"/>
  <c r="Y155" i="7"/>
  <c r="Z155" i="7"/>
  <c r="AG155" i="7"/>
  <c r="AE155" i="7"/>
  <c r="AC155" i="7"/>
  <c r="AB155" i="7"/>
  <c r="X155" i="7"/>
  <c r="AF155" i="7"/>
  <c r="W172" i="7"/>
  <c r="X172" i="7"/>
  <c r="AF172" i="7"/>
  <c r="AG172" i="7"/>
  <c r="Y172" i="7"/>
  <c r="AA172" i="7"/>
  <c r="AB172" i="7"/>
  <c r="AD172" i="7"/>
  <c r="AE172" i="7"/>
  <c r="AC172" i="7"/>
  <c r="Z172" i="7"/>
  <c r="X242" i="7"/>
  <c r="AG242" i="7"/>
  <c r="Z242" i="7"/>
  <c r="AD242" i="7"/>
  <c r="AC242" i="7"/>
  <c r="AA242" i="7"/>
  <c r="W242" i="7"/>
  <c r="AB242" i="7"/>
  <c r="Y242" i="7"/>
  <c r="AF242" i="7"/>
  <c r="AE242" i="7"/>
  <c r="AF60" i="7"/>
  <c r="Z60" i="7"/>
  <c r="Y60" i="7"/>
  <c r="AC60" i="7"/>
  <c r="X60" i="7"/>
  <c r="AD60" i="7"/>
  <c r="AA60" i="7"/>
  <c r="AB60" i="7"/>
  <c r="AE60" i="7"/>
  <c r="AG60" i="7"/>
  <c r="W60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89" i="7"/>
  <c r="X189" i="7"/>
  <c r="AD189" i="7"/>
  <c r="AB189" i="7"/>
  <c r="Z189" i="7"/>
  <c r="Y189" i="7"/>
  <c r="W189" i="7"/>
  <c r="AA189" i="7"/>
  <c r="AE189" i="7"/>
  <c r="AF189" i="7"/>
  <c r="AC189" i="7"/>
  <c r="AG42" i="7"/>
  <c r="W42" i="7"/>
  <c r="AF42" i="7"/>
  <c r="Z42" i="7"/>
  <c r="AB42" i="7"/>
  <c r="AC42" i="7"/>
  <c r="X42" i="7"/>
  <c r="Y42" i="7"/>
  <c r="AE42" i="7"/>
  <c r="AD42" i="7"/>
  <c r="AA42" i="7"/>
  <c r="AF37" i="7"/>
  <c r="Z37" i="7"/>
  <c r="AE37" i="7"/>
  <c r="AC37" i="7"/>
  <c r="AA37" i="7"/>
  <c r="AB37" i="7"/>
  <c r="W37" i="7"/>
  <c r="X37" i="7"/>
  <c r="Y37" i="7"/>
  <c r="AG37" i="7"/>
  <c r="AD37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204" i="7"/>
  <c r="AA204" i="7"/>
  <c r="W204" i="7"/>
  <c r="X204" i="7"/>
  <c r="AF204" i="7"/>
  <c r="Y204" i="7"/>
  <c r="AC204" i="7"/>
  <c r="AG204" i="7"/>
  <c r="AE204" i="7"/>
  <c r="AD204" i="7"/>
  <c r="AB204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2" i="7"/>
  <c r="Y52" i="7"/>
  <c r="AE52" i="7"/>
  <c r="AA52" i="7"/>
  <c r="Z52" i="7"/>
  <c r="AF52" i="7"/>
  <c r="AG52" i="7"/>
  <c r="AB52" i="7"/>
  <c r="AC52" i="7"/>
  <c r="X52" i="7"/>
  <c r="W52" i="7"/>
  <c r="AE57" i="7"/>
  <c r="AB57" i="7"/>
  <c r="AC57" i="7"/>
  <c r="AG57" i="7"/>
  <c r="AD57" i="7"/>
  <c r="AF57" i="7"/>
  <c r="X57" i="7"/>
  <c r="Y57" i="7"/>
  <c r="W57" i="7"/>
  <c r="Z57" i="7"/>
  <c r="AA57" i="7"/>
  <c r="X148" i="7"/>
  <c r="AE148" i="7"/>
  <c r="W148" i="7"/>
  <c r="AA148" i="7"/>
  <c r="AF148" i="7"/>
  <c r="AG148" i="7"/>
  <c r="AC148" i="7"/>
  <c r="Y148" i="7"/>
  <c r="AD148" i="7"/>
  <c r="AB148" i="7"/>
  <c r="Z148" i="7"/>
  <c r="AD187" i="7"/>
  <c r="AF187" i="7"/>
  <c r="W187" i="7"/>
  <c r="Z187" i="7"/>
  <c r="AA187" i="7"/>
  <c r="AC187" i="7"/>
  <c r="Y187" i="7"/>
  <c r="AG187" i="7"/>
  <c r="X187" i="7"/>
  <c r="AE187" i="7"/>
  <c r="AB187" i="7"/>
  <c r="CO300" i="7"/>
  <c r="CR300" i="7"/>
  <c r="CS300" i="7"/>
  <c r="CQ300" i="7"/>
  <c r="W314" i="7"/>
  <c r="AA314" i="7"/>
  <c r="AE314" i="7"/>
  <c r="AD314" i="7"/>
  <c r="AG314" i="7"/>
  <c r="AC314" i="7"/>
  <c r="X314" i="7"/>
  <c r="AF314" i="7"/>
  <c r="AB314" i="7"/>
  <c r="Z314" i="7"/>
  <c r="Y314" i="7"/>
  <c r="AG138" i="7"/>
  <c r="AA138" i="7"/>
  <c r="AF138" i="7"/>
  <c r="W138" i="7"/>
  <c r="AC138" i="7"/>
  <c r="AD138" i="7"/>
  <c r="Y138" i="7"/>
  <c r="AB138" i="7"/>
  <c r="X138" i="7"/>
  <c r="Z138" i="7"/>
  <c r="AE138" i="7"/>
  <c r="W149" i="7"/>
  <c r="AA149" i="7"/>
  <c r="AB149" i="7"/>
  <c r="AD149" i="7"/>
  <c r="AF149" i="7"/>
  <c r="X149" i="7"/>
  <c r="Z149" i="7"/>
  <c r="AG149" i="7"/>
  <c r="AE149" i="7"/>
  <c r="AC149" i="7"/>
  <c r="Y149" i="7"/>
  <c r="AA165" i="7"/>
  <c r="Y165" i="7"/>
  <c r="X165" i="7"/>
  <c r="Z165" i="7"/>
  <c r="AD165" i="7"/>
  <c r="W165" i="7"/>
  <c r="AG165" i="7"/>
  <c r="AC165" i="7"/>
  <c r="AE165" i="7"/>
  <c r="AB165" i="7"/>
  <c r="AF165" i="7"/>
  <c r="W231" i="7"/>
  <c r="AA231" i="7"/>
  <c r="AB231" i="7"/>
  <c r="X231" i="7"/>
  <c r="AF231" i="7"/>
  <c r="Y231" i="7"/>
  <c r="AD231" i="7"/>
  <c r="AG231" i="7"/>
  <c r="AC231" i="7"/>
  <c r="AE231" i="7"/>
  <c r="Z231" i="7"/>
  <c r="Y205" i="7"/>
  <c r="AG205" i="7"/>
  <c r="X205" i="7"/>
  <c r="AE205" i="7"/>
  <c r="W205" i="7"/>
  <c r="AD205" i="7"/>
  <c r="AA205" i="7"/>
  <c r="AB205" i="7"/>
  <c r="Z205" i="7"/>
  <c r="AF205" i="7"/>
  <c r="AC205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199" i="7"/>
  <c r="AD199" i="7"/>
  <c r="AE199" i="7"/>
  <c r="Y199" i="7"/>
  <c r="AB199" i="7"/>
  <c r="AC199" i="7"/>
  <c r="AF199" i="7"/>
  <c r="Z199" i="7"/>
  <c r="W199" i="7"/>
  <c r="AG199" i="7"/>
  <c r="X199" i="7"/>
  <c r="AD305" i="7"/>
  <c r="W305" i="7"/>
  <c r="X305" i="7"/>
  <c r="AF305" i="7"/>
  <c r="AC305" i="7"/>
  <c r="AG305" i="7"/>
  <c r="AA305" i="7"/>
  <c r="AB305" i="7"/>
  <c r="Z305" i="7"/>
  <c r="Y305" i="7"/>
  <c r="AE305" i="7"/>
  <c r="AD54" i="7"/>
  <c r="Y54" i="7"/>
  <c r="AG54" i="7"/>
  <c r="Z54" i="7"/>
  <c r="AF54" i="7"/>
  <c r="AE54" i="7"/>
  <c r="AA54" i="7"/>
  <c r="AC54" i="7"/>
  <c r="X54" i="7"/>
  <c r="AB54" i="7"/>
  <c r="W54" i="7"/>
  <c r="AB192" i="7"/>
  <c r="AD192" i="7"/>
  <c r="AA192" i="7"/>
  <c r="Z192" i="7"/>
  <c r="W192" i="7"/>
  <c r="AG192" i="7"/>
  <c r="AF192" i="7"/>
  <c r="AC192" i="7"/>
  <c r="AE192" i="7"/>
  <c r="Y192" i="7"/>
  <c r="X192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18" i="7"/>
  <c r="X218" i="7"/>
  <c r="AE218" i="7"/>
  <c r="AD218" i="7"/>
  <c r="AA218" i="7"/>
  <c r="AC218" i="7"/>
  <c r="W218" i="7"/>
  <c r="AF218" i="7"/>
  <c r="Z218" i="7"/>
  <c r="AB218" i="7"/>
  <c r="AG218" i="7"/>
  <c r="AD56" i="7"/>
  <c r="Y56" i="7"/>
  <c r="AE56" i="7"/>
  <c r="AA56" i="7"/>
  <c r="AB56" i="7"/>
  <c r="AF56" i="7"/>
  <c r="AG56" i="7"/>
  <c r="W56" i="7"/>
  <c r="AC56" i="7"/>
  <c r="X56" i="7"/>
  <c r="Z56" i="7"/>
  <c r="AB133" i="7"/>
  <c r="Y133" i="7"/>
  <c r="AG133" i="7"/>
  <c r="Z133" i="7"/>
  <c r="AF133" i="7"/>
  <c r="AE133" i="7"/>
  <c r="AC133" i="7"/>
  <c r="X133" i="7"/>
  <c r="W133" i="7"/>
  <c r="AA133" i="7"/>
  <c r="AD133" i="7"/>
  <c r="X103" i="7"/>
  <c r="AE103" i="7"/>
  <c r="AG103" i="7"/>
  <c r="W103" i="7"/>
  <c r="AA103" i="7"/>
  <c r="AF103" i="7"/>
  <c r="AC103" i="7"/>
  <c r="AD103" i="7"/>
  <c r="AB103" i="7"/>
  <c r="Z103" i="7"/>
  <c r="Y103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43" i="7"/>
  <c r="AC43" i="7"/>
  <c r="AE43" i="7"/>
  <c r="Y43" i="7"/>
  <c r="AD43" i="7"/>
  <c r="X43" i="7"/>
  <c r="Z43" i="7"/>
  <c r="AG43" i="7"/>
  <c r="AA43" i="7"/>
  <c r="AF43" i="7"/>
  <c r="W43" i="7"/>
  <c r="X36" i="7"/>
  <c r="Y36" i="7"/>
  <c r="AG36" i="7"/>
  <c r="Z36" i="7"/>
  <c r="AF36" i="7"/>
  <c r="AE36" i="7"/>
  <c r="AA36" i="7"/>
  <c r="AC36" i="7"/>
  <c r="AD36" i="7"/>
  <c r="AB36" i="7"/>
  <c r="W36" i="7"/>
  <c r="Y201" i="7"/>
  <c r="AB201" i="7"/>
  <c r="AC201" i="7"/>
  <c r="AE201" i="7"/>
  <c r="X201" i="7"/>
  <c r="AD201" i="7"/>
  <c r="AF201" i="7"/>
  <c r="W201" i="7"/>
  <c r="Z201" i="7"/>
  <c r="AG201" i="7"/>
  <c r="AA201" i="7"/>
  <c r="AF86" i="7"/>
  <c r="AB86" i="7"/>
  <c r="Y86" i="7"/>
  <c r="Z86" i="7"/>
  <c r="AE86" i="7"/>
  <c r="AA86" i="7"/>
  <c r="AC86" i="7"/>
  <c r="AG86" i="7"/>
  <c r="X86" i="7"/>
  <c r="W86" i="7"/>
  <c r="AD86" i="7"/>
  <c r="AD159" i="7"/>
  <c r="AC159" i="7"/>
  <c r="AG159" i="7"/>
  <c r="AF159" i="7"/>
  <c r="X159" i="7"/>
  <c r="AA159" i="7"/>
  <c r="W159" i="7"/>
  <c r="AB159" i="7"/>
  <c r="Y159" i="7"/>
  <c r="Z159" i="7"/>
  <c r="AE159" i="7"/>
  <c r="W106" i="7"/>
  <c r="Z106" i="7"/>
  <c r="AA106" i="7"/>
  <c r="Y106" i="7"/>
  <c r="X106" i="7"/>
  <c r="AC106" i="7"/>
  <c r="AF106" i="7"/>
  <c r="AD106" i="7"/>
  <c r="AE106" i="7"/>
  <c r="AG106" i="7"/>
  <c r="AB106" i="7"/>
  <c r="AF200" i="7"/>
  <c r="AB200" i="7"/>
  <c r="AE200" i="7"/>
  <c r="AG200" i="7"/>
  <c r="W200" i="7"/>
  <c r="AA200" i="7"/>
  <c r="AD200" i="7"/>
  <c r="AC200" i="7"/>
  <c r="Y200" i="7"/>
  <c r="Z200" i="7"/>
  <c r="X200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09" i="7"/>
  <c r="AC209" i="7"/>
  <c r="AB209" i="7"/>
  <c r="AE209" i="7"/>
  <c r="AA209" i="7"/>
  <c r="W209" i="7"/>
  <c r="AD209" i="7"/>
  <c r="AF209" i="7"/>
  <c r="Z209" i="7"/>
  <c r="X209" i="7"/>
  <c r="AG209" i="7"/>
  <c r="Y190" i="7"/>
  <c r="AB190" i="7"/>
  <c r="AD190" i="7"/>
  <c r="AE190" i="7"/>
  <c r="W190" i="7"/>
  <c r="AC190" i="7"/>
  <c r="AF190" i="7"/>
  <c r="Z190" i="7"/>
  <c r="X190" i="7"/>
  <c r="AA190" i="7"/>
  <c r="AG190" i="7"/>
  <c r="Y160" i="7"/>
  <c r="W160" i="7"/>
  <c r="X160" i="7"/>
  <c r="AA160" i="7"/>
  <c r="AE160" i="7"/>
  <c r="AD160" i="7"/>
  <c r="AG160" i="7"/>
  <c r="AC160" i="7"/>
  <c r="Z160" i="7"/>
  <c r="AB160" i="7"/>
  <c r="AF160" i="7"/>
  <c r="AD134" i="7"/>
  <c r="AC134" i="7"/>
  <c r="W134" i="7"/>
  <c r="AA134" i="7"/>
  <c r="AE134" i="7"/>
  <c r="X134" i="7"/>
  <c r="AB134" i="7"/>
  <c r="AG134" i="7"/>
  <c r="Z134" i="7"/>
  <c r="AF134" i="7"/>
  <c r="Y134" i="7"/>
  <c r="X298" i="7"/>
  <c r="AG298" i="7"/>
  <c r="W298" i="7"/>
  <c r="AD298" i="7"/>
  <c r="Y298" i="7"/>
  <c r="AF298" i="7"/>
  <c r="AE298" i="7"/>
  <c r="Z298" i="7"/>
  <c r="AC298" i="7"/>
  <c r="AA298" i="7"/>
  <c r="AB298" i="7"/>
  <c r="Y223" i="7"/>
  <c r="AE223" i="7"/>
  <c r="AC223" i="7"/>
  <c r="Z223" i="7"/>
  <c r="AA223" i="7"/>
  <c r="W223" i="7"/>
  <c r="X223" i="7"/>
  <c r="AF223" i="7"/>
  <c r="AB223" i="7"/>
  <c r="AD223" i="7"/>
  <c r="AG223" i="7"/>
  <c r="AC151" i="7"/>
  <c r="AE151" i="7"/>
  <c r="AB151" i="7"/>
  <c r="X151" i="7"/>
  <c r="AG151" i="7"/>
  <c r="AD151" i="7"/>
  <c r="AF151" i="7"/>
  <c r="AA151" i="7"/>
  <c r="Z151" i="7"/>
  <c r="W151" i="7"/>
  <c r="Y151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17" i="7"/>
  <c r="Z17" i="7"/>
  <c r="AE17" i="7"/>
  <c r="AC17" i="7"/>
  <c r="AA17" i="7"/>
  <c r="AB17" i="7"/>
  <c r="W17" i="7"/>
  <c r="X17" i="7"/>
  <c r="Y17" i="7"/>
  <c r="AG17" i="7"/>
  <c r="AD17" i="7"/>
  <c r="Y171" i="7"/>
  <c r="X171" i="7"/>
  <c r="AC171" i="7"/>
  <c r="AG171" i="7"/>
  <c r="AD171" i="7"/>
  <c r="AA171" i="7"/>
  <c r="AB171" i="7"/>
  <c r="W171" i="7"/>
  <c r="Z171" i="7"/>
  <c r="AF171" i="7"/>
  <c r="AE171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5" i="7"/>
  <c r="AC135" i="7"/>
  <c r="AF135" i="7"/>
  <c r="X135" i="7"/>
  <c r="Y135" i="7"/>
  <c r="AB135" i="7"/>
  <c r="AD135" i="7"/>
  <c r="AA135" i="7"/>
  <c r="Z135" i="7"/>
  <c r="W135" i="7"/>
  <c r="AG135" i="7"/>
  <c r="AG53" i="7"/>
  <c r="Y53" i="7"/>
  <c r="AC53" i="7"/>
  <c r="X53" i="7"/>
  <c r="Z53" i="7"/>
  <c r="AF53" i="7"/>
  <c r="W53" i="7"/>
  <c r="AA53" i="7"/>
  <c r="AE53" i="7"/>
  <c r="AB53" i="7"/>
  <c r="AD53" i="7"/>
  <c r="AE180" i="7"/>
  <c r="AB180" i="7"/>
  <c r="W180" i="7"/>
  <c r="Z180" i="7"/>
  <c r="AC180" i="7"/>
  <c r="AD180" i="7"/>
  <c r="AF180" i="7"/>
  <c r="X180" i="7"/>
  <c r="AA180" i="7"/>
  <c r="AG180" i="7"/>
  <c r="Y180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198" i="7"/>
  <c r="AE198" i="7"/>
  <c r="AB198" i="7"/>
  <c r="AC198" i="7"/>
  <c r="AA198" i="7"/>
  <c r="X198" i="7"/>
  <c r="Z198" i="7"/>
  <c r="AF198" i="7"/>
  <c r="AD198" i="7"/>
  <c r="Y198" i="7"/>
  <c r="AG198" i="7"/>
  <c r="AC296" i="7"/>
  <c r="W296" i="7"/>
  <c r="X296" i="7"/>
  <c r="Z296" i="7"/>
  <c r="AD296" i="7"/>
  <c r="AB296" i="7"/>
  <c r="AE296" i="7"/>
  <c r="AF296" i="7"/>
  <c r="AA296" i="7"/>
  <c r="Y296" i="7"/>
  <c r="AG296" i="7"/>
  <c r="AA102" i="7"/>
  <c r="AF102" i="7"/>
  <c r="AE102" i="7"/>
  <c r="X102" i="7"/>
  <c r="Y102" i="7"/>
  <c r="Z102" i="7"/>
  <c r="AC102" i="7"/>
  <c r="AB102" i="7"/>
  <c r="AG102" i="7"/>
  <c r="W102" i="7"/>
  <c r="AD102" i="7"/>
  <c r="AD121" i="7"/>
  <c r="AA121" i="7"/>
  <c r="AF121" i="7"/>
  <c r="AC121" i="7"/>
  <c r="X121" i="7"/>
  <c r="AE121" i="7"/>
  <c r="Y121" i="7"/>
  <c r="AG121" i="7"/>
  <c r="W121" i="7"/>
  <c r="AB121" i="7"/>
  <c r="Z121" i="7"/>
  <c r="W175" i="7"/>
  <c r="AC175" i="7"/>
  <c r="AA175" i="7"/>
  <c r="AG175" i="7"/>
  <c r="X175" i="7"/>
  <c r="Z175" i="7"/>
  <c r="AB175" i="7"/>
  <c r="AD175" i="7"/>
  <c r="AF175" i="7"/>
  <c r="AE175" i="7"/>
  <c r="Y175" i="7"/>
  <c r="Z78" i="7"/>
  <c r="AB78" i="7"/>
  <c r="AA78" i="7"/>
  <c r="X78" i="7"/>
  <c r="AD78" i="7"/>
  <c r="W78" i="7"/>
  <c r="AC78" i="7"/>
  <c r="AE78" i="7"/>
  <c r="Y78" i="7"/>
  <c r="AF78" i="7"/>
  <c r="AG78" i="7"/>
  <c r="AG272" i="7"/>
  <c r="AF272" i="7"/>
  <c r="AB272" i="7"/>
  <c r="Z272" i="7"/>
  <c r="AA272" i="7"/>
  <c r="W272" i="7"/>
  <c r="AE272" i="7"/>
  <c r="Y272" i="7"/>
  <c r="X272" i="7"/>
  <c r="AC272" i="7"/>
  <c r="AD272" i="7"/>
  <c r="X105" i="7"/>
  <c r="Z105" i="7"/>
  <c r="AE105" i="7"/>
  <c r="Y105" i="7"/>
  <c r="W105" i="7"/>
  <c r="AD105" i="7"/>
  <c r="AF105" i="7"/>
  <c r="AB105" i="7"/>
  <c r="AC105" i="7"/>
  <c r="AA105" i="7"/>
  <c r="AG105" i="7"/>
  <c r="BF210" i="7"/>
  <c r="BG210" i="7" s="1" a="1"/>
  <c r="BX48" i="7"/>
  <c r="BX33" i="7"/>
  <c r="Z197" i="7"/>
  <c r="AA197" i="7"/>
  <c r="AD197" i="7"/>
  <c r="AB197" i="7"/>
  <c r="AF197" i="7"/>
  <c r="Y197" i="7"/>
  <c r="AC197" i="7"/>
  <c r="W197" i="7"/>
  <c r="AE197" i="7"/>
  <c r="X197" i="7"/>
  <c r="AG197" i="7"/>
  <c r="AD191" i="7"/>
  <c r="Y191" i="7"/>
  <c r="AG191" i="7"/>
  <c r="AC191" i="7"/>
  <c r="AE191" i="7"/>
  <c r="AB191" i="7"/>
  <c r="X191" i="7"/>
  <c r="AF191" i="7"/>
  <c r="W191" i="7"/>
  <c r="Z191" i="7"/>
  <c r="AA191" i="7"/>
  <c r="AN64" i="7"/>
  <c r="AO64" i="7" s="1" a="1"/>
  <c r="BF102" i="7"/>
  <c r="BX234" i="7"/>
  <c r="BY234" i="7" s="1" a="1"/>
  <c r="Z177" i="7"/>
  <c r="AC177" i="7"/>
  <c r="AE177" i="7"/>
  <c r="AF177" i="7"/>
  <c r="X177" i="7"/>
  <c r="AD177" i="7"/>
  <c r="AG177" i="7"/>
  <c r="W177" i="7"/>
  <c r="AA177" i="7"/>
  <c r="AB177" i="7"/>
  <c r="Y177" i="7"/>
  <c r="Z169" i="7"/>
  <c r="Y169" i="7"/>
  <c r="AD169" i="7"/>
  <c r="AC169" i="7"/>
  <c r="W169" i="7"/>
  <c r="AG169" i="7"/>
  <c r="X169" i="7"/>
  <c r="AB169" i="7"/>
  <c r="AA169" i="7"/>
  <c r="AF169" i="7"/>
  <c r="AE169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2" i="7"/>
  <c r="AO102" i="7" s="1" a="1"/>
  <c r="AN76" i="7"/>
  <c r="AO76" i="7" s="1" a="1"/>
  <c r="BX64" i="7"/>
  <c r="BY64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8" i="7"/>
  <c r="AO98" i="7" s="1" a="1"/>
  <c r="BF33" i="7"/>
  <c r="AN24" i="7"/>
  <c r="AO24" i="7" s="1" a="1"/>
  <c r="AD129" i="7"/>
  <c r="AC129" i="7"/>
  <c r="AF129" i="7"/>
  <c r="AE129" i="7"/>
  <c r="AA129" i="7"/>
  <c r="AB129" i="7"/>
  <c r="W129" i="7"/>
  <c r="AG129" i="7"/>
  <c r="Z129" i="7"/>
  <c r="Y129" i="7"/>
  <c r="X129" i="7"/>
  <c r="AC130" i="7"/>
  <c r="AB130" i="7"/>
  <c r="AA130" i="7"/>
  <c r="X130" i="7"/>
  <c r="W130" i="7"/>
  <c r="Z130" i="7"/>
  <c r="Y130" i="7"/>
  <c r="AE130" i="7"/>
  <c r="AD130" i="7"/>
  <c r="AG130" i="7"/>
  <c r="AF130" i="7"/>
  <c r="AF38" i="7"/>
  <c r="AD38" i="7"/>
  <c r="Y38" i="7"/>
  <c r="Z38" i="7"/>
  <c r="AG38" i="7"/>
  <c r="AB38" i="7"/>
  <c r="AC38" i="7"/>
  <c r="X38" i="7"/>
  <c r="AE38" i="7"/>
  <c r="AA38" i="7"/>
  <c r="W38" i="7"/>
  <c r="BF36" i="7"/>
  <c r="AN74" i="7"/>
  <c r="AO74" i="7" s="1" a="1"/>
  <c r="AD128" i="7"/>
  <c r="AG128" i="7"/>
  <c r="X128" i="7"/>
  <c r="AC128" i="7"/>
  <c r="Y128" i="7"/>
  <c r="AF128" i="7"/>
  <c r="AA128" i="7"/>
  <c r="W128" i="7"/>
  <c r="Z128" i="7"/>
  <c r="AE128" i="7"/>
  <c r="AB128" i="7"/>
  <c r="AN156" i="7"/>
  <c r="AO156" i="7" s="1" a="1"/>
  <c r="BF227" i="7"/>
  <c r="BG227" i="7" s="1" a="1"/>
  <c r="BX159" i="7"/>
  <c r="BY159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2" i="7"/>
  <c r="AO112" i="7" s="1" a="1"/>
  <c r="X20" i="7"/>
  <c r="Y20" i="7"/>
  <c r="AF20" i="7"/>
  <c r="AD20" i="7"/>
  <c r="AA20" i="7"/>
  <c r="AE20" i="7"/>
  <c r="W20" i="7"/>
  <c r="Z20" i="7"/>
  <c r="AG20" i="7"/>
  <c r="AB20" i="7"/>
  <c r="AC20" i="7"/>
  <c r="AN196" i="7"/>
  <c r="AO196" i="7" s="1" a="1"/>
  <c r="BF110" i="7"/>
  <c r="BF49" i="7"/>
  <c r="BF107" i="7"/>
  <c r="BX279" i="7"/>
  <c r="BY279" i="7" s="1" a="1"/>
  <c r="BF105" i="7"/>
  <c r="AB258" i="7"/>
  <c r="AE258" i="7"/>
  <c r="AF258" i="7"/>
  <c r="W258" i="7"/>
  <c r="AC258" i="7"/>
  <c r="AD258" i="7"/>
  <c r="X258" i="7"/>
  <c r="AA258" i="7"/>
  <c r="Z258" i="7"/>
  <c r="AG258" i="7"/>
  <c r="Y258" i="7"/>
  <c r="BX144" i="7"/>
  <c r="BY144" i="7" s="1" a="1"/>
  <c r="AE117" i="7"/>
  <c r="Y117" i="7"/>
  <c r="AF117" i="7"/>
  <c r="AD117" i="7"/>
  <c r="AA117" i="7"/>
  <c r="X117" i="7"/>
  <c r="W117" i="7"/>
  <c r="AB117" i="7"/>
  <c r="AG117" i="7"/>
  <c r="AC117" i="7"/>
  <c r="Z117" i="7"/>
  <c r="AG28" i="7"/>
  <c r="Z28" i="7"/>
  <c r="AF28" i="7"/>
  <c r="X28" i="7"/>
  <c r="Y28" i="7"/>
  <c r="AD28" i="7"/>
  <c r="W28" i="7"/>
  <c r="AA28" i="7"/>
  <c r="AE28" i="7"/>
  <c r="AB28" i="7"/>
  <c r="AC28" i="7"/>
  <c r="AN99" i="7"/>
  <c r="AO99" i="7" s="1" a="1"/>
  <c r="AN109" i="7"/>
  <c r="AO109" i="7" s="1" a="1"/>
  <c r="BF260" i="7"/>
  <c r="BG260" i="7" s="1" a="1"/>
  <c r="BX102" i="7"/>
  <c r="AD213" i="7"/>
  <c r="W213" i="7"/>
  <c r="AG213" i="7"/>
  <c r="Z213" i="7"/>
  <c r="AA213" i="7"/>
  <c r="Y213" i="7"/>
  <c r="AB213" i="7"/>
  <c r="AC213" i="7"/>
  <c r="AE213" i="7"/>
  <c r="X213" i="7"/>
  <c r="AF21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5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4" i="7"/>
  <c r="BY104" i="7" s="1" a="1"/>
  <c r="AN35" i="7"/>
  <c r="AO35" i="7" s="1" a="1"/>
  <c r="BX127" i="7"/>
  <c r="BY127" i="7" s="1" a="1"/>
  <c r="BF23" i="7"/>
  <c r="BG23" i="7" s="1" a="1"/>
  <c r="BG105" i="7" a="1"/>
  <c r="BG110" i="7" a="1"/>
  <c r="BG33" i="7" a="1"/>
  <c r="BG85" i="7" a="1"/>
  <c r="BG49" i="7" a="1"/>
  <c r="BG102" i="7" a="1"/>
  <c r="BG107" i="7" a="1"/>
  <c r="BG36" i="7" a="1"/>
  <c r="CJ226" i="7" l="1"/>
  <c r="CJ221" i="7"/>
  <c r="R21" i="6"/>
  <c r="P22" i="6"/>
  <c r="Q21" i="6"/>
  <c r="S21" i="6" s="1"/>
  <c r="CL300" i="7"/>
  <c r="CJ212" i="7"/>
  <c r="CJ273" i="7"/>
  <c r="CJ216" i="7"/>
  <c r="CJ265" i="7"/>
  <c r="CJ305" i="7"/>
  <c r="CM300" i="7"/>
  <c r="CP300" i="7"/>
  <c r="CJ57" i="7"/>
  <c r="CJ132" i="7"/>
  <c r="CJ294" i="7"/>
  <c r="CJ214" i="7"/>
  <c r="CJ274" i="7"/>
  <c r="CJ268" i="7"/>
  <c r="CJ256" i="7"/>
  <c r="CJ230" i="7"/>
  <c r="CJ89" i="7"/>
  <c r="CJ41" i="7"/>
  <c r="CJ108" i="7"/>
  <c r="CJ51" i="7"/>
  <c r="CK288" i="7"/>
  <c r="CN300" i="7"/>
  <c r="CT300" i="7" s="1"/>
  <c r="CJ217" i="7"/>
  <c r="CJ308" i="7"/>
  <c r="CJ16" i="7"/>
  <c r="CJ271" i="7"/>
  <c r="CJ47" i="7"/>
  <c r="CJ208" i="7"/>
  <c r="CJ275" i="7"/>
  <c r="CJ304" i="7"/>
  <c r="CJ238" i="7"/>
  <c r="CJ284" i="7"/>
  <c r="CJ32" i="7"/>
  <c r="CJ167" i="7"/>
  <c r="CJ70" i="7"/>
  <c r="CJ84" i="7"/>
  <c r="CJ14" i="7"/>
  <c r="CJ52" i="7"/>
  <c r="CJ143" i="7"/>
  <c r="CJ50" i="7"/>
  <c r="CJ63" i="7"/>
  <c r="CJ194" i="7"/>
  <c r="CJ136" i="7"/>
  <c r="CJ81" i="7"/>
  <c r="CJ75" i="7"/>
  <c r="CJ61" i="7"/>
  <c r="CJ73" i="7"/>
  <c r="CJ170" i="7"/>
  <c r="CJ119" i="7"/>
  <c r="CJ147" i="7"/>
  <c r="CJ229" i="7"/>
  <c r="CJ154" i="7"/>
  <c r="CJ255" i="7"/>
  <c r="CJ222" i="7"/>
  <c r="CJ181" i="7"/>
  <c r="CJ206" i="7"/>
  <c r="CJ289" i="7"/>
  <c r="CJ87" i="7"/>
  <c r="CJ266" i="7"/>
  <c r="CJ178" i="7"/>
  <c r="CJ233" i="7"/>
  <c r="CJ188" i="7"/>
  <c r="CJ95" i="7"/>
  <c r="CJ34" i="7"/>
  <c r="CJ113" i="7"/>
  <c r="CJ30" i="7"/>
  <c r="CJ83" i="7"/>
  <c r="CJ142" i="7"/>
  <c r="CJ62" i="7"/>
  <c r="CJ168" i="7"/>
  <c r="CJ157" i="7"/>
  <c r="CJ161" i="7"/>
  <c r="CJ111" i="7"/>
  <c r="CJ162" i="7"/>
  <c r="CJ164" i="7"/>
  <c r="CJ297" i="7"/>
  <c r="CJ46" i="7"/>
  <c r="CJ211" i="7"/>
  <c r="CJ39" i="7"/>
  <c r="CJ97" i="7"/>
  <c r="CK155" i="7"/>
  <c r="CJ281" i="7"/>
  <c r="CJ173" i="7"/>
  <c r="CK20" i="7"/>
  <c r="CJ179" i="7"/>
  <c r="CJ207" i="7"/>
  <c r="CJ131" i="7"/>
  <c r="CJ215" i="7"/>
  <c r="CJ18" i="7"/>
  <c r="CJ253" i="7"/>
  <c r="CK134" i="7"/>
  <c r="CK163" i="7"/>
  <c r="CK289" i="7"/>
  <c r="CK314" i="7"/>
  <c r="CK6" i="7"/>
  <c r="CJ80" i="7"/>
  <c r="CK34" i="7"/>
  <c r="CJ139" i="7"/>
  <c r="CJ82" i="7"/>
  <c r="CJ280" i="7"/>
  <c r="CK72" i="7"/>
  <c r="CS72" i="7" s="1"/>
  <c r="CJ66" i="7"/>
  <c r="CJ55" i="7"/>
  <c r="CK242" i="7"/>
  <c r="CK148" i="7"/>
  <c r="CK160" i="7"/>
  <c r="CK7" i="7"/>
  <c r="CK309" i="7"/>
  <c r="CJ43" i="7"/>
  <c r="CK168" i="7"/>
  <c r="CK272" i="7"/>
  <c r="CK21" i="7"/>
  <c r="CK130" i="7"/>
  <c r="CK190" i="7"/>
  <c r="CJ311" i="7"/>
  <c r="CJ189" i="7"/>
  <c r="CJ262" i="7"/>
  <c r="CJ100" i="7"/>
  <c r="CJ59" i="7"/>
  <c r="CK30" i="7"/>
  <c r="CK246" i="7"/>
  <c r="CJ259" i="7"/>
  <c r="CJ244" i="7"/>
  <c r="CJ252" i="7"/>
  <c r="CJ197" i="7"/>
  <c r="CJ17" i="7"/>
  <c r="CJ246" i="7"/>
  <c r="CJ21" i="7"/>
  <c r="CN21" i="7" s="1"/>
  <c r="CK141" i="7"/>
  <c r="CK151" i="7"/>
  <c r="CJ314" i="7"/>
  <c r="CM314" i="7" s="1"/>
  <c r="CK83" i="7"/>
  <c r="CK59" i="7"/>
  <c r="CK240" i="7"/>
  <c r="CJ248" i="7"/>
  <c r="CK305" i="7"/>
  <c r="CJ204" i="7"/>
  <c r="CJ6" i="7"/>
  <c r="CJ176" i="7"/>
  <c r="CJ218" i="7"/>
  <c r="CJ240" i="7"/>
  <c r="CJ201" i="7"/>
  <c r="CJ44" i="7"/>
  <c r="CK213" i="7"/>
  <c r="CJ190" i="7"/>
  <c r="CK12" i="7"/>
  <c r="CK78" i="7"/>
  <c r="CK187" i="7"/>
  <c r="CJ19" i="7"/>
  <c r="CJ126" i="7"/>
  <c r="CJ86" i="7"/>
  <c r="CJ171" i="7"/>
  <c r="CJ209" i="7"/>
  <c r="CJ247" i="7"/>
  <c r="CJ298" i="7"/>
  <c r="CJ165" i="7"/>
  <c r="CJ149" i="7"/>
  <c r="CJ138" i="7"/>
  <c r="CJ90" i="7"/>
  <c r="CK5" i="7"/>
  <c r="CK298" i="7"/>
  <c r="CK259" i="7"/>
  <c r="CK125" i="7"/>
  <c r="CK209" i="7"/>
  <c r="CK312" i="7"/>
  <c r="CK149" i="7"/>
  <c r="CK205" i="7"/>
  <c r="CK223" i="7"/>
  <c r="CK299" i="7"/>
  <c r="CK225" i="7"/>
  <c r="CK263" i="7"/>
  <c r="CJ5" i="7"/>
  <c r="CK126" i="7"/>
  <c r="CJ130" i="7"/>
  <c r="CJ295" i="7"/>
  <c r="CJ292" i="7"/>
  <c r="CJ299" i="7"/>
  <c r="CJ310" i="7"/>
  <c r="CJ150" i="7"/>
  <c r="CJ163" i="7"/>
  <c r="CK55" i="7"/>
  <c r="CK165" i="7"/>
  <c r="CK150" i="7"/>
  <c r="CK267" i="7"/>
  <c r="CK283" i="7"/>
  <c r="CK269" i="7"/>
  <c r="CK81" i="7"/>
  <c r="CK138" i="7"/>
  <c r="CK310" i="7"/>
  <c r="CJ287" i="7"/>
  <c r="CK18" i="7"/>
  <c r="CK253" i="7"/>
  <c r="CK241" i="7"/>
  <c r="CK15" i="7"/>
  <c r="CK52" i="7"/>
  <c r="CK230" i="7"/>
  <c r="CO230" i="7" s="1"/>
  <c r="CJ241" i="7"/>
  <c r="CM241" i="7" s="1"/>
  <c r="CJ267" i="7"/>
  <c r="CJ223" i="7"/>
  <c r="CJ133" i="7"/>
  <c r="CJ205" i="7"/>
  <c r="CJ37" i="7"/>
  <c r="CK4" i="7"/>
  <c r="CK172" i="7"/>
  <c r="CK243" i="7"/>
  <c r="CK252" i="7"/>
  <c r="CK280" i="7"/>
  <c r="CK236" i="7"/>
  <c r="CK295" i="7"/>
  <c r="CK273" i="7"/>
  <c r="CJ3" i="7"/>
  <c r="CJ4" i="7"/>
  <c r="CK214" i="7"/>
  <c r="CJ13" i="7"/>
  <c r="CJ282" i="7"/>
  <c r="CK188" i="7"/>
  <c r="CJ124" i="7"/>
  <c r="CJ148" i="7"/>
  <c r="CK96" i="7"/>
  <c r="CJ96" i="7"/>
  <c r="CJ22" i="7"/>
  <c r="CK47" i="7"/>
  <c r="CK237" i="7"/>
  <c r="CK135" i="7"/>
  <c r="CK195" i="7"/>
  <c r="CP195" i="7" s="1"/>
  <c r="CJ11" i="7"/>
  <c r="CJ141" i="7"/>
  <c r="CJ117" i="7"/>
  <c r="CJ56" i="7"/>
  <c r="CJ263" i="7"/>
  <c r="CJ219" i="7"/>
  <c r="CJ243" i="7"/>
  <c r="CK84" i="7"/>
  <c r="CK82" i="7"/>
  <c r="CJ272" i="7"/>
  <c r="CK238" i="7"/>
  <c r="CK113" i="7"/>
  <c r="CK100" i="7"/>
  <c r="CK65" i="7"/>
  <c r="CK44" i="7"/>
  <c r="CK313" i="7"/>
  <c r="CK257" i="7"/>
  <c r="CK198" i="7"/>
  <c r="CK93" i="7"/>
  <c r="CK197" i="7"/>
  <c r="CK292" i="7"/>
  <c r="CK204" i="7"/>
  <c r="CK13" i="7"/>
  <c r="CJ65" i="7"/>
  <c r="CK40" i="7"/>
  <c r="CK268" i="7"/>
  <c r="CK66" i="7"/>
  <c r="CK32" i="7"/>
  <c r="CJ283" i="7"/>
  <c r="CJ120" i="7"/>
  <c r="CK226" i="7"/>
  <c r="CO226" i="7" s="1"/>
  <c r="CJ306" i="7"/>
  <c r="CJ236" i="7"/>
  <c r="CK270" i="7"/>
  <c r="CK60" i="7"/>
  <c r="CK37" i="7"/>
  <c r="CJ54" i="7"/>
  <c r="CK46" i="7"/>
  <c r="CK132" i="7"/>
  <c r="CK282" i="7"/>
  <c r="CK262" i="7"/>
  <c r="CK56" i="7"/>
  <c r="CK120" i="7"/>
  <c r="CJ296" i="7"/>
  <c r="CK61" i="7"/>
  <c r="CK17" i="7"/>
  <c r="CJ93" i="7"/>
  <c r="CK176" i="7"/>
  <c r="CK71" i="7"/>
  <c r="CR71" i="7" s="1"/>
  <c r="CK41" i="7"/>
  <c r="CK106" i="7"/>
  <c r="CJ313" i="7"/>
  <c r="CJ15" i="7"/>
  <c r="CJ257" i="7"/>
  <c r="CK171" i="7"/>
  <c r="CK244" i="7"/>
  <c r="CK248" i="7"/>
  <c r="CK311" i="7"/>
  <c r="CK189" i="7"/>
  <c r="CJ135" i="7"/>
  <c r="CK219" i="7"/>
  <c r="CK247" i="7"/>
  <c r="CK94" i="7"/>
  <c r="CR94" i="7" s="1"/>
  <c r="CK182" i="7"/>
  <c r="CJ182" i="7"/>
  <c r="CK54" i="7"/>
  <c r="CK191" i="7"/>
  <c r="CK193" i="7"/>
  <c r="CJ186" i="7"/>
  <c r="CK14" i="7"/>
  <c r="CJ121" i="7"/>
  <c r="CJ140" i="7"/>
  <c r="CJ53" i="7"/>
  <c r="CK179" i="7"/>
  <c r="CJ302" i="7"/>
  <c r="CJ88" i="7"/>
  <c r="CK306" i="7"/>
  <c r="CJ237" i="7"/>
  <c r="CR237" i="7" s="1"/>
  <c r="CJ20" i="7"/>
  <c r="CJ129" i="7"/>
  <c r="CJ269" i="7"/>
  <c r="CP269" i="7" s="1"/>
  <c r="CJ12" i="7"/>
  <c r="CJ26" i="7"/>
  <c r="CJ151" i="7"/>
  <c r="CJ134" i="7"/>
  <c r="CJ7" i="7"/>
  <c r="CJ242" i="7"/>
  <c r="CJ155" i="7"/>
  <c r="CJ264" i="7"/>
  <c r="CK181" i="7"/>
  <c r="CK287" i="7"/>
  <c r="CJ232" i="7"/>
  <c r="CK281" i="7"/>
  <c r="CL281" i="7" s="1"/>
  <c r="CK186" i="7"/>
  <c r="CK117" i="7"/>
  <c r="CK26" i="7"/>
  <c r="CK266" i="7"/>
  <c r="CJ191" i="7"/>
  <c r="CK251" i="7"/>
  <c r="CK128" i="7"/>
  <c r="CK256" i="7"/>
  <c r="CJ106" i="7"/>
  <c r="CK43" i="7"/>
  <c r="CK11" i="7"/>
  <c r="CK232" i="7"/>
  <c r="CJ290" i="7"/>
  <c r="CJ270" i="7"/>
  <c r="CJ78" i="7"/>
  <c r="CJ198" i="7"/>
  <c r="CJ312" i="7"/>
  <c r="CJ160" i="7"/>
  <c r="CJ187" i="7"/>
  <c r="CJ60" i="7"/>
  <c r="CK129" i="7"/>
  <c r="CK131" i="7"/>
  <c r="CK19" i="7"/>
  <c r="CK124" i="7"/>
  <c r="CK308" i="7"/>
  <c r="CK264" i="7"/>
  <c r="CK111" i="7"/>
  <c r="CK86" i="7"/>
  <c r="CJ200" i="7"/>
  <c r="CK173" i="7"/>
  <c r="CJ301" i="7"/>
  <c r="CJ192" i="7"/>
  <c r="CJ225" i="7"/>
  <c r="CS225" i="7" s="1"/>
  <c r="CJ92" i="7"/>
  <c r="CK92" i="7"/>
  <c r="CK88" i="7"/>
  <c r="CK215" i="7"/>
  <c r="CK137" i="7"/>
  <c r="CK10" i="7"/>
  <c r="CK199" i="7"/>
  <c r="CJ137" i="7"/>
  <c r="CJ277" i="7"/>
  <c r="CK57" i="7"/>
  <c r="CK194" i="7"/>
  <c r="CJ28" i="7"/>
  <c r="CJ245" i="7"/>
  <c r="CJ128" i="7"/>
  <c r="CJ38" i="7"/>
  <c r="CJ169" i="7"/>
  <c r="CJ177" i="7"/>
  <c r="CJ251" i="7"/>
  <c r="CJ42" i="7"/>
  <c r="CJ10" i="7"/>
  <c r="CK170" i="7"/>
  <c r="CJ228" i="7"/>
  <c r="CK16" i="7"/>
  <c r="CO16" i="7" s="1"/>
  <c r="CK177" i="7"/>
  <c r="CJ213" i="7"/>
  <c r="CJ175" i="7"/>
  <c r="CJ25" i="7"/>
  <c r="CK271" i="7"/>
  <c r="CJ254" i="7"/>
  <c r="CJ103" i="7"/>
  <c r="CJ199" i="7"/>
  <c r="CJ278" i="7"/>
  <c r="CK278" i="7"/>
  <c r="CK303" i="7"/>
  <c r="CK164" i="7"/>
  <c r="CK167" i="7"/>
  <c r="CK192" i="7"/>
  <c r="CK136" i="7"/>
  <c r="CK121" i="7"/>
  <c r="CK169" i="7"/>
  <c r="CK229" i="7"/>
  <c r="CJ309" i="7"/>
  <c r="CJ9" i="7"/>
  <c r="CJ303" i="7"/>
  <c r="CK103" i="7"/>
  <c r="CK146" i="7"/>
  <c r="CK212" i="7"/>
  <c r="CK27" i="7"/>
  <c r="CM27" i="7" s="1"/>
  <c r="CK254" i="7"/>
  <c r="CK274" i="7"/>
  <c r="CK302" i="7"/>
  <c r="CK139" i="7"/>
  <c r="CK73" i="7"/>
  <c r="CK207" i="7"/>
  <c r="CK143" i="7"/>
  <c r="CK140" i="7"/>
  <c r="CK45" i="7"/>
  <c r="CK118" i="7"/>
  <c r="CP118" i="7" s="1"/>
  <c r="CJ172" i="7"/>
  <c r="CJ193" i="7"/>
  <c r="CJ146" i="7"/>
  <c r="CK97" i="7"/>
  <c r="CK200" i="7"/>
  <c r="CK175" i="7"/>
  <c r="CK162" i="7"/>
  <c r="CK255" i="7"/>
  <c r="CK38" i="7"/>
  <c r="CK53" i="7"/>
  <c r="CK80" i="7"/>
  <c r="CK3" i="7"/>
  <c r="CK245" i="7"/>
  <c r="CK133" i="7"/>
  <c r="CK290" i="7"/>
  <c r="CJ125" i="7"/>
  <c r="CK284" i="7"/>
  <c r="CK142" i="7"/>
  <c r="CK228" i="7"/>
  <c r="CK217" i="7"/>
  <c r="CK301" i="7"/>
  <c r="CK277" i="7"/>
  <c r="CK294" i="7"/>
  <c r="CK275" i="7"/>
  <c r="CK22" i="7"/>
  <c r="CK42" i="7"/>
  <c r="CK211" i="7"/>
  <c r="CK119" i="7"/>
  <c r="CK9" i="7"/>
  <c r="CS9" i="7" s="1"/>
  <c r="CK208" i="7"/>
  <c r="CK218" i="7"/>
  <c r="CK28" i="7"/>
  <c r="CK201" i="7"/>
  <c r="CK25" i="7"/>
  <c r="CK296" i="7"/>
  <c r="CK90" i="7"/>
  <c r="CJ288" i="7"/>
  <c r="CK265" i="7"/>
  <c r="CQ265" i="7" s="1"/>
  <c r="CK304" i="7"/>
  <c r="CK75" i="7"/>
  <c r="CK297" i="7"/>
  <c r="CK29" i="7"/>
  <c r="CQ29" i="7" s="1"/>
  <c r="CK70" i="7"/>
  <c r="CU300" i="7"/>
  <c r="CK206" i="7"/>
  <c r="CK147" i="7"/>
  <c r="CK178" i="7"/>
  <c r="CK89" i="7"/>
  <c r="CK39" i="7"/>
  <c r="CK161" i="7"/>
  <c r="CK95" i="7"/>
  <c r="CK154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7" i="7"/>
  <c r="CH127" i="7"/>
  <c r="BZ127" i="7"/>
  <c r="CG127" i="7"/>
  <c r="CE127" i="7"/>
  <c r="BY127" i="7"/>
  <c r="CK127" i="7" s="1"/>
  <c r="CF127" i="7"/>
  <c r="CA127" i="7"/>
  <c r="CI127" i="7"/>
  <c r="CC127" i="7"/>
  <c r="CB127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4" i="7"/>
  <c r="CB104" i="7"/>
  <c r="BY104" i="7"/>
  <c r="CK104" i="7" s="1"/>
  <c r="CF104" i="7"/>
  <c r="CH104" i="7"/>
  <c r="CG104" i="7"/>
  <c r="CE104" i="7"/>
  <c r="CC104" i="7"/>
  <c r="BZ104" i="7"/>
  <c r="CI104" i="7"/>
  <c r="CA104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5" i="7"/>
  <c r="BN85" i="7"/>
  <c r="BI85" i="7"/>
  <c r="BO85" i="7"/>
  <c r="BM85" i="7"/>
  <c r="BP85" i="7"/>
  <c r="BK85" i="7"/>
  <c r="BJ85" i="7"/>
  <c r="BL85" i="7"/>
  <c r="BG85" i="7"/>
  <c r="CK85" i="7" s="1"/>
  <c r="BQ85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2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09" i="7"/>
  <c r="AO109" i="7"/>
  <c r="CJ109" i="7" s="1"/>
  <c r="AV109" i="7"/>
  <c r="AT109" i="7"/>
  <c r="AS109" i="7"/>
  <c r="AY109" i="7"/>
  <c r="AX109" i="7"/>
  <c r="AU109" i="7"/>
  <c r="AR109" i="7"/>
  <c r="AQ109" i="7"/>
  <c r="AW109" i="7"/>
  <c r="AS99" i="7"/>
  <c r="AW99" i="7"/>
  <c r="AR99" i="7"/>
  <c r="AT99" i="7"/>
  <c r="AX99" i="7"/>
  <c r="AY99" i="7"/>
  <c r="AO99" i="7"/>
  <c r="CK99" i="7" s="1"/>
  <c r="AU99" i="7"/>
  <c r="AV99" i="7"/>
  <c r="AP99" i="7"/>
  <c r="AQ99" i="7"/>
  <c r="CF144" i="7"/>
  <c r="CG144" i="7"/>
  <c r="BY144" i="7"/>
  <c r="CK144" i="7" s="1"/>
  <c r="CE144" i="7"/>
  <c r="CB144" i="7"/>
  <c r="CA144" i="7"/>
  <c r="CD144" i="7"/>
  <c r="CC144" i="7"/>
  <c r="CH144" i="7"/>
  <c r="BZ144" i="7"/>
  <c r="CI144" i="7"/>
  <c r="BO105" i="7"/>
  <c r="BM105" i="7"/>
  <c r="BP105" i="7"/>
  <c r="BK105" i="7"/>
  <c r="BJ105" i="7"/>
  <c r="BL105" i="7"/>
  <c r="BG105" i="7"/>
  <c r="CK105" i="7" s="1"/>
  <c r="BQ105" i="7"/>
  <c r="BN105" i="7"/>
  <c r="BI105" i="7"/>
  <c r="BH105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7" i="7"/>
  <c r="BK107" i="7"/>
  <c r="BJ107" i="7"/>
  <c r="BL107" i="7"/>
  <c r="BG107" i="7"/>
  <c r="CK107" i="7" s="1"/>
  <c r="BI107" i="7"/>
  <c r="BH107" i="7"/>
  <c r="BN107" i="7"/>
  <c r="BQ107" i="7"/>
  <c r="BO107" i="7"/>
  <c r="BM107" i="7"/>
  <c r="BM49" i="7"/>
  <c r="BI49" i="7"/>
  <c r="BQ49" i="7"/>
  <c r="BJ49" i="7"/>
  <c r="BL49" i="7"/>
  <c r="BG49" i="7"/>
  <c r="CK49" i="7" s="1"/>
  <c r="BH49" i="7"/>
  <c r="BN49" i="7"/>
  <c r="BO49" i="7"/>
  <c r="BP49" i="7"/>
  <c r="BK49" i="7"/>
  <c r="BO110" i="7"/>
  <c r="BQ110" i="7"/>
  <c r="BP110" i="7"/>
  <c r="BK110" i="7"/>
  <c r="BI110" i="7"/>
  <c r="BL110" i="7"/>
  <c r="BG110" i="7"/>
  <c r="CK110" i="7" s="1"/>
  <c r="BN110" i="7"/>
  <c r="BM110" i="7"/>
  <c r="BH110" i="7"/>
  <c r="BJ110" i="7"/>
  <c r="AW196" i="7"/>
  <c r="AP196" i="7"/>
  <c r="AV196" i="7"/>
  <c r="AO196" i="7"/>
  <c r="CJ196" i="7" s="1"/>
  <c r="AT196" i="7"/>
  <c r="AR196" i="7"/>
  <c r="AU196" i="7"/>
  <c r="AS196" i="7"/>
  <c r="AY196" i="7"/>
  <c r="AQ196" i="7"/>
  <c r="AX196" i="7"/>
  <c r="AV112" i="7"/>
  <c r="AO112" i="7"/>
  <c r="CK112" i="7" s="1"/>
  <c r="AT112" i="7"/>
  <c r="AR112" i="7"/>
  <c r="AW112" i="7"/>
  <c r="AP112" i="7"/>
  <c r="AQ112" i="7"/>
  <c r="AY112" i="7"/>
  <c r="AX112" i="7"/>
  <c r="AS112" i="7"/>
  <c r="AU112" i="7"/>
  <c r="CG159" i="7"/>
  <c r="CF159" i="7"/>
  <c r="CA159" i="7"/>
  <c r="BZ159" i="7"/>
  <c r="CH159" i="7"/>
  <c r="CI159" i="7"/>
  <c r="CE159" i="7"/>
  <c r="CB159" i="7"/>
  <c r="CD159" i="7"/>
  <c r="CC159" i="7"/>
  <c r="BY159" i="7"/>
  <c r="CK159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6" i="7"/>
  <c r="AW156" i="7"/>
  <c r="AP156" i="7"/>
  <c r="AV156" i="7"/>
  <c r="AO156" i="7"/>
  <c r="CJ156" i="7" s="1"/>
  <c r="AT156" i="7"/>
  <c r="AU156" i="7"/>
  <c r="AS156" i="7"/>
  <c r="AQ156" i="7"/>
  <c r="AX156" i="7"/>
  <c r="AY156" i="7"/>
  <c r="AV74" i="7"/>
  <c r="AO74" i="7"/>
  <c r="CJ74" i="7" s="1"/>
  <c r="AW74" i="7"/>
  <c r="AT74" i="7"/>
  <c r="AR74" i="7"/>
  <c r="AS74" i="7"/>
  <c r="AY74" i="7"/>
  <c r="AX74" i="7"/>
  <c r="AP74" i="7"/>
  <c r="AU74" i="7"/>
  <c r="AQ74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8" i="7"/>
  <c r="AS98" i="7"/>
  <c r="AY98" i="7"/>
  <c r="AP98" i="7"/>
  <c r="AO98" i="7"/>
  <c r="CK98" i="7" s="1"/>
  <c r="AU98" i="7"/>
  <c r="AW98" i="7"/>
  <c r="AQ98" i="7"/>
  <c r="AR98" i="7"/>
  <c r="AX98" i="7"/>
  <c r="AV98" i="7"/>
  <c r="CF64" i="7"/>
  <c r="CB64" i="7"/>
  <c r="BZ64" i="7"/>
  <c r="CH64" i="7"/>
  <c r="CE64" i="7"/>
  <c r="CA64" i="7"/>
  <c r="CC64" i="7"/>
  <c r="CD64" i="7"/>
  <c r="BY64" i="7"/>
  <c r="CI64" i="7"/>
  <c r="CG64" i="7"/>
  <c r="AR76" i="7"/>
  <c r="AW76" i="7"/>
  <c r="AP76" i="7"/>
  <c r="AV76" i="7"/>
  <c r="AO76" i="7"/>
  <c r="CK76" i="7" s="1"/>
  <c r="AT76" i="7"/>
  <c r="AS76" i="7"/>
  <c r="AY76" i="7"/>
  <c r="AX76" i="7"/>
  <c r="AU76" i="7"/>
  <c r="AQ76" i="7"/>
  <c r="AY102" i="7"/>
  <c r="AP102" i="7"/>
  <c r="AQ102" i="7"/>
  <c r="AR102" i="7"/>
  <c r="AX102" i="7"/>
  <c r="AS102" i="7"/>
  <c r="AU102" i="7"/>
  <c r="AO102" i="7"/>
  <c r="AT102" i="7"/>
  <c r="AV102" i="7"/>
  <c r="AW102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2" i="7"/>
  <c r="BK102" i="7"/>
  <c r="BI102" i="7"/>
  <c r="BL102" i="7"/>
  <c r="BG102" i="7"/>
  <c r="BN102" i="7"/>
  <c r="BH102" i="7"/>
  <c r="BJ102" i="7"/>
  <c r="BM102" i="7"/>
  <c r="BO102" i="7"/>
  <c r="BQ102" i="7"/>
  <c r="AR64" i="7"/>
  <c r="AW64" i="7"/>
  <c r="AP64" i="7"/>
  <c r="AV64" i="7"/>
  <c r="AO64" i="7"/>
  <c r="AT64" i="7"/>
  <c r="AY64" i="7"/>
  <c r="AX64" i="7"/>
  <c r="AQ64" i="7"/>
  <c r="AU64" i="7"/>
  <c r="AS64" i="7"/>
  <c r="BY33" i="7" a="1"/>
  <c r="BY48" i="7" a="1"/>
  <c r="BL210" i="7"/>
  <c r="BG210" i="7"/>
  <c r="CK210" i="7" s="1"/>
  <c r="BN210" i="7"/>
  <c r="BH210" i="7"/>
  <c r="BJ210" i="7"/>
  <c r="BM210" i="7"/>
  <c r="BO210" i="7"/>
  <c r="BQ210" i="7"/>
  <c r="BK210" i="7"/>
  <c r="BI210" i="7"/>
  <c r="BP210" i="7"/>
  <c r="CE158" i="7"/>
  <c r="CB158" i="7"/>
  <c r="BY158" i="7"/>
  <c r="CK158" i="7" s="1"/>
  <c r="CG158" i="7"/>
  <c r="CH158" i="7"/>
  <c r="CI158" i="7"/>
  <c r="CF158" i="7"/>
  <c r="BZ158" i="7"/>
  <c r="CA158" i="7"/>
  <c r="CD158" i="7"/>
  <c r="CC158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79" i="7"/>
  <c r="CF79" i="7"/>
  <c r="CA79" i="7"/>
  <c r="CG79" i="7"/>
  <c r="CI79" i="7"/>
  <c r="CC79" i="7"/>
  <c r="BY79" i="7"/>
  <c r="CK79" i="7" s="1"/>
  <c r="CE79" i="7"/>
  <c r="BZ79" i="7"/>
  <c r="CB79" i="7"/>
  <c r="CD79" i="7"/>
  <c r="CD123" i="7"/>
  <c r="CH123" i="7"/>
  <c r="BZ123" i="7"/>
  <c r="CI123" i="7"/>
  <c r="CC123" i="7"/>
  <c r="CA123" i="7"/>
  <c r="CE123" i="7"/>
  <c r="BY123" i="7"/>
  <c r="CK123" i="7" s="1"/>
  <c r="CF123" i="7"/>
  <c r="CG123" i="7"/>
  <c r="CB123" i="7"/>
  <c r="CD101" i="7"/>
  <c r="BZ101" i="7"/>
  <c r="CH101" i="7"/>
  <c r="CC101" i="7"/>
  <c r="CA101" i="7"/>
  <c r="CI101" i="7"/>
  <c r="CB101" i="7"/>
  <c r="CF101" i="7"/>
  <c r="CE101" i="7"/>
  <c r="CG101" i="7"/>
  <c r="BY101" i="7"/>
  <c r="CK101" i="7" s="1"/>
  <c r="CF220" i="7"/>
  <c r="CB220" i="7"/>
  <c r="CA220" i="7"/>
  <c r="CG220" i="7"/>
  <c r="BY220" i="7"/>
  <c r="CK220" i="7" s="1"/>
  <c r="CE220" i="7"/>
  <c r="BZ220" i="7"/>
  <c r="CH220" i="7"/>
  <c r="CI220" i="7"/>
  <c r="CD220" i="7"/>
  <c r="CC220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6" i="7"/>
  <c r="CI116" i="7"/>
  <c r="CH116" i="7"/>
  <c r="CC116" i="7"/>
  <c r="CA116" i="7"/>
  <c r="CG116" i="7"/>
  <c r="BY116" i="7"/>
  <c r="CK116" i="7" s="1"/>
  <c r="CE116" i="7"/>
  <c r="CB116" i="7"/>
  <c r="CF116" i="7"/>
  <c r="BZ116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7" i="7"/>
  <c r="CF67" i="7"/>
  <c r="CA67" i="7"/>
  <c r="CD67" i="7"/>
  <c r="BZ67" i="7"/>
  <c r="CG67" i="7"/>
  <c r="CI67" i="7"/>
  <c r="CB67" i="7"/>
  <c r="CC67" i="7"/>
  <c r="BY67" i="7"/>
  <c r="CK67" i="7" s="1"/>
  <c r="CE67" i="7"/>
  <c r="CF68" i="7"/>
  <c r="BZ68" i="7"/>
  <c r="CH68" i="7"/>
  <c r="CE68" i="7"/>
  <c r="CB68" i="7"/>
  <c r="BY68" i="7"/>
  <c r="CK68" i="7" s="1"/>
  <c r="CG68" i="7"/>
  <c r="CI68" i="7"/>
  <c r="CA68" i="7"/>
  <c r="CD68" i="7"/>
  <c r="CC68" i="7"/>
  <c r="CF184" i="7"/>
  <c r="CB184" i="7"/>
  <c r="BY184" i="7"/>
  <c r="CK184" i="7" s="1"/>
  <c r="CG184" i="7"/>
  <c r="CE184" i="7"/>
  <c r="BZ184" i="7"/>
  <c r="CH184" i="7"/>
  <c r="CI184" i="7"/>
  <c r="CD184" i="7"/>
  <c r="CC184" i="7"/>
  <c r="CA184" i="7"/>
  <c r="CF202" i="7"/>
  <c r="BY202" i="7"/>
  <c r="CK202" i="7" s="1"/>
  <c r="CE202" i="7"/>
  <c r="CB202" i="7"/>
  <c r="CA202" i="7"/>
  <c r="CG202" i="7"/>
  <c r="CH202" i="7"/>
  <c r="CI202" i="7"/>
  <c r="BZ202" i="7"/>
  <c r="CC202" i="7"/>
  <c r="CD202" i="7"/>
  <c r="CD114" i="7"/>
  <c r="CI114" i="7"/>
  <c r="CC114" i="7"/>
  <c r="CA114" i="7"/>
  <c r="CH114" i="7"/>
  <c r="CG114" i="7"/>
  <c r="BY114" i="7"/>
  <c r="CK114" i="7" s="1"/>
  <c r="CE114" i="7"/>
  <c r="BZ114" i="7"/>
  <c r="CB114" i="7"/>
  <c r="CF114" i="7"/>
  <c r="CD122" i="7"/>
  <c r="CG122" i="7"/>
  <c r="CE122" i="7"/>
  <c r="CB122" i="7"/>
  <c r="BY122" i="7"/>
  <c r="CK122" i="7" s="1"/>
  <c r="CF122" i="7"/>
  <c r="CH122" i="7"/>
  <c r="CC122" i="7"/>
  <c r="CI122" i="7"/>
  <c r="CA122" i="7"/>
  <c r="BZ122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69" i="7"/>
  <c r="BY69" i="7"/>
  <c r="CK69" i="7" s="1"/>
  <c r="CA69" i="7"/>
  <c r="CH69" i="7"/>
  <c r="CE69" i="7"/>
  <c r="CG69" i="7"/>
  <c r="CB69" i="7"/>
  <c r="BZ69" i="7"/>
  <c r="CD69" i="7"/>
  <c r="CC69" i="7"/>
  <c r="CF69" i="7"/>
  <c r="BY174" i="7"/>
  <c r="CK174" i="7" s="1"/>
  <c r="CG174" i="7"/>
  <c r="CE174" i="7"/>
  <c r="CB174" i="7"/>
  <c r="CH174" i="7"/>
  <c r="CI174" i="7"/>
  <c r="BZ174" i="7"/>
  <c r="CA174" i="7"/>
  <c r="CF174" i="7"/>
  <c r="CD174" i="7"/>
  <c r="CC174" i="7"/>
  <c r="CI145" i="7"/>
  <c r="CC145" i="7"/>
  <c r="CG145" i="7"/>
  <c r="CE145" i="7"/>
  <c r="CD145" i="7"/>
  <c r="CF145" i="7"/>
  <c r="CB145" i="7"/>
  <c r="CA145" i="7"/>
  <c r="CH145" i="7"/>
  <c r="BY145" i="7"/>
  <c r="CK145" i="7" s="1"/>
  <c r="BZ145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2" i="7"/>
  <c r="CE152" i="7"/>
  <c r="CB152" i="7"/>
  <c r="CA152" i="7"/>
  <c r="CG152" i="7"/>
  <c r="BY152" i="7"/>
  <c r="CK152" i="7" s="1"/>
  <c r="CC152" i="7"/>
  <c r="CD152" i="7"/>
  <c r="CI152" i="7"/>
  <c r="BZ152" i="7"/>
  <c r="CH152" i="7"/>
  <c r="CE166" i="7"/>
  <c r="CB166" i="7"/>
  <c r="CA166" i="7"/>
  <c r="CG166" i="7"/>
  <c r="BY166" i="7"/>
  <c r="CK166" i="7" s="1"/>
  <c r="CH166" i="7"/>
  <c r="CI166" i="7"/>
  <c r="BZ166" i="7"/>
  <c r="CD166" i="7"/>
  <c r="CC166" i="7"/>
  <c r="CF166" i="7"/>
  <c r="CF180" i="7"/>
  <c r="BY180" i="7"/>
  <c r="CK180" i="7" s="1"/>
  <c r="CG180" i="7"/>
  <c r="CE180" i="7"/>
  <c r="CB180" i="7"/>
  <c r="CA180" i="7"/>
  <c r="BZ180" i="7"/>
  <c r="CH180" i="7"/>
  <c r="CI180" i="7"/>
  <c r="CD180" i="7"/>
  <c r="CC180" i="7"/>
  <c r="CG203" i="7"/>
  <c r="CF203" i="7"/>
  <c r="CA203" i="7"/>
  <c r="CC203" i="7"/>
  <c r="CD203" i="7"/>
  <c r="BY203" i="7"/>
  <c r="CK203" i="7" s="1"/>
  <c r="CB203" i="7"/>
  <c r="CH203" i="7"/>
  <c r="BZ203" i="7"/>
  <c r="CE203" i="7"/>
  <c r="CI203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7" i="7"/>
  <c r="CD77" i="7"/>
  <c r="CC77" i="7"/>
  <c r="CF77" i="7"/>
  <c r="BY77" i="7"/>
  <c r="CK77" i="7" s="1"/>
  <c r="CA77" i="7"/>
  <c r="CH77" i="7"/>
  <c r="CE77" i="7"/>
  <c r="CB77" i="7"/>
  <c r="BZ77" i="7"/>
  <c r="CG77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5" i="7"/>
  <c r="CI185" i="7"/>
  <c r="CG185" i="7"/>
  <c r="CE185" i="7"/>
  <c r="CD185" i="7"/>
  <c r="CF185" i="7"/>
  <c r="CH185" i="7"/>
  <c r="BY185" i="7"/>
  <c r="CK185" i="7" s="1"/>
  <c r="BZ185" i="7"/>
  <c r="CA185" i="7"/>
  <c r="CB185" i="7"/>
  <c r="CH91" i="7"/>
  <c r="BY91" i="7"/>
  <c r="CK91" i="7" s="1"/>
  <c r="CD91" i="7"/>
  <c r="CI91" i="7"/>
  <c r="CF91" i="7"/>
  <c r="CG91" i="7"/>
  <c r="CE91" i="7"/>
  <c r="CB91" i="7"/>
  <c r="CA91" i="7"/>
  <c r="BZ91" i="7"/>
  <c r="CC91" i="7"/>
  <c r="CG183" i="7"/>
  <c r="CA183" i="7"/>
  <c r="CF183" i="7"/>
  <c r="CH183" i="7"/>
  <c r="CI183" i="7"/>
  <c r="BY183" i="7"/>
  <c r="CK183" i="7" s="1"/>
  <c r="CB183" i="7"/>
  <c r="BZ183" i="7"/>
  <c r="CD183" i="7"/>
  <c r="CE183" i="7"/>
  <c r="CC183" i="7"/>
  <c r="CD115" i="7"/>
  <c r="CH115" i="7"/>
  <c r="BZ115" i="7"/>
  <c r="CB115" i="7"/>
  <c r="BY115" i="7"/>
  <c r="CK115" i="7" s="1"/>
  <c r="CF115" i="7"/>
  <c r="CG115" i="7"/>
  <c r="CE115" i="7"/>
  <c r="CI115" i="7"/>
  <c r="CC115" i="7"/>
  <c r="CA115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8" i="7"/>
  <c r="BZ58" i="7"/>
  <c r="CE58" i="7"/>
  <c r="CB58" i="7"/>
  <c r="CH58" i="7"/>
  <c r="CA58" i="7"/>
  <c r="CC58" i="7"/>
  <c r="BY58" i="7"/>
  <c r="CK58" i="7" s="1"/>
  <c r="CD58" i="7"/>
  <c r="CI58" i="7"/>
  <c r="CG58" i="7"/>
  <c r="CR242" i="7"/>
  <c r="CS168" i="7"/>
  <c r="CN214" i="7"/>
  <c r="CP230" i="7"/>
  <c r="CN230" i="7"/>
  <c r="CQ289" i="7"/>
  <c r="CR289" i="7"/>
  <c r="CQ305" i="7"/>
  <c r="CK50" i="7"/>
  <c r="CK157" i="7"/>
  <c r="CK109" i="7"/>
  <c r="CK108" i="7"/>
  <c r="CV300" i="7"/>
  <c r="CK216" i="7"/>
  <c r="CQ216" i="7" s="1"/>
  <c r="CK63" i="7"/>
  <c r="CK221" i="7"/>
  <c r="CS221" i="7" s="1"/>
  <c r="CK62" i="7"/>
  <c r="CQ310" i="7"/>
  <c r="CK222" i="7"/>
  <c r="CK51" i="7"/>
  <c r="CK87" i="7"/>
  <c r="CK153" i="7"/>
  <c r="CO153" i="7" s="1"/>
  <c r="CQ14" i="7" l="1"/>
  <c r="Q22" i="6"/>
  <c r="S22" i="6" s="1"/>
  <c r="R22" i="6"/>
  <c r="P23" i="6"/>
  <c r="CM253" i="7"/>
  <c r="CN177" i="7"/>
  <c r="CR253" i="7"/>
  <c r="CL230" i="7"/>
  <c r="CN206" i="7"/>
  <c r="CO297" i="7"/>
  <c r="CN308" i="7"/>
  <c r="CM280" i="7"/>
  <c r="CN81" i="7"/>
  <c r="CR97" i="7"/>
  <c r="CO309" i="7"/>
  <c r="CP236" i="7"/>
  <c r="CM205" i="7"/>
  <c r="CS44" i="7"/>
  <c r="CL246" i="7"/>
  <c r="CQ244" i="7"/>
  <c r="CL55" i="7"/>
  <c r="CQ238" i="7"/>
  <c r="CS182" i="7"/>
  <c r="CN310" i="7"/>
  <c r="CP66" i="7"/>
  <c r="CN253" i="7"/>
  <c r="CO211" i="7"/>
  <c r="CP30" i="7"/>
  <c r="CP266" i="7"/>
  <c r="CR248" i="7"/>
  <c r="CR47" i="7"/>
  <c r="CO6" i="7"/>
  <c r="CO168" i="7"/>
  <c r="CR304" i="7"/>
  <c r="CL150" i="7"/>
  <c r="CO90" i="7"/>
  <c r="CQ256" i="7"/>
  <c r="CP134" i="7"/>
  <c r="CM82" i="7"/>
  <c r="CR6" i="7"/>
  <c r="CM95" i="7"/>
  <c r="CO280" i="7"/>
  <c r="CQ47" i="7"/>
  <c r="CS238" i="7"/>
  <c r="CN280" i="7"/>
  <c r="CT280" i="7" s="1"/>
  <c r="CQ73" i="7"/>
  <c r="CR229" i="7"/>
  <c r="CP222" i="7"/>
  <c r="CP147" i="7"/>
  <c r="CM167" i="7"/>
  <c r="CN271" i="7"/>
  <c r="CP132" i="7"/>
  <c r="CL66" i="7"/>
  <c r="CS205" i="7"/>
  <c r="CO310" i="7"/>
  <c r="CQ55" i="7"/>
  <c r="CM240" i="7"/>
  <c r="CN246" i="7"/>
  <c r="CL289" i="7"/>
  <c r="CN89" i="7"/>
  <c r="CL294" i="7"/>
  <c r="CN244" i="7"/>
  <c r="CL273" i="7"/>
  <c r="CP108" i="7"/>
  <c r="CO314" i="7"/>
  <c r="CO253" i="7"/>
  <c r="CT253" i="7" s="1"/>
  <c r="CP280" i="7"/>
  <c r="CS134" i="7"/>
  <c r="CP314" i="7"/>
  <c r="CP201" i="7"/>
  <c r="CR143" i="7"/>
  <c r="CQ225" i="7"/>
  <c r="CO7" i="7"/>
  <c r="CO257" i="7"/>
  <c r="CR41" i="7"/>
  <c r="CN46" i="7"/>
  <c r="CM268" i="7"/>
  <c r="CQ141" i="7"/>
  <c r="CQ253" i="7"/>
  <c r="CS213" i="7"/>
  <c r="CL305" i="7"/>
  <c r="CM83" i="7"/>
  <c r="CS280" i="7"/>
  <c r="CM20" i="7"/>
  <c r="CR230" i="7"/>
  <c r="CR236" i="7"/>
  <c r="CP95" i="7"/>
  <c r="CP257" i="7"/>
  <c r="CS310" i="7"/>
  <c r="CP253" i="7"/>
  <c r="CL205" i="7"/>
  <c r="CM289" i="7"/>
  <c r="CN289" i="7"/>
  <c r="CQ230" i="7"/>
  <c r="CU230" i="7" s="1"/>
  <c r="CS230" i="7"/>
  <c r="CS253" i="7"/>
  <c r="CV253" i="7" s="1"/>
  <c r="CQ280" i="7"/>
  <c r="CL280" i="7"/>
  <c r="CQ82" i="7"/>
  <c r="CL213" i="7"/>
  <c r="CS57" i="7"/>
  <c r="CO221" i="7"/>
  <c r="CP310" i="7"/>
  <c r="CU310" i="7" s="1"/>
  <c r="CR205" i="7"/>
  <c r="CV205" i="7" s="1"/>
  <c r="CP289" i="7"/>
  <c r="CU289" i="7" s="1"/>
  <c r="CS289" i="7"/>
  <c r="CV289" i="7" s="1"/>
  <c r="CR89" i="7"/>
  <c r="CM274" i="7"/>
  <c r="CN283" i="7"/>
  <c r="CS21" i="7"/>
  <c r="CL240" i="7"/>
  <c r="CL253" i="7"/>
  <c r="CM218" i="7"/>
  <c r="CJ279" i="7"/>
  <c r="CN279" i="7" s="1"/>
  <c r="CL51" i="7"/>
  <c r="CS236" i="7"/>
  <c r="CQ213" i="7"/>
  <c r="CS157" i="7"/>
  <c r="CL314" i="7"/>
  <c r="CO289" i="7"/>
  <c r="CM230" i="7"/>
  <c r="CR280" i="7"/>
  <c r="CN233" i="7"/>
  <c r="CP39" i="7"/>
  <c r="CL13" i="7"/>
  <c r="CM44" i="7"/>
  <c r="CP238" i="7"/>
  <c r="CU238" i="7" s="1"/>
  <c r="CS214" i="7"/>
  <c r="CM6" i="7"/>
  <c r="CR168" i="7"/>
  <c r="CV168" i="7" s="1"/>
  <c r="CS30" i="7"/>
  <c r="CN61" i="7"/>
  <c r="CM168" i="7"/>
  <c r="CN168" i="7"/>
  <c r="CT168" i="7" s="1"/>
  <c r="CL168" i="7"/>
  <c r="CL6" i="7"/>
  <c r="CQ6" i="7"/>
  <c r="CL194" i="7"/>
  <c r="CQ132" i="7"/>
  <c r="CQ168" i="7"/>
  <c r="CS6" i="7"/>
  <c r="CN6" i="7"/>
  <c r="CR87" i="7"/>
  <c r="CP168" i="7"/>
  <c r="CP6" i="7"/>
  <c r="CU6" i="7" s="1"/>
  <c r="CQ66" i="7"/>
  <c r="CO32" i="7"/>
  <c r="CR12" i="7"/>
  <c r="CR56" i="7"/>
  <c r="CP188" i="7"/>
  <c r="CN60" i="7"/>
  <c r="CR61" i="7"/>
  <c r="CN52" i="7"/>
  <c r="CO190" i="7"/>
  <c r="CP133" i="7"/>
  <c r="CS165" i="7"/>
  <c r="CQ187" i="7"/>
  <c r="CQ30" i="7"/>
  <c r="CS20" i="7"/>
  <c r="CR95" i="7"/>
  <c r="CP21" i="7"/>
  <c r="CL21" i="7"/>
  <c r="CQ71" i="7"/>
  <c r="CM90" i="7"/>
  <c r="CQ89" i="7"/>
  <c r="CO83" i="7"/>
  <c r="CN30" i="7"/>
  <c r="CM30" i="7"/>
  <c r="CL165" i="7"/>
  <c r="CO61" i="7"/>
  <c r="CL47" i="7"/>
  <c r="CP20" i="7"/>
  <c r="CO82" i="7"/>
  <c r="CP161" i="7"/>
  <c r="CM170" i="7"/>
  <c r="CM187" i="7"/>
  <c r="CS81" i="7"/>
  <c r="CL30" i="7"/>
  <c r="CM142" i="7"/>
  <c r="CQ133" i="7"/>
  <c r="CO20" i="7"/>
  <c r="CO21" i="7"/>
  <c r="CT21" i="7" s="1"/>
  <c r="CQ21" i="7"/>
  <c r="CO30" i="7"/>
  <c r="CN47" i="7"/>
  <c r="CP194" i="7"/>
  <c r="CR30" i="7"/>
  <c r="CV30" i="7" s="1"/>
  <c r="CO47" i="7"/>
  <c r="CP154" i="7"/>
  <c r="CM34" i="7"/>
  <c r="CN113" i="7"/>
  <c r="CS59" i="7"/>
  <c r="CP130" i="7"/>
  <c r="CL72" i="7"/>
  <c r="CP34" i="7"/>
  <c r="CR14" i="7"/>
  <c r="CS16" i="7"/>
  <c r="CN95" i="7"/>
  <c r="CO95" i="7"/>
  <c r="CL14" i="7"/>
  <c r="CM89" i="7"/>
  <c r="CO89" i="7"/>
  <c r="CR55" i="7"/>
  <c r="CQ95" i="7"/>
  <c r="CL95" i="7"/>
  <c r="CQ97" i="7"/>
  <c r="CS14" i="7"/>
  <c r="CL89" i="7"/>
  <c r="CS89" i="7"/>
  <c r="CS95" i="7"/>
  <c r="CP72" i="7"/>
  <c r="CL34" i="7"/>
  <c r="CO14" i="7"/>
  <c r="CR62" i="7"/>
  <c r="CO194" i="7"/>
  <c r="CP89" i="7"/>
  <c r="CN56" i="7"/>
  <c r="CQ108" i="7"/>
  <c r="CQ197" i="7"/>
  <c r="CO155" i="7"/>
  <c r="CQ46" i="7"/>
  <c r="CP111" i="7"/>
  <c r="CS113" i="7"/>
  <c r="CL75" i="7"/>
  <c r="CO108" i="7"/>
  <c r="CM72" i="7"/>
  <c r="CO72" i="7"/>
  <c r="CS34" i="7"/>
  <c r="CO34" i="7"/>
  <c r="CS46" i="7"/>
  <c r="CM113" i="7"/>
  <c r="CP75" i="7"/>
  <c r="CS10" i="7"/>
  <c r="CS111" i="7"/>
  <c r="CL19" i="7"/>
  <c r="CQ59" i="7"/>
  <c r="CQ34" i="7"/>
  <c r="CR34" i="7"/>
  <c r="CQ155" i="7"/>
  <c r="CM55" i="7"/>
  <c r="CP46" i="7"/>
  <c r="CU46" i="7" s="1"/>
  <c r="CP55" i="7"/>
  <c r="CL148" i="7"/>
  <c r="CP18" i="7"/>
  <c r="CR108" i="7"/>
  <c r="CR72" i="7"/>
  <c r="CV72" i="7" s="1"/>
  <c r="CN72" i="7"/>
  <c r="CT72" i="7" s="1"/>
  <c r="CN34" i="7"/>
  <c r="CR57" i="7"/>
  <c r="CV57" i="7" s="1"/>
  <c r="CL46" i="7"/>
  <c r="CM46" i="7"/>
  <c r="CN108" i="7"/>
  <c r="CQ72" i="7"/>
  <c r="CQ57" i="7"/>
  <c r="CR46" i="7"/>
  <c r="CM63" i="7"/>
  <c r="CN75" i="7"/>
  <c r="CN43" i="7"/>
  <c r="CO55" i="7"/>
  <c r="CM108" i="7"/>
  <c r="CL108" i="7"/>
  <c r="CJ23" i="7"/>
  <c r="CP14" i="7"/>
  <c r="CU14" i="7" s="1"/>
  <c r="CM14" i="7"/>
  <c r="CN14" i="7"/>
  <c r="CT14" i="7" s="1"/>
  <c r="CL59" i="7"/>
  <c r="CL4" i="7"/>
  <c r="CM157" i="7"/>
  <c r="CO271" i="7"/>
  <c r="CO39" i="7"/>
  <c r="CR27" i="7"/>
  <c r="CQ111" i="7"/>
  <c r="CM10" i="7"/>
  <c r="CO240" i="7"/>
  <c r="CP138" i="7"/>
  <c r="CO19" i="7"/>
  <c r="CN266" i="7"/>
  <c r="CN157" i="7"/>
  <c r="CO157" i="7"/>
  <c r="CN154" i="7"/>
  <c r="CL157" i="7"/>
  <c r="CQ165" i="7"/>
  <c r="CJ64" i="7"/>
  <c r="CO60" i="7"/>
  <c r="CL282" i="7"/>
  <c r="CK35" i="7"/>
  <c r="CS35" i="7" s="1"/>
  <c r="CJ261" i="7"/>
  <c r="CL261" i="7" s="1"/>
  <c r="CJ101" i="7"/>
  <c r="CN101" i="7" s="1"/>
  <c r="CJ185" i="7"/>
  <c r="CS185" i="7" s="1"/>
  <c r="CK74" i="7"/>
  <c r="CR74" i="7" s="1"/>
  <c r="CK31" i="7"/>
  <c r="CM31" i="7" s="1"/>
  <c r="CJ220" i="7"/>
  <c r="CO220" i="7" s="1"/>
  <c r="CJ258" i="7"/>
  <c r="CP258" i="7" s="1"/>
  <c r="CJ69" i="7"/>
  <c r="CR69" i="7" s="1"/>
  <c r="CJ202" i="7"/>
  <c r="CS202" i="7" s="1"/>
  <c r="CJ174" i="7"/>
  <c r="CM174" i="7" s="1"/>
  <c r="CJ107" i="7"/>
  <c r="CR107" i="7" s="1"/>
  <c r="CJ98" i="7"/>
  <c r="CS98" i="7" s="1"/>
  <c r="CJ8" i="7"/>
  <c r="CO8" i="7" s="1"/>
  <c r="CJ286" i="7"/>
  <c r="CS286" i="7" s="1"/>
  <c r="CJ144" i="7"/>
  <c r="CQ144" i="7" s="1"/>
  <c r="CJ260" i="7"/>
  <c r="CJ116" i="7"/>
  <c r="CM116" i="7" s="1"/>
  <c r="CK156" i="7"/>
  <c r="CM156" i="7" s="1"/>
  <c r="CJ293" i="7"/>
  <c r="CR293" i="7" s="1"/>
  <c r="CJ224" i="7"/>
  <c r="CQ224" i="7" s="1"/>
  <c r="CK196" i="7"/>
  <c r="CL196" i="7" s="1"/>
  <c r="CJ114" i="7"/>
  <c r="CO114" i="7" s="1"/>
  <c r="CJ307" i="7"/>
  <c r="CN307" i="7" s="1"/>
  <c r="CJ67" i="7"/>
  <c r="CM67" i="7" s="1"/>
  <c r="CJ76" i="7"/>
  <c r="CP76" i="7" s="1"/>
  <c r="CJ210" i="7"/>
  <c r="CL210" i="7" s="1"/>
  <c r="CJ235" i="7"/>
  <c r="CL235" i="7" s="1"/>
  <c r="CJ85" i="7"/>
  <c r="CQ85" i="7" s="1"/>
  <c r="CJ110" i="7"/>
  <c r="CN110" i="7" s="1"/>
  <c r="CJ77" i="7"/>
  <c r="CM77" i="7" s="1"/>
  <c r="CJ122" i="7"/>
  <c r="CO122" i="7" s="1"/>
  <c r="CJ91" i="7"/>
  <c r="CP91" i="7" s="1"/>
  <c r="CJ104" i="7"/>
  <c r="CQ104" i="7" s="1"/>
  <c r="CJ234" i="7"/>
  <c r="CK23" i="7"/>
  <c r="CJ159" i="7"/>
  <c r="CN159" i="7" s="1"/>
  <c r="CJ152" i="7"/>
  <c r="CP152" i="7" s="1"/>
  <c r="CJ145" i="7"/>
  <c r="CQ145" i="7" s="1"/>
  <c r="CJ231" i="7"/>
  <c r="CS231" i="7" s="1"/>
  <c r="CJ58" i="7"/>
  <c r="CR58" i="7" s="1"/>
  <c r="CJ276" i="7"/>
  <c r="CQ276" i="7" s="1"/>
  <c r="CK24" i="7"/>
  <c r="CO24" i="7" s="1"/>
  <c r="CJ166" i="7"/>
  <c r="CO166" i="7" s="1"/>
  <c r="CJ158" i="7"/>
  <c r="CL158" i="7" s="1"/>
  <c r="CJ79" i="7"/>
  <c r="CN79" i="7" s="1"/>
  <c r="CJ127" i="7"/>
  <c r="CS127" i="7" s="1"/>
  <c r="CJ115" i="7"/>
  <c r="CS115" i="7" s="1"/>
  <c r="CJ249" i="7"/>
  <c r="CQ249" i="7" s="1"/>
  <c r="CJ123" i="7"/>
  <c r="CM123" i="7" s="1"/>
  <c r="CJ180" i="7"/>
  <c r="CM180" i="7" s="1"/>
  <c r="CJ285" i="7"/>
  <c r="CO285" i="7" s="1"/>
  <c r="CJ68" i="7"/>
  <c r="CL68" i="7" s="1"/>
  <c r="CJ183" i="7"/>
  <c r="CM183" i="7" s="1"/>
  <c r="CJ203" i="7"/>
  <c r="CO203" i="7" s="1"/>
  <c r="CJ184" i="7"/>
  <c r="CR184" i="7" s="1"/>
  <c r="CJ49" i="7"/>
  <c r="CO49" i="7" s="1"/>
  <c r="CJ112" i="7"/>
  <c r="CR112" i="7" s="1"/>
  <c r="CJ239" i="7"/>
  <c r="CQ239" i="7" s="1"/>
  <c r="CJ99" i="7"/>
  <c r="CS99" i="7" s="1"/>
  <c r="CJ250" i="7"/>
  <c r="CL250" i="7" s="1"/>
  <c r="CJ227" i="7"/>
  <c r="CR227" i="7" s="1"/>
  <c r="CJ291" i="7"/>
  <c r="CM291" i="7" s="1"/>
  <c r="CN96" i="7"/>
  <c r="CP298" i="7"/>
  <c r="CR306" i="7"/>
  <c r="CL135" i="7"/>
  <c r="CP150" i="7"/>
  <c r="CL312" i="7"/>
  <c r="CR126" i="7"/>
  <c r="CN197" i="7"/>
  <c r="CR246" i="7"/>
  <c r="CS130" i="7"/>
  <c r="CL12" i="7"/>
  <c r="CS39" i="7"/>
  <c r="CO238" i="7"/>
  <c r="CM238" i="7"/>
  <c r="CN130" i="7"/>
  <c r="CN111" i="7"/>
  <c r="CM111" i="7"/>
  <c r="CQ170" i="7"/>
  <c r="CR66" i="7"/>
  <c r="CS66" i="7"/>
  <c r="CM194" i="7"/>
  <c r="CN194" i="7"/>
  <c r="CN83" i="7"/>
  <c r="CL266" i="7"/>
  <c r="CM305" i="7"/>
  <c r="CQ233" i="7"/>
  <c r="CS246" i="7"/>
  <c r="CQ246" i="7"/>
  <c r="CM199" i="7"/>
  <c r="CR177" i="7"/>
  <c r="CP301" i="7"/>
  <c r="CN44" i="7"/>
  <c r="CO44" i="7"/>
  <c r="CQ44" i="7"/>
  <c r="CL221" i="7"/>
  <c r="CO71" i="7"/>
  <c r="CS265" i="7"/>
  <c r="CR238" i="7"/>
  <c r="CN238" i="7"/>
  <c r="CM130" i="7"/>
  <c r="CL111" i="7"/>
  <c r="CR111" i="7"/>
  <c r="CQ271" i="7"/>
  <c r="CR170" i="7"/>
  <c r="CR132" i="7"/>
  <c r="CM66" i="7"/>
  <c r="CN66" i="7"/>
  <c r="CR194" i="7"/>
  <c r="CN312" i="7"/>
  <c r="CL197" i="7"/>
  <c r="CL83" i="7"/>
  <c r="CN167" i="7"/>
  <c r="CP126" i="7"/>
  <c r="CP305" i="7"/>
  <c r="CU305" i="7" s="1"/>
  <c r="CO246" i="7"/>
  <c r="CM246" i="7"/>
  <c r="CO262" i="7"/>
  <c r="CQ257" i="7"/>
  <c r="CM81" i="7"/>
  <c r="CR44" i="7"/>
  <c r="CV44" i="7" s="1"/>
  <c r="CL265" i="7"/>
  <c r="CL238" i="7"/>
  <c r="CO111" i="7"/>
  <c r="CP271" i="7"/>
  <c r="CS170" i="7"/>
  <c r="CO66" i="7"/>
  <c r="CS194" i="7"/>
  <c r="CM266" i="7"/>
  <c r="CL214" i="7"/>
  <c r="CP246" i="7"/>
  <c r="CR283" i="7"/>
  <c r="CO93" i="7"/>
  <c r="CL204" i="7"/>
  <c r="CP17" i="7"/>
  <c r="CR190" i="7"/>
  <c r="CN240" i="7"/>
  <c r="CS240" i="7"/>
  <c r="CO57" i="7"/>
  <c r="CL57" i="7"/>
  <c r="CL27" i="7"/>
  <c r="CM133" i="7"/>
  <c r="CN190" i="7"/>
  <c r="CM134" i="7"/>
  <c r="CM154" i="7"/>
  <c r="CS142" i="7"/>
  <c r="CS187" i="7"/>
  <c r="CR155" i="7"/>
  <c r="CO245" i="7"/>
  <c r="CQ42" i="7"/>
  <c r="CS78" i="7"/>
  <c r="CP59" i="7"/>
  <c r="CR54" i="7"/>
  <c r="CM59" i="7"/>
  <c r="CS15" i="7"/>
  <c r="CN223" i="7"/>
  <c r="CQ273" i="7"/>
  <c r="CP16" i="7"/>
  <c r="CP240" i="7"/>
  <c r="CQ240" i="7"/>
  <c r="CM57" i="7"/>
  <c r="CN57" i="7"/>
  <c r="CQ301" i="7"/>
  <c r="CL133" i="7"/>
  <c r="CP190" i="7"/>
  <c r="CQ142" i="7"/>
  <c r="CO177" i="7"/>
  <c r="CT177" i="7" s="1"/>
  <c r="CO187" i="7"/>
  <c r="CL155" i="7"/>
  <c r="CM200" i="7"/>
  <c r="CQ312" i="7"/>
  <c r="CL270" i="7"/>
  <c r="CL26" i="7"/>
  <c r="CN59" i="7"/>
  <c r="CO197" i="7"/>
  <c r="CR59" i="7"/>
  <c r="CN172" i="7"/>
  <c r="CO176" i="7"/>
  <c r="CN195" i="7"/>
  <c r="CR240" i="7"/>
  <c r="CP57" i="7"/>
  <c r="CN27" i="7"/>
  <c r="CQ154" i="7"/>
  <c r="CO142" i="7"/>
  <c r="CQ177" i="7"/>
  <c r="CP199" i="7"/>
  <c r="CO59" i="7"/>
  <c r="CM173" i="7"/>
  <c r="CQ173" i="7"/>
  <c r="CQ311" i="7"/>
  <c r="CR311" i="7"/>
  <c r="CM313" i="7"/>
  <c r="CL313" i="7"/>
  <c r="CL41" i="7"/>
  <c r="CQ41" i="7"/>
  <c r="CP100" i="7"/>
  <c r="CQ100" i="7"/>
  <c r="CM150" i="7"/>
  <c r="CM295" i="7"/>
  <c r="CN295" i="7"/>
  <c r="CS295" i="7"/>
  <c r="CP263" i="7"/>
  <c r="CS209" i="7"/>
  <c r="CP209" i="7"/>
  <c r="CL209" i="7"/>
  <c r="CR305" i="7"/>
  <c r="CS305" i="7"/>
  <c r="CO305" i="7"/>
  <c r="CN305" i="7"/>
  <c r="CP83" i="7"/>
  <c r="CS83" i="7"/>
  <c r="CR83" i="7"/>
  <c r="CQ83" i="7"/>
  <c r="CR197" i="7"/>
  <c r="CM197" i="7"/>
  <c r="CS197" i="7"/>
  <c r="CP197" i="7"/>
  <c r="CL255" i="7"/>
  <c r="CP255" i="7"/>
  <c r="CS191" i="7"/>
  <c r="CQ191" i="7"/>
  <c r="CL181" i="7"/>
  <c r="CP181" i="7"/>
  <c r="CS179" i="7"/>
  <c r="CM179" i="7"/>
  <c r="CL71" i="7"/>
  <c r="CM71" i="7"/>
  <c r="CN71" i="7"/>
  <c r="CQ56" i="7"/>
  <c r="CS56" i="7"/>
  <c r="CM132" i="7"/>
  <c r="CO132" i="7"/>
  <c r="CS132" i="7"/>
  <c r="CN132" i="7"/>
  <c r="CR113" i="7"/>
  <c r="CO113" i="7"/>
  <c r="CQ113" i="7"/>
  <c r="CP113" i="7"/>
  <c r="CR188" i="7"/>
  <c r="CM188" i="7"/>
  <c r="CM4" i="7"/>
  <c r="CR4" i="7"/>
  <c r="CP205" i="7"/>
  <c r="CQ205" i="7"/>
  <c r="CN205" i="7"/>
  <c r="CS241" i="7"/>
  <c r="CO241" i="7"/>
  <c r="CR310" i="7"/>
  <c r="CM310" i="7"/>
  <c r="CL310" i="7"/>
  <c r="CL130" i="7"/>
  <c r="CQ130" i="7"/>
  <c r="CR130" i="7"/>
  <c r="CO130" i="7"/>
  <c r="CM165" i="7"/>
  <c r="CP165" i="7"/>
  <c r="CM171" i="7"/>
  <c r="CL171" i="7"/>
  <c r="CN19" i="7"/>
  <c r="CS19" i="7"/>
  <c r="CS190" i="7"/>
  <c r="CQ190" i="7"/>
  <c r="CM190" i="7"/>
  <c r="CL190" i="7"/>
  <c r="CP44" i="7"/>
  <c r="CL44" i="7"/>
  <c r="CS314" i="7"/>
  <c r="CN314" i="7"/>
  <c r="CT314" i="7" s="1"/>
  <c r="CR314" i="7"/>
  <c r="CQ314" i="7"/>
  <c r="CU314" i="7" s="1"/>
  <c r="CR21" i="7"/>
  <c r="CM21" i="7"/>
  <c r="CR157" i="7"/>
  <c r="CP157" i="7"/>
  <c r="CO29" i="7"/>
  <c r="CN29" i="7"/>
  <c r="CN211" i="7"/>
  <c r="CP211" i="7"/>
  <c r="CM294" i="7"/>
  <c r="CQ294" i="7"/>
  <c r="CR73" i="7"/>
  <c r="CO73" i="7"/>
  <c r="CQ70" i="7"/>
  <c r="CP70" i="7"/>
  <c r="CQ157" i="7"/>
  <c r="CS71" i="7"/>
  <c r="CV71" i="7" s="1"/>
  <c r="CP71" i="7"/>
  <c r="CL200" i="7"/>
  <c r="CL113" i="7"/>
  <c r="CL132" i="7"/>
  <c r="CQ147" i="7"/>
  <c r="CO188" i="7"/>
  <c r="CQ93" i="7"/>
  <c r="CS108" i="7"/>
  <c r="CQ194" i="7"/>
  <c r="CR252" i="7"/>
  <c r="CS41" i="7"/>
  <c r="CR39" i="7"/>
  <c r="CN39" i="7"/>
  <c r="CL29" i="7"/>
  <c r="CM29" i="7"/>
  <c r="CP73" i="7"/>
  <c r="CL81" i="7"/>
  <c r="CS294" i="7"/>
  <c r="CL211" i="7"/>
  <c r="CS211" i="7"/>
  <c r="CN236" i="7"/>
  <c r="CM236" i="7"/>
  <c r="CN265" i="7"/>
  <c r="CS150" i="7"/>
  <c r="CO150" i="7"/>
  <c r="CP312" i="7"/>
  <c r="CR312" i="7"/>
  <c r="CS100" i="7"/>
  <c r="CN191" i="7"/>
  <c r="CN213" i="7"/>
  <c r="CO213" i="7"/>
  <c r="CM147" i="7"/>
  <c r="CL167" i="7"/>
  <c r="CR60" i="7"/>
  <c r="CS126" i="7"/>
  <c r="CO181" i="7"/>
  <c r="CQ214" i="7"/>
  <c r="CM214" i="7"/>
  <c r="CS311" i="7"/>
  <c r="CS93" i="7"/>
  <c r="CM298" i="7"/>
  <c r="CN313" i="7"/>
  <c r="CR295" i="7"/>
  <c r="CV295" i="7" s="1"/>
  <c r="CL295" i="7"/>
  <c r="CO12" i="7"/>
  <c r="CP41" i="7"/>
  <c r="CS257" i="7"/>
  <c r="CL257" i="7"/>
  <c r="CM265" i="7"/>
  <c r="CN209" i="7"/>
  <c r="CM209" i="7"/>
  <c r="CM41" i="7"/>
  <c r="CN41" i="7"/>
  <c r="CL39" i="7"/>
  <c r="CQ39" i="7"/>
  <c r="CS29" i="7"/>
  <c r="CP29" i="7"/>
  <c r="CU29" i="7" s="1"/>
  <c r="CL73" i="7"/>
  <c r="CS73" i="7"/>
  <c r="CR81" i="7"/>
  <c r="CQ81" i="7"/>
  <c r="CP294" i="7"/>
  <c r="CO294" i="7"/>
  <c r="CM257" i="7"/>
  <c r="CN257" i="7"/>
  <c r="CR211" i="7"/>
  <c r="CM211" i="7"/>
  <c r="CL236" i="7"/>
  <c r="CQ236" i="7"/>
  <c r="CP265" i="7"/>
  <c r="CU265" i="7" s="1"/>
  <c r="CR265" i="7"/>
  <c r="CQ209" i="7"/>
  <c r="CR209" i="7"/>
  <c r="CL141" i="7"/>
  <c r="CR150" i="7"/>
  <c r="CV150" i="7" s="1"/>
  <c r="CN150" i="7"/>
  <c r="CS312" i="7"/>
  <c r="CR100" i="7"/>
  <c r="CM191" i="7"/>
  <c r="CP213" i="7"/>
  <c r="CR213" i="7"/>
  <c r="CL147" i="7"/>
  <c r="CR167" i="7"/>
  <c r="CS60" i="7"/>
  <c r="CQ263" i="7"/>
  <c r="CO126" i="7"/>
  <c r="CO282" i="7"/>
  <c r="CR181" i="7"/>
  <c r="CR214" i="7"/>
  <c r="CV214" i="7" s="1"/>
  <c r="CP214" i="7"/>
  <c r="CU214" i="7" s="1"/>
  <c r="CN311" i="7"/>
  <c r="CR93" i="7"/>
  <c r="CS313" i="7"/>
  <c r="CO295" i="7"/>
  <c r="CT295" i="7" s="1"/>
  <c r="CP295" i="7"/>
  <c r="CM12" i="7"/>
  <c r="CR200" i="7"/>
  <c r="CS176" i="7"/>
  <c r="CM73" i="7"/>
  <c r="CO81" i="7"/>
  <c r="CT81" i="7" s="1"/>
  <c r="CN294" i="7"/>
  <c r="CO41" i="7"/>
  <c r="CM39" i="7"/>
  <c r="CR29" i="7"/>
  <c r="CN73" i="7"/>
  <c r="CP81" i="7"/>
  <c r="CR294" i="7"/>
  <c r="CR257" i="7"/>
  <c r="CQ211" i="7"/>
  <c r="CO236" i="7"/>
  <c r="CO265" i="7"/>
  <c r="CO209" i="7"/>
  <c r="CQ150" i="7"/>
  <c r="CM100" i="7"/>
  <c r="CM213" i="7"/>
  <c r="CO167" i="7"/>
  <c r="CO214" i="7"/>
  <c r="CT214" i="7" s="1"/>
  <c r="CQ295" i="7"/>
  <c r="CL285" i="7"/>
  <c r="CP192" i="7"/>
  <c r="CS278" i="7"/>
  <c r="CS175" i="7"/>
  <c r="CR92" i="7"/>
  <c r="CP4" i="7"/>
  <c r="CO54" i="7"/>
  <c r="CP296" i="7"/>
  <c r="CR243" i="7"/>
  <c r="CS13" i="7"/>
  <c r="CP37" i="7"/>
  <c r="CL5" i="7"/>
  <c r="CM119" i="7"/>
  <c r="CR119" i="7"/>
  <c r="CQ119" i="7"/>
  <c r="CL118" i="7"/>
  <c r="CR118" i="7"/>
  <c r="CM118" i="7"/>
  <c r="CS118" i="7"/>
  <c r="CO28" i="7"/>
  <c r="CP160" i="7"/>
  <c r="CM160" i="7"/>
  <c r="CS160" i="7"/>
  <c r="CR160" i="7"/>
  <c r="CO160" i="7"/>
  <c r="CN160" i="7"/>
  <c r="CP11" i="7"/>
  <c r="CN11" i="7"/>
  <c r="CR11" i="7"/>
  <c r="CP151" i="7"/>
  <c r="CR151" i="7"/>
  <c r="CM151" i="7"/>
  <c r="CS151" i="7"/>
  <c r="CQ151" i="7"/>
  <c r="CO151" i="7"/>
  <c r="CO189" i="7"/>
  <c r="CS189" i="7"/>
  <c r="CP189" i="7"/>
  <c r="CS226" i="7"/>
  <c r="CM226" i="7"/>
  <c r="CQ226" i="7"/>
  <c r="CQ204" i="7"/>
  <c r="CP204" i="7"/>
  <c r="CN272" i="7"/>
  <c r="CQ272" i="7"/>
  <c r="CP272" i="7"/>
  <c r="CL272" i="7"/>
  <c r="CM272" i="7"/>
  <c r="CS272" i="7"/>
  <c r="CM84" i="7"/>
  <c r="CN84" i="7"/>
  <c r="CQ84" i="7"/>
  <c r="CR84" i="7"/>
  <c r="CS84" i="7"/>
  <c r="CL84" i="7"/>
  <c r="CP84" i="7"/>
  <c r="CU84" i="7" s="1"/>
  <c r="CQ117" i="7"/>
  <c r="CL117" i="7"/>
  <c r="CN148" i="7"/>
  <c r="CS148" i="7"/>
  <c r="CP148" i="7"/>
  <c r="CQ148" i="7"/>
  <c r="CR148" i="7"/>
  <c r="CM148" i="7"/>
  <c r="CR223" i="7"/>
  <c r="CQ223" i="7"/>
  <c r="CS223" i="7"/>
  <c r="CP223" i="7"/>
  <c r="CS18" i="7"/>
  <c r="CR18" i="7"/>
  <c r="CO18" i="7"/>
  <c r="CQ18" i="7"/>
  <c r="CN18" i="7"/>
  <c r="CO267" i="7"/>
  <c r="CP267" i="7"/>
  <c r="CL267" i="7"/>
  <c r="CN267" i="7"/>
  <c r="CO299" i="7"/>
  <c r="CM299" i="7"/>
  <c r="CN299" i="7"/>
  <c r="CP299" i="7"/>
  <c r="CQ299" i="7"/>
  <c r="CL299" i="7"/>
  <c r="CS149" i="7"/>
  <c r="CP149" i="7"/>
  <c r="CN149" i="7"/>
  <c r="CL259" i="7"/>
  <c r="CQ259" i="7"/>
  <c r="CO259" i="7"/>
  <c r="CR259" i="7"/>
  <c r="CS259" i="7"/>
  <c r="CP259" i="7"/>
  <c r="CU259" i="7" s="1"/>
  <c r="CO138" i="7"/>
  <c r="CM138" i="7"/>
  <c r="CQ138" i="7"/>
  <c r="CN247" i="7"/>
  <c r="CR247" i="7"/>
  <c r="CS247" i="7"/>
  <c r="CO247" i="7"/>
  <c r="CL247" i="7"/>
  <c r="CM247" i="7"/>
  <c r="CS97" i="7"/>
  <c r="CV97" i="7" s="1"/>
  <c r="CP273" i="7"/>
  <c r="CQ118" i="7"/>
  <c r="CU118" i="7" s="1"/>
  <c r="CL37" i="7"/>
  <c r="CL160" i="7"/>
  <c r="CN94" i="7"/>
  <c r="CL223" i="7"/>
  <c r="CR262" i="7"/>
  <c r="CQ243" i="7"/>
  <c r="CO84" i="7"/>
  <c r="CM149" i="7"/>
  <c r="CM259" i="7"/>
  <c r="CN119" i="7"/>
  <c r="CO308" i="7"/>
  <c r="CT308" i="7" s="1"/>
  <c r="CQ189" i="7"/>
  <c r="CL138" i="7"/>
  <c r="CP275" i="7"/>
  <c r="CL275" i="7"/>
  <c r="CQ275" i="7"/>
  <c r="CO255" i="7"/>
  <c r="CS255" i="7"/>
  <c r="CR255" i="7"/>
  <c r="CN255" i="7"/>
  <c r="CQ255" i="7"/>
  <c r="CM255" i="7"/>
  <c r="CM121" i="7"/>
  <c r="CR121" i="7"/>
  <c r="CS121" i="7"/>
  <c r="CM103" i="7"/>
  <c r="CS103" i="7"/>
  <c r="CR42" i="7"/>
  <c r="CP42" i="7"/>
  <c r="CS42" i="7"/>
  <c r="CO42" i="7"/>
  <c r="CM42" i="7"/>
  <c r="CO106" i="7"/>
  <c r="CN106" i="7"/>
  <c r="CM242" i="7"/>
  <c r="CS242" i="7"/>
  <c r="CV242" i="7" s="1"/>
  <c r="CO242" i="7"/>
  <c r="CP306" i="7"/>
  <c r="CO306" i="7"/>
  <c r="CL306" i="7"/>
  <c r="CM306" i="7"/>
  <c r="CQ306" i="7"/>
  <c r="CS306" i="7"/>
  <c r="CR268" i="7"/>
  <c r="CO268" i="7"/>
  <c r="CL268" i="7"/>
  <c r="CP268" i="7"/>
  <c r="CQ268" i="7"/>
  <c r="CS268" i="7"/>
  <c r="CQ160" i="7"/>
  <c r="CR272" i="7"/>
  <c r="CP247" i="7"/>
  <c r="CL151" i="7"/>
  <c r="CN296" i="7"/>
  <c r="CN259" i="7"/>
  <c r="CL11" i="7"/>
  <c r="CS299" i="7"/>
  <c r="CR50" i="7"/>
  <c r="CO50" i="7"/>
  <c r="CL50" i="7"/>
  <c r="CS217" i="7"/>
  <c r="CN217" i="7"/>
  <c r="CO217" i="7"/>
  <c r="CL97" i="7"/>
  <c r="CM97" i="7"/>
  <c r="CN97" i="7"/>
  <c r="CP97" i="7"/>
  <c r="CS274" i="7"/>
  <c r="CN274" i="7"/>
  <c r="CO175" i="7"/>
  <c r="CP175" i="7"/>
  <c r="CR175" i="7"/>
  <c r="CN78" i="7"/>
  <c r="CM78" i="7"/>
  <c r="CL78" i="7"/>
  <c r="CR78" i="7"/>
  <c r="CO78" i="7"/>
  <c r="CQ78" i="7"/>
  <c r="CS94" i="7"/>
  <c r="CV94" i="7" s="1"/>
  <c r="CM94" i="7"/>
  <c r="CP94" i="7"/>
  <c r="CQ94" i="7"/>
  <c r="CL94" i="7"/>
  <c r="CO94" i="7"/>
  <c r="CO15" i="7"/>
  <c r="CP15" i="7"/>
  <c r="CQ15" i="7"/>
  <c r="CP262" i="7"/>
  <c r="CM262" i="7"/>
  <c r="CQ262" i="7"/>
  <c r="CN262" i="7"/>
  <c r="CS262" i="7"/>
  <c r="CL262" i="7"/>
  <c r="CM270" i="7"/>
  <c r="CR270" i="7"/>
  <c r="CP270" i="7"/>
  <c r="CO270" i="7"/>
  <c r="CQ270" i="7"/>
  <c r="CS270" i="7"/>
  <c r="CQ32" i="7"/>
  <c r="CN32" i="7"/>
  <c r="CP32" i="7"/>
  <c r="CL243" i="7"/>
  <c r="CO243" i="7"/>
  <c r="CN243" i="7"/>
  <c r="CP243" i="7"/>
  <c r="CU243" i="7" s="1"/>
  <c r="CM243" i="7"/>
  <c r="CS243" i="7"/>
  <c r="CR195" i="7"/>
  <c r="CM195" i="7"/>
  <c r="CS195" i="7"/>
  <c r="CL195" i="7"/>
  <c r="CS22" i="7"/>
  <c r="CL22" i="7"/>
  <c r="CQ13" i="7"/>
  <c r="CM13" i="7"/>
  <c r="CP13" i="7"/>
  <c r="CO13" i="7"/>
  <c r="CR13" i="7"/>
  <c r="CR273" i="7"/>
  <c r="CN273" i="7"/>
  <c r="CO273" i="7"/>
  <c r="CS273" i="7"/>
  <c r="CS252" i="7"/>
  <c r="CQ252" i="7"/>
  <c r="CO252" i="7"/>
  <c r="CN252" i="7"/>
  <c r="CP252" i="7"/>
  <c r="CM252" i="7"/>
  <c r="CN37" i="7"/>
  <c r="CS37" i="7"/>
  <c r="CM37" i="7"/>
  <c r="CO37" i="7"/>
  <c r="CQ37" i="7"/>
  <c r="CR37" i="7"/>
  <c r="CV37" i="7" s="1"/>
  <c r="CM52" i="7"/>
  <c r="CQ52" i="7"/>
  <c r="CO52" i="7"/>
  <c r="CS52" i="7"/>
  <c r="CP163" i="7"/>
  <c r="CM163" i="7"/>
  <c r="CN163" i="7"/>
  <c r="CQ163" i="7"/>
  <c r="CQ195" i="7"/>
  <c r="CU195" i="7" s="1"/>
  <c r="CN118" i="7"/>
  <c r="CO97" i="7"/>
  <c r="CM273" i="7"/>
  <c r="CO195" i="7"/>
  <c r="CO118" i="7"/>
  <c r="CN42" i="7"/>
  <c r="CN306" i="7"/>
  <c r="CT306" i="7" s="1"/>
  <c r="CO272" i="7"/>
  <c r="CN270" i="7"/>
  <c r="CT270" i="7" s="1"/>
  <c r="CL252" i="7"/>
  <c r="CN268" i="7"/>
  <c r="CO148" i="7"/>
  <c r="CQ247" i="7"/>
  <c r="CN151" i="7"/>
  <c r="CP78" i="7"/>
  <c r="CO121" i="7"/>
  <c r="CM275" i="7"/>
  <c r="CO304" i="7"/>
  <c r="CL163" i="7"/>
  <c r="CP28" i="7"/>
  <c r="CR217" i="7"/>
  <c r="CV217" i="7" s="1"/>
  <c r="CR299" i="7"/>
  <c r="CM267" i="7"/>
  <c r="CL146" i="7"/>
  <c r="CM278" i="7"/>
  <c r="CM38" i="7"/>
  <c r="CO292" i="7"/>
  <c r="CO124" i="7"/>
  <c r="CL15" i="7"/>
  <c r="CP198" i="7"/>
  <c r="CO182" i="7"/>
  <c r="CO65" i="7"/>
  <c r="CN22" i="7"/>
  <c r="CP10" i="7"/>
  <c r="CR251" i="7"/>
  <c r="CL60" i="7"/>
  <c r="CM126" i="7"/>
  <c r="CS298" i="7"/>
  <c r="CS237" i="7"/>
  <c r="CV237" i="7" s="1"/>
  <c r="CP237" i="7"/>
  <c r="CQ221" i="7"/>
  <c r="CN221" i="7"/>
  <c r="CR134" i="7"/>
  <c r="CQ134" i="7"/>
  <c r="CU134" i="7" s="1"/>
  <c r="CQ237" i="7"/>
  <c r="CO70" i="7"/>
  <c r="CL70" i="7"/>
  <c r="CR70" i="7"/>
  <c r="CS304" i="7"/>
  <c r="CV304" i="7" s="1"/>
  <c r="CN304" i="7"/>
  <c r="CL119" i="7"/>
  <c r="CP119" i="7"/>
  <c r="CS119" i="7"/>
  <c r="CO119" i="7"/>
  <c r="CO275" i="7"/>
  <c r="CN275" i="7"/>
  <c r="CR275" i="7"/>
  <c r="CS275" i="7"/>
  <c r="CM217" i="7"/>
  <c r="CQ217" i="7"/>
  <c r="CP217" i="7"/>
  <c r="CL217" i="7"/>
  <c r="CR274" i="7"/>
  <c r="CO274" i="7"/>
  <c r="CT274" i="7" s="1"/>
  <c r="CQ274" i="7"/>
  <c r="CL274" i="7"/>
  <c r="CP274" i="7"/>
  <c r="CL121" i="7"/>
  <c r="CN121" i="7"/>
  <c r="CP121" i="7"/>
  <c r="CQ121" i="7"/>
  <c r="CS28" i="7"/>
  <c r="CR28" i="7"/>
  <c r="CL242" i="7"/>
  <c r="CQ242" i="7"/>
  <c r="CP242" i="7"/>
  <c r="CN242" i="7"/>
  <c r="CR292" i="7"/>
  <c r="CP221" i="7"/>
  <c r="CM221" i="7"/>
  <c r="CL134" i="7"/>
  <c r="CO134" i="7"/>
  <c r="CS147" i="7"/>
  <c r="CN147" i="7"/>
  <c r="CR147" i="7"/>
  <c r="CO147" i="7"/>
  <c r="CQ296" i="7"/>
  <c r="CS296" i="7"/>
  <c r="CS162" i="7"/>
  <c r="CR162" i="7"/>
  <c r="CM45" i="7"/>
  <c r="CN45" i="7"/>
  <c r="CP191" i="7"/>
  <c r="CL191" i="7"/>
  <c r="CR191" i="7"/>
  <c r="CO191" i="7"/>
  <c r="CS181" i="7"/>
  <c r="CQ181" i="7"/>
  <c r="CN181" i="7"/>
  <c r="CM181" i="7"/>
  <c r="CO40" i="7"/>
  <c r="CP40" i="7"/>
  <c r="CS269" i="7"/>
  <c r="CO269" i="7"/>
  <c r="CR221" i="7"/>
  <c r="CV221" i="7" s="1"/>
  <c r="CN134" i="7"/>
  <c r="CN269" i="7"/>
  <c r="CM19" i="7"/>
  <c r="CP19" i="7"/>
  <c r="CR19" i="7"/>
  <c r="CQ19" i="7"/>
  <c r="CM43" i="7"/>
  <c r="CR43" i="7"/>
  <c r="CQ43" i="7"/>
  <c r="CN171" i="7"/>
  <c r="CP171" i="7"/>
  <c r="CR17" i="7"/>
  <c r="CN17" i="7"/>
  <c r="CP56" i="7"/>
  <c r="CL56" i="7"/>
  <c r="CO56" i="7"/>
  <c r="CM56" i="7"/>
  <c r="CL18" i="7"/>
  <c r="CR182" i="7"/>
  <c r="CV182" i="7" s="1"/>
  <c r="CM135" i="7"/>
  <c r="CQ167" i="7"/>
  <c r="CS167" i="7"/>
  <c r="CR10" i="7"/>
  <c r="CM18" i="7"/>
  <c r="CQ126" i="7"/>
  <c r="CN126" i="7"/>
  <c r="CS163" i="7"/>
  <c r="CO163" i="7"/>
  <c r="CS138" i="7"/>
  <c r="CN138" i="7"/>
  <c r="CL298" i="7"/>
  <c r="CN309" i="7"/>
  <c r="CT309" i="7" s="1"/>
  <c r="CR52" i="7"/>
  <c r="CV52" i="7" s="1"/>
  <c r="CL52" i="7"/>
  <c r="CR267" i="7"/>
  <c r="CQ267" i="7"/>
  <c r="CK64" i="7"/>
  <c r="CN107" i="7"/>
  <c r="CL42" i="7"/>
  <c r="CL193" i="7"/>
  <c r="CM140" i="7"/>
  <c r="CO128" i="7"/>
  <c r="CO281" i="7"/>
  <c r="CS5" i="7"/>
  <c r="CN129" i="7"/>
  <c r="CQ5" i="7"/>
  <c r="CM172" i="7"/>
  <c r="CL269" i="7"/>
  <c r="CS263" i="7"/>
  <c r="CO223" i="7"/>
  <c r="CO312" i="7"/>
  <c r="CR298" i="7"/>
  <c r="CR149" i="7"/>
  <c r="CP167" i="7"/>
  <c r="CL126" i="7"/>
  <c r="CR163" i="7"/>
  <c r="CR138" i="7"/>
  <c r="CP52" i="7"/>
  <c r="CS267" i="7"/>
  <c r="CQ90" i="7"/>
  <c r="CN301" i="7"/>
  <c r="CS169" i="7"/>
  <c r="CR199" i="7"/>
  <c r="CR5" i="7"/>
  <c r="CM5" i="7"/>
  <c r="CN5" i="7"/>
  <c r="CP5" i="7"/>
  <c r="CS291" i="7"/>
  <c r="CN291" i="7"/>
  <c r="CO154" i="7"/>
  <c r="CS154" i="7"/>
  <c r="CL154" i="7"/>
  <c r="CR154" i="7"/>
  <c r="CO206" i="7"/>
  <c r="CT206" i="7" s="1"/>
  <c r="CS206" i="7"/>
  <c r="CP208" i="7"/>
  <c r="CR208" i="7"/>
  <c r="CN142" i="7"/>
  <c r="CL142" i="7"/>
  <c r="CP142" i="7"/>
  <c r="CR142" i="7"/>
  <c r="CN133" i="7"/>
  <c r="CR133" i="7"/>
  <c r="CO133" i="7"/>
  <c r="CS133" i="7"/>
  <c r="CM53" i="7"/>
  <c r="CS53" i="7"/>
  <c r="CL175" i="7"/>
  <c r="CM175" i="7"/>
  <c r="CN175" i="7"/>
  <c r="CQ175" i="7"/>
  <c r="CO27" i="7"/>
  <c r="CS27" i="7"/>
  <c r="CQ27" i="7"/>
  <c r="CP27" i="7"/>
  <c r="CL229" i="7"/>
  <c r="CQ229" i="7"/>
  <c r="CO229" i="7"/>
  <c r="CS136" i="7"/>
  <c r="CO136" i="7"/>
  <c r="CQ164" i="7"/>
  <c r="CR164" i="7"/>
  <c r="CM271" i="7"/>
  <c r="CS271" i="7"/>
  <c r="CL271" i="7"/>
  <c r="CR271" i="7"/>
  <c r="CM177" i="7"/>
  <c r="CL177" i="7"/>
  <c r="CP177" i="7"/>
  <c r="CS177" i="7"/>
  <c r="CP170" i="7"/>
  <c r="CL170" i="7"/>
  <c r="CN170" i="7"/>
  <c r="CO170" i="7"/>
  <c r="CM92" i="7"/>
  <c r="CP92" i="7"/>
  <c r="CL92" i="7"/>
  <c r="CO92" i="7"/>
  <c r="CN92" i="7"/>
  <c r="CQ92" i="7"/>
  <c r="CL173" i="7"/>
  <c r="CR173" i="7"/>
  <c r="CN173" i="7"/>
  <c r="CO173" i="7"/>
  <c r="CP173" i="7"/>
  <c r="CS173" i="7"/>
  <c r="CN86" i="7"/>
  <c r="CM86" i="7"/>
  <c r="CP109" i="7"/>
  <c r="CQ26" i="7"/>
  <c r="CO135" i="7"/>
  <c r="CP182" i="7"/>
  <c r="CL182" i="7"/>
  <c r="CO244" i="7"/>
  <c r="CL40" i="7"/>
  <c r="CR176" i="7"/>
  <c r="CL61" i="7"/>
  <c r="CM61" i="7"/>
  <c r="CN292" i="7"/>
  <c r="CR241" i="7"/>
  <c r="CP241" i="7"/>
  <c r="CR38" i="7"/>
  <c r="CQ172" i="7"/>
  <c r="CM302" i="7"/>
  <c r="CQ4" i="7"/>
  <c r="CS4" i="7"/>
  <c r="CS287" i="7"/>
  <c r="CN4" i="7"/>
  <c r="CR26" i="7"/>
  <c r="CO100" i="7"/>
  <c r="CL100" i="7"/>
  <c r="CQ60" i="7"/>
  <c r="CP60" i="7"/>
  <c r="CQ182" i="7"/>
  <c r="CM182" i="7"/>
  <c r="CO149" i="7"/>
  <c r="CL149" i="7"/>
  <c r="CN165" i="7"/>
  <c r="CR165" i="7"/>
  <c r="CR263" i="7"/>
  <c r="CQ269" i="7"/>
  <c r="CU269" i="7" s="1"/>
  <c r="CM269" i="7"/>
  <c r="CL244" i="7"/>
  <c r="CS40" i="7"/>
  <c r="CM176" i="7"/>
  <c r="CQ61" i="7"/>
  <c r="CP61" i="7"/>
  <c r="CO298" i="7"/>
  <c r="CQ298" i="7"/>
  <c r="CQ292" i="7"/>
  <c r="CN241" i="7"/>
  <c r="CT241" i="7" s="1"/>
  <c r="CL241" i="7"/>
  <c r="CN231" i="7"/>
  <c r="CM109" i="7"/>
  <c r="CM23" i="7"/>
  <c r="CO4" i="7"/>
  <c r="CS192" i="7"/>
  <c r="CR186" i="7"/>
  <c r="CO46" i="7"/>
  <c r="CR141" i="7"/>
  <c r="CO205" i="7"/>
  <c r="CM223" i="7"/>
  <c r="CM312" i="7"/>
  <c r="CN100" i="7"/>
  <c r="CM60" i="7"/>
  <c r="CN182" i="7"/>
  <c r="CQ149" i="7"/>
  <c r="CO165" i="7"/>
  <c r="CR269" i="7"/>
  <c r="CM40" i="7"/>
  <c r="CT230" i="7"/>
  <c r="CN176" i="7"/>
  <c r="CS61" i="7"/>
  <c r="CN298" i="7"/>
  <c r="CL96" i="7"/>
  <c r="CM292" i="7"/>
  <c r="CQ241" i="7"/>
  <c r="CS146" i="7"/>
  <c r="CL82" i="7"/>
  <c r="CS55" i="7"/>
  <c r="CN55" i="7"/>
  <c r="CO5" i="7"/>
  <c r="CS161" i="7"/>
  <c r="CM161" i="7"/>
  <c r="CO9" i="7"/>
  <c r="CR9" i="7"/>
  <c r="CV9" i="7" s="1"/>
  <c r="CL16" i="7"/>
  <c r="CM16" i="7"/>
  <c r="CR90" i="7"/>
  <c r="CL90" i="7"/>
  <c r="CS301" i="7"/>
  <c r="CL301" i="7"/>
  <c r="CS200" i="7"/>
  <c r="CN200" i="7"/>
  <c r="CQ135" i="7"/>
  <c r="CP135" i="7"/>
  <c r="CO22" i="7"/>
  <c r="CP22" i="7"/>
  <c r="CN141" i="7"/>
  <c r="CS141" i="7"/>
  <c r="CO172" i="7"/>
  <c r="CS172" i="7"/>
  <c r="CP231" i="7"/>
  <c r="CO231" i="7"/>
  <c r="CS199" i="7"/>
  <c r="CQ199" i="7"/>
  <c r="CP26" i="7"/>
  <c r="CN26" i="7"/>
  <c r="CO75" i="7"/>
  <c r="CR75" i="7"/>
  <c r="CS38" i="7"/>
  <c r="CR128" i="7"/>
  <c r="CL161" i="7"/>
  <c r="CN256" i="7"/>
  <c r="CN169" i="7"/>
  <c r="CS107" i="7"/>
  <c r="CP107" i="7"/>
  <c r="CR233" i="7"/>
  <c r="CO233" i="7"/>
  <c r="CT233" i="7" s="1"/>
  <c r="CM233" i="7"/>
  <c r="CP225" i="7"/>
  <c r="CL225" i="7"/>
  <c r="CR225" i="7"/>
  <c r="CV225" i="7" s="1"/>
  <c r="CS308" i="7"/>
  <c r="CP308" i="7"/>
  <c r="CL308" i="7"/>
  <c r="CO129" i="7"/>
  <c r="CN187" i="7"/>
  <c r="CR187" i="7"/>
  <c r="CP187" i="7"/>
  <c r="CU187" i="7" s="1"/>
  <c r="CL187" i="7"/>
  <c r="CO43" i="7"/>
  <c r="CP43" i="7"/>
  <c r="CL43" i="7"/>
  <c r="CS43" i="7"/>
  <c r="CM189" i="7"/>
  <c r="CL189" i="7"/>
  <c r="CR189" i="7"/>
  <c r="CN189" i="7"/>
  <c r="CN15" i="7"/>
  <c r="CM15" i="7"/>
  <c r="CR15" i="7"/>
  <c r="CR296" i="7"/>
  <c r="CO296" i="7"/>
  <c r="CM296" i="7"/>
  <c r="CL296" i="7"/>
  <c r="CQ283" i="7"/>
  <c r="CO283" i="7"/>
  <c r="CM283" i="7"/>
  <c r="CS283" i="7"/>
  <c r="CM263" i="7"/>
  <c r="CL263" i="7"/>
  <c r="CN263" i="7"/>
  <c r="CO263" i="7"/>
  <c r="CM11" i="7"/>
  <c r="CO11" i="7"/>
  <c r="CQ11" i="7"/>
  <c r="CS11" i="7"/>
  <c r="CN237" i="7"/>
  <c r="CL237" i="7"/>
  <c r="CM237" i="7"/>
  <c r="CO237" i="7"/>
  <c r="CN188" i="7"/>
  <c r="CL188" i="7"/>
  <c r="CS188" i="7"/>
  <c r="CQ188" i="7"/>
  <c r="CU188" i="7" s="1"/>
  <c r="CN13" i="7"/>
  <c r="CL144" i="7"/>
  <c r="CO178" i="7"/>
  <c r="CN178" i="7"/>
  <c r="CR201" i="7"/>
  <c r="CQ201" i="7"/>
  <c r="CP284" i="7"/>
  <c r="CR284" i="7"/>
  <c r="CN143" i="7"/>
  <c r="CQ143" i="7"/>
  <c r="CN212" i="7"/>
  <c r="CO212" i="7"/>
  <c r="CP251" i="7"/>
  <c r="CM251" i="7"/>
  <c r="CO251" i="7"/>
  <c r="CR7" i="7"/>
  <c r="CP7" i="7"/>
  <c r="CO219" i="7"/>
  <c r="CM219" i="7"/>
  <c r="CR96" i="7"/>
  <c r="CO96" i="7"/>
  <c r="CP96" i="7"/>
  <c r="CM96" i="7"/>
  <c r="CN16" i="7"/>
  <c r="CT16" i="7" s="1"/>
  <c r="CR16" i="7"/>
  <c r="CP90" i="7"/>
  <c r="CN90" i="7"/>
  <c r="CO301" i="7"/>
  <c r="CR301" i="7"/>
  <c r="CV301" i="7" s="1"/>
  <c r="CP200" i="7"/>
  <c r="CO200" i="7"/>
  <c r="CS135" i="7"/>
  <c r="CN135" i="7"/>
  <c r="CR22" i="7"/>
  <c r="CQ22" i="7"/>
  <c r="CM141" i="7"/>
  <c r="CP141" i="7"/>
  <c r="CP172" i="7"/>
  <c r="CL172" i="7"/>
  <c r="CM231" i="7"/>
  <c r="CL199" i="7"/>
  <c r="CN199" i="7"/>
  <c r="CS26" i="7"/>
  <c r="CM26" i="7"/>
  <c r="CQ75" i="7"/>
  <c r="CM75" i="7"/>
  <c r="CP38" i="7"/>
  <c r="CO144" i="7"/>
  <c r="CS178" i="7"/>
  <c r="CN284" i="7"/>
  <c r="CM212" i="7"/>
  <c r="CM201" i="7"/>
  <c r="CQ96" i="7"/>
  <c r="CQ10" i="7"/>
  <c r="CN10" i="7"/>
  <c r="CL10" i="7"/>
  <c r="CO88" i="7"/>
  <c r="CS124" i="7"/>
  <c r="CN53" i="7"/>
  <c r="CQ53" i="7"/>
  <c r="CO311" i="7"/>
  <c r="CP311" i="7"/>
  <c r="CL311" i="7"/>
  <c r="CM311" i="7"/>
  <c r="CR313" i="7"/>
  <c r="CO313" i="7"/>
  <c r="CP313" i="7"/>
  <c r="CQ313" i="7"/>
  <c r="CM93" i="7"/>
  <c r="CN93" i="7"/>
  <c r="CL93" i="7"/>
  <c r="CP93" i="7"/>
  <c r="CM282" i="7"/>
  <c r="CQ282" i="7"/>
  <c r="CP282" i="7"/>
  <c r="CM54" i="7"/>
  <c r="CQ54" i="7"/>
  <c r="CN226" i="7"/>
  <c r="CT226" i="7" s="1"/>
  <c r="CL226" i="7"/>
  <c r="CR226" i="7"/>
  <c r="CP226" i="7"/>
  <c r="CS32" i="7"/>
  <c r="CR32" i="7"/>
  <c r="CL32" i="7"/>
  <c r="CM32" i="7"/>
  <c r="CQ16" i="7"/>
  <c r="CS90" i="7"/>
  <c r="CM301" i="7"/>
  <c r="CQ200" i="7"/>
  <c r="CR135" i="7"/>
  <c r="CM22" i="7"/>
  <c r="CO141" i="7"/>
  <c r="CR172" i="7"/>
  <c r="CO199" i="7"/>
  <c r="CO26" i="7"/>
  <c r="CS75" i="7"/>
  <c r="CR178" i="7"/>
  <c r="CM284" i="7"/>
  <c r="CQ212" i="7"/>
  <c r="CO143" i="7"/>
  <c r="CM7" i="7"/>
  <c r="CS96" i="7"/>
  <c r="CQ9" i="7"/>
  <c r="CQ251" i="7"/>
  <c r="CO25" i="7"/>
  <c r="CO303" i="7"/>
  <c r="CN229" i="7"/>
  <c r="CS229" i="7"/>
  <c r="CP229" i="7"/>
  <c r="CM229" i="7"/>
  <c r="CR136" i="7"/>
  <c r="CN136" i="7"/>
  <c r="CM164" i="7"/>
  <c r="CS164" i="7"/>
  <c r="CO38" i="7"/>
  <c r="CL38" i="7"/>
  <c r="CQ38" i="7"/>
  <c r="CN38" i="7"/>
  <c r="CL124" i="7"/>
  <c r="CS106" i="7"/>
  <c r="CP106" i="7"/>
  <c r="CQ106" i="7"/>
  <c r="CQ266" i="7"/>
  <c r="CU266" i="7" s="1"/>
  <c r="CR266" i="7"/>
  <c r="CS266" i="7"/>
  <c r="CO266" i="7"/>
  <c r="CT266" i="7" s="1"/>
  <c r="CO264" i="7"/>
  <c r="CL264" i="7"/>
  <c r="CL302" i="7"/>
  <c r="CP54" i="7"/>
  <c r="CR219" i="7"/>
  <c r="CR120" i="7"/>
  <c r="CL198" i="7"/>
  <c r="CS65" i="7"/>
  <c r="CM144" i="7"/>
  <c r="CN109" i="7"/>
  <c r="CN88" i="7"/>
  <c r="CR281" i="7"/>
  <c r="CS82" i="7"/>
  <c r="CQ120" i="7"/>
  <c r="CN248" i="7"/>
  <c r="CM206" i="7"/>
  <c r="CP219" i="7"/>
  <c r="CQ308" i="7"/>
  <c r="CR308" i="7"/>
  <c r="CN54" i="7"/>
  <c r="CS54" i="7"/>
  <c r="CS218" i="7"/>
  <c r="CM106" i="7"/>
  <c r="CR106" i="7"/>
  <c r="CS204" i="7"/>
  <c r="CP47" i="7"/>
  <c r="CU47" i="7" s="1"/>
  <c r="CS47" i="7"/>
  <c r="CQ17" i="7"/>
  <c r="CQ25" i="7"/>
  <c r="CN82" i="7"/>
  <c r="CR82" i="7"/>
  <c r="CM281" i="7"/>
  <c r="CS245" i="7"/>
  <c r="CP281" i="7"/>
  <c r="CR124" i="7"/>
  <c r="CP179" i="7"/>
  <c r="CQ88" i="7"/>
  <c r="CO120" i="7"/>
  <c r="CP65" i="7"/>
  <c r="CM308" i="7"/>
  <c r="CL54" i="7"/>
  <c r="CL106" i="7"/>
  <c r="CM47" i="7"/>
  <c r="CQ281" i="7"/>
  <c r="CL88" i="7"/>
  <c r="CR65" i="7"/>
  <c r="CS281" i="7"/>
  <c r="CN124" i="7"/>
  <c r="CP82" i="7"/>
  <c r="CL186" i="7"/>
  <c r="CL120" i="7"/>
  <c r="CN258" i="7"/>
  <c r="CO258" i="7"/>
  <c r="CQ206" i="7"/>
  <c r="CL206" i="7"/>
  <c r="CP206" i="7"/>
  <c r="CR206" i="7"/>
  <c r="CO218" i="7"/>
  <c r="CN218" i="7"/>
  <c r="CL218" i="7"/>
  <c r="CM162" i="7"/>
  <c r="CL162" i="7"/>
  <c r="CO162" i="7"/>
  <c r="CR146" i="7"/>
  <c r="CP146" i="7"/>
  <c r="CQ146" i="7"/>
  <c r="CR45" i="7"/>
  <c r="CS45" i="7"/>
  <c r="CQ45" i="7"/>
  <c r="CS254" i="7"/>
  <c r="CN254" i="7"/>
  <c r="CQ103" i="7"/>
  <c r="CP103" i="7"/>
  <c r="CR103" i="7"/>
  <c r="CR309" i="7"/>
  <c r="CM309" i="7"/>
  <c r="CS309" i="7"/>
  <c r="CN278" i="7"/>
  <c r="CP278" i="7"/>
  <c r="CP88" i="7"/>
  <c r="CU88" i="7" s="1"/>
  <c r="CS88" i="7"/>
  <c r="CM192" i="7"/>
  <c r="CQ192" i="7"/>
  <c r="CP302" i="7"/>
  <c r="CQ302" i="7"/>
  <c r="CL219" i="7"/>
  <c r="CS219" i="7"/>
  <c r="CN219" i="7"/>
  <c r="CQ219" i="7"/>
  <c r="CM248" i="7"/>
  <c r="CO248" i="7"/>
  <c r="CQ248" i="7"/>
  <c r="CS248" i="7"/>
  <c r="CV248" i="7" s="1"/>
  <c r="CL248" i="7"/>
  <c r="CS171" i="7"/>
  <c r="CQ171" i="7"/>
  <c r="CO171" i="7"/>
  <c r="CR171" i="7"/>
  <c r="CM17" i="7"/>
  <c r="CS17" i="7"/>
  <c r="CO17" i="7"/>
  <c r="CL17" i="7"/>
  <c r="CM112" i="7"/>
  <c r="CR161" i="7"/>
  <c r="CN161" i="7"/>
  <c r="CO161" i="7"/>
  <c r="CQ161" i="7"/>
  <c r="CM297" i="7"/>
  <c r="CP297" i="7"/>
  <c r="CN208" i="7"/>
  <c r="CO208" i="7"/>
  <c r="CS208" i="7"/>
  <c r="CN193" i="7"/>
  <c r="CM193" i="7"/>
  <c r="CP303" i="7"/>
  <c r="CN303" i="7"/>
  <c r="CL136" i="7"/>
  <c r="CM136" i="7"/>
  <c r="CQ136" i="7"/>
  <c r="CP136" i="7"/>
  <c r="CN164" i="7"/>
  <c r="CO164" i="7"/>
  <c r="CP164" i="7"/>
  <c r="CL164" i="7"/>
  <c r="CO256" i="7"/>
  <c r="CP256" i="7"/>
  <c r="CU256" i="7" s="1"/>
  <c r="CM256" i="7"/>
  <c r="CS7" i="7"/>
  <c r="CN7" i="7"/>
  <c r="CT7" i="7" s="1"/>
  <c r="CL7" i="7"/>
  <c r="CQ7" i="7"/>
  <c r="CM129" i="7"/>
  <c r="CQ129" i="7"/>
  <c r="CS129" i="7"/>
  <c r="CR179" i="7"/>
  <c r="CO179" i="7"/>
  <c r="CR244" i="7"/>
  <c r="CP244" i="7"/>
  <c r="CS244" i="7"/>
  <c r="CM244" i="7"/>
  <c r="CM204" i="7"/>
  <c r="CR204" i="7"/>
  <c r="CN204" i="7"/>
  <c r="CO204" i="7"/>
  <c r="CN65" i="7"/>
  <c r="CL65" i="7"/>
  <c r="CM65" i="7"/>
  <c r="CQ65" i="7"/>
  <c r="CL128" i="7"/>
  <c r="CQ128" i="7"/>
  <c r="CN117" i="7"/>
  <c r="CO117" i="7"/>
  <c r="CM117" i="7"/>
  <c r="CP117" i="7"/>
  <c r="CP155" i="7"/>
  <c r="CS155" i="7"/>
  <c r="CN155" i="7"/>
  <c r="CM155" i="7"/>
  <c r="CN12" i="7"/>
  <c r="CQ12" i="7"/>
  <c r="CP12" i="7"/>
  <c r="CS12" i="7"/>
  <c r="CQ20" i="7"/>
  <c r="CL20" i="7"/>
  <c r="CN20" i="7"/>
  <c r="CT20" i="7" s="1"/>
  <c r="CR20" i="7"/>
  <c r="CO53" i="7"/>
  <c r="CR53" i="7"/>
  <c r="CL53" i="7"/>
  <c r="CP53" i="7"/>
  <c r="CP248" i="7"/>
  <c r="CL28" i="7"/>
  <c r="CN28" i="7"/>
  <c r="CM28" i="7"/>
  <c r="CQ28" i="7"/>
  <c r="CM225" i="7"/>
  <c r="CO225" i="7"/>
  <c r="CN225" i="7"/>
  <c r="CP86" i="7"/>
  <c r="CS86" i="7"/>
  <c r="CP264" i="7"/>
  <c r="CS264" i="7"/>
  <c r="CS198" i="7"/>
  <c r="CO198" i="7"/>
  <c r="CR290" i="7"/>
  <c r="CL290" i="7"/>
  <c r="CR282" i="7"/>
  <c r="CS282" i="7"/>
  <c r="CR40" i="7"/>
  <c r="CQ40" i="7"/>
  <c r="CP176" i="7"/>
  <c r="CL176" i="7"/>
  <c r="CS292" i="7"/>
  <c r="CP292" i="7"/>
  <c r="CL283" i="7"/>
  <c r="CS120" i="7"/>
  <c r="CM120" i="7"/>
  <c r="CP283" i="7"/>
  <c r="CN282" i="7"/>
  <c r="CN40" i="7"/>
  <c r="CQ176" i="7"/>
  <c r="CL292" i="7"/>
  <c r="CR192" i="7"/>
  <c r="CL254" i="7"/>
  <c r="CS92" i="7"/>
  <c r="CP120" i="7"/>
  <c r="CN120" i="7"/>
  <c r="CQ304" i="7"/>
  <c r="CL304" i="7"/>
  <c r="CM304" i="7"/>
  <c r="CP304" i="7"/>
  <c r="CS25" i="7"/>
  <c r="CL25" i="7"/>
  <c r="CO278" i="7"/>
  <c r="CL278" i="7"/>
  <c r="CQ278" i="7"/>
  <c r="CR278" i="7"/>
  <c r="CP245" i="7"/>
  <c r="CN245" i="7"/>
  <c r="CT245" i="7" s="1"/>
  <c r="CR245" i="7"/>
  <c r="CO302" i="7"/>
  <c r="CP178" i="7"/>
  <c r="CQ178" i="7"/>
  <c r="CM178" i="7"/>
  <c r="CL178" i="7"/>
  <c r="CQ86" i="7"/>
  <c r="CL86" i="7"/>
  <c r="CR86" i="7"/>
  <c r="CO86" i="7"/>
  <c r="CQ264" i="7"/>
  <c r="CM264" i="7"/>
  <c r="CN264" i="7"/>
  <c r="CR264" i="7"/>
  <c r="CO131" i="7"/>
  <c r="CQ131" i="7"/>
  <c r="CM131" i="7"/>
  <c r="CS131" i="7"/>
  <c r="CR131" i="7"/>
  <c r="CL131" i="7"/>
  <c r="CP131" i="7"/>
  <c r="CN131" i="7"/>
  <c r="CQ198" i="7"/>
  <c r="CR198" i="7"/>
  <c r="CN198" i="7"/>
  <c r="CM198" i="7"/>
  <c r="CS128" i="7"/>
  <c r="CN128" i="7"/>
  <c r="CP128" i="7"/>
  <c r="CM128" i="7"/>
  <c r="CL201" i="7"/>
  <c r="CS201" i="7"/>
  <c r="CN201" i="7"/>
  <c r="CO201" i="7"/>
  <c r="CL284" i="7"/>
  <c r="CQ284" i="7"/>
  <c r="CO284" i="7"/>
  <c r="CS284" i="7"/>
  <c r="CP143" i="7"/>
  <c r="CL143" i="7"/>
  <c r="CM143" i="7"/>
  <c r="CS143" i="7"/>
  <c r="CV143" i="7" s="1"/>
  <c r="CP212" i="7"/>
  <c r="CR212" i="7"/>
  <c r="CS212" i="7"/>
  <c r="CL212" i="7"/>
  <c r="CP9" i="7"/>
  <c r="CL9" i="7"/>
  <c r="CN9" i="7"/>
  <c r="CM9" i="7"/>
  <c r="CR169" i="7"/>
  <c r="CM169" i="7"/>
  <c r="CN25" i="7"/>
  <c r="CR232" i="7"/>
  <c r="CP232" i="7"/>
  <c r="CQ232" i="7"/>
  <c r="CM232" i="7"/>
  <c r="CO287" i="7"/>
  <c r="CL232" i="7"/>
  <c r="CL287" i="7"/>
  <c r="CM287" i="7"/>
  <c r="CS70" i="7"/>
  <c r="CN70" i="7"/>
  <c r="CQ208" i="7"/>
  <c r="CM208" i="7"/>
  <c r="CL303" i="7"/>
  <c r="CN192" i="7"/>
  <c r="CL192" i="7"/>
  <c r="CQ254" i="7"/>
  <c r="CS302" i="7"/>
  <c r="CN302" i="7"/>
  <c r="CL233" i="7"/>
  <c r="CP233" i="7"/>
  <c r="CL129" i="7"/>
  <c r="CR129" i="7"/>
  <c r="CR256" i="7"/>
  <c r="CL256" i="7"/>
  <c r="CR117" i="7"/>
  <c r="CS117" i="7"/>
  <c r="CQ193" i="7"/>
  <c r="CL251" i="7"/>
  <c r="CN251" i="7"/>
  <c r="CS232" i="7"/>
  <c r="CO10" i="7"/>
  <c r="CO169" i="7"/>
  <c r="CQ140" i="7"/>
  <c r="CN186" i="7"/>
  <c r="CN232" i="7"/>
  <c r="CN287" i="7"/>
  <c r="CN281" i="7"/>
  <c r="CO186" i="7"/>
  <c r="CP186" i="7"/>
  <c r="CS186" i="7"/>
  <c r="CM186" i="7"/>
  <c r="CQ186" i="7"/>
  <c r="CQ287" i="7"/>
  <c r="CP287" i="7"/>
  <c r="CM70" i="7"/>
  <c r="CL208" i="7"/>
  <c r="CO192" i="7"/>
  <c r="CR302" i="7"/>
  <c r="CS233" i="7"/>
  <c r="CP129" i="7"/>
  <c r="CS256" i="7"/>
  <c r="CP193" i="7"/>
  <c r="CS251" i="7"/>
  <c r="CV251" i="7" s="1"/>
  <c r="CL249" i="7"/>
  <c r="CN290" i="7"/>
  <c r="CP254" i="7"/>
  <c r="CS303" i="7"/>
  <c r="CO232" i="7"/>
  <c r="CN179" i="7"/>
  <c r="CQ179" i="7"/>
  <c r="CL179" i="7"/>
  <c r="CP124" i="7"/>
  <c r="CQ124" i="7"/>
  <c r="CR287" i="7"/>
  <c r="CM124" i="7"/>
  <c r="CM80" i="7"/>
  <c r="CN80" i="7"/>
  <c r="CP80" i="7"/>
  <c r="CL80" i="7"/>
  <c r="CS80" i="7"/>
  <c r="CR80" i="7"/>
  <c r="CQ80" i="7"/>
  <c r="CO80" i="7"/>
  <c r="CQ277" i="7"/>
  <c r="CM277" i="7"/>
  <c r="CP277" i="7"/>
  <c r="CL277" i="7"/>
  <c r="CO277" i="7"/>
  <c r="CN277" i="7"/>
  <c r="CS277" i="7"/>
  <c r="CR277" i="7"/>
  <c r="CO109" i="7"/>
  <c r="CL109" i="7"/>
  <c r="CS290" i="7"/>
  <c r="CP290" i="7"/>
  <c r="CM288" i="7"/>
  <c r="CL288" i="7"/>
  <c r="CN288" i="7"/>
  <c r="CR288" i="7"/>
  <c r="CO288" i="7"/>
  <c r="CS288" i="7"/>
  <c r="CP288" i="7"/>
  <c r="CQ288" i="7"/>
  <c r="CN139" i="7"/>
  <c r="CQ139" i="7"/>
  <c r="CO139" i="7"/>
  <c r="CR139" i="7"/>
  <c r="CP139" i="7"/>
  <c r="CS139" i="7"/>
  <c r="CM139" i="7"/>
  <c r="CL139" i="7"/>
  <c r="CN140" i="7"/>
  <c r="CR228" i="7"/>
  <c r="CQ228" i="7"/>
  <c r="CP228" i="7"/>
  <c r="CM228" i="7"/>
  <c r="CO228" i="7"/>
  <c r="CN228" i="7"/>
  <c r="CS228" i="7"/>
  <c r="CL228" i="7"/>
  <c r="CO140" i="7"/>
  <c r="CL137" i="7"/>
  <c r="CM137" i="7"/>
  <c r="CN137" i="7"/>
  <c r="CR137" i="7"/>
  <c r="CO137" i="7"/>
  <c r="CS137" i="7"/>
  <c r="CQ137" i="7"/>
  <c r="CP137" i="7"/>
  <c r="CL215" i="7"/>
  <c r="CP215" i="7"/>
  <c r="CO215" i="7"/>
  <c r="CM215" i="7"/>
  <c r="CR215" i="7"/>
  <c r="CQ215" i="7"/>
  <c r="CN215" i="7"/>
  <c r="CT215" i="7" s="1"/>
  <c r="CS215" i="7"/>
  <c r="CP63" i="7"/>
  <c r="CQ109" i="7"/>
  <c r="CR109" i="7"/>
  <c r="CP45" i="7"/>
  <c r="CL45" i="7"/>
  <c r="CS258" i="7"/>
  <c r="CQ258" i="7"/>
  <c r="CO146" i="7"/>
  <c r="CM146" i="7"/>
  <c r="CR303" i="7"/>
  <c r="CM303" i="7"/>
  <c r="CP162" i="7"/>
  <c r="CN162" i="7"/>
  <c r="CP218" i="7"/>
  <c r="CQ218" i="7"/>
  <c r="CL103" i="7"/>
  <c r="CO103" i="7"/>
  <c r="CM254" i="7"/>
  <c r="CO254" i="7"/>
  <c r="CQ309" i="7"/>
  <c r="CL309" i="7"/>
  <c r="CN297" i="7"/>
  <c r="CT297" i="7" s="1"/>
  <c r="CO193" i="7"/>
  <c r="CS193" i="7"/>
  <c r="CL245" i="7"/>
  <c r="CQ245" i="7"/>
  <c r="CU245" i="7" s="1"/>
  <c r="CM25" i="7"/>
  <c r="CR25" i="7"/>
  <c r="CQ290" i="7"/>
  <c r="CM290" i="7"/>
  <c r="CQ169" i="7"/>
  <c r="CL169" i="7"/>
  <c r="CK234" i="7"/>
  <c r="CK260" i="7"/>
  <c r="CS140" i="7"/>
  <c r="CL140" i="7"/>
  <c r="CM88" i="7"/>
  <c r="CR88" i="7"/>
  <c r="CP140" i="7"/>
  <c r="CS109" i="7"/>
  <c r="CO45" i="7"/>
  <c r="CN146" i="7"/>
  <c r="CQ303" i="7"/>
  <c r="CQ162" i="7"/>
  <c r="CR218" i="7"/>
  <c r="CN103" i="7"/>
  <c r="CR254" i="7"/>
  <c r="CP309" i="7"/>
  <c r="CL297" i="7"/>
  <c r="CR193" i="7"/>
  <c r="CM245" i="7"/>
  <c r="CP25" i="7"/>
  <c r="CO290" i="7"/>
  <c r="CP169" i="7"/>
  <c r="CL125" i="7"/>
  <c r="CS125" i="7"/>
  <c r="CQ125" i="7"/>
  <c r="CP125" i="7"/>
  <c r="CO125" i="7"/>
  <c r="CM125" i="7"/>
  <c r="CR125" i="7"/>
  <c r="CN125" i="7"/>
  <c r="CM3" i="7"/>
  <c r="CN3" i="7"/>
  <c r="CR3" i="7"/>
  <c r="CO3" i="7"/>
  <c r="CQ3" i="7"/>
  <c r="CP3" i="7"/>
  <c r="CS3" i="7"/>
  <c r="CL3" i="7"/>
  <c r="CR207" i="7"/>
  <c r="CM207" i="7"/>
  <c r="CQ207" i="7"/>
  <c r="CS207" i="7"/>
  <c r="CN207" i="7"/>
  <c r="CO207" i="7"/>
  <c r="CL207" i="7"/>
  <c r="CP207" i="7"/>
  <c r="CR140" i="7"/>
  <c r="CN156" i="7"/>
  <c r="CQ166" i="7"/>
  <c r="CN166" i="7"/>
  <c r="CM145" i="7"/>
  <c r="CP122" i="7"/>
  <c r="CR122" i="7"/>
  <c r="CL122" i="7"/>
  <c r="CN122" i="7"/>
  <c r="CL101" i="7"/>
  <c r="CR307" i="7"/>
  <c r="CO307" i="7"/>
  <c r="CM307" i="7"/>
  <c r="CL307" i="7"/>
  <c r="CP62" i="7"/>
  <c r="CM115" i="7"/>
  <c r="CR115" i="7"/>
  <c r="CP203" i="7"/>
  <c r="CM203" i="7"/>
  <c r="CL203" i="7"/>
  <c r="CQ203" i="7"/>
  <c r="CO202" i="7"/>
  <c r="CM202" i="7"/>
  <c r="CM239" i="7"/>
  <c r="CO239" i="7"/>
  <c r="CN239" i="7"/>
  <c r="CL239" i="7"/>
  <c r="CL62" i="7"/>
  <c r="CQ297" i="7"/>
  <c r="CR297" i="7"/>
  <c r="CM91" i="7"/>
  <c r="CQ250" i="7"/>
  <c r="CP261" i="7"/>
  <c r="CO261" i="7"/>
  <c r="CQ123" i="7"/>
  <c r="CJ36" i="7"/>
  <c r="CT310" i="7"/>
  <c r="CS297" i="7"/>
  <c r="CS183" i="7"/>
  <c r="CR183" i="7"/>
  <c r="CL185" i="7"/>
  <c r="CP185" i="7"/>
  <c r="CN185" i="7"/>
  <c r="CR185" i="7"/>
  <c r="CN286" i="7"/>
  <c r="CN235" i="7"/>
  <c r="CP235" i="7"/>
  <c r="CO235" i="7"/>
  <c r="CQ235" i="7"/>
  <c r="CN293" i="7"/>
  <c r="CL293" i="7"/>
  <c r="CP293" i="7"/>
  <c r="CQ293" i="7"/>
  <c r="CO224" i="7"/>
  <c r="CM224" i="7"/>
  <c r="CJ105" i="7"/>
  <c r="CF48" i="7"/>
  <c r="CH48" i="7"/>
  <c r="CE48" i="7"/>
  <c r="CB48" i="7"/>
  <c r="BZ48" i="7"/>
  <c r="CA48" i="7"/>
  <c r="CC48" i="7"/>
  <c r="CD48" i="7"/>
  <c r="CG48" i="7"/>
  <c r="BY48" i="7"/>
  <c r="CI48" i="7"/>
  <c r="CI33" i="7"/>
  <c r="CD33" i="7"/>
  <c r="CC33" i="7"/>
  <c r="CF33" i="7"/>
  <c r="BY33" i="7"/>
  <c r="CA33" i="7"/>
  <c r="CH33" i="7"/>
  <c r="CE33" i="7"/>
  <c r="CB33" i="7"/>
  <c r="BZ33" i="7"/>
  <c r="CG33" i="7"/>
  <c r="CD102" i="7"/>
  <c r="CB102" i="7"/>
  <c r="BY102" i="7"/>
  <c r="CK102" i="7" s="1"/>
  <c r="CF102" i="7"/>
  <c r="CG102" i="7"/>
  <c r="CE102" i="7"/>
  <c r="CH102" i="7"/>
  <c r="BZ102" i="7"/>
  <c r="CC102" i="7"/>
  <c r="CI102" i="7"/>
  <c r="CA102" i="7"/>
  <c r="CM216" i="7"/>
  <c r="CM51" i="7"/>
  <c r="CR51" i="7"/>
  <c r="CV247" i="7"/>
  <c r="CN216" i="7"/>
  <c r="CR144" i="7"/>
  <c r="CQ63" i="7"/>
  <c r="CR153" i="7"/>
  <c r="CU273" i="7"/>
  <c r="CN63" i="7"/>
  <c r="CO63" i="7"/>
  <c r="CP51" i="7"/>
  <c r="CO51" i="7"/>
  <c r="CP153" i="7"/>
  <c r="CS153" i="7"/>
  <c r="CT211" i="7"/>
  <c r="CT190" i="7"/>
  <c r="CP50" i="7"/>
  <c r="CS50" i="7"/>
  <c r="CU66" i="7"/>
  <c r="CO216" i="7"/>
  <c r="CL216" i="7"/>
  <c r="CS62" i="7"/>
  <c r="CV62" i="7" s="1"/>
  <c r="CQ62" i="7"/>
  <c r="CO87" i="7"/>
  <c r="CN87" i="7"/>
  <c r="CQ222" i="7"/>
  <c r="CR222" i="7"/>
  <c r="CS87" i="7"/>
  <c r="CV87" i="7" s="1"/>
  <c r="CL87" i="7"/>
  <c r="CL222" i="7"/>
  <c r="CO222" i="7"/>
  <c r="CO279" i="7"/>
  <c r="CQ279" i="7"/>
  <c r="CS63" i="7"/>
  <c r="CR63" i="7"/>
  <c r="CQ51" i="7"/>
  <c r="CM153" i="7"/>
  <c r="CQ153" i="7"/>
  <c r="CU271" i="7"/>
  <c r="CN50" i="7"/>
  <c r="CM50" i="7"/>
  <c r="CV213" i="7"/>
  <c r="CP216" i="7"/>
  <c r="CU216" i="7" s="1"/>
  <c r="CS216" i="7"/>
  <c r="CM62" i="7"/>
  <c r="CO62" i="7"/>
  <c r="CP87" i="7"/>
  <c r="CQ87" i="7"/>
  <c r="CN222" i="7"/>
  <c r="CM222" i="7"/>
  <c r="CT6" i="7"/>
  <c r="CL63" i="7"/>
  <c r="CS51" i="7"/>
  <c r="CN51" i="7"/>
  <c r="CN153" i="7"/>
  <c r="CT153" i="7" s="1"/>
  <c r="CL153" i="7"/>
  <c r="CU236" i="7"/>
  <c r="CQ50" i="7"/>
  <c r="CR216" i="7"/>
  <c r="CN62" i="7"/>
  <c r="CU225" i="7"/>
  <c r="CM87" i="7"/>
  <c r="CS222" i="7"/>
  <c r="CU168" i="7"/>
  <c r="CV252" i="7" l="1"/>
  <c r="Q23" i="6"/>
  <c r="R23" i="6"/>
  <c r="P24" i="6"/>
  <c r="CN227" i="7"/>
  <c r="CO123" i="7"/>
  <c r="CL276" i="7"/>
  <c r="CV20" i="7"/>
  <c r="CU244" i="7"/>
  <c r="CV113" i="7"/>
  <c r="CU55" i="7"/>
  <c r="CU30" i="7"/>
  <c r="CS227" i="7"/>
  <c r="CR276" i="7"/>
  <c r="CT86" i="7"/>
  <c r="CV206" i="7"/>
  <c r="CT32" i="7"/>
  <c r="CV41" i="7"/>
  <c r="CT209" i="7"/>
  <c r="CU209" i="7"/>
  <c r="CT216" i="7"/>
  <c r="CV183" i="7"/>
  <c r="CU252" i="7"/>
  <c r="CT268" i="7"/>
  <c r="CV262" i="7"/>
  <c r="CV312" i="7"/>
  <c r="CT60" i="7"/>
  <c r="CU95" i="7"/>
  <c r="CQ23" i="7"/>
  <c r="CT221" i="7"/>
  <c r="CT244" i="7"/>
  <c r="CT89" i="7"/>
  <c r="CV238" i="7"/>
  <c r="CU211" i="7"/>
  <c r="CV310" i="7"/>
  <c r="CT271" i="7"/>
  <c r="CV107" i="7"/>
  <c r="CM279" i="7"/>
  <c r="CR224" i="7"/>
  <c r="CN224" i="7"/>
  <c r="CT224" i="7" s="1"/>
  <c r="CQ260" i="7"/>
  <c r="CR249" i="7"/>
  <c r="CN249" i="7"/>
  <c r="CU141" i="7"/>
  <c r="CU201" i="7"/>
  <c r="CM249" i="7"/>
  <c r="CP285" i="7"/>
  <c r="CP249" i="7"/>
  <c r="CU249" i="7" s="1"/>
  <c r="CT118" i="7"/>
  <c r="CV157" i="7"/>
  <c r="CU57" i="7"/>
  <c r="CS279" i="7"/>
  <c r="CL279" i="7"/>
  <c r="CS144" i="7"/>
  <c r="CN144" i="7"/>
  <c r="CL224" i="7"/>
  <c r="CS224" i="7"/>
  <c r="CO293" i="7"/>
  <c r="CS293" i="7"/>
  <c r="CV293" i="7" s="1"/>
  <c r="CS235" i="7"/>
  <c r="CR235" i="7"/>
  <c r="CQ185" i="7"/>
  <c r="CO185" i="7"/>
  <c r="CT185" i="7" s="1"/>
  <c r="CS239" i="7"/>
  <c r="CR239" i="7"/>
  <c r="CS203" i="7"/>
  <c r="CN203" i="7"/>
  <c r="CN115" i="7"/>
  <c r="CQ307" i="7"/>
  <c r="CS307" i="7"/>
  <c r="CM122" i="7"/>
  <c r="CS122" i="7"/>
  <c r="CV122" i="7" s="1"/>
  <c r="CM166" i="7"/>
  <c r="CL258" i="7"/>
  <c r="CT282" i="7"/>
  <c r="CU161" i="7"/>
  <c r="CO107" i="7"/>
  <c r="CV229" i="7"/>
  <c r="CP144" i="7"/>
  <c r="CU144" i="7" s="1"/>
  <c r="CR231" i="7"/>
  <c r="CV231" i="7" s="1"/>
  <c r="CQ231" i="7"/>
  <c r="CT43" i="7"/>
  <c r="CM107" i="7"/>
  <c r="CL23" i="7"/>
  <c r="CL291" i="7"/>
  <c r="CM285" i="7"/>
  <c r="CR291" i="7"/>
  <c r="CV291" i="7" s="1"/>
  <c r="CP291" i="7"/>
  <c r="CV163" i="7"/>
  <c r="CN285" i="7"/>
  <c r="CT255" i="7"/>
  <c r="CL231" i="7"/>
  <c r="CU263" i="7"/>
  <c r="CT257" i="7"/>
  <c r="CU194" i="7"/>
  <c r="CV240" i="7"/>
  <c r="CT66" i="7"/>
  <c r="CU301" i="7"/>
  <c r="CV246" i="7"/>
  <c r="CT83" i="7"/>
  <c r="CU111" i="7"/>
  <c r="CV95" i="7"/>
  <c r="CT61" i="7"/>
  <c r="CV236" i="7"/>
  <c r="CU257" i="7"/>
  <c r="CU108" i="7"/>
  <c r="CT246" i="7"/>
  <c r="CR279" i="7"/>
  <c r="CS249" i="7"/>
  <c r="CT240" i="7"/>
  <c r="CV6" i="7"/>
  <c r="CM159" i="7"/>
  <c r="CP279" i="7"/>
  <c r="CU222" i="7"/>
  <c r="CP224" i="7"/>
  <c r="CU224" i="7" s="1"/>
  <c r="CM293" i="7"/>
  <c r="CM235" i="7"/>
  <c r="CM185" i="7"/>
  <c r="CP239" i="7"/>
  <c r="CU239" i="7" s="1"/>
  <c r="CR203" i="7"/>
  <c r="CP307" i="7"/>
  <c r="CQ122" i="7"/>
  <c r="CR258" i="7"/>
  <c r="CV47" i="7"/>
  <c r="CM258" i="7"/>
  <c r="CP23" i="7"/>
  <c r="CT90" i="7"/>
  <c r="CN23" i="7"/>
  <c r="CL107" i="7"/>
  <c r="CT176" i="7"/>
  <c r="CQ291" i="7"/>
  <c r="CO291" i="7"/>
  <c r="CT291" i="7" s="1"/>
  <c r="CT262" i="7"/>
  <c r="CU97" i="7"/>
  <c r="CQ107" i="7"/>
  <c r="CU213" i="7"/>
  <c r="CV81" i="7"/>
  <c r="CO249" i="7"/>
  <c r="CV21" i="7"/>
  <c r="CV305" i="7"/>
  <c r="CV209" i="7"/>
  <c r="CV311" i="7"/>
  <c r="CT59" i="7"/>
  <c r="CU246" i="7"/>
  <c r="CV111" i="7"/>
  <c r="CU21" i="7"/>
  <c r="CU133" i="7"/>
  <c r="CU132" i="7"/>
  <c r="CV230" i="7"/>
  <c r="CU253" i="7"/>
  <c r="CO227" i="7"/>
  <c r="CT227" i="7" s="1"/>
  <c r="CO286" i="7"/>
  <c r="CT286" i="7" s="1"/>
  <c r="CP183" i="7"/>
  <c r="CL123" i="7"/>
  <c r="CN127" i="7"/>
  <c r="CV283" i="7"/>
  <c r="CT46" i="7"/>
  <c r="CV134" i="7"/>
  <c r="CU312" i="7"/>
  <c r="CL227" i="7"/>
  <c r="CM220" i="7"/>
  <c r="CN183" i="7"/>
  <c r="CQ183" i="7"/>
  <c r="CN123" i="7"/>
  <c r="CT123" i="7" s="1"/>
  <c r="CP123" i="7"/>
  <c r="CQ261" i="7"/>
  <c r="CU261" i="7" s="1"/>
  <c r="CN202" i="7"/>
  <c r="CT202" i="7" s="1"/>
  <c r="CS276" i="7"/>
  <c r="CO174" i="7"/>
  <c r="CQ77" i="7"/>
  <c r="CQ112" i="7"/>
  <c r="CL112" i="7"/>
  <c r="CV155" i="7"/>
  <c r="CT17" i="7"/>
  <c r="CU82" i="7"/>
  <c r="CU311" i="7"/>
  <c r="CU43" i="7"/>
  <c r="CP114" i="7"/>
  <c r="CT27" i="7"/>
  <c r="CT223" i="7"/>
  <c r="CV270" i="7"/>
  <c r="CT259" i="7"/>
  <c r="CV272" i="7"/>
  <c r="CV306" i="7"/>
  <c r="CM24" i="7"/>
  <c r="CV314" i="7"/>
  <c r="CU44" i="7"/>
  <c r="CV130" i="7"/>
  <c r="CT205" i="7"/>
  <c r="CL127" i="7"/>
  <c r="CT57" i="7"/>
  <c r="CT238" i="7"/>
  <c r="CV280" i="7"/>
  <c r="CS220" i="7"/>
  <c r="CO183" i="7"/>
  <c r="CR123" i="7"/>
  <c r="CP101" i="7"/>
  <c r="CL77" i="7"/>
  <c r="CN112" i="7"/>
  <c r="CT237" i="7"/>
  <c r="CV233" i="7"/>
  <c r="CT130" i="7"/>
  <c r="CQ227" i="7"/>
  <c r="CM227" i="7"/>
  <c r="CP227" i="7"/>
  <c r="CQ68" i="7"/>
  <c r="CL183" i="7"/>
  <c r="CS123" i="7"/>
  <c r="CS261" i="7"/>
  <c r="CR250" i="7"/>
  <c r="CL202" i="7"/>
  <c r="CM276" i="7"/>
  <c r="CP174" i="7"/>
  <c r="CP156" i="7"/>
  <c r="CS112" i="7"/>
  <c r="CV112" i="7" s="1"/>
  <c r="CQ210" i="7"/>
  <c r="CP112" i="7"/>
  <c r="CO112" i="7"/>
  <c r="CU226" i="7"/>
  <c r="CV241" i="7"/>
  <c r="CU274" i="7"/>
  <c r="CU217" i="7"/>
  <c r="CU221" i="7"/>
  <c r="CT265" i="7"/>
  <c r="CV294" i="7"/>
  <c r="CU295" i="7"/>
  <c r="CT294" i="7"/>
  <c r="CU39" i="7"/>
  <c r="CU73" i="7"/>
  <c r="CU147" i="7"/>
  <c r="CU205" i="7"/>
  <c r="CV59" i="7"/>
  <c r="CU72" i="7"/>
  <c r="CV89" i="7"/>
  <c r="CT47" i="7"/>
  <c r="CU280" i="7"/>
  <c r="CT289" i="7"/>
  <c r="CM68" i="7"/>
  <c r="CQ286" i="7"/>
  <c r="CS77" i="7"/>
  <c r="CL156" i="7"/>
  <c r="CU233" i="7"/>
  <c r="CM127" i="7"/>
  <c r="CT292" i="7"/>
  <c r="CU267" i="7"/>
  <c r="CR49" i="7"/>
  <c r="CU119" i="7"/>
  <c r="CT52" i="7"/>
  <c r="CL24" i="7"/>
  <c r="CV19" i="7"/>
  <c r="CT50" i="7"/>
  <c r="CL220" i="7"/>
  <c r="CR220" i="7"/>
  <c r="CS68" i="7"/>
  <c r="CP286" i="7"/>
  <c r="CU286" i="7" s="1"/>
  <c r="CR286" i="7"/>
  <c r="CV286" i="7" s="1"/>
  <c r="CR261" i="7"/>
  <c r="CV261" i="7" s="1"/>
  <c r="CM261" i="7"/>
  <c r="CS250" i="7"/>
  <c r="CV250" i="7" s="1"/>
  <c r="CP250" i="7"/>
  <c r="CU250" i="7" s="1"/>
  <c r="CQ202" i="7"/>
  <c r="CP202" i="7"/>
  <c r="CN276" i="7"/>
  <c r="CP276" i="7"/>
  <c r="CU276" i="7" s="1"/>
  <c r="CR101" i="7"/>
  <c r="CQ101" i="7"/>
  <c r="CQ174" i="7"/>
  <c r="CN174" i="7"/>
  <c r="CT174" i="7" s="1"/>
  <c r="CO145" i="7"/>
  <c r="CN77" i="7"/>
  <c r="CO156" i="7"/>
  <c r="CT156" i="7" s="1"/>
  <c r="CQ156" i="7"/>
  <c r="CV284" i="7"/>
  <c r="CN210" i="7"/>
  <c r="CU20" i="7"/>
  <c r="CL114" i="7"/>
  <c r="CM114" i="7"/>
  <c r="CT283" i="7"/>
  <c r="CM210" i="7"/>
  <c r="CT75" i="7"/>
  <c r="CT172" i="7"/>
  <c r="CT22" i="7"/>
  <c r="CN114" i="7"/>
  <c r="CT114" i="7" s="1"/>
  <c r="CR285" i="7"/>
  <c r="CU170" i="7"/>
  <c r="CT56" i="7"/>
  <c r="CU191" i="7"/>
  <c r="CP210" i="7"/>
  <c r="CU210" i="7" s="1"/>
  <c r="CV108" i="7"/>
  <c r="CT19" i="7"/>
  <c r="CU154" i="7"/>
  <c r="CN220" i="7"/>
  <c r="CT220" i="7" s="1"/>
  <c r="CP220" i="7"/>
  <c r="CL286" i="7"/>
  <c r="CN250" i="7"/>
  <c r="CM250" i="7"/>
  <c r="CS101" i="7"/>
  <c r="CM101" i="7"/>
  <c r="CS174" i="7"/>
  <c r="CL174" i="7"/>
  <c r="CP145" i="7"/>
  <c r="CU145" i="7" s="1"/>
  <c r="CP77" i="7"/>
  <c r="CS156" i="7"/>
  <c r="CR114" i="7"/>
  <c r="CV208" i="7"/>
  <c r="CT82" i="7"/>
  <c r="CV187" i="7"/>
  <c r="CN49" i="7"/>
  <c r="CT49" i="7" s="1"/>
  <c r="CV269" i="7"/>
  <c r="CU130" i="7"/>
  <c r="CN24" i="7"/>
  <c r="CT24" i="7" s="1"/>
  <c r="CT108" i="7"/>
  <c r="CU89" i="7"/>
  <c r="CQ220" i="7"/>
  <c r="CM286" i="7"/>
  <c r="CN261" i="7"/>
  <c r="CT261" i="7" s="1"/>
  <c r="CO250" i="7"/>
  <c r="CR202" i="7"/>
  <c r="CV202" i="7" s="1"/>
  <c r="CO276" i="7"/>
  <c r="CT276" i="7" s="1"/>
  <c r="CO101" i="7"/>
  <c r="CT101" i="7" s="1"/>
  <c r="CR174" i="7"/>
  <c r="CL145" i="7"/>
  <c r="CR77" i="7"/>
  <c r="CO77" i="7"/>
  <c r="CR156" i="7"/>
  <c r="CS210" i="7"/>
  <c r="CR210" i="7"/>
  <c r="CV12" i="7"/>
  <c r="CU17" i="7"/>
  <c r="CR127" i="7"/>
  <c r="CT188" i="7"/>
  <c r="CO210" i="7"/>
  <c r="CQ285" i="7"/>
  <c r="CU298" i="7"/>
  <c r="CS285" i="7"/>
  <c r="CV177" i="7"/>
  <c r="CT154" i="7"/>
  <c r="CV10" i="7"/>
  <c r="CV78" i="7"/>
  <c r="CP24" i="7"/>
  <c r="CV56" i="7"/>
  <c r="CS24" i="7"/>
  <c r="CV100" i="7"/>
  <c r="CV136" i="7"/>
  <c r="CV176" i="7"/>
  <c r="CV142" i="7"/>
  <c r="CV53" i="7"/>
  <c r="CV61" i="7"/>
  <c r="CV165" i="7"/>
  <c r="CT34" i="7"/>
  <c r="CV22" i="7"/>
  <c r="CT78" i="7"/>
  <c r="CU149" i="7"/>
  <c r="CT167" i="7"/>
  <c r="CT197" i="7"/>
  <c r="CU34" i="7"/>
  <c r="CT30" i="7"/>
  <c r="CO158" i="7"/>
  <c r="CR180" i="7"/>
  <c r="CQ35" i="7"/>
  <c r="CU65" i="7"/>
  <c r="CV11" i="7"/>
  <c r="CV189" i="7"/>
  <c r="CO159" i="7"/>
  <c r="CT159" i="7" s="1"/>
  <c r="CP67" i="7"/>
  <c r="CS58" i="7"/>
  <c r="CV58" i="7" s="1"/>
  <c r="CM158" i="7"/>
  <c r="CM85" i="7"/>
  <c r="CU52" i="7"/>
  <c r="CT147" i="7"/>
  <c r="CQ159" i="7"/>
  <c r="CT144" i="7"/>
  <c r="CQ69" i="7"/>
  <c r="CL58" i="7"/>
  <c r="CT45" i="7"/>
  <c r="CU117" i="7"/>
  <c r="CT54" i="7"/>
  <c r="CT15" i="7"/>
  <c r="CU37" i="7"/>
  <c r="CU160" i="7"/>
  <c r="CU71" i="7"/>
  <c r="CT113" i="7"/>
  <c r="CV55" i="7"/>
  <c r="CU13" i="7"/>
  <c r="CV195" i="7"/>
  <c r="CV151" i="7"/>
  <c r="CV118" i="7"/>
  <c r="CT187" i="7"/>
  <c r="CO74" i="7"/>
  <c r="CV14" i="7"/>
  <c r="CV194" i="7"/>
  <c r="CT194" i="7"/>
  <c r="CV28" i="7"/>
  <c r="CU121" i="7"/>
  <c r="CT37" i="7"/>
  <c r="CU148" i="7"/>
  <c r="CP159" i="7"/>
  <c r="CS159" i="7"/>
  <c r="CL159" i="7"/>
  <c r="CL67" i="7"/>
  <c r="CO69" i="7"/>
  <c r="CO91" i="7"/>
  <c r="CM58" i="7"/>
  <c r="CN58" i="7"/>
  <c r="CR158" i="7"/>
  <c r="CP158" i="7"/>
  <c r="CS85" i="7"/>
  <c r="CQ180" i="7"/>
  <c r="CU155" i="7"/>
  <c r="CN180" i="7"/>
  <c r="CP180" i="7"/>
  <c r="CO180" i="7"/>
  <c r="CV29" i="7"/>
  <c r="CS74" i="7"/>
  <c r="CV74" i="7" s="1"/>
  <c r="CN67" i="7"/>
  <c r="CP69" i="7"/>
  <c r="CS91" i="7"/>
  <c r="CQ58" i="7"/>
  <c r="CP58" i="7"/>
  <c r="CN158" i="7"/>
  <c r="CS158" i="7"/>
  <c r="CR85" i="7"/>
  <c r="CO35" i="7"/>
  <c r="CL180" i="7"/>
  <c r="CT40" i="7"/>
  <c r="CS180" i="7"/>
  <c r="CO98" i="7"/>
  <c r="CT150" i="7"/>
  <c r="CL98" i="7"/>
  <c r="CU41" i="7"/>
  <c r="CP98" i="7"/>
  <c r="CT39" i="7"/>
  <c r="CU197" i="7"/>
  <c r="CR159" i="7"/>
  <c r="CV159" i="7" s="1"/>
  <c r="CO67" i="7"/>
  <c r="CM69" i="7"/>
  <c r="CQ91" i="7"/>
  <c r="CU91" i="7" s="1"/>
  <c r="CO58" i="7"/>
  <c r="CQ158" i="7"/>
  <c r="CL85" i="7"/>
  <c r="CM35" i="7"/>
  <c r="CV188" i="7"/>
  <c r="CU181" i="7"/>
  <c r="CU78" i="7"/>
  <c r="CR98" i="7"/>
  <c r="CV98" i="7" s="1"/>
  <c r="CQ98" i="7"/>
  <c r="CV39" i="7"/>
  <c r="CV83" i="7"/>
  <c r="CV46" i="7"/>
  <c r="CU190" i="7"/>
  <c r="CU42" i="7"/>
  <c r="CR64" i="7"/>
  <c r="CT155" i="7"/>
  <c r="CP99" i="7"/>
  <c r="CT12" i="7"/>
  <c r="CT42" i="7"/>
  <c r="CQ152" i="7"/>
  <c r="CU152" i="7" s="1"/>
  <c r="CV16" i="7"/>
  <c r="CV167" i="7"/>
  <c r="CT132" i="7"/>
  <c r="CV197" i="7"/>
  <c r="CU83" i="7"/>
  <c r="CP184" i="7"/>
  <c r="CN152" i="7"/>
  <c r="CV103" i="7"/>
  <c r="CS184" i="7"/>
  <c r="CQ99" i="7"/>
  <c r="CL79" i="7"/>
  <c r="CM152" i="7"/>
  <c r="CL152" i="7"/>
  <c r="CT96" i="7"/>
  <c r="CV132" i="7"/>
  <c r="CT44" i="7"/>
  <c r="CO116" i="7"/>
  <c r="CN184" i="7"/>
  <c r="CO99" i="7"/>
  <c r="CS79" i="7"/>
  <c r="CS152" i="7"/>
  <c r="CO152" i="7"/>
  <c r="CM79" i="7"/>
  <c r="CU179" i="7"/>
  <c r="CO79" i="7"/>
  <c r="CT79" i="7" s="1"/>
  <c r="CS104" i="7"/>
  <c r="CQ79" i="7"/>
  <c r="CR79" i="7"/>
  <c r="CT111" i="7"/>
  <c r="CM184" i="7"/>
  <c r="CN99" i="7"/>
  <c r="CT99" i="7" s="1"/>
  <c r="CR152" i="7"/>
  <c r="CR196" i="7"/>
  <c r="CU23" i="7"/>
  <c r="CU199" i="7"/>
  <c r="CU126" i="7"/>
  <c r="CP79" i="7"/>
  <c r="CT95" i="7"/>
  <c r="CT73" i="7"/>
  <c r="CU138" i="7"/>
  <c r="CV27" i="7"/>
  <c r="CV34" i="7"/>
  <c r="CT84" i="7"/>
  <c r="CT71" i="7"/>
  <c r="CU165" i="7"/>
  <c r="CV264" i="7"/>
  <c r="CV154" i="7"/>
  <c r="CT191" i="7"/>
  <c r="CV190" i="7"/>
  <c r="CM104" i="7"/>
  <c r="CL104" i="7"/>
  <c r="CR104" i="7"/>
  <c r="CN104" i="7"/>
  <c r="CO104" i="7"/>
  <c r="CS76" i="7"/>
  <c r="CO76" i="7"/>
  <c r="CM76" i="7"/>
  <c r="CN76" i="7"/>
  <c r="CR76" i="7"/>
  <c r="CV76" i="7" s="1"/>
  <c r="CQ76" i="7"/>
  <c r="CR8" i="7"/>
  <c r="CM8" i="7"/>
  <c r="CS8" i="7"/>
  <c r="CP8" i="7"/>
  <c r="CQ64" i="7"/>
  <c r="CL64" i="7"/>
  <c r="CP64" i="7"/>
  <c r="CM64" i="7"/>
  <c r="CS64" i="7"/>
  <c r="CL8" i="7"/>
  <c r="CV88" i="7"/>
  <c r="CU45" i="7"/>
  <c r="CP104" i="7"/>
  <c r="CU104" i="7" s="1"/>
  <c r="CU175" i="7"/>
  <c r="CU18" i="7"/>
  <c r="CU157" i="7"/>
  <c r="CS49" i="7"/>
  <c r="CQ49" i="7"/>
  <c r="CP49" i="7"/>
  <c r="CM49" i="7"/>
  <c r="CL49" i="7"/>
  <c r="CO68" i="7"/>
  <c r="CN68" i="7"/>
  <c r="CR68" i="7"/>
  <c r="CP68" i="7"/>
  <c r="CT157" i="7"/>
  <c r="CM196" i="7"/>
  <c r="CS196" i="7"/>
  <c r="CV196" i="7" s="1"/>
  <c r="CN196" i="7"/>
  <c r="CQ196" i="7"/>
  <c r="CP196" i="7"/>
  <c r="CN8" i="7"/>
  <c r="CT8" i="7" s="1"/>
  <c r="CO196" i="7"/>
  <c r="CT142" i="7"/>
  <c r="CV148" i="7"/>
  <c r="CP115" i="7"/>
  <c r="CO115" i="7"/>
  <c r="CQ115" i="7"/>
  <c r="CL115" i="7"/>
  <c r="CS166" i="7"/>
  <c r="CP166" i="7"/>
  <c r="CU166" i="7" s="1"/>
  <c r="CR166" i="7"/>
  <c r="CL166" i="7"/>
  <c r="CS23" i="7"/>
  <c r="CO23" i="7"/>
  <c r="CR23" i="7"/>
  <c r="CP110" i="7"/>
  <c r="CL110" i="7"/>
  <c r="CR110" i="7"/>
  <c r="CS110" i="7"/>
  <c r="CQ110" i="7"/>
  <c r="CS116" i="7"/>
  <c r="CR116" i="7"/>
  <c r="CQ116" i="7"/>
  <c r="CL116" i="7"/>
  <c r="CN31" i="7"/>
  <c r="CO31" i="7"/>
  <c r="CL31" i="7"/>
  <c r="CQ31" i="7"/>
  <c r="CP31" i="7"/>
  <c r="CR31" i="7"/>
  <c r="CN116" i="7"/>
  <c r="CN64" i="7"/>
  <c r="CP116" i="7"/>
  <c r="CQ8" i="7"/>
  <c r="CL76" i="7"/>
  <c r="CO64" i="7"/>
  <c r="CM110" i="7"/>
  <c r="CO110" i="7"/>
  <c r="CT110" i="7" s="1"/>
  <c r="CU59" i="7"/>
  <c r="CQ184" i="7"/>
  <c r="CO184" i="7"/>
  <c r="CR99" i="7"/>
  <c r="CV99" i="7" s="1"/>
  <c r="CM99" i="7"/>
  <c r="CS67" i="7"/>
  <c r="CQ67" i="7"/>
  <c r="CL69" i="7"/>
  <c r="CS69" i="7"/>
  <c r="CV69" i="7" s="1"/>
  <c r="CL91" i="7"/>
  <c r="CN91" i="7"/>
  <c r="CN145" i="7"/>
  <c r="CS145" i="7"/>
  <c r="CO85" i="7"/>
  <c r="CP85" i="7"/>
  <c r="CN35" i="7"/>
  <c r="CV169" i="7"/>
  <c r="CP35" i="7"/>
  <c r="CP127" i="7"/>
  <c r="CQ127" i="7"/>
  <c r="CU127" i="7" s="1"/>
  <c r="CU75" i="7"/>
  <c r="CO127" i="7"/>
  <c r="CV15" i="7"/>
  <c r="CU107" i="7"/>
  <c r="CU173" i="7"/>
  <c r="CU177" i="7"/>
  <c r="CN74" i="7"/>
  <c r="CU56" i="7"/>
  <c r="CR24" i="7"/>
  <c r="CN98" i="7"/>
  <c r="CL184" i="7"/>
  <c r="CL99" i="7"/>
  <c r="CR67" i="7"/>
  <c r="CN69" i="7"/>
  <c r="CT69" i="7" s="1"/>
  <c r="CR91" i="7"/>
  <c r="CR145" i="7"/>
  <c r="CN85" i="7"/>
  <c r="CV25" i="7"/>
  <c r="CR35" i="7"/>
  <c r="CV186" i="7"/>
  <c r="CV70" i="7"/>
  <c r="CL35" i="7"/>
  <c r="CT28" i="7"/>
  <c r="CU93" i="7"/>
  <c r="CU11" i="7"/>
  <c r="CT55" i="7"/>
  <c r="CV4" i="7"/>
  <c r="CQ24" i="7"/>
  <c r="CM74" i="7"/>
  <c r="CM98" i="7"/>
  <c r="CP74" i="7"/>
  <c r="CL74" i="7"/>
  <c r="CQ74" i="7"/>
  <c r="CU61" i="7"/>
  <c r="CV223" i="7"/>
  <c r="CU150" i="7"/>
  <c r="CV128" i="7"/>
  <c r="CU25" i="7"/>
  <c r="CU164" i="7"/>
  <c r="CT107" i="7"/>
  <c r="CT129" i="7"/>
  <c r="CT5" i="7"/>
  <c r="CT117" i="7"/>
  <c r="CT41" i="7"/>
  <c r="CV178" i="7"/>
  <c r="CV54" i="7"/>
  <c r="CT182" i="7"/>
  <c r="CT181" i="7"/>
  <c r="CT242" i="7"/>
  <c r="CV299" i="7"/>
  <c r="CT151" i="7"/>
  <c r="CV93" i="7"/>
  <c r="CV265" i="7"/>
  <c r="CV73" i="7"/>
  <c r="CS114" i="7"/>
  <c r="CV126" i="7"/>
  <c r="CQ114" i="7"/>
  <c r="CU303" i="7"/>
  <c r="CU192" i="7"/>
  <c r="CT26" i="7"/>
  <c r="CV313" i="7"/>
  <c r="CV296" i="7"/>
  <c r="CV200" i="7"/>
  <c r="CT312" i="7"/>
  <c r="CT285" i="7"/>
  <c r="CV226" i="7"/>
  <c r="CT126" i="7"/>
  <c r="CU19" i="7"/>
  <c r="CU15" i="7"/>
  <c r="CU94" i="7"/>
  <c r="CT217" i="7"/>
  <c r="CU268" i="7"/>
  <c r="CV268" i="7"/>
  <c r="CV121" i="7"/>
  <c r="CV259" i="7"/>
  <c r="CU299" i="7"/>
  <c r="CT267" i="7"/>
  <c r="CU204" i="7"/>
  <c r="CU70" i="7"/>
  <c r="CT29" i="7"/>
  <c r="CU100" i="7"/>
  <c r="CS31" i="7"/>
  <c r="CV227" i="7"/>
  <c r="CJ102" i="7"/>
  <c r="CN102" i="7" s="1"/>
  <c r="CK33" i="7"/>
  <c r="CJ33" i="7"/>
  <c r="CU258" i="7"/>
  <c r="CK48" i="7"/>
  <c r="CJ48" i="7"/>
  <c r="CT299" i="7"/>
  <c r="CT135" i="7"/>
  <c r="CV66" i="7"/>
  <c r="CT173" i="7"/>
  <c r="CT163" i="7"/>
  <c r="CT13" i="7"/>
  <c r="CT97" i="7"/>
  <c r="CU189" i="7"/>
  <c r="CU151" i="7"/>
  <c r="CV119" i="7"/>
  <c r="CV170" i="7"/>
  <c r="CU40" i="7"/>
  <c r="CV179" i="7"/>
  <c r="CT149" i="7"/>
  <c r="CU242" i="7"/>
  <c r="CU16" i="7"/>
  <c r="CU142" i="7"/>
  <c r="CT121" i="7"/>
  <c r="CV42" i="7"/>
  <c r="CU275" i="7"/>
  <c r="CU223" i="7"/>
  <c r="CV92" i="7"/>
  <c r="CT256" i="7"/>
  <c r="CT93" i="7"/>
  <c r="CT313" i="7"/>
  <c r="CV191" i="7"/>
  <c r="CU296" i="7"/>
  <c r="CV275" i="7"/>
  <c r="CT119" i="7"/>
  <c r="CT231" i="7"/>
  <c r="CT193" i="7"/>
  <c r="CU297" i="7"/>
  <c r="CV309" i="7"/>
  <c r="CU200" i="7"/>
  <c r="CV38" i="7"/>
  <c r="CT148" i="7"/>
  <c r="CT195" i="7"/>
  <c r="CU163" i="7"/>
  <c r="CV273" i="7"/>
  <c r="CV243" i="7"/>
  <c r="CT243" i="7"/>
  <c r="CT94" i="7"/>
  <c r="CV175" i="7"/>
  <c r="CT106" i="7"/>
  <c r="CV255" i="7"/>
  <c r="CT247" i="7"/>
  <c r="CV160" i="7"/>
  <c r="CU81" i="7"/>
  <c r="CV211" i="7"/>
  <c r="CU294" i="7"/>
  <c r="CT213" i="7"/>
  <c r="CU255" i="7"/>
  <c r="CT264" i="7"/>
  <c r="CV7" i="7"/>
  <c r="CV65" i="7"/>
  <c r="CT138" i="7"/>
  <c r="CU219" i="7"/>
  <c r="CV199" i="7"/>
  <c r="CU237" i="7"/>
  <c r="CV18" i="7"/>
  <c r="CT305" i="7"/>
  <c r="CV106" i="7"/>
  <c r="CV96" i="7"/>
  <c r="CV133" i="7"/>
  <c r="CV147" i="7"/>
  <c r="CT304" i="7"/>
  <c r="CU32" i="7"/>
  <c r="CU270" i="7"/>
  <c r="CU262" i="7"/>
  <c r="CT254" i="7"/>
  <c r="CT290" i="7"/>
  <c r="CV149" i="7"/>
  <c r="CT162" i="7"/>
  <c r="CU129" i="7"/>
  <c r="CT199" i="7"/>
  <c r="CU240" i="7"/>
  <c r="CU198" i="7"/>
  <c r="CU278" i="7"/>
  <c r="CV135" i="7"/>
  <c r="CT175" i="7"/>
  <c r="CV267" i="7"/>
  <c r="CT18" i="7"/>
  <c r="CU38" i="7"/>
  <c r="CU7" i="7"/>
  <c r="CU251" i="7"/>
  <c r="CV292" i="7"/>
  <c r="CT70" i="7"/>
  <c r="CV298" i="7"/>
  <c r="CU10" i="7"/>
  <c r="CT65" i="7"/>
  <c r="CV274" i="7"/>
  <c r="CU76" i="7"/>
  <c r="CU306" i="7"/>
  <c r="CT272" i="7"/>
  <c r="CT11" i="7"/>
  <c r="CV13" i="7"/>
  <c r="CU4" i="7"/>
  <c r="CV257" i="7"/>
  <c r="CV60" i="7"/>
  <c r="CT236" i="7"/>
  <c r="CU92" i="7"/>
  <c r="CU167" i="7"/>
  <c r="CV162" i="7"/>
  <c r="CU113" i="7"/>
  <c r="CU62" i="7"/>
  <c r="CV244" i="7"/>
  <c r="CT222" i="7"/>
  <c r="CU264" i="7"/>
  <c r="CT161" i="7"/>
  <c r="CT92" i="7"/>
  <c r="CU63" i="7"/>
  <c r="CU304" i="7"/>
  <c r="CT311" i="7"/>
  <c r="CV263" i="7"/>
  <c r="CT134" i="7"/>
  <c r="CV51" i="7"/>
  <c r="CT146" i="7"/>
  <c r="CV290" i="7"/>
  <c r="CV287" i="7"/>
  <c r="CV35" i="7"/>
  <c r="CU193" i="7"/>
  <c r="CV278" i="7"/>
  <c r="CT120" i="7"/>
  <c r="CU176" i="7"/>
  <c r="CU28" i="7"/>
  <c r="CT204" i="7"/>
  <c r="CU146" i="7"/>
  <c r="CT109" i="7"/>
  <c r="CU9" i="7"/>
  <c r="CV90" i="7"/>
  <c r="CU172" i="7"/>
  <c r="CT251" i="7"/>
  <c r="CT169" i="7"/>
  <c r="CU109" i="7"/>
  <c r="CV271" i="7"/>
  <c r="CV181" i="7"/>
  <c r="CT275" i="7"/>
  <c r="CV84" i="7"/>
  <c r="CU272" i="7"/>
  <c r="CT160" i="7"/>
  <c r="CV50" i="7"/>
  <c r="CU169" i="7"/>
  <c r="CV193" i="7"/>
  <c r="CT128" i="7"/>
  <c r="CU178" i="7"/>
  <c r="CT171" i="7"/>
  <c r="CU96" i="7"/>
  <c r="CU143" i="7"/>
  <c r="CV127" i="7"/>
  <c r="CT296" i="7"/>
  <c r="CV75" i="7"/>
  <c r="CT165" i="7"/>
  <c r="CU182" i="7"/>
  <c r="CU229" i="7"/>
  <c r="CV138" i="7"/>
  <c r="CU26" i="7"/>
  <c r="CV173" i="7"/>
  <c r="CT170" i="7"/>
  <c r="CT229" i="7"/>
  <c r="CV5" i="7"/>
  <c r="CT269" i="7"/>
  <c r="CV308" i="7"/>
  <c r="CT252" i="7"/>
  <c r="CR260" i="7"/>
  <c r="CU120" i="7"/>
  <c r="CV212" i="7"/>
  <c r="CU53" i="7"/>
  <c r="CU128" i="7"/>
  <c r="CV204" i="7"/>
  <c r="CV129" i="7"/>
  <c r="CT164" i="7"/>
  <c r="CT208" i="7"/>
  <c r="CV17" i="7"/>
  <c r="CU171" i="7"/>
  <c r="CT219" i="7"/>
  <c r="CU302" i="7"/>
  <c r="CU103" i="7"/>
  <c r="CV45" i="7"/>
  <c r="CV146" i="7"/>
  <c r="CT258" i="7"/>
  <c r="CT124" i="7"/>
  <c r="CU281" i="7"/>
  <c r="CV218" i="7"/>
  <c r="CV266" i="7"/>
  <c r="CU106" i="7"/>
  <c r="CV172" i="7"/>
  <c r="CV26" i="7"/>
  <c r="CU90" i="7"/>
  <c r="CT189" i="7"/>
  <c r="CU5" i="7"/>
  <c r="CU247" i="7"/>
  <c r="CU292" i="7"/>
  <c r="CT103" i="7"/>
  <c r="CV256" i="7"/>
  <c r="CT281" i="7"/>
  <c r="CT141" i="7"/>
  <c r="CU135" i="7"/>
  <c r="CT298" i="7"/>
  <c r="CU60" i="7"/>
  <c r="CT273" i="7"/>
  <c r="CU137" i="7"/>
  <c r="CT287" i="7"/>
  <c r="CV192" i="7"/>
  <c r="CV120" i="7"/>
  <c r="CV198" i="7"/>
  <c r="CU86" i="7"/>
  <c r="CV43" i="7"/>
  <c r="CR102" i="7"/>
  <c r="CV245" i="7"/>
  <c r="CV124" i="7"/>
  <c r="CV141" i="7"/>
  <c r="CU241" i="7"/>
  <c r="CV40" i="7"/>
  <c r="CT100" i="7"/>
  <c r="CT133" i="7"/>
  <c r="CV249" i="7"/>
  <c r="CT232" i="7"/>
  <c r="CV302" i="7"/>
  <c r="CT25" i="7"/>
  <c r="CT9" i="7"/>
  <c r="CT284" i="7"/>
  <c r="CT38" i="7"/>
  <c r="CV164" i="7"/>
  <c r="CT303" i="7"/>
  <c r="CU212" i="7"/>
  <c r="CV32" i="7"/>
  <c r="CU282" i="7"/>
  <c r="CU313" i="7"/>
  <c r="CT53" i="7"/>
  <c r="CT301" i="7"/>
  <c r="CT212" i="7"/>
  <c r="CU284" i="7"/>
  <c r="CT178" i="7"/>
  <c r="CT263" i="7"/>
  <c r="CU308" i="7"/>
  <c r="CU27" i="7"/>
  <c r="CO102" i="7"/>
  <c r="CV153" i="7"/>
  <c r="CU307" i="7"/>
  <c r="CT122" i="7"/>
  <c r="CV258" i="7"/>
  <c r="CV109" i="7"/>
  <c r="CU254" i="7"/>
  <c r="CV216" i="7"/>
  <c r="CU140" i="7"/>
  <c r="CU290" i="7"/>
  <c r="CU309" i="7"/>
  <c r="CU12" i="7"/>
  <c r="CV161" i="7"/>
  <c r="CV171" i="7"/>
  <c r="CT278" i="7"/>
  <c r="CV254" i="7"/>
  <c r="CT218" i="7"/>
  <c r="CU206" i="7"/>
  <c r="CT88" i="7"/>
  <c r="CV219" i="7"/>
  <c r="CT136" i="7"/>
  <c r="CU54" i="7"/>
  <c r="CT10" i="7"/>
  <c r="CU231" i="7"/>
  <c r="CT143" i="7"/>
  <c r="CV201" i="7"/>
  <c r="CU22" i="7"/>
  <c r="CT200" i="7"/>
  <c r="CT4" i="7"/>
  <c r="CT192" i="7"/>
  <c r="CV297" i="7"/>
  <c r="CU208" i="7"/>
  <c r="CT201" i="7"/>
  <c r="CT302" i="7"/>
  <c r="CT198" i="7"/>
  <c r="CV86" i="7"/>
  <c r="CU248" i="7"/>
  <c r="CV140" i="7"/>
  <c r="CT62" i="7"/>
  <c r="CV303" i="7"/>
  <c r="CT179" i="7"/>
  <c r="CV117" i="7"/>
  <c r="CU232" i="7"/>
  <c r="CV131" i="7"/>
  <c r="CU283" i="7"/>
  <c r="CT248" i="7"/>
  <c r="CV184" i="7"/>
  <c r="CV307" i="7"/>
  <c r="CU277" i="7"/>
  <c r="CV123" i="7"/>
  <c r="CU85" i="7"/>
  <c r="CU207" i="7"/>
  <c r="CU125" i="7"/>
  <c r="CU228" i="7"/>
  <c r="CU131" i="7"/>
  <c r="CV282" i="7"/>
  <c r="CV82" i="7"/>
  <c r="CV281" i="7"/>
  <c r="CV125" i="7"/>
  <c r="CV215" i="7"/>
  <c r="CT228" i="7"/>
  <c r="CU288" i="7"/>
  <c r="CU124" i="7"/>
  <c r="CT225" i="7"/>
  <c r="CU136" i="7"/>
  <c r="CV185" i="7"/>
  <c r="CT239" i="7"/>
  <c r="CT207" i="7"/>
  <c r="CV207" i="7"/>
  <c r="CU139" i="7"/>
  <c r="CU287" i="7"/>
  <c r="CT131" i="7"/>
  <c r="CT288" i="7"/>
  <c r="CT186" i="7"/>
  <c r="CV232" i="7"/>
  <c r="CV139" i="7"/>
  <c r="CV288" i="7"/>
  <c r="CT277" i="7"/>
  <c r="CV80" i="7"/>
  <c r="CU186" i="7"/>
  <c r="CU203" i="7"/>
  <c r="CV3" i="7"/>
  <c r="CP234" i="7"/>
  <c r="CS234" i="7"/>
  <c r="CN234" i="7"/>
  <c r="CM234" i="7"/>
  <c r="CL234" i="7"/>
  <c r="CO234" i="7"/>
  <c r="CR234" i="7"/>
  <c r="CQ234" i="7"/>
  <c r="CU218" i="7"/>
  <c r="CU162" i="7"/>
  <c r="CV137" i="7"/>
  <c r="CV228" i="7"/>
  <c r="CP260" i="7"/>
  <c r="CU260" i="7" s="1"/>
  <c r="CT80" i="7"/>
  <c r="CT307" i="7"/>
  <c r="CU3" i="7"/>
  <c r="CT3" i="7"/>
  <c r="CT137" i="7"/>
  <c r="CT140" i="7"/>
  <c r="CT139" i="7"/>
  <c r="CO260" i="7"/>
  <c r="CM260" i="7"/>
  <c r="CS260" i="7"/>
  <c r="CU215" i="7"/>
  <c r="CV277" i="7"/>
  <c r="CT125" i="7"/>
  <c r="CL260" i="7"/>
  <c r="CU80" i="7"/>
  <c r="CN260" i="7"/>
  <c r="CT260" i="7" s="1"/>
  <c r="CT87" i="7"/>
  <c r="CT63" i="7"/>
  <c r="CS105" i="7"/>
  <c r="CO105" i="7"/>
  <c r="CL105" i="7"/>
  <c r="CQ105" i="7"/>
  <c r="CR105" i="7"/>
  <c r="CP105" i="7"/>
  <c r="CN105" i="7"/>
  <c r="CM105" i="7"/>
  <c r="CU293" i="7"/>
  <c r="CT293" i="7"/>
  <c r="CT235" i="7"/>
  <c r="CU183" i="7"/>
  <c r="CU122" i="7"/>
  <c r="CT166" i="7"/>
  <c r="CU235" i="7"/>
  <c r="CU123" i="7"/>
  <c r="CT203" i="7"/>
  <c r="CV115" i="7"/>
  <c r="CU185" i="7"/>
  <c r="CN36" i="7"/>
  <c r="CM36" i="7"/>
  <c r="CS36" i="7"/>
  <c r="CP36" i="7"/>
  <c r="CQ36" i="7"/>
  <c r="CR36" i="7"/>
  <c r="CL36" i="7"/>
  <c r="CO36" i="7"/>
  <c r="CV144" i="7"/>
  <c r="CU279" i="7"/>
  <c r="CT279" i="7"/>
  <c r="CU153" i="7"/>
  <c r="CU51" i="7"/>
  <c r="CU87" i="7"/>
  <c r="CV63" i="7"/>
  <c r="CV279" i="7"/>
  <c r="CU50" i="7"/>
  <c r="CV222" i="7"/>
  <c r="CT51" i="7"/>
  <c r="CV203" i="7" l="1"/>
  <c r="S23" i="6"/>
  <c r="CU220" i="7"/>
  <c r="CT152" i="7"/>
  <c r="CV276" i="7"/>
  <c r="R24" i="6"/>
  <c r="S24" i="6" s="1"/>
  <c r="Q24" i="6"/>
  <c r="P25" i="6"/>
  <c r="CU101" i="7"/>
  <c r="CU77" i="7"/>
  <c r="CV239" i="7"/>
  <c r="CV235" i="7"/>
  <c r="CV224" i="7"/>
  <c r="CV105" i="7"/>
  <c r="CV285" i="7"/>
  <c r="CV210" i="7"/>
  <c r="CU291" i="7"/>
  <c r="CU285" i="7"/>
  <c r="CT249" i="7"/>
  <c r="CT23" i="7"/>
  <c r="CT115" i="7"/>
  <c r="CU98" i="7"/>
  <c r="CU58" i="7"/>
  <c r="CT91" i="7"/>
  <c r="CV77" i="7"/>
  <c r="CV156" i="7"/>
  <c r="CV174" i="7"/>
  <c r="CT250" i="7"/>
  <c r="CU174" i="7"/>
  <c r="CU227" i="7"/>
  <c r="CT112" i="7"/>
  <c r="CT183" i="7"/>
  <c r="CU24" i="7"/>
  <c r="CU114" i="7"/>
  <c r="CT98" i="7"/>
  <c r="CT127" i="7"/>
  <c r="CU35" i="7"/>
  <c r="CT64" i="7"/>
  <c r="CU64" i="7"/>
  <c r="CU156" i="7"/>
  <c r="CU112" i="7"/>
  <c r="CV24" i="7"/>
  <c r="CU68" i="7"/>
  <c r="CV49" i="7"/>
  <c r="CT145" i="7"/>
  <c r="CV101" i="7"/>
  <c r="CU202" i="7"/>
  <c r="CV220" i="7"/>
  <c r="CV260" i="7"/>
  <c r="CV68" i="7"/>
  <c r="CV85" i="7"/>
  <c r="CU159" i="7"/>
  <c r="CV180" i="7"/>
  <c r="CT77" i="7"/>
  <c r="CV114" i="7"/>
  <c r="CP102" i="7"/>
  <c r="CS102" i="7"/>
  <c r="CV102" i="7" s="1"/>
  <c r="CM102" i="7"/>
  <c r="CT35" i="7"/>
  <c r="CV8" i="7"/>
  <c r="CU99" i="7"/>
  <c r="CQ102" i="7"/>
  <c r="CU158" i="7"/>
  <c r="CT158" i="7"/>
  <c r="CT210" i="7"/>
  <c r="CL33" i="7"/>
  <c r="CT196" i="7"/>
  <c r="CT184" i="7"/>
  <c r="CU184" i="7"/>
  <c r="CV64" i="7"/>
  <c r="CV91" i="7"/>
  <c r="CV158" i="7"/>
  <c r="CT74" i="7"/>
  <c r="CU67" i="7"/>
  <c r="CT180" i="7"/>
  <c r="CV31" i="7"/>
  <c r="CU69" i="7"/>
  <c r="CT31" i="7"/>
  <c r="CU8" i="7"/>
  <c r="CV104" i="7"/>
  <c r="CT67" i="7"/>
  <c r="CU180" i="7"/>
  <c r="CT58" i="7"/>
  <c r="CT116" i="7"/>
  <c r="CU116" i="7"/>
  <c r="CV110" i="7"/>
  <c r="CT76" i="7"/>
  <c r="CL102" i="7"/>
  <c r="CV152" i="7"/>
  <c r="CV23" i="7"/>
  <c r="CV166" i="7"/>
  <c r="CU115" i="7"/>
  <c r="CU79" i="7"/>
  <c r="CM33" i="7"/>
  <c r="CV79" i="7"/>
  <c r="CO48" i="7"/>
  <c r="CP33" i="7"/>
  <c r="CV116" i="7"/>
  <c r="CT104" i="7"/>
  <c r="CT85" i="7"/>
  <c r="CV67" i="7"/>
  <c r="CV145" i="7"/>
  <c r="CU196" i="7"/>
  <c r="CT68" i="7"/>
  <c r="CU49" i="7"/>
  <c r="CU74" i="7"/>
  <c r="CU110" i="7"/>
  <c r="CU31" i="7"/>
  <c r="CO33" i="7"/>
  <c r="CQ33" i="7"/>
  <c r="CN33" i="7"/>
  <c r="CS33" i="7"/>
  <c r="CR33" i="7"/>
  <c r="CN48" i="7"/>
  <c r="CL48" i="7"/>
  <c r="CP48" i="7"/>
  <c r="CQ48" i="7"/>
  <c r="CM48" i="7"/>
  <c r="CR48" i="7"/>
  <c r="CS48" i="7"/>
  <c r="CT102" i="7"/>
  <c r="CV36" i="7"/>
  <c r="CV234" i="7"/>
  <c r="CU234" i="7"/>
  <c r="CT105" i="7"/>
  <c r="CU36" i="7"/>
  <c r="CU105" i="7"/>
  <c r="CT234" i="7"/>
  <c r="CT36" i="7"/>
  <c r="Q25" i="6" l="1"/>
  <c r="R25" i="6"/>
  <c r="P26" i="6"/>
  <c r="CU102" i="7"/>
  <c r="CU33" i="7"/>
  <c r="CT48" i="7"/>
  <c r="CV33" i="7"/>
  <c r="CT33" i="7"/>
  <c r="CV48" i="7"/>
  <c r="CU48" i="7"/>
  <c r="S25" i="6" l="1"/>
  <c r="R26" i="6"/>
  <c r="Q26" i="6"/>
  <c r="S26" i="6"/>
  <c r="P27" i="6"/>
  <c r="Q27" i="6" l="1"/>
  <c r="Q28" i="6" s="1"/>
  <c r="R27" i="6"/>
  <c r="P28" i="6"/>
  <c r="P29" i="6" l="1"/>
  <c r="R28" i="6"/>
  <c r="S28" i="6" s="1"/>
  <c r="S27" i="6"/>
  <c r="Q29" i="6" l="1"/>
  <c r="R29" i="6"/>
  <c r="S29" i="6" s="1"/>
  <c r="P30" i="6"/>
  <c r="P31" i="6" l="1"/>
  <c r="R30" i="6"/>
  <c r="Q30" i="6"/>
  <c r="R31" i="6" l="1"/>
  <c r="S31" i="6" s="1"/>
  <c r="Q31" i="6"/>
  <c r="P32" i="6"/>
  <c r="S30" i="6"/>
  <c r="P33" i="6" l="1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Q36" i="6" s="1"/>
  <c r="R35" i="6"/>
  <c r="P36" i="6"/>
  <c r="P37" i="6" l="1"/>
  <c r="R36" i="6"/>
  <c r="S36" i="6" s="1"/>
  <c r="S35" i="6"/>
  <c r="Q37" i="6" l="1"/>
  <c r="R37" i="6"/>
  <c r="S37" i="6" s="1"/>
  <c r="P38" i="6"/>
  <c r="P39" i="6" l="1"/>
  <c r="R38" i="6"/>
  <c r="Q38" i="6"/>
  <c r="Q39" i="6" l="1"/>
  <c r="S39" i="6" s="1"/>
  <c r="S38" i="6"/>
  <c r="P40" i="6"/>
  <c r="R39" i="6"/>
  <c r="R40" i="6" l="1"/>
  <c r="Q40" i="6"/>
  <c r="S40" i="6" s="1"/>
  <c r="P41" i="6"/>
  <c r="R41" i="6" l="1"/>
  <c r="P42" i="6"/>
  <c r="Q41" i="6"/>
  <c r="S41" i="6" s="1"/>
  <c r="R42" i="6" l="1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S45" i="6" s="1"/>
  <c r="R45" i="6"/>
  <c r="P46" i="6"/>
  <c r="P47" i="6" l="1"/>
  <c r="R46" i="6"/>
  <c r="Q46" i="6"/>
  <c r="Q47" i="6" l="1"/>
  <c r="S47" i="6" s="1"/>
  <c r="S46" i="6"/>
  <c r="P48" i="6"/>
  <c r="R47" i="6"/>
  <c r="Q48" i="6" l="1"/>
  <c r="R48" i="6"/>
  <c r="P49" i="6"/>
  <c r="R49" i="6" l="1"/>
  <c r="P50" i="6"/>
  <c r="Q49" i="6"/>
  <c r="S48" i="6"/>
  <c r="Q50" i="6" l="1"/>
  <c r="Q51" i="6" s="1"/>
  <c r="P51" i="6"/>
  <c r="R50" i="6"/>
  <c r="S50" i="6" s="1"/>
  <c r="S49" i="6"/>
  <c r="P52" i="6" l="1"/>
  <c r="R51" i="6"/>
  <c r="S51" i="6" s="1"/>
  <c r="R52" i="6" l="1"/>
  <c r="S52" i="6" s="1"/>
  <c r="Q52" i="6"/>
  <c r="P53" i="6"/>
  <c r="R53" i="6" l="1"/>
  <c r="P54" i="6"/>
  <c r="Q53" i="6"/>
  <c r="S53" i="6" s="1"/>
  <c r="Q54" i="6" l="1"/>
  <c r="S54" i="6" s="1"/>
  <c r="R54" i="6"/>
  <c r="P55" i="6"/>
  <c r="Q55" i="6" l="1"/>
  <c r="R55" i="6"/>
  <c r="P56" i="6"/>
  <c r="S55" i="6" l="1"/>
  <c r="Q56" i="6"/>
  <c r="S56" i="6" s="1"/>
  <c r="R56" i="6"/>
  <c r="P57" i="6"/>
  <c r="R57" i="6" l="1"/>
  <c r="P58" i="6"/>
  <c r="Q57" i="6"/>
  <c r="Q58" i="6" l="1"/>
  <c r="R58" i="6"/>
  <c r="P59" i="6"/>
  <c r="S57" i="6"/>
  <c r="S58" i="6" l="1"/>
  <c r="Q59" i="6"/>
  <c r="S59" i="6" s="1"/>
  <c r="R59" i="6"/>
  <c r="P60" i="6"/>
  <c r="R60" i="6" l="1"/>
  <c r="S60" i="6" s="1"/>
  <c r="Q60" i="6"/>
  <c r="P61" i="6"/>
  <c r="R61" i="6" l="1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S64" i="6" s="1"/>
  <c r="P65" i="6"/>
  <c r="R65" i="6" l="1"/>
  <c r="P66" i="6"/>
  <c r="Q65" i="6"/>
  <c r="S65" i="6" s="1"/>
  <c r="Q66" i="6" l="1"/>
  <c r="S66" i="6" s="1"/>
  <c r="R66" i="6"/>
  <c r="P67" i="6"/>
  <c r="Q67" i="6" l="1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S70" i="6" s="1"/>
  <c r="P71" i="6"/>
  <c r="Q71" i="6" l="1"/>
  <c r="S71" i="6" s="1"/>
  <c r="R71" i="6"/>
  <c r="P72" i="6"/>
  <c r="P73" i="6" l="1"/>
  <c r="R72" i="6"/>
  <c r="Q72" i="6"/>
  <c r="S72" i="6" s="1"/>
  <c r="Q73" i="6" l="1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S76" i="6"/>
  <c r="P77" i="6"/>
  <c r="R77" i="6" l="1"/>
  <c r="P78" i="6"/>
  <c r="Q77" i="6"/>
  <c r="Q78" i="6" l="1"/>
  <c r="S78" i="6" s="1"/>
  <c r="P79" i="6"/>
  <c r="R78" i="6"/>
  <c r="S77" i="6"/>
  <c r="Q79" i="6" l="1"/>
  <c r="R79" i="6"/>
  <c r="S79" i="6"/>
  <c r="P80" i="6"/>
  <c r="P81" i="6" l="1"/>
  <c r="R80" i="6"/>
  <c r="Q80" i="6"/>
  <c r="S80" i="6" s="1"/>
  <c r="Q81" i="6" l="1"/>
  <c r="R81" i="6"/>
  <c r="S81" i="6"/>
  <c r="P82" i="6"/>
  <c r="P83" i="6" l="1"/>
  <c r="R82" i="6"/>
  <c r="Q82" i="6"/>
  <c r="Q83" i="6" l="1"/>
  <c r="S82" i="6"/>
  <c r="P84" i="6"/>
  <c r="R83" i="6"/>
  <c r="S83" i="6" l="1"/>
  <c r="Q84" i="6"/>
  <c r="S84" i="6" s="1"/>
  <c r="R84" i="6"/>
  <c r="P85" i="6"/>
  <c r="R85" i="6" l="1"/>
  <c r="P86" i="6"/>
  <c r="Q85" i="6"/>
  <c r="S85" i="6" s="1"/>
  <c r="Q86" i="6" l="1"/>
  <c r="S86" i="6" s="1"/>
  <c r="R86" i="6"/>
  <c r="P87" i="6"/>
  <c r="Q87" i="6" l="1"/>
  <c r="R87" i="6"/>
  <c r="P88" i="6"/>
  <c r="S87" i="6" l="1"/>
  <c r="P89" i="6"/>
  <c r="R88" i="6"/>
  <c r="Q88" i="6"/>
  <c r="S88" i="6" l="1"/>
  <c r="Q89" i="6"/>
  <c r="R89" i="6"/>
  <c r="S89" i="6"/>
  <c r="P90" i="6"/>
  <c r="P91" i="6" l="1"/>
  <c r="R90" i="6"/>
  <c r="Q90" i="6"/>
  <c r="S90" i="6" s="1"/>
  <c r="R91" i="6" l="1"/>
  <c r="Q91" i="6"/>
  <c r="S91" i="6" s="1"/>
  <c r="P92" i="6"/>
  <c r="R92" i="6" l="1"/>
  <c r="Q92" i="6"/>
  <c r="S92" i="6"/>
  <c r="P93" i="6"/>
  <c r="R93" i="6" l="1"/>
  <c r="P94" i="6"/>
  <c r="Q93" i="6"/>
  <c r="S93" i="6" s="1"/>
  <c r="R94" i="6" l="1"/>
  <c r="Q94" i="6"/>
  <c r="P95" i="6"/>
  <c r="S94" i="6" l="1"/>
  <c r="Q95" i="6"/>
  <c r="R95" i="6"/>
  <c r="P96" i="6"/>
  <c r="S95" i="6" l="1"/>
  <c r="Q96" i="6"/>
  <c r="R96" i="6"/>
  <c r="S96" i="6"/>
  <c r="P97" i="6"/>
  <c r="R97" i="6" l="1"/>
  <c r="P98" i="6"/>
  <c r="Q97" i="6"/>
  <c r="S97" i="6" s="1"/>
  <c r="R98" i="6" l="1"/>
  <c r="S98" i="6" s="1"/>
  <c r="Q98" i="6"/>
  <c r="P99" i="6"/>
  <c r="R99" i="6" l="1"/>
  <c r="Q99" i="6"/>
  <c r="P100" i="6"/>
  <c r="Q100" i="6" l="1"/>
  <c r="R100" i="6"/>
  <c r="S100" i="6" s="1"/>
  <c r="P101" i="6"/>
  <c r="S99" i="6"/>
  <c r="R101" i="6" l="1"/>
  <c r="P102" i="6"/>
  <c r="Q101" i="6"/>
  <c r="Q102" i="6" l="1"/>
  <c r="P103" i="6"/>
  <c r="R102" i="6"/>
  <c r="S101" i="6"/>
  <c r="S102" i="6" l="1"/>
  <c r="Q103" i="6"/>
  <c r="S103" i="6" s="1"/>
  <c r="R103" i="6"/>
  <c r="P104" i="6"/>
  <c r="P105" i="6" l="1"/>
  <c r="R104" i="6"/>
  <c r="Q104" i="6"/>
  <c r="S104" i="6" s="1"/>
  <c r="R105" i="6" l="1"/>
  <c r="Q105" i="6"/>
  <c r="P106" i="6"/>
  <c r="S105" i="6" l="1"/>
  <c r="P107" i="6"/>
  <c r="R106" i="6"/>
  <c r="Q106" i="6"/>
  <c r="S106" i="6" s="1"/>
  <c r="R107" i="6" l="1"/>
  <c r="Q107" i="6"/>
  <c r="S107" i="6"/>
  <c r="P108" i="6"/>
  <c r="P109" i="6" l="1"/>
  <c r="R108" i="6"/>
  <c r="Q108" i="6"/>
  <c r="S108" i="6" l="1"/>
  <c r="Q109" i="6"/>
  <c r="R109" i="6"/>
  <c r="S109" i="6" s="1"/>
  <c r="P110" i="6"/>
  <c r="P111" i="6" l="1"/>
  <c r="R110" i="6"/>
  <c r="Q110" i="6"/>
  <c r="S110" i="6" s="1"/>
  <c r="R111" i="6" l="1"/>
  <c r="Q111" i="6"/>
  <c r="S111" i="6" s="1"/>
  <c r="P112" i="6"/>
  <c r="P113" i="6" l="1"/>
  <c r="R112" i="6"/>
  <c r="Q112" i="6"/>
  <c r="S112" i="6" l="1"/>
  <c r="Q113" i="6"/>
  <c r="R113" i="6"/>
  <c r="S113" i="6" s="1"/>
  <c r="P114" i="6"/>
  <c r="P115" i="6" l="1"/>
  <c r="R114" i="6"/>
  <c r="Q114" i="6"/>
  <c r="S114" i="6" s="1"/>
  <c r="Q115" i="6" l="1"/>
  <c r="S115" i="6" s="1"/>
  <c r="R115" i="6"/>
  <c r="P116" i="6"/>
  <c r="Q116" i="6" l="1"/>
  <c r="S116" i="6" s="1"/>
  <c r="R116" i="6"/>
  <c r="P117" i="6"/>
  <c r="Q117" i="6" l="1"/>
  <c r="R117" i="6"/>
  <c r="P118" i="6"/>
  <c r="S117" i="6" l="1"/>
  <c r="Q118" i="6"/>
  <c r="R118" i="6"/>
  <c r="S118" i="6" s="1"/>
  <c r="P119" i="6"/>
  <c r="Q119" i="6" l="1"/>
  <c r="R119" i="6"/>
  <c r="P120" i="6"/>
  <c r="S119" i="6" l="1"/>
  <c r="Q120" i="6"/>
  <c r="R120" i="6"/>
  <c r="S120" i="6" s="1"/>
  <c r="P121" i="6"/>
  <c r="R121" i="6" l="1"/>
  <c r="P122" i="6"/>
  <c r="Q121" i="6"/>
  <c r="S121" i="6" s="1"/>
  <c r="R122" i="6" l="1"/>
  <c r="Q122" i="6"/>
  <c r="S122" i="6" s="1"/>
  <c r="P123" i="6"/>
  <c r="Q123" i="6" l="1"/>
  <c r="R123" i="6"/>
  <c r="P124" i="6"/>
  <c r="S123" i="6" l="1"/>
  <c r="R124" i="6"/>
  <c r="Q124" i="6"/>
  <c r="S124" i="6" s="1"/>
  <c r="P125" i="6"/>
  <c r="Q125" i="6" l="1"/>
  <c r="R125" i="6"/>
  <c r="S125" i="6" s="1"/>
  <c r="P126" i="6"/>
  <c r="Q126" i="6" l="1"/>
  <c r="R126" i="6"/>
  <c r="S126" i="6"/>
  <c r="P127" i="6"/>
  <c r="Q127" i="6" l="1"/>
  <c r="R127" i="6"/>
  <c r="P128" i="6"/>
  <c r="S127" i="6" l="1"/>
  <c r="R128" i="6"/>
  <c r="Q128" i="6"/>
  <c r="S128" i="6" s="1"/>
  <c r="P129" i="6"/>
  <c r="R129" i="6" l="1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/>
  <c r="P134" i="6"/>
  <c r="P135" i="6" l="1"/>
  <c r="R134" i="6"/>
  <c r="Q134" i="6"/>
  <c r="S134" i="6" s="1"/>
  <c r="Q135" i="6" l="1"/>
  <c r="S135" i="6" s="1"/>
  <c r="R135" i="6"/>
  <c r="P136" i="6"/>
  <c r="P137" i="6" l="1"/>
  <c r="R136" i="6"/>
  <c r="Q136" i="6"/>
  <c r="S136" i="6" s="1"/>
  <c r="Q137" i="6" l="1"/>
  <c r="R137" i="6"/>
  <c r="S137" i="6" s="1"/>
  <c r="P138" i="6"/>
  <c r="P139" i="6" l="1"/>
  <c r="R138" i="6"/>
  <c r="Q138" i="6"/>
  <c r="S138" i="6" s="1"/>
  <c r="Q139" i="6" l="1"/>
  <c r="R139" i="6"/>
  <c r="S139" i="6"/>
  <c r="P140" i="6"/>
  <c r="P141" i="6" l="1"/>
  <c r="R140" i="6"/>
  <c r="Q140" i="6"/>
  <c r="S140" i="6" s="1"/>
  <c r="Q141" i="6" l="1"/>
  <c r="R141" i="6"/>
  <c r="P142" i="6"/>
  <c r="S141" i="6" l="1"/>
  <c r="Q142" i="6"/>
  <c r="R142" i="6"/>
  <c r="S142" i="6"/>
  <c r="P143" i="6"/>
  <c r="Q143" i="6" l="1"/>
  <c r="S143" i="6" s="1"/>
  <c r="R143" i="6"/>
  <c r="P144" i="6"/>
  <c r="P145" i="6" l="1"/>
  <c r="R144" i="6"/>
  <c r="Q144" i="6"/>
  <c r="S144" i="6" s="1"/>
  <c r="Q145" i="6" l="1"/>
  <c r="R145" i="6"/>
  <c r="S145" i="6" s="1"/>
  <c r="P146" i="6"/>
  <c r="Q146" i="6" l="1"/>
  <c r="S146" i="6" s="1"/>
  <c r="R146" i="6"/>
  <c r="P147" i="6"/>
  <c r="Q147" i="6" l="1"/>
  <c r="R147" i="6"/>
  <c r="S147" i="6"/>
  <c r="P148" i="6"/>
  <c r="P149" i="6" l="1"/>
  <c r="R148" i="6"/>
  <c r="Q148" i="6"/>
  <c r="Q149" i="6" l="1"/>
  <c r="S149" i="6" s="1"/>
  <c r="S148" i="6"/>
  <c r="P150" i="6"/>
  <c r="R149" i="6"/>
  <c r="P151" i="6" l="1"/>
  <c r="R150" i="6"/>
  <c r="Q150" i="6"/>
  <c r="Q151" i="6" l="1"/>
  <c r="S150" i="6"/>
  <c r="R151" i="6"/>
  <c r="P152" i="6"/>
  <c r="S151" i="6" l="1"/>
  <c r="P153" i="6"/>
  <c r="R152" i="6"/>
  <c r="Q152" i="6"/>
  <c r="S152" i="6" s="1"/>
  <c r="Q153" i="6" l="1"/>
  <c r="R153" i="6"/>
  <c r="S153" i="6" s="1"/>
  <c r="P154" i="6"/>
  <c r="P155" i="6" l="1"/>
  <c r="R154" i="6"/>
  <c r="Q154" i="6"/>
  <c r="S154" i="6" s="1"/>
  <c r="Q155" i="6" l="1"/>
  <c r="S155" i="6" s="1"/>
  <c r="R155" i="6"/>
  <c r="P156" i="6"/>
  <c r="P157" i="6" l="1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S161" i="6" s="1"/>
  <c r="P162" i="6"/>
  <c r="Q162" i="6" l="1"/>
  <c r="R162" i="6"/>
  <c r="S162" i="6" s="1"/>
  <c r="P163" i="6"/>
  <c r="Q163" i="6" l="1"/>
  <c r="R163" i="6"/>
  <c r="P164" i="6"/>
  <c r="S163" i="6" l="1"/>
  <c r="Q164" i="6"/>
  <c r="R164" i="6"/>
  <c r="S164" i="6" s="1"/>
  <c r="P165" i="6"/>
  <c r="R165" i="6" l="1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S168" i="6" s="1"/>
  <c r="P169" i="6"/>
  <c r="Q169" i="6" l="1"/>
  <c r="R169" i="6"/>
  <c r="P170" i="6"/>
  <c r="S169" i="6" l="1"/>
  <c r="P171" i="6"/>
  <c r="R170" i="6"/>
  <c r="Q170" i="6"/>
  <c r="Q171" i="6" l="1"/>
  <c r="S171" i="6" s="1"/>
  <c r="S170" i="6"/>
  <c r="P172" i="6"/>
  <c r="R171" i="6"/>
  <c r="Q172" i="6" l="1"/>
  <c r="R172" i="6"/>
  <c r="S172" i="6"/>
  <c r="P173" i="6"/>
  <c r="R173" i="6" l="1"/>
  <c r="P174" i="6"/>
  <c r="Q173" i="6"/>
  <c r="Q174" i="6" l="1"/>
  <c r="P175" i="6"/>
  <c r="R174" i="6"/>
  <c r="S173" i="6"/>
  <c r="S174" i="6" l="1"/>
  <c r="Q175" i="6"/>
  <c r="R175" i="6"/>
  <c r="S175" i="6" s="1"/>
  <c r="P176" i="6"/>
  <c r="P177" i="6" l="1"/>
  <c r="R176" i="6"/>
  <c r="Q176" i="6"/>
  <c r="Q177" i="6" l="1"/>
  <c r="S177" i="6" s="1"/>
  <c r="S176" i="6"/>
  <c r="P178" i="6"/>
  <c r="R177" i="6"/>
  <c r="Q178" i="6" l="1"/>
  <c r="R178" i="6"/>
  <c r="P179" i="6"/>
  <c r="S178" i="6" l="1"/>
  <c r="Q179" i="6"/>
  <c r="R179" i="6"/>
  <c r="P180" i="6"/>
  <c r="S179" i="6" l="1"/>
  <c r="R180" i="6"/>
  <c r="Q180" i="6"/>
  <c r="S180" i="6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S186" i="6" s="1"/>
  <c r="R186" i="6"/>
  <c r="P187" i="6"/>
  <c r="Q187" i="6" l="1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S190" i="6" s="1"/>
  <c r="R190" i="6"/>
  <c r="P191" i="6"/>
  <c r="Q191" i="6" l="1"/>
  <c r="R191" i="6"/>
  <c r="P192" i="6"/>
  <c r="S191" i="6" l="1"/>
  <c r="Q192" i="6"/>
  <c r="R192" i="6"/>
  <c r="S192" i="6" s="1"/>
  <c r="P193" i="6"/>
  <c r="R193" i="6" l="1"/>
  <c r="P194" i="6"/>
  <c r="Q193" i="6"/>
  <c r="Q194" i="6" l="1"/>
  <c r="S194" i="6" s="1"/>
  <c r="P195" i="6"/>
  <c r="R194" i="6"/>
  <c r="S193" i="6"/>
  <c r="Q195" i="6" l="1"/>
  <c r="R195" i="6"/>
  <c r="S195" i="6"/>
  <c r="P196" i="6"/>
  <c r="P197" i="6" l="1"/>
  <c r="R196" i="6"/>
  <c r="Q196" i="6"/>
  <c r="S196" i="6" s="1"/>
  <c r="Q197" i="6" l="1"/>
  <c r="R197" i="6"/>
  <c r="S197" i="6"/>
  <c r="P198" i="6"/>
  <c r="Q198" i="6" l="1"/>
  <c r="R198" i="6"/>
  <c r="S198" i="6"/>
  <c r="P199" i="6"/>
  <c r="Q199" i="6" l="1"/>
  <c r="S199" i="6" s="1"/>
  <c r="R199" i="6"/>
  <c r="P200" i="6"/>
  <c r="P201" i="6" l="1"/>
  <c r="R200" i="6"/>
  <c r="Q200" i="6"/>
  <c r="S200" i="6" s="1"/>
  <c r="R201" i="6" l="1"/>
  <c r="Q201" i="6"/>
  <c r="P202" i="6"/>
  <c r="S201" i="6" l="1"/>
  <c r="Q202" i="6"/>
  <c r="S202" i="6" s="1"/>
  <c r="R202" i="6"/>
  <c r="P203" i="6"/>
  <c r="Q203" i="6" l="1"/>
  <c r="R203" i="6"/>
  <c r="P204" i="6"/>
  <c r="S203" i="6" l="1"/>
  <c r="R204" i="6"/>
  <c r="Q204" i="6"/>
  <c r="S204" i="6" s="1"/>
  <c r="P205" i="6"/>
  <c r="R205" i="6" l="1"/>
  <c r="S205" i="6" s="1"/>
  <c r="Q205" i="6"/>
  <c r="P206" i="6"/>
  <c r="P207" i="6" l="1"/>
  <c r="R206" i="6"/>
  <c r="Q206" i="6"/>
  <c r="S206" i="6" l="1"/>
  <c r="Q207" i="6"/>
  <c r="R207" i="6"/>
  <c r="P208" i="6"/>
  <c r="S207" i="6" l="1"/>
  <c r="Q208" i="6"/>
  <c r="R208" i="6"/>
  <c r="S208" i="6"/>
  <c r="P209" i="6"/>
  <c r="R209" i="6" l="1"/>
  <c r="S209" i="6" s="1"/>
  <c r="Q209" i="6"/>
  <c r="P210" i="6"/>
  <c r="R210" i="6" l="1"/>
  <c r="Q210" i="6"/>
  <c r="S210" i="6" s="1"/>
  <c r="P211" i="6"/>
  <c r="Q211" i="6" l="1"/>
  <c r="R211" i="6"/>
  <c r="S211" i="6" s="1"/>
  <c r="P212" i="6"/>
  <c r="Q212" i="6" l="1"/>
  <c r="S212" i="6" s="1"/>
  <c r="R212" i="6"/>
  <c r="P213" i="6"/>
  <c r="R213" i="6" l="1"/>
  <c r="P214" i="6"/>
  <c r="Q213" i="6"/>
  <c r="S213" i="6" s="1"/>
  <c r="R214" i="6" l="1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s="1"/>
  <c r="Q218" i="6" l="1"/>
  <c r="S218" i="6" s="1"/>
  <c r="R218" i="6"/>
  <c r="P219" i="6"/>
  <c r="R219" i="6" l="1"/>
  <c r="Q219" i="6"/>
  <c r="S219" i="6"/>
  <c r="P220" i="6"/>
  <c r="R220" i="6" l="1"/>
  <c r="Q220" i="6"/>
  <c r="S220" i="6"/>
  <c r="P221" i="6"/>
  <c r="Q221" i="6" l="1"/>
  <c r="R221" i="6"/>
  <c r="S221" i="6" s="1"/>
  <c r="P222" i="6"/>
  <c r="Q222" i="6" l="1"/>
  <c r="R222" i="6"/>
  <c r="S222" i="6"/>
  <c r="P223" i="6"/>
  <c r="Q223" i="6" l="1"/>
  <c r="S223" i="6" s="1"/>
  <c r="R223" i="6"/>
  <c r="P224" i="6"/>
  <c r="R224" i="6" l="1"/>
  <c r="Q224" i="6"/>
  <c r="S224" i="6"/>
  <c r="P225" i="6"/>
  <c r="R225" i="6" l="1"/>
  <c r="P226" i="6"/>
  <c r="Q225" i="6"/>
  <c r="S225" i="6" l="1"/>
  <c r="Q226" i="6"/>
  <c r="R226" i="6"/>
  <c r="S226" i="6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s="1"/>
  <c r="Q231" i="6" l="1"/>
  <c r="R231" i="6"/>
  <c r="S231" i="6" s="1"/>
  <c r="P232" i="6"/>
  <c r="Q232" i="6" l="1"/>
  <c r="R232" i="6"/>
  <c r="P233" i="6"/>
  <c r="S232" i="6" l="1"/>
  <c r="Q233" i="6"/>
  <c r="R233" i="6"/>
  <c r="S233" i="6" s="1"/>
  <c r="P234" i="6"/>
  <c r="Q234" i="6" l="1"/>
  <c r="R234" i="6"/>
  <c r="S234" i="6"/>
  <c r="P235" i="6"/>
  <c r="Q235" i="6" l="1"/>
  <c r="S235" i="6" s="1"/>
  <c r="R235" i="6"/>
  <c r="P236" i="6"/>
  <c r="R236" i="6" l="1"/>
  <c r="Q236" i="6"/>
  <c r="S236" i="6" s="1"/>
  <c r="P237" i="6"/>
  <c r="R237" i="6" l="1"/>
  <c r="S237" i="6" s="1"/>
  <c r="Q237" i="6"/>
  <c r="P238" i="6"/>
  <c r="P239" i="6" l="1"/>
  <c r="R238" i="6"/>
  <c r="Q238" i="6"/>
  <c r="S238" i="6" s="1"/>
  <c r="R239" i="6" l="1"/>
  <c r="Q239" i="6"/>
  <c r="S239" i="6" s="1"/>
  <c r="P240" i="6"/>
  <c r="Q240" i="6" l="1"/>
  <c r="S240" i="6" s="1"/>
  <c r="R240" i="6"/>
  <c r="P241" i="6"/>
  <c r="R241" i="6" l="1"/>
  <c r="Q241" i="6"/>
  <c r="S241" i="6"/>
  <c r="P242" i="6"/>
  <c r="P243" i="6" l="1"/>
  <c r="R242" i="6"/>
  <c r="S242" i="6" s="1"/>
  <c r="Q242" i="6"/>
  <c r="R243" i="6" l="1"/>
  <c r="Q243" i="6"/>
  <c r="S243" i="6" s="1"/>
  <c r="P244" i="6"/>
  <c r="R244" i="6" l="1"/>
  <c r="Q244" i="6"/>
  <c r="P245" i="6"/>
  <c r="S244" i="6" l="1"/>
  <c r="Q245" i="6"/>
  <c r="R245" i="6"/>
  <c r="S245" i="6" s="1"/>
  <c r="P246" i="6"/>
  <c r="R246" i="6" l="1"/>
  <c r="Q246" i="6"/>
  <c r="P247" i="6"/>
  <c r="S246" i="6" l="1"/>
  <c r="R247" i="6"/>
  <c r="Q247" i="6"/>
  <c r="S247" i="6"/>
  <c r="P248" i="6"/>
  <c r="P249" i="6" l="1"/>
  <c r="R248" i="6"/>
  <c r="Q248" i="6"/>
  <c r="Q249" i="6" l="1"/>
  <c r="S248" i="6"/>
  <c r="P250" i="6"/>
  <c r="R249" i="6"/>
  <c r="S249" i="6" l="1"/>
  <c r="R250" i="6"/>
  <c r="Q250" i="6"/>
  <c r="S250" i="6" s="1"/>
  <c r="P251" i="6"/>
  <c r="Q251" i="6" l="1"/>
  <c r="R251" i="6"/>
  <c r="S251" i="6"/>
  <c r="P252" i="6"/>
  <c r="R252" i="6" l="1"/>
  <c r="Q252" i="6"/>
  <c r="S252" i="6" s="1"/>
</calcChain>
</file>

<file path=xl/sharedStrings.xml><?xml version="1.0" encoding="utf-8"?>
<sst xmlns="http://schemas.openxmlformats.org/spreadsheetml/2006/main" count="1908" uniqueCount="477">
  <si>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</si>
  <si>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</si>
  <si>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</si>
  <si>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</si>
  <si>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</si>
  <si>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</si>
  <si>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</si>
  <si>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</si>
  <si>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</si>
  <si>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</si>
  <si>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</si>
  <si>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</si>
  <si>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</si>
  <si>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</si>
  <si>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</si>
  <si>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</si>
  <si>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</si>
  <si>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</si>
  <si>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</si>
  <si>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</si>
  <si>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</si>
  <si>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</si>
  <si>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</si>
  <si>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</si>
  <si>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</si>
  <si>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</si>
  <si>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</si>
  <si>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</si>
  <si>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</si>
  <si>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</si>
  <si>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</si>
  <si>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</si>
  <si>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</si>
  <si>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</si>
  <si>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</si>
  <si>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</si>
  <si>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</si>
  <si>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</si>
  <si>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</si>
  <si>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</si>
  <si>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</si>
  <si>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</si>
  <si>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</si>
  <si>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</si>
  <si>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</si>
  <si>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</si>
  <si>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</si>
  <si>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</si>
  <si>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</si>
  <si>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</si>
  <si>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</si>
  <si>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</si>
  <si>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</si>
  <si>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</si>
  <si>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</si>
  <si>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</si>
  <si>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</si>
  <si>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</si>
  <si>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</si>
  <si>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</si>
  <si>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</si>
  <si>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</si>
  <si>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</si>
  <si>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</si>
  <si>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</si>
  <si>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</si>
  <si>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</si>
  <si>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</si>
  <si>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</si>
  <si>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</si>
  <si>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</si>
  <si>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</si>
  <si>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</si>
  <si>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</si>
  <si>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</si>
  <si>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</si>
  <si>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</si>
  <si>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</si>
  <si>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</si>
  <si>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</si>
  <si>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</si>
  <si>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</si>
  <si>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</si>
  <si>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</si>
  <si>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</si>
  <si>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</si>
  <si>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</si>
  <si>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</si>
  <si>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</si>
  <si>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</si>
  <si>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</si>
  <si>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</si>
  <si>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</si>
  <si>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</si>
  <si>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</si>
  <si>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</si>
  <si>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</si>
  <si>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</si>
  <si>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</si>
  <si>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</si>
  <si>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</si>
  <si>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</si>
  <si>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</si>
  <si>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</si>
  <si>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</si>
  <si>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</si>
  <si>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</si>
  <si>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</si>
  <si>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</si>
  <si>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</si>
  <si>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</si>
  <si>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</si>
  <si>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</si>
  <si>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</si>
  <si>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</si>
  <si>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</si>
  <si>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</si>
  <si>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</si>
  <si>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</si>
  <si>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</si>
  <si>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</si>
  <si>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</si>
  <si>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</si>
  <si>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</si>
  <si>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</si>
  <si>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</si>
  <si>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</si>
  <si>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</si>
  <si>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</si>
  <si>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</si>
  <si>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</si>
  <si>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</si>
  <si>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</si>
  <si>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</si>
  <si>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</si>
  <si>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</si>
  <si>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</si>
  <si>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</si>
  <si>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</si>
  <si>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</si>
  <si>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</si>
  <si>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</si>
  <si>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</si>
  <si>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</si>
  <si>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</si>
  <si>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</si>
  <si>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</si>
  <si>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</si>
  <si>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</si>
  <si>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</si>
  <si>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</si>
  <si>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</si>
  <si>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</si>
  <si>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</si>
  <si>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</si>
  <si>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</si>
  <si>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</si>
  <si>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</si>
  <si>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</si>
  <si>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</si>
  <si>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</si>
  <si>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</si>
  <si>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</si>
  <si>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</si>
  <si>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</si>
  <si>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</si>
  <si>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</si>
  <si>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</si>
  <si>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</si>
  <si>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</si>
  <si>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</si>
  <si>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</si>
  <si>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</si>
  <si>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</si>
  <si>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</si>
  <si>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</si>
  <si>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</si>
  <si>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</si>
  <si>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</si>
  <si>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</si>
  <si>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</si>
  <si>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</si>
  <si>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</si>
  <si>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</si>
  <si>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</si>
  <si>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</si>
  <si>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</si>
  <si>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</si>
  <si>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</si>
  <si>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</si>
  <si>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</si>
  <si>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</si>
  <si>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</si>
  <si>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</si>
  <si>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</si>
  <si>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</si>
  <si>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</si>
  <si>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</si>
  <si>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</si>
  <si>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</si>
  <si>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</si>
  <si>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</si>
  <si>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</si>
  <si>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</si>
  <si>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</si>
  <si>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</si>
  <si>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</si>
  <si>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</si>
  <si>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</si>
  <si>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</si>
  <si>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</si>
  <si>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</si>
  <si>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</si>
  <si>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</si>
  <si>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</si>
  <si>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</si>
  <si>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</si>
  <si>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</si>
  <si>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</si>
  <si>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</si>
  <si>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</si>
  <si>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</si>
  <si>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</si>
  <si>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</si>
  <si>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</si>
  <si>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</si>
  <si>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</si>
  <si>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</si>
  <si>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</si>
  <si>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</si>
  <si>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</si>
  <si>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</si>
  <si>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</si>
  <si>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</si>
  <si>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</si>
  <si>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</si>
  <si>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</si>
  <si>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</si>
  <si>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</si>
  <si>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</si>
  <si>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</si>
  <si>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</si>
  <si>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</si>
  <si>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</si>
  <si>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</si>
  <si>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</si>
  <si>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</si>
  <si>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</si>
  <si>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</si>
  <si>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</si>
  <si>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</si>
  <si>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</si>
  <si>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</si>
  <si>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</si>
  <si>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</si>
  <si>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</si>
  <si>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</si>
  <si>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</si>
  <si>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</si>
  <si>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</si>
  <si>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</si>
  <si>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</si>
  <si>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</si>
  <si>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</si>
  <si>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</si>
  <si>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</si>
  <si>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</si>
  <si>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</si>
  <si>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</si>
  <si>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</si>
  <si>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</si>
  <si>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</si>
  <si>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</si>
  <si>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</si>
  <si>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</si>
  <si>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</si>
  <si>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</si>
  <si>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</si>
  <si>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</si>
  <si>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</si>
  <si>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</si>
  <si>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</si>
  <si>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</si>
  <si>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</si>
  <si>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</si>
  <si>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</si>
  <si>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</si>
  <si>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</si>
  <si>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</si>
  <si>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</si>
  <si>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</si>
  <si>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</si>
  <si>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</si>
  <si>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</si>
  <si>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</si>
  <si>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</si>
  <si>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</si>
  <si>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</si>
  <si>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</si>
  <si>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</si>
  <si>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</si>
  <si>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</si>
  <si>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</si>
  <si>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</si>
  <si>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</si>
  <si>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</si>
  <si>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</si>
  <si>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</si>
  <si>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</si>
  <si>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</si>
  <si>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</si>
  <si>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</si>
  <si>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</si>
  <si>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</si>
  <si>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</si>
  <si>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</si>
  <si>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</si>
  <si>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</si>
  <si>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</si>
  <si>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</si>
  <si>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</si>
  <si>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</si>
  <si>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</si>
  <si>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</si>
  <si>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</si>
  <si>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</si>
  <si>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</si>
  <si>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</si>
  <si>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</si>
  <si>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</si>
  <si>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</si>
  <si>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</si>
  <si>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</si>
  <si>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</si>
  <si>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</si>
  <si>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</si>
  <si>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</si>
  <si>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</si>
  <si>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</si>
  <si>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</si>
  <si>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</si>
  <si>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</si>
  <si>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</si>
  <si>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</si>
  <si>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</si>
  <si>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</si>
  <si>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</si>
  <si>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</si>
  <si>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</si>
  <si>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</si>
  <si>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</si>
  <si>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</si>
  <si>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</si>
  <si>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</si>
  <si>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</si>
  <si>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</si>
  <si>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</si>
  <si>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</si>
  <si>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</si>
  <si>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</si>
  <si>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</si>
  <si>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</si>
  <si>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</si>
  <si>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</si>
  <si>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</si>
  <si>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</si>
  <si>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</si>
  <si>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</si>
  <si>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</si>
  <si>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</si>
  <si>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</si>
  <si>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</si>
  <si>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</si>
  <si>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</si>
  <si>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</si>
  <si>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</si>
  <si>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</si>
  <si>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</si>
  <si>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</si>
  <si>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</si>
  <si>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</si>
  <si>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</si>
  <si>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</si>
  <si>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</si>
  <si>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</si>
  <si>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</si>
  <si>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</si>
  <si>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</si>
  <si>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</si>
  <si>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</si>
  <si>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</si>
  <si>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</si>
  <si>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</si>
  <si>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</si>
  <si>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</si>
  <si>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</si>
  <si>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</si>
  <si>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</si>
  <si>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</si>
  <si>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</si>
  <si>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</si>
  <si>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</si>
  <si>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</si>
  <si>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</si>
  <si>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</si>
  <si>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</si>
  <si>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</si>
  <si>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</si>
  <si>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</si>
  <si>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</si>
  <si>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</si>
  <si>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</si>
  <si>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</si>
  <si>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</si>
  <si>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</si>
  <si>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</si>
  <si>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</si>
  <si>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</si>
  <si>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</si>
  <si>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Pokemon to Transfer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</si>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</sst>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</cellXfs>
  <cellStyles count="1">
    <cellStyle name="Normal" xfId="0" builtinId="0"/>
  </cellStyles>
  <dxfs count="9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101"/>
  <sheetViews>
    <sheetView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1" width="5.7109375" style="48" customWidth="1"/>
    <col min="92" max="97" width="3.7109375" style="48" hidden="1" customWidth="1" outlineLevel="1"/>
    <col min="98" max="98" width="6.7109375" style="48" customWidth="1" collapsed="1"/>
    <col min="99" max="100" width="6.7109375" style="48" customWidth="1"/>
    <col min="101" max="101" width="24.7109375" style="48" customWidth="1"/>
    <col min="102" max="102" width="1.7109375" style="7" customWidth="1"/>
    <col min="103" max="105" width="9.140625" style="48" customWidth="1"/>
    <col min="106" max="106" width="0" style="48" hidden="1" customWidth="1"/>
    <col min="107" max="107" width="9.140625" style="48" hidden="1" customWidth="1"/>
    <col min="108" max="16384" width="9.140625" style="48" hidden="1"/>
  </cols>
  <sheetData>
    <row r="1" spans="1:105" s="47" customFormat="1" ht="15" customHeight="1" x14ac:dyDescent="0.25">
      <c r="A1" s="7">
        <f>COUNTA('My Pokemon'!$A$3:$A$352)</f>
        <v>198</v>
      </c>
      <c r="B1" s="50">
        <f>A1+9</f>
        <v>207</v>
      </c>
      <c r="C1" s="7"/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45"/>
      <c r="CN1" s="7"/>
      <c r="CO1" s="7"/>
      <c r="CP1" s="7"/>
      <c r="CQ1" s="7"/>
      <c r="CR1" s="7"/>
      <c r="CS1" s="7"/>
      <c r="CT1" s="8" t="s">
        <v>391</v>
      </c>
      <c r="CU1" s="45"/>
      <c r="CV1" s="45"/>
      <c r="CW1" s="51" t="str">
        <f>"Evolves: "&amp;COUNTIFS('My Pokemon'!$CW$3:$CW$352,"Evolve")</f>
        <v>Evolves: 25</v>
      </c>
      <c r="CX1" s="7"/>
      <c r="CY1" s="46">
        <f ca="1">MIN(NOW(),DA1)</f>
        <v>42736.021585648152</v>
      </c>
      <c r="CZ1" s="46">
        <v>42736.000752314816</v>
      </c>
      <c r="DA1" s="46">
        <f>CZ1+0.5/24</f>
        <v>42736.021585648152</v>
      </c>
    </row>
    <row r="2" spans="1:105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300</v>
      </c>
      <c r="CM2" s="15" t="s">
        <v>301</v>
      </c>
      <c r="CN2" s="15" t="s">
        <v>303</v>
      </c>
      <c r="CO2" s="15" t="s">
        <v>304</v>
      </c>
      <c r="CP2" s="15" t="s">
        <v>302</v>
      </c>
      <c r="CQ2" s="15" t="s">
        <v>305</v>
      </c>
      <c r="CR2" s="15" t="s">
        <v>306</v>
      </c>
      <c r="CS2" s="15" t="s">
        <v>307</v>
      </c>
      <c r="CT2" s="15" t="s">
        <v>9</v>
      </c>
      <c r="CU2" s="15" t="s">
        <v>10</v>
      </c>
      <c r="CV2" s="15" t="s">
        <v>11</v>
      </c>
      <c r="CW2" s="15" t="s">
        <v>393</v>
      </c>
      <c r="CY2" s="6">
        <f ca="1">CZ2/((CY1-CZ1)/(0.5/24))</f>
        <v>0</v>
      </c>
      <c r="CZ2" s="6">
        <f>COUNTIFS('My Pokemon'!$CW$3:$CW$352,"EVOLVED")</f>
        <v>0</v>
      </c>
      <c r="DA2" s="6">
        <f ca="1">CY2-CZ2</f>
        <v>0</v>
      </c>
    </row>
    <row r="3" spans="1:105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Multiplier'!$A:$A,MATCH($D3,'Level Multiplier'!$B:$B,0)),"")</f>
        <v>19</v>
      </c>
      <c r="Q3" s="23">
        <f>IFERROR(INDEX('Level Multiplier'!$D:$D,MATCH(P3,'Level Multiplier'!$A:$A,0)),"")</f>
        <v>1.7173900390793821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257438536.57306665</v>
      </c>
      <c r="U3" s="25">
        <f t="shared" ref="U3:U66" si="3">IFERROR(100*Q3^4*($B3+1)^2,"")</f>
        <v>258385871.69393083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Multiplier'!$D:$D,MATCH(AH3,'Level Multiplier'!$A:$A,0)),"")</f>
        <v>1.6952373004785586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244410465.35892561</v>
      </c>
      <c r="AM3" s="25">
        <f t="shared" ref="AM3:AM66" si="9">IFERROR(100*AI3^4*($B3+1)^2,"")</f>
        <v>245309859.13587695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Multiplier'!$D:$D,MATCH(AZ3,'Level Multiplier'!$A:$A,0)),"")</f>
        <v>1.6739202933726098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232346907.91802359</v>
      </c>
      <c r="BE3" s="25">
        <f t="shared" ref="BE3:BE66" si="15">IFERROR(100*BA3^4*($B3+1)^2,"")</f>
        <v>233201909.61677849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Multiplier'!$D:$D,MATCH(BR3,'Level Multiplier'!$A:$A,0)),"")</f>
        <v>1.653387720177633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221154932.71885809</v>
      </c>
      <c r="BW3" s="25">
        <f t="shared" ref="BW3:BW66" si="21">IFERROR(100*BS3^4*($B3+1)^2,"")</f>
        <v>221968749.63106492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26">
        <f t="shared" ref="CL3:CL66" si="25">IF(OR(CJ3="",CK3=""),"",MIN(Z3,AR3,BJ3,CB3))</f>
        <v>0.84444444444444444</v>
      </c>
      <c r="CM3" s="26">
        <f t="shared" ref="CM3:CM66" si="26">IF(OR(CJ3="",CK3=""),"",MAX(AA3,AS3,BK3,CC3))</f>
        <v>0.91111111111111109</v>
      </c>
      <c r="CN3" s="29">
        <f t="shared" ref="CN3:CN66" si="27">IF(OR(CJ3="",CK3=""),"",MIN(AB3,AT3,BL3,CD3))</f>
        <v>15</v>
      </c>
      <c r="CO3" s="29">
        <f t="shared" ref="CO3:CO66" si="28">IF(OR(CJ3="",CK3=""),"",MAX(AC3,AU3,BM3,CE3))</f>
        <v>15</v>
      </c>
      <c r="CP3" s="29">
        <f t="shared" ref="CP3:CP66" si="29">IF(OR(CJ3="",CK3=""),"",MIN(AD3,AV3,BN3,CF3))</f>
        <v>11</v>
      </c>
      <c r="CQ3" s="29">
        <f t="shared" ref="CQ3:CQ66" si="30">IF(OR(CJ3="",CK3=""),"",MAX(AE3,AW3,BO3,CG3))</f>
        <v>14</v>
      </c>
      <c r="CR3" s="29">
        <f t="shared" ref="CR3:CR66" si="31">IF(OR(CJ3="",CK3=""),"",MIN(AF3,AX3,BP3,CH3))</f>
        <v>9</v>
      </c>
      <c r="CS3" s="29">
        <f t="shared" ref="CS3:CS66" si="32">IF(OR(CJ3="",CK3=""),"",MAX(AG3,AY3,BQ3,CI3))</f>
        <v>15</v>
      </c>
      <c r="CT3" s="30">
        <f t="shared" ref="CT3:CT66" si="33">IF(CN3=CO3,CO3,CN3&amp;"-"&amp;CO3)</f>
        <v>15</v>
      </c>
      <c r="CU3" s="30" t="str">
        <f t="shared" ref="CU3:CU66" si="34">IF(CP3=CQ3,CQ3,CP3&amp;"-"&amp;CQ3)</f>
        <v>11-14</v>
      </c>
      <c r="CV3" s="30" t="str">
        <f t="shared" ref="CV3:CV66" si="35">IF(CR3=CS3,CS3,CR3&amp;"-"&amp;CS3)</f>
        <v>9-15</v>
      </c>
      <c r="CW3" s="18" t="s">
        <v>395</v>
      </c>
    </row>
    <row r="4" spans="1:105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Multiplier'!$A:$A,MATCH($D4,'Level Multiplier'!$B:$B,0)),"")</f>
        <v>19</v>
      </c>
      <c r="Q4" s="36">
        <f>IFERROR(INDEX('Level Multiplier'!$D:$D,MATCH(P4,'Level Multiplier'!$A:$A,0)),"")</f>
        <v>1.7173900390793821</v>
      </c>
      <c r="R4" s="37">
        <f t="shared" si="0"/>
        <v>14</v>
      </c>
      <c r="S4" s="37">
        <f t="shared" si="1"/>
        <v>14</v>
      </c>
      <c r="T4" s="38">
        <f t="shared" si="2"/>
        <v>253666594.34710962</v>
      </c>
      <c r="U4" s="38">
        <f t="shared" si="3"/>
        <v>254606970.16497391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Multiplier'!$D:$D,MATCH(AH4,'Level Multiplier'!$A:$A,0)),"")</f>
        <v>1.6952373004785586</v>
      </c>
      <c r="AJ4" s="37">
        <f t="shared" si="6"/>
        <v>12</v>
      </c>
      <c r="AK4" s="37">
        <f t="shared" si="7"/>
        <v>13</v>
      </c>
      <c r="AL4" s="38">
        <f t="shared" si="8"/>
        <v>240829408.04316714</v>
      </c>
      <c r="AM4" s="38">
        <f t="shared" si="9"/>
        <v>241722194.70329973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Multiplier'!$D:$D,MATCH(AZ4,'Level Multiplier'!$A:$A,0)),"")</f>
        <v>1.6739202933726098</v>
      </c>
      <c r="BB4" s="37">
        <f t="shared" si="12"/>
        <v>11</v>
      </c>
      <c r="BC4" s="37">
        <f t="shared" si="13"/>
        <v>12</v>
      </c>
      <c r="BD4" s="38">
        <f t="shared" si="14"/>
        <v>228942603.63354132</v>
      </c>
      <c r="BE4" s="38">
        <f t="shared" si="15"/>
        <v>229791324.32808128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Multiplier'!$D:$D,MATCH(BR4,'Level Multiplier'!$A:$A,0)),"")</f>
        <v>1.653387720177633</v>
      </c>
      <c r="BT4" s="37">
        <f t="shared" si="18"/>
        <v>10</v>
      </c>
      <c r="BU4" s="37">
        <f t="shared" si="19"/>
        <v>10</v>
      </c>
      <c r="BV4" s="38">
        <f t="shared" si="20"/>
        <v>217914611.20248643</v>
      </c>
      <c r="BW4" s="38">
        <f t="shared" si="21"/>
        <v>218722449.66171101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39">
        <f t="shared" si="25"/>
        <v>0.8</v>
      </c>
      <c r="CM4" s="39">
        <f t="shared" si="26"/>
        <v>0.8666666666666667</v>
      </c>
      <c r="CN4" s="42">
        <f t="shared" si="27"/>
        <v>12</v>
      </c>
      <c r="CO4" s="42">
        <f t="shared" si="28"/>
        <v>12</v>
      </c>
      <c r="CP4" s="42">
        <f t="shared" si="29"/>
        <v>12</v>
      </c>
      <c r="CQ4" s="42">
        <f t="shared" si="30"/>
        <v>15</v>
      </c>
      <c r="CR4" s="42">
        <f t="shared" si="31"/>
        <v>9</v>
      </c>
      <c r="CS4" s="42">
        <f t="shared" si="32"/>
        <v>15</v>
      </c>
      <c r="CT4" s="43">
        <f t="shared" si="33"/>
        <v>12</v>
      </c>
      <c r="CU4" s="43" t="str">
        <f t="shared" si="34"/>
        <v>12-15</v>
      </c>
      <c r="CV4" s="43" t="str">
        <f t="shared" si="35"/>
        <v>9-15</v>
      </c>
      <c r="CW4" s="13" t="s">
        <v>396</v>
      </c>
      <c r="CY4" s="1"/>
    </row>
    <row r="5" spans="1:105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Multiplier'!$A:$A,MATCH($D5,'Level Multiplier'!$B:$B,0)),"")</f>
        <v>5</v>
      </c>
      <c r="Q5" s="36">
        <f>IFERROR(INDEX('Level Multiplier'!$D:$D,MATCH(P5,'Level Multiplier'!$A:$A,0)),"")</f>
        <v>3.4453071953035774</v>
      </c>
      <c r="R5" s="37">
        <f t="shared" si="0"/>
        <v>24</v>
      </c>
      <c r="S5" s="37">
        <f t="shared" si="1"/>
        <v>15</v>
      </c>
      <c r="T5" s="38">
        <f t="shared" si="2"/>
        <v>351743417.2175473</v>
      </c>
      <c r="U5" s="38">
        <f t="shared" si="3"/>
        <v>356209955.56308335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Multiplier'!$D:$D,MATCH(AH5,'Level Multiplier'!$A:$A,0)),"")</f>
        <v>3.2673612046279805</v>
      </c>
      <c r="AJ5" s="37">
        <f t="shared" si="6"/>
        <v>18</v>
      </c>
      <c r="AK5" s="37">
        <f t="shared" si="7"/>
        <v>15</v>
      </c>
      <c r="AL5" s="38">
        <f t="shared" si="8"/>
        <v>284513426.66705656</v>
      </c>
      <c r="AM5" s="38">
        <f t="shared" si="9"/>
        <v>288126259.39632493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Multiplier'!$D:$D,MATCH(AZ5,'Level Multiplier'!$A:$A,0)),"")</f>
        <v>3.1144148824183806</v>
      </c>
      <c r="BB5" s="37">
        <f t="shared" si="12"/>
        <v>13</v>
      </c>
      <c r="BC5" s="37">
        <f t="shared" si="13"/>
        <v>15</v>
      </c>
      <c r="BD5" s="38">
        <f t="shared" si="14"/>
        <v>234865938.67057219</v>
      </c>
      <c r="BE5" s="38">
        <f t="shared" si="15"/>
        <v>237848333.42135617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Multiplier'!$D:$D,MATCH(BR5,'Level Multiplier'!$A:$A,0)),"")</f>
        <v>2.9811143188298668</v>
      </c>
      <c r="BT5" s="37">
        <f t="shared" si="18"/>
        <v>9</v>
      </c>
      <c r="BU5" s="37">
        <f t="shared" si="19"/>
        <v>11</v>
      </c>
      <c r="BV5" s="38">
        <f t="shared" si="20"/>
        <v>197164488.33963084</v>
      </c>
      <c r="BW5" s="38">
        <f t="shared" si="21"/>
        <v>199668139.30917352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39">
        <f t="shared" si="25"/>
        <v>0.8666666666666667</v>
      </c>
      <c r="CM5" s="39">
        <f t="shared" si="26"/>
        <v>0.93333333333333335</v>
      </c>
      <c r="CN5" s="42">
        <f t="shared" si="27"/>
        <v>13</v>
      </c>
      <c r="CO5" s="42">
        <f t="shared" si="28"/>
        <v>15</v>
      </c>
      <c r="CP5" s="42">
        <f t="shared" si="29"/>
        <v>12</v>
      </c>
      <c r="CQ5" s="42">
        <f t="shared" si="30"/>
        <v>15</v>
      </c>
      <c r="CR5" s="42">
        <f t="shared" si="31"/>
        <v>9</v>
      </c>
      <c r="CS5" s="42">
        <f t="shared" si="32"/>
        <v>15</v>
      </c>
      <c r="CT5" s="43" t="str">
        <f t="shared" si="33"/>
        <v>13-15</v>
      </c>
      <c r="CU5" s="43" t="str">
        <f t="shared" si="34"/>
        <v>12-15</v>
      </c>
      <c r="CV5" s="43" t="str">
        <f t="shared" si="35"/>
        <v>9-15</v>
      </c>
      <c r="CW5" s="13" t="s">
        <v>397</v>
      </c>
    </row>
    <row r="6" spans="1:105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Multiplier'!$A:$A,MATCH($D6,'Level Multiplier'!$B:$B,0)),"")</f>
        <v>19</v>
      </c>
      <c r="Q6" s="36">
        <f>IFERROR(INDEX('Level Multiplier'!$D:$D,MATCH(P6,'Level Multiplier'!$A:$A,0)),"")</f>
        <v>1.7173900390793821</v>
      </c>
      <c r="R6" s="37">
        <f t="shared" si="0"/>
        <v>17</v>
      </c>
      <c r="S6" s="37">
        <f t="shared" si="1"/>
        <v>15</v>
      </c>
      <c r="T6" s="38">
        <f t="shared" si="2"/>
        <v>1823949804.6432171</v>
      </c>
      <c r="U6" s="38">
        <f t="shared" si="3"/>
        <v>1826469942.2420635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Multiplier'!$D:$D,MATCH(AH6,'Level Multiplier'!$A:$A,0)),"")</f>
        <v>1.6952373004785586</v>
      </c>
      <c r="AJ6" s="37">
        <f t="shared" si="6"/>
        <v>15</v>
      </c>
      <c r="AK6" s="37">
        <f t="shared" si="7"/>
        <v>15</v>
      </c>
      <c r="AL6" s="38">
        <f t="shared" si="8"/>
        <v>1731646032.790606</v>
      </c>
      <c r="AM6" s="38">
        <f t="shared" si="9"/>
        <v>1734038634.9685931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Multiplier'!$D:$D,MATCH(AZ6,'Level Multiplier'!$A:$A,0)),"")</f>
        <v>1.6739202933726098</v>
      </c>
      <c r="BB6" s="37">
        <f t="shared" si="12"/>
        <v>13</v>
      </c>
      <c r="BC6" s="37">
        <f t="shared" si="13"/>
        <v>14</v>
      </c>
      <c r="BD6" s="38">
        <f t="shared" si="14"/>
        <v>1646175832.6778483</v>
      </c>
      <c r="BE6" s="38">
        <f t="shared" si="15"/>
        <v>1648450341.3291733</v>
      </c>
      <c r="BF6" s="38" t="b">
        <f t="shared" si="16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7"/>
        <v>20.5</v>
      </c>
      <c r="BS6" s="36">
        <f>IFERROR(INDEX('Level Multiplier'!$D:$D,MATCH(BR6,'Level Multiplier'!$A:$A,0)),"")</f>
        <v>1.653387720177633</v>
      </c>
      <c r="BT6" s="37">
        <f t="shared" si="18"/>
        <v>11</v>
      </c>
      <c r="BU6" s="37">
        <f t="shared" si="19"/>
        <v>11</v>
      </c>
      <c r="BV6" s="38">
        <f t="shared" si="20"/>
        <v>1566880785.2081554</v>
      </c>
      <c r="BW6" s="38">
        <f t="shared" si="21"/>
        <v>1569045732.4943473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39">
        <f t="shared" si="25"/>
        <v>0.88888888888888884</v>
      </c>
      <c r="CM6" s="39">
        <f t="shared" si="26"/>
        <v>0.91111111111111109</v>
      </c>
      <c r="CN6" s="42">
        <f t="shared" si="27"/>
        <v>13</v>
      </c>
      <c r="CO6" s="42">
        <f t="shared" si="28"/>
        <v>13</v>
      </c>
      <c r="CP6" s="42">
        <f t="shared" si="29"/>
        <v>14</v>
      </c>
      <c r="CQ6" s="42">
        <f t="shared" si="30"/>
        <v>15</v>
      </c>
      <c r="CR6" s="42">
        <f t="shared" si="31"/>
        <v>12</v>
      </c>
      <c r="CS6" s="42">
        <f t="shared" si="32"/>
        <v>14</v>
      </c>
      <c r="CT6" s="43">
        <f t="shared" si="33"/>
        <v>13</v>
      </c>
      <c r="CU6" s="43" t="str">
        <f t="shared" si="34"/>
        <v>14-15</v>
      </c>
      <c r="CV6" s="43" t="str">
        <f t="shared" si="35"/>
        <v>12-14</v>
      </c>
      <c r="CW6" s="13" t="s">
        <v>398</v>
      </c>
    </row>
    <row r="7" spans="1:105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Multiplier'!$A:$A,MATCH($D7,'Level Multiplier'!$B:$B,0)),"")</f>
        <v>19</v>
      </c>
      <c r="Q7" s="36">
        <f>IFERROR(INDEX('Level Multiplier'!$D:$D,MATCH(P7,'Level Multiplier'!$A:$A,0)),"")</f>
        <v>1.7173900390793821</v>
      </c>
      <c r="R7" s="37">
        <f t="shared" si="0"/>
        <v>15</v>
      </c>
      <c r="S7" s="37">
        <f t="shared" si="1"/>
        <v>15</v>
      </c>
      <c r="T7" s="38">
        <f t="shared" si="2"/>
        <v>179302962.14145696</v>
      </c>
      <c r="U7" s="38">
        <f t="shared" si="3"/>
        <v>180093712.94482294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Multiplier'!$D:$D,MATCH(AH7,'Level Multiplier'!$A:$A,0)),"")</f>
        <v>1.6952373004785586</v>
      </c>
      <c r="AJ7" s="37">
        <f t="shared" si="6"/>
        <v>14</v>
      </c>
      <c r="AK7" s="37">
        <f t="shared" si="7"/>
        <v>15</v>
      </c>
      <c r="AL7" s="38">
        <f t="shared" si="8"/>
        <v>170229061.27649328</v>
      </c>
      <c r="AM7" s="38">
        <f t="shared" si="9"/>
        <v>170979794.9250229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Multiplier'!$D:$D,MATCH(AZ7,'Level Multiplier'!$A:$A,0)),"")</f>
        <v>1.6739202933726098</v>
      </c>
      <c r="BB7" s="37">
        <f t="shared" si="12"/>
        <v>13</v>
      </c>
      <c r="BC7" s="37">
        <f t="shared" si="13"/>
        <v>14</v>
      </c>
      <c r="BD7" s="38">
        <f t="shared" si="14"/>
        <v>161826933.09509945</v>
      </c>
      <c r="BE7" s="38">
        <f t="shared" si="15"/>
        <v>162540612.19901884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7"/>
        <v>20.5</v>
      </c>
      <c r="BS7" s="36">
        <f>IFERROR(INDEX('Level Multiplier'!$D:$D,MATCH(BR7,'Level Multiplier'!$A:$A,0)),"")</f>
        <v>1.653387720177633</v>
      </c>
      <c r="BT7" s="37">
        <f t="shared" si="18"/>
        <v>12</v>
      </c>
      <c r="BU7" s="37">
        <f t="shared" si="19"/>
        <v>12</v>
      </c>
      <c r="BV7" s="38">
        <f t="shared" si="20"/>
        <v>154031851.86080828</v>
      </c>
      <c r="BW7" s="38">
        <f t="shared" si="21"/>
        <v>154711153.5809148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39">
        <f t="shared" si="25"/>
        <v>0.8</v>
      </c>
      <c r="CM7" s="39">
        <f t="shared" si="26"/>
        <v>0.8666666666666667</v>
      </c>
      <c r="CN7" s="42">
        <f t="shared" si="27"/>
        <v>13</v>
      </c>
      <c r="CO7" s="42">
        <f t="shared" si="28"/>
        <v>14</v>
      </c>
      <c r="CP7" s="42">
        <f t="shared" si="29"/>
        <v>10</v>
      </c>
      <c r="CQ7" s="42">
        <f t="shared" si="30"/>
        <v>15</v>
      </c>
      <c r="CR7" s="42">
        <f t="shared" si="31"/>
        <v>8</v>
      </c>
      <c r="CS7" s="42">
        <f t="shared" si="32"/>
        <v>15</v>
      </c>
      <c r="CT7" s="43" t="str">
        <f t="shared" si="33"/>
        <v>13-14</v>
      </c>
      <c r="CU7" s="43" t="str">
        <f t="shared" si="34"/>
        <v>10-15</v>
      </c>
      <c r="CV7" s="43" t="str">
        <f t="shared" si="35"/>
        <v>8-15</v>
      </c>
      <c r="CW7" s="13" t="s">
        <v>395</v>
      </c>
    </row>
    <row r="8" spans="1:105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Multiplier'!$A:$A,MATCH($D8,'Level Multiplier'!$B:$B,0)),"")</f>
        <v>19</v>
      </c>
      <c r="Q8" s="36">
        <f>IFERROR(INDEX('Level Multiplier'!$D:$D,MATCH(P8,'Level Multiplier'!$A:$A,0)),"")</f>
        <v>1.7173900390793821</v>
      </c>
      <c r="R8" s="37">
        <f t="shared" si="0"/>
        <v>14</v>
      </c>
      <c r="S8" s="37">
        <f t="shared" si="1"/>
        <v>14</v>
      </c>
      <c r="T8" s="38">
        <f t="shared" si="2"/>
        <v>176941148.68585885</v>
      </c>
      <c r="U8" s="38">
        <f t="shared" si="3"/>
        <v>177726680.0119749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Multiplier'!$D:$D,MATCH(AH8,'Level Multiplier'!$A:$A,0)),"")</f>
        <v>1.6952373004785586</v>
      </c>
      <c r="AJ8" s="37">
        <f t="shared" si="6"/>
        <v>12</v>
      </c>
      <c r="AK8" s="37">
        <f t="shared" si="7"/>
        <v>13</v>
      </c>
      <c r="AL8" s="38">
        <f t="shared" si="8"/>
        <v>167986771.00613251</v>
      </c>
      <c r="AM8" s="38">
        <f t="shared" si="9"/>
        <v>168732549.31704807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Multiplier'!$D:$D,MATCH(AZ8,'Level Multiplier'!$A:$A,0)),"")</f>
        <v>1.6739202933726098</v>
      </c>
      <c r="BB8" s="37">
        <f t="shared" si="12"/>
        <v>11</v>
      </c>
      <c r="BC8" s="37">
        <f t="shared" si="13"/>
        <v>12</v>
      </c>
      <c r="BD8" s="38">
        <f t="shared" si="14"/>
        <v>159695317.2896637</v>
      </c>
      <c r="BE8" s="38">
        <f t="shared" si="15"/>
        <v>160404285.6404219</v>
      </c>
      <c r="BF8" s="38" t="b">
        <f t="shared" si="16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7"/>
        <v>20.5</v>
      </c>
      <c r="BS8" s="36">
        <f>IFERROR(INDEX('Level Multiplier'!$D:$D,MATCH(BR8,'Level Multiplier'!$A:$A,0)),"")</f>
        <v>1.653387720177633</v>
      </c>
      <c r="BT8" s="37">
        <f t="shared" si="18"/>
        <v>10</v>
      </c>
      <c r="BU8" s="37">
        <f t="shared" si="19"/>
        <v>11</v>
      </c>
      <c r="BV8" s="38">
        <f t="shared" si="20"/>
        <v>152002914.37996209</v>
      </c>
      <c r="BW8" s="38">
        <f t="shared" si="21"/>
        <v>152677732.2603319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39">
        <f t="shared" si="25"/>
        <v>0.77777777777777779</v>
      </c>
      <c r="CM8" s="39">
        <f t="shared" si="26"/>
        <v>0.82222222222222219</v>
      </c>
      <c r="CN8" s="42">
        <f t="shared" si="27"/>
        <v>11</v>
      </c>
      <c r="CO8" s="42">
        <f t="shared" si="28"/>
        <v>12</v>
      </c>
      <c r="CP8" s="42">
        <f t="shared" si="29"/>
        <v>12</v>
      </c>
      <c r="CQ8" s="42">
        <f t="shared" si="30"/>
        <v>15</v>
      </c>
      <c r="CR8" s="42">
        <f t="shared" si="31"/>
        <v>9</v>
      </c>
      <c r="CS8" s="42">
        <f t="shared" si="32"/>
        <v>14</v>
      </c>
      <c r="CT8" s="43" t="str">
        <f t="shared" si="33"/>
        <v>11-12</v>
      </c>
      <c r="CU8" s="43" t="str">
        <f t="shared" si="34"/>
        <v>12-15</v>
      </c>
      <c r="CV8" s="43" t="str">
        <f t="shared" si="35"/>
        <v>9-14</v>
      </c>
      <c r="CW8" s="13" t="s">
        <v>396</v>
      </c>
    </row>
    <row r="9" spans="1:105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Multiplier'!$A:$A,MATCH($D9,'Level Multiplier'!$B:$B,0)),"")</f>
        <v>17</v>
      </c>
      <c r="Q9" s="36">
        <f>IFERROR(INDEX('Level Multiplier'!$D:$D,MATCH(P9,'Level Multiplier'!$A:$A,0)),"")</f>
        <v>1.8155651266904069</v>
      </c>
      <c r="R9" s="37">
        <f t="shared" si="0"/>
        <v>10</v>
      </c>
      <c r="S9" s="37">
        <f t="shared" si="1"/>
        <v>10</v>
      </c>
      <c r="T9" s="38">
        <f t="shared" si="2"/>
        <v>162730612.46698517</v>
      </c>
      <c r="U9" s="38">
        <f t="shared" si="3"/>
        <v>163572684.08836153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Multiplier'!$D:$D,MATCH(AH9,'Level Multiplier'!$A:$A,0)),"")</f>
        <v>1.7894511197969956</v>
      </c>
      <c r="AJ9" s="37">
        <f t="shared" si="6"/>
        <v>8</v>
      </c>
      <c r="AK9" s="37">
        <f t="shared" si="7"/>
        <v>9</v>
      </c>
      <c r="AL9" s="38">
        <f t="shared" si="8"/>
        <v>153568198.37736526</v>
      </c>
      <c r="AM9" s="38">
        <f t="shared" si="9"/>
        <v>154362857.84456113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Multiplier'!$D:$D,MATCH(AZ9,'Level Multiplier'!$A:$A,0)),"")</f>
        <v>1.7644323330672333</v>
      </c>
      <c r="BB9" s="37">
        <f t="shared" si="12"/>
        <v>7</v>
      </c>
      <c r="BC9" s="37">
        <f t="shared" si="13"/>
        <v>8</v>
      </c>
      <c r="BD9" s="38">
        <f t="shared" si="14"/>
        <v>145158329.08050901</v>
      </c>
      <c r="BE9" s="38">
        <f t="shared" si="15"/>
        <v>145909470.53860378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Multiplier'!$D:$D,MATCH(BR9,'Level Multiplier'!$A:$A,0)),"")</f>
        <v>1.7404345408706619</v>
      </c>
      <c r="BT9" s="37">
        <f t="shared" si="18"/>
        <v>6</v>
      </c>
      <c r="BU9" s="37">
        <f t="shared" si="19"/>
        <v>7</v>
      </c>
      <c r="BV9" s="38">
        <f t="shared" si="20"/>
        <v>137420873.60933146</v>
      </c>
      <c r="BW9" s="38">
        <f t="shared" si="21"/>
        <v>138131976.55484912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39">
        <f t="shared" si="25"/>
        <v>0.82222222222222219</v>
      </c>
      <c r="CM9" s="39">
        <f t="shared" si="26"/>
        <v>0.82222222222222219</v>
      </c>
      <c r="CN9" s="42">
        <f t="shared" si="27"/>
        <v>10</v>
      </c>
      <c r="CO9" s="42">
        <f t="shared" si="28"/>
        <v>10</v>
      </c>
      <c r="CP9" s="42">
        <f t="shared" si="29"/>
        <v>15</v>
      </c>
      <c r="CQ9" s="42">
        <f t="shared" si="30"/>
        <v>15</v>
      </c>
      <c r="CR9" s="42">
        <f t="shared" si="31"/>
        <v>12</v>
      </c>
      <c r="CS9" s="42">
        <f t="shared" si="32"/>
        <v>12</v>
      </c>
      <c r="CT9" s="43">
        <f t="shared" si="33"/>
        <v>10</v>
      </c>
      <c r="CU9" s="43">
        <f t="shared" si="34"/>
        <v>15</v>
      </c>
      <c r="CV9" s="43">
        <f t="shared" si="35"/>
        <v>12</v>
      </c>
      <c r="CW9" s="13" t="s">
        <v>397</v>
      </c>
      <c r="CY9" s="1"/>
    </row>
    <row r="10" spans="1:105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Multiplier'!$A:$A,MATCH($D10,'Level Multiplier'!$B:$B,0)),"")</f>
        <v>25</v>
      </c>
      <c r="Q10" s="36">
        <f>IFERROR(INDEX('Level Multiplier'!$D:$D,MATCH(P10,'Level Multiplier'!$A:$A,0)),"")</f>
        <v>1.4971539104162985</v>
      </c>
      <c r="R10" s="37">
        <f t="shared" si="0"/>
        <v>11</v>
      </c>
      <c r="S10" s="37">
        <f t="shared" si="1"/>
        <v>12</v>
      </c>
      <c r="T10" s="38">
        <f t="shared" si="2"/>
        <v>155874899.42419839</v>
      </c>
      <c r="U10" s="38">
        <f t="shared" si="3"/>
        <v>156435096.27530178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Multiplier'!$D:$D,MATCH(AH10,'Level Multiplier'!$A:$A,0)),"")</f>
        <v>1.4824092786238152</v>
      </c>
      <c r="AJ10" s="37">
        <f t="shared" si="6"/>
        <v>10</v>
      </c>
      <c r="AK10" s="37">
        <f t="shared" si="7"/>
        <v>11</v>
      </c>
      <c r="AL10" s="38">
        <f t="shared" si="8"/>
        <v>149824517.88989672</v>
      </c>
      <c r="AM10" s="38">
        <f t="shared" si="9"/>
        <v>150362970.35049203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Multiplier'!$D:$D,MATCH(AZ10,'Level Multiplier'!$A:$A,0)),"")</f>
        <v>1.4680732530970622</v>
      </c>
      <c r="BB10" s="37">
        <f t="shared" si="12"/>
        <v>9</v>
      </c>
      <c r="BC10" s="37">
        <f t="shared" si="13"/>
        <v>10</v>
      </c>
      <c r="BD10" s="38">
        <f t="shared" si="14"/>
        <v>144112381.65893963</v>
      </c>
      <c r="BE10" s="38">
        <f t="shared" si="15"/>
        <v>144630305.3445912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Multiplier'!$D:$D,MATCH(BR10,'Level Multiplier'!$A:$A,0)),"")</f>
        <v>1.4541633575240582</v>
      </c>
      <c r="BT10" s="37">
        <f t="shared" si="18"/>
        <v>8</v>
      </c>
      <c r="BU10" s="37">
        <f t="shared" si="19"/>
        <v>9</v>
      </c>
      <c r="BV10" s="38">
        <f t="shared" si="20"/>
        <v>138727697.47630572</v>
      </c>
      <c r="BW10" s="38">
        <f t="shared" si="21"/>
        <v>139226269.21283373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39">
        <f t="shared" si="25"/>
        <v>0.84444444444444444</v>
      </c>
      <c r="CM10" s="39">
        <f t="shared" si="26"/>
        <v>0.84444444444444444</v>
      </c>
      <c r="CN10" s="42">
        <f t="shared" si="27"/>
        <v>11</v>
      </c>
      <c r="CO10" s="42">
        <f t="shared" si="28"/>
        <v>12</v>
      </c>
      <c r="CP10" s="42">
        <f t="shared" si="29"/>
        <v>14</v>
      </c>
      <c r="CQ10" s="42">
        <f t="shared" si="30"/>
        <v>14</v>
      </c>
      <c r="CR10" s="42">
        <f t="shared" si="31"/>
        <v>12</v>
      </c>
      <c r="CS10" s="42">
        <f t="shared" si="32"/>
        <v>13</v>
      </c>
      <c r="CT10" s="43" t="str">
        <f t="shared" si="33"/>
        <v>11-12</v>
      </c>
      <c r="CU10" s="43">
        <f t="shared" si="34"/>
        <v>14</v>
      </c>
      <c r="CV10" s="43" t="str">
        <f t="shared" si="35"/>
        <v>12-13</v>
      </c>
      <c r="CW10" s="13"/>
    </row>
    <row r="11" spans="1:105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Multiplier'!$A:$A,MATCH($D11,'Level Multiplier'!$B:$B,0)),"")</f>
        <v>11</v>
      </c>
      <c r="Q11" s="36">
        <f>IFERROR(INDEX('Level Multiplier'!$D:$D,MATCH(P11,'Level Multiplier'!$A:$A,0)),"")</f>
        <v>2.2567884478610214</v>
      </c>
      <c r="R11" s="37">
        <f t="shared" si="0"/>
        <v>19</v>
      </c>
      <c r="S11" s="37">
        <f t="shared" si="1"/>
        <v>15</v>
      </c>
      <c r="T11" s="38">
        <f t="shared" si="2"/>
        <v>186308636.87313873</v>
      </c>
      <c r="U11" s="38">
        <f t="shared" si="3"/>
        <v>187701593.7956281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Multiplier'!$D:$D,MATCH(AH11,'Level Multiplier'!$A:$A,0)),"")</f>
        <v>2.2072133782377708</v>
      </c>
      <c r="AJ11" s="37">
        <f t="shared" si="6"/>
        <v>16</v>
      </c>
      <c r="AK11" s="37">
        <f t="shared" si="7"/>
        <v>15</v>
      </c>
      <c r="AL11" s="38">
        <f t="shared" si="8"/>
        <v>170469570.62331107</v>
      </c>
      <c r="AM11" s="38">
        <f t="shared" si="9"/>
        <v>171744105.03276637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Multiplier'!$D:$D,MATCH(AZ11,'Level Multiplier'!$A:$A,0)),"")</f>
        <v>2.1607681046600011</v>
      </c>
      <c r="BB11" s="37">
        <f t="shared" si="12"/>
        <v>14</v>
      </c>
      <c r="BC11" s="37">
        <f t="shared" si="13"/>
        <v>15</v>
      </c>
      <c r="BD11" s="38">
        <f t="shared" si="14"/>
        <v>156567721.09247357</v>
      </c>
      <c r="BE11" s="38">
        <f t="shared" si="15"/>
        <v>157738316.80179995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Multiplier'!$D:$D,MATCH(BR11,'Level Multiplier'!$A:$A,0)),"")</f>
        <v>2.1171365813269869</v>
      </c>
      <c r="BT11" s="37">
        <f t="shared" si="18"/>
        <v>12</v>
      </c>
      <c r="BU11" s="37">
        <f t="shared" si="19"/>
        <v>13</v>
      </c>
      <c r="BV11" s="38">
        <f t="shared" si="20"/>
        <v>144299588.6527504</v>
      </c>
      <c r="BW11" s="38">
        <f t="shared" si="21"/>
        <v>145378460.32665503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39">
        <f t="shared" si="25"/>
        <v>0.8</v>
      </c>
      <c r="CM11" s="39">
        <f t="shared" si="26"/>
        <v>0.91111111111111109</v>
      </c>
      <c r="CN11" s="42">
        <f t="shared" si="27"/>
        <v>14</v>
      </c>
      <c r="CO11" s="42">
        <f t="shared" si="28"/>
        <v>15</v>
      </c>
      <c r="CP11" s="42">
        <f t="shared" si="29"/>
        <v>12</v>
      </c>
      <c r="CQ11" s="42">
        <f t="shared" si="30"/>
        <v>15</v>
      </c>
      <c r="CR11" s="42">
        <f t="shared" si="31"/>
        <v>6</v>
      </c>
      <c r="CS11" s="42">
        <f t="shared" si="32"/>
        <v>15</v>
      </c>
      <c r="CT11" s="43" t="str">
        <f t="shared" si="33"/>
        <v>14-15</v>
      </c>
      <c r="CU11" s="43" t="str">
        <f t="shared" si="34"/>
        <v>12-15</v>
      </c>
      <c r="CV11" s="43" t="str">
        <f t="shared" si="35"/>
        <v>6-15</v>
      </c>
      <c r="CW11" s="13"/>
    </row>
    <row r="12" spans="1:105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Multiplier'!$A:$A,MATCH($D12,'Level Multiplier'!$B:$B,0)),"")</f>
        <v>27</v>
      </c>
      <c r="Q12" s="36">
        <f>IFERROR(INDEX('Level Multiplier'!$D:$D,MATCH(P12,'Level Multiplier'!$A:$A,0)),"")</f>
        <v>1.4406239976408342</v>
      </c>
      <c r="R12" s="37">
        <f t="shared" si="0"/>
        <v>17</v>
      </c>
      <c r="S12" s="37">
        <f t="shared" si="1"/>
        <v>15</v>
      </c>
      <c r="T12" s="38">
        <f t="shared" si="2"/>
        <v>1407989551.1265163</v>
      </c>
      <c r="U12" s="38">
        <f t="shared" si="3"/>
        <v>1409547492.4194012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Multiplier'!$D:$D,MATCH(AH12,'Level Multiplier'!$A:$A,0)),"")</f>
        <v>1.4274729412404619</v>
      </c>
      <c r="AJ12" s="37">
        <f t="shared" si="6"/>
        <v>15</v>
      </c>
      <c r="AK12" s="37">
        <f t="shared" si="7"/>
        <v>15</v>
      </c>
      <c r="AL12" s="38">
        <f t="shared" si="8"/>
        <v>1357276690.8866858</v>
      </c>
      <c r="AM12" s="38">
        <f t="shared" si="9"/>
        <v>1358778518.3689356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Multiplier'!$D:$D,MATCH(AZ12,'Level Multiplier'!$A:$A,0)),"")</f>
        <v>1.4146588449047404</v>
      </c>
      <c r="BB12" s="37">
        <f t="shared" si="12"/>
        <v>14</v>
      </c>
      <c r="BC12" s="37">
        <f t="shared" si="13"/>
        <v>14</v>
      </c>
      <c r="BD12" s="38">
        <f t="shared" si="14"/>
        <v>1309193165.1777961</v>
      </c>
      <c r="BE12" s="38">
        <f t="shared" si="15"/>
        <v>1310641788.2096653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Multiplier'!$D:$D,MATCH(BR12,'Level Multiplier'!$A:$A,0)),"")</f>
        <v>1.4022000597460618</v>
      </c>
      <c r="BT12" s="37">
        <f t="shared" si="18"/>
        <v>12</v>
      </c>
      <c r="BU12" s="37">
        <f t="shared" si="19"/>
        <v>13</v>
      </c>
      <c r="BV12" s="38">
        <f t="shared" si="20"/>
        <v>1263679026.2438242</v>
      </c>
      <c r="BW12" s="38">
        <f t="shared" si="21"/>
        <v>1265077287.8533387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39">
        <f t="shared" si="25"/>
        <v>0.93333333333333335</v>
      </c>
      <c r="CM12" s="39">
        <f t="shared" si="26"/>
        <v>0.93333333333333335</v>
      </c>
      <c r="CN12" s="42">
        <f t="shared" si="27"/>
        <v>14</v>
      </c>
      <c r="CO12" s="42">
        <f t="shared" si="28"/>
        <v>14</v>
      </c>
      <c r="CP12" s="42">
        <f t="shared" si="29"/>
        <v>13</v>
      </c>
      <c r="CQ12" s="42">
        <f t="shared" si="30"/>
        <v>13</v>
      </c>
      <c r="CR12" s="42">
        <f t="shared" si="31"/>
        <v>15</v>
      </c>
      <c r="CS12" s="42">
        <f t="shared" si="32"/>
        <v>15</v>
      </c>
      <c r="CT12" s="43">
        <f t="shared" si="33"/>
        <v>14</v>
      </c>
      <c r="CU12" s="43">
        <f t="shared" si="34"/>
        <v>13</v>
      </c>
      <c r="CV12" s="43">
        <f t="shared" si="35"/>
        <v>15</v>
      </c>
      <c r="CW12" s="13" t="s">
        <v>399</v>
      </c>
    </row>
    <row r="13" spans="1:105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Multiplier'!$A:$A,MATCH($D13,'Level Multiplier'!$B:$B,0)),"")</f>
        <v>19</v>
      </c>
      <c r="Q13" s="36">
        <f>IFERROR(INDEX('Level Multiplier'!$D:$D,MATCH(P13,'Level Multiplier'!$A:$A,0)),"")</f>
        <v>1.7173900390793821</v>
      </c>
      <c r="R13" s="37">
        <f t="shared" si="0"/>
        <v>16</v>
      </c>
      <c r="S13" s="37">
        <f t="shared" si="1"/>
        <v>15</v>
      </c>
      <c r="T13" s="38">
        <f t="shared" si="2"/>
        <v>48040938.5213276</v>
      </c>
      <c r="U13" s="38">
        <f t="shared" si="3"/>
        <v>48450667.485447936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Multiplier'!$D:$D,MATCH(AH13,'Level Multiplier'!$A:$A,0)),"")</f>
        <v>1.6952373004785586</v>
      </c>
      <c r="AJ13" s="37">
        <f t="shared" si="6"/>
        <v>14</v>
      </c>
      <c r="AK13" s="37">
        <f t="shared" si="7"/>
        <v>15</v>
      </c>
      <c r="AL13" s="38">
        <f t="shared" si="8"/>
        <v>45609753.289382391</v>
      </c>
      <c r="AM13" s="38">
        <f t="shared" si="9"/>
        <v>45998747.292085864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Multiplier'!$D:$D,MATCH(AZ13,'Level Multiplier'!$A:$A,0)),"")</f>
        <v>1.6739202933726098</v>
      </c>
      <c r="BB13" s="37">
        <f t="shared" si="12"/>
        <v>13</v>
      </c>
      <c r="BC13" s="37">
        <f t="shared" si="13"/>
        <v>13</v>
      </c>
      <c r="BD13" s="38">
        <f t="shared" si="14"/>
        <v>43358557.221064195</v>
      </c>
      <c r="BE13" s="38">
        <f t="shared" si="15"/>
        <v>43728351.344217137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7"/>
        <v>20.5</v>
      </c>
      <c r="BS13" s="36">
        <f>IFERROR(INDEX('Level Multiplier'!$D:$D,MATCH(BR13,'Level Multiplier'!$A:$A,0)),"")</f>
        <v>1.653387720177633</v>
      </c>
      <c r="BT13" s="37">
        <f t="shared" si="18"/>
        <v>11</v>
      </c>
      <c r="BU13" s="37">
        <f t="shared" si="19"/>
        <v>12</v>
      </c>
      <c r="BV13" s="38">
        <f t="shared" si="20"/>
        <v>41270008.242994897</v>
      </c>
      <c r="BW13" s="38">
        <f t="shared" si="21"/>
        <v>41621989.662324019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39">
        <f t="shared" si="25"/>
        <v>0.91111111111111109</v>
      </c>
      <c r="CM13" s="39">
        <f t="shared" si="26"/>
        <v>0.91111111111111109</v>
      </c>
      <c r="CN13" s="42">
        <f t="shared" si="27"/>
        <v>13</v>
      </c>
      <c r="CO13" s="42">
        <f t="shared" si="28"/>
        <v>13</v>
      </c>
      <c r="CP13" s="42">
        <f t="shared" si="29"/>
        <v>15</v>
      </c>
      <c r="CQ13" s="42">
        <f t="shared" si="30"/>
        <v>15</v>
      </c>
      <c r="CR13" s="42">
        <f t="shared" si="31"/>
        <v>13</v>
      </c>
      <c r="CS13" s="42">
        <f t="shared" si="32"/>
        <v>13</v>
      </c>
      <c r="CT13" s="43">
        <f t="shared" si="33"/>
        <v>13</v>
      </c>
      <c r="CU13" s="43">
        <f t="shared" si="34"/>
        <v>15</v>
      </c>
      <c r="CV13" s="43">
        <f t="shared" si="35"/>
        <v>13</v>
      </c>
      <c r="CW13" s="13"/>
    </row>
    <row r="14" spans="1:105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Multiplier'!$A:$A,MATCH($D14,'Level Multiplier'!$B:$B,0)),"")</f>
        <v>17</v>
      </c>
      <c r="Q14" s="36">
        <f>IFERROR(INDEX('Level Multiplier'!$D:$D,MATCH(P14,'Level Multiplier'!$A:$A,0)),"")</f>
        <v>1.8155651266904069</v>
      </c>
      <c r="R14" s="37">
        <f t="shared" si="0"/>
        <v>15</v>
      </c>
      <c r="S14" s="37">
        <f t="shared" si="1"/>
        <v>15</v>
      </c>
      <c r="T14" s="38">
        <f t="shared" si="2"/>
        <v>781338156.4105984</v>
      </c>
      <c r="U14" s="38">
        <f t="shared" si="3"/>
        <v>783182021.62540567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17.5</v>
      </c>
      <c r="AI14" s="36">
        <f>IFERROR(INDEX('Level Multiplier'!$D:$D,MATCH(AH14,'Level Multiplier'!$A:$A,0)),"")</f>
        <v>1.7894511197969956</v>
      </c>
      <c r="AJ14" s="37">
        <f t="shared" si="6"/>
        <v>13</v>
      </c>
      <c r="AK14" s="37">
        <f t="shared" si="7"/>
        <v>14</v>
      </c>
      <c r="AL14" s="38">
        <f t="shared" si="8"/>
        <v>737345550.32053936</v>
      </c>
      <c r="AM14" s="38">
        <f t="shared" si="9"/>
        <v>739085598.21193469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18</v>
      </c>
      <c r="BA14" s="36">
        <f>IFERROR(INDEX('Level Multiplier'!$D:$D,MATCH(AZ14,'Level Multiplier'!$A:$A,0)),"")</f>
        <v>1.7644323330672333</v>
      </c>
      <c r="BB14" s="37">
        <f t="shared" si="12"/>
        <v>11</v>
      </c>
      <c r="BC14" s="37">
        <f t="shared" si="13"/>
        <v>12</v>
      </c>
      <c r="BD14" s="38">
        <f t="shared" si="14"/>
        <v>696966228.49261427</v>
      </c>
      <c r="BE14" s="38">
        <f t="shared" si="15"/>
        <v>698610985.98214567</v>
      </c>
      <c r="BF14" s="38" t="b">
        <f t="shared" si="16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7"/>
        <v>18.5</v>
      </c>
      <c r="BS14" s="36">
        <f>IFERROR(INDEX('Level Multiplier'!$D:$D,MATCH(BR14,'Level Multiplier'!$A:$A,0)),"")</f>
        <v>1.7404345408706619</v>
      </c>
      <c r="BT14" s="37">
        <f t="shared" si="18"/>
        <v>9</v>
      </c>
      <c r="BU14" s="37">
        <f t="shared" si="19"/>
        <v>10</v>
      </c>
      <c r="BV14" s="38">
        <f t="shared" si="20"/>
        <v>659815448.43034732</v>
      </c>
      <c r="BW14" s="38">
        <f t="shared" si="21"/>
        <v>661372534.49298406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18</v>
      </c>
      <c r="CK14" s="41">
        <f t="shared" si="24"/>
        <v>18</v>
      </c>
      <c r="CL14" s="39">
        <f t="shared" si="25"/>
        <v>0.82222222222222219</v>
      </c>
      <c r="CM14" s="39">
        <f t="shared" si="26"/>
        <v>0.84444444444444444</v>
      </c>
      <c r="CN14" s="42">
        <f t="shared" si="27"/>
        <v>12</v>
      </c>
      <c r="CO14" s="42">
        <f t="shared" si="28"/>
        <v>12</v>
      </c>
      <c r="CP14" s="42">
        <f t="shared" si="29"/>
        <v>12</v>
      </c>
      <c r="CQ14" s="42">
        <f t="shared" si="30"/>
        <v>13</v>
      </c>
      <c r="CR14" s="42">
        <f t="shared" si="31"/>
        <v>12</v>
      </c>
      <c r="CS14" s="42">
        <f t="shared" si="32"/>
        <v>14</v>
      </c>
      <c r="CT14" s="43">
        <f t="shared" si="33"/>
        <v>12</v>
      </c>
      <c r="CU14" s="43" t="str">
        <f t="shared" si="34"/>
        <v>12-13</v>
      </c>
      <c r="CV14" s="43" t="str">
        <f t="shared" si="35"/>
        <v>12-14</v>
      </c>
      <c r="CW14" s="13" t="s">
        <v>399</v>
      </c>
    </row>
    <row r="15" spans="1:105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Multiplier'!$A:$A,MATCH($D15,'Level Multiplier'!$B:$B,0)),"")</f>
        <v>7</v>
      </c>
      <c r="Q15" s="36">
        <f>IFERROR(INDEX('Level Multiplier'!$D:$D,MATCH(P15,'Level Multiplier'!$A:$A,0)),"")</f>
        <v>2.8635844494535538</v>
      </c>
      <c r="R15" s="37">
        <f t="shared" si="0"/>
        <v>0</v>
      </c>
      <c r="S15" s="37">
        <f t="shared" si="1"/>
        <v>0</v>
      </c>
      <c r="T15" s="38">
        <f t="shared" si="2"/>
        <v>22620175.415505525</v>
      </c>
      <c r="U15" s="38">
        <f t="shared" si="3"/>
        <v>23406905.654392011</v>
      </c>
      <c r="V15" s="38" t="b">
        <f t="shared" si="4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5"/>
        <v>7.5</v>
      </c>
      <c r="AI15" s="36">
        <f>IFERROR(INDEX('Level Multiplier'!$D:$D,MATCH(AH15,'Level Multiplier'!$A:$A,0)),"")</f>
        <v>2.7589422415193434</v>
      </c>
      <c r="AJ15" s="37">
        <f t="shared" si="6"/>
        <v>0</v>
      </c>
      <c r="AK15" s="37">
        <f t="shared" si="7"/>
        <v>-2</v>
      </c>
      <c r="AL15" s="38">
        <f t="shared" si="8"/>
        <v>19490654.43409048</v>
      </c>
      <c r="AM15" s="38">
        <f t="shared" si="9"/>
        <v>20168539.858819548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8</v>
      </c>
      <c r="BA15" s="36">
        <f>IFERROR(INDEX('Level Multiplier'!$D:$D,MATCH(AZ15,'Level Multiplier'!$A:$A,0)),"")</f>
        <v>2.6649924118338562</v>
      </c>
      <c r="BB15" s="37">
        <f t="shared" si="12"/>
        <v>0</v>
      </c>
      <c r="BC15" s="37">
        <f t="shared" si="13"/>
        <v>-5</v>
      </c>
      <c r="BD15" s="38">
        <f t="shared" si="14"/>
        <v>16968360.963114481</v>
      </c>
      <c r="BE15" s="38">
        <f t="shared" si="15"/>
        <v>17558520.960939806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8.5</v>
      </c>
      <c r="BS15" s="36">
        <f>IFERROR(INDEX('Level Multiplier'!$D:$D,MATCH(BR15,'Level Multiplier'!$A:$A,0)),"")</f>
        <v>2.5800299090483212</v>
      </c>
      <c r="BT15" s="37">
        <f t="shared" si="18"/>
        <v>0</v>
      </c>
      <c r="BU15" s="37">
        <f t="shared" si="19"/>
        <v>-7</v>
      </c>
      <c r="BV15" s="38">
        <f t="shared" si="20"/>
        <v>14905788.317522015</v>
      </c>
      <c r="BW15" s="38">
        <f t="shared" si="21"/>
        <v>15424211.989683157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7</v>
      </c>
      <c r="CK15" s="41">
        <f t="shared" si="24"/>
        <v>7</v>
      </c>
      <c r="CL15" s="39">
        <f t="shared" si="25"/>
        <v>0.2</v>
      </c>
      <c r="CM15" s="39">
        <f t="shared" si="26"/>
        <v>0.35555555555555557</v>
      </c>
      <c r="CN15" s="42">
        <f t="shared" si="27"/>
        <v>0</v>
      </c>
      <c r="CO15" s="42">
        <f t="shared" si="28"/>
        <v>0</v>
      </c>
      <c r="CP15" s="42">
        <f t="shared" si="29"/>
        <v>1</v>
      </c>
      <c r="CQ15" s="42">
        <f t="shared" si="30"/>
        <v>9</v>
      </c>
      <c r="CR15" s="42">
        <f t="shared" si="31"/>
        <v>0</v>
      </c>
      <c r="CS15" s="42">
        <f t="shared" si="32"/>
        <v>15</v>
      </c>
      <c r="CT15" s="43">
        <f t="shared" si="33"/>
        <v>0</v>
      </c>
      <c r="CU15" s="43" t="str">
        <f t="shared" si="34"/>
        <v>1-9</v>
      </c>
      <c r="CV15" s="43" t="str">
        <f t="shared" si="35"/>
        <v>0-15</v>
      </c>
      <c r="CW15" s="13" t="s">
        <v>400</v>
      </c>
      <c r="CY15" s="12"/>
    </row>
    <row r="16" spans="1:105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Multiplier'!$A:$A,MATCH($D16,'Level Multiplier'!$B:$B,0)),"")</f>
        <v>25</v>
      </c>
      <c r="Q16" s="36">
        <f>IFERROR(INDEX('Level Multiplier'!$D:$D,MATCH(P16,'Level Multiplier'!$A:$A,0)),"")</f>
        <v>1.4971539104162985</v>
      </c>
      <c r="R16" s="37">
        <f t="shared" si="0"/>
        <v>17</v>
      </c>
      <c r="S16" s="37">
        <f t="shared" si="1"/>
        <v>15</v>
      </c>
      <c r="T16" s="38">
        <f t="shared" si="2"/>
        <v>849087603.91458237</v>
      </c>
      <c r="U16" s="38">
        <f t="shared" si="3"/>
        <v>850394394.95468998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25.5</v>
      </c>
      <c r="AI16" s="36">
        <f>IFERROR(INDEX('Level Multiplier'!$D:$D,MATCH(AH16,'Level Multiplier'!$A:$A,0)),"")</f>
        <v>1.4824092786238152</v>
      </c>
      <c r="AJ16" s="37">
        <f t="shared" si="6"/>
        <v>16</v>
      </c>
      <c r="AK16" s="37">
        <f t="shared" si="7"/>
        <v>15</v>
      </c>
      <c r="AL16" s="38">
        <f t="shared" si="8"/>
        <v>816129738.48078632</v>
      </c>
      <c r="AM16" s="38">
        <f t="shared" si="9"/>
        <v>817385805.61083865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26</v>
      </c>
      <c r="BA16" s="36">
        <f>IFERROR(INDEX('Level Multiplier'!$D:$D,MATCH(AZ16,'Level Multiplier'!$A:$A,0)),"")</f>
        <v>1.4680732530970622</v>
      </c>
      <c r="BB16" s="37">
        <f t="shared" si="12"/>
        <v>14</v>
      </c>
      <c r="BC16" s="37">
        <f t="shared" si="13"/>
        <v>15</v>
      </c>
      <c r="BD16" s="38">
        <f t="shared" si="14"/>
        <v>785014375.56159079</v>
      </c>
      <c r="BE16" s="38">
        <f t="shared" si="15"/>
        <v>786222554.49107933</v>
      </c>
      <c r="BF16" s="38" t="b">
        <f t="shared" si="16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7"/>
        <v>26.5</v>
      </c>
      <c r="BS16" s="36">
        <f>IFERROR(INDEX('Level Multiplier'!$D:$D,MATCH(BR16,'Level Multiplier'!$A:$A,0)),"")</f>
        <v>1.4541633575240582</v>
      </c>
      <c r="BT16" s="37">
        <f t="shared" si="18"/>
        <v>13</v>
      </c>
      <c r="BU16" s="37">
        <f t="shared" si="19"/>
        <v>13</v>
      </c>
      <c r="BV16" s="38">
        <f t="shared" si="20"/>
        <v>755682721.73304892</v>
      </c>
      <c r="BW16" s="38">
        <f t="shared" si="21"/>
        <v>756845757.68525457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26</v>
      </c>
      <c r="CK16" s="41">
        <f t="shared" si="24"/>
        <v>26</v>
      </c>
      <c r="CL16" s="39">
        <f t="shared" si="25"/>
        <v>0.88888888888888884</v>
      </c>
      <c r="CM16" s="39">
        <f t="shared" si="26"/>
        <v>0.91111111111111109</v>
      </c>
      <c r="CN16" s="42">
        <f t="shared" si="27"/>
        <v>14</v>
      </c>
      <c r="CO16" s="42">
        <f t="shared" si="28"/>
        <v>15</v>
      </c>
      <c r="CP16" s="42">
        <f t="shared" si="29"/>
        <v>14</v>
      </c>
      <c r="CQ16" s="42">
        <f t="shared" si="30"/>
        <v>15</v>
      </c>
      <c r="CR16" s="42">
        <f t="shared" si="31"/>
        <v>10</v>
      </c>
      <c r="CS16" s="42">
        <f t="shared" si="32"/>
        <v>13</v>
      </c>
      <c r="CT16" s="43" t="str">
        <f t="shared" si="33"/>
        <v>14-15</v>
      </c>
      <c r="CU16" s="43" t="str">
        <f t="shared" si="34"/>
        <v>14-15</v>
      </c>
      <c r="CV16" s="43" t="str">
        <f t="shared" si="35"/>
        <v>10-13</v>
      </c>
      <c r="CW16" s="13" t="s">
        <v>399</v>
      </c>
    </row>
    <row r="17" spans="1:101" x14ac:dyDescent="0.25">
      <c r="A17" s="31" t="s">
        <v>40</v>
      </c>
      <c r="B17" s="13">
        <v>362</v>
      </c>
      <c r="C17" s="13">
        <v>60</v>
      </c>
      <c r="D17" s="13">
        <v>35</v>
      </c>
      <c r="E17" s="32"/>
      <c r="F17" s="32"/>
      <c r="G17" s="32"/>
      <c r="H17" s="32"/>
      <c r="I17" s="32"/>
      <c r="J17" s="13"/>
      <c r="K17" s="33">
        <v>23</v>
      </c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Multiplier'!$A:$A,MATCH($D17,'Level Multiplier'!$B:$B,0)),"")</f>
        <v>23</v>
      </c>
      <c r="Q17" s="36">
        <f>IFERROR(INDEX('Level Multiplier'!$D:$D,MATCH(P17,'Level Multiplier'!$A:$A,0)),"")</f>
        <v>1.560907508503629</v>
      </c>
      <c r="R17" s="37">
        <f t="shared" si="0"/>
        <v>14</v>
      </c>
      <c r="S17" s="37">
        <f t="shared" si="1"/>
        <v>15</v>
      </c>
      <c r="T17" s="38">
        <f t="shared" si="2"/>
        <v>77790366.921661302</v>
      </c>
      <c r="U17" s="38">
        <f t="shared" si="3"/>
        <v>78220741.574588597</v>
      </c>
      <c r="V17" s="38" t="b">
        <f t="shared" si="4"/>
        <v>0</v>
      </c>
      <c r="W17" s="37">
        <f t="array" ref="W17:AG17">IF(V17,"",IVSolution($M17,$N17,$O17,R17,S17,T17,U17,$E17,$F17,$G17,$H17,$I17))</f>
        <v>7</v>
      </c>
      <c r="X17" s="37">
        <v>36</v>
      </c>
      <c r="Y17" s="37">
        <v>40</v>
      </c>
      <c r="Z17" s="39">
        <v>0.8</v>
      </c>
      <c r="AA17" s="39">
        <v>0.88888888888888884</v>
      </c>
      <c r="AB17" s="37">
        <v>14</v>
      </c>
      <c r="AC17" s="37">
        <v>15</v>
      </c>
      <c r="AD17" s="37">
        <v>10</v>
      </c>
      <c r="AE17" s="37">
        <v>15</v>
      </c>
      <c r="AF17" s="37">
        <v>6</v>
      </c>
      <c r="AG17" s="37">
        <v>15</v>
      </c>
      <c r="AH17" s="40">
        <f t="shared" si="5"/>
        <v>23.5</v>
      </c>
      <c r="AI17" s="36">
        <f>IFERROR(INDEX('Level Multiplier'!$D:$D,MATCH(AH17,'Level Multiplier'!$A:$A,0)),"")</f>
        <v>1.5442192764441367</v>
      </c>
      <c r="AJ17" s="37">
        <f t="shared" si="6"/>
        <v>13</v>
      </c>
      <c r="AK17" s="37">
        <f t="shared" si="7"/>
        <v>14</v>
      </c>
      <c r="AL17" s="38">
        <f t="shared" si="8"/>
        <v>74516597.919756219</v>
      </c>
      <c r="AM17" s="38">
        <f t="shared" si="9"/>
        <v>74928860.468913928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24</v>
      </c>
      <c r="BA17" s="36">
        <f>IFERROR(INDEX('Level Multiplier'!$D:$D,MATCH(AZ17,'Level Multiplier'!$A:$A,0)),"")</f>
        <v>1.5280341628098701</v>
      </c>
      <c r="BB17" s="37">
        <f t="shared" si="12"/>
        <v>12</v>
      </c>
      <c r="BC17" s="37">
        <f t="shared" si="13"/>
        <v>13</v>
      </c>
      <c r="BD17" s="38">
        <f t="shared" si="14"/>
        <v>71441307.972938657</v>
      </c>
      <c r="BE17" s="38">
        <f t="shared" si="15"/>
        <v>71836556.502290487</v>
      </c>
      <c r="BF17" s="38" t="b">
        <f t="shared" si="16"/>
        <v>1</v>
      </c>
      <c r="BG17" s="37" t="str">
        <f t="array" ref="BG17:BQ17">IF(BF17,"",IVSolution($M17,$N17,$O17,BB17,BC17,BD17,BE17,$E17,$F17,$G17,$H17,$I17))</f>
        <v/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24.5</v>
      </c>
      <c r="BS17" s="36">
        <f>IFERROR(INDEX('Level Multiplier'!$D:$D,MATCH(BR17,'Level Multiplier'!$A:$A,0)),"")</f>
        <v>1.5123678280126109</v>
      </c>
      <c r="BT17" s="37">
        <f t="shared" si="18"/>
        <v>11</v>
      </c>
      <c r="BU17" s="37">
        <f t="shared" si="19"/>
        <v>12</v>
      </c>
      <c r="BV17" s="38">
        <f t="shared" si="20"/>
        <v>68556219.709377021</v>
      </c>
      <c r="BW17" s="38">
        <f t="shared" si="21"/>
        <v>68935506.508385733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23</v>
      </c>
      <c r="CK17" s="41">
        <f t="shared" si="24"/>
        <v>23</v>
      </c>
      <c r="CL17" s="39">
        <f t="shared" si="25"/>
        <v>0.8</v>
      </c>
      <c r="CM17" s="39">
        <f t="shared" si="26"/>
        <v>0.88888888888888884</v>
      </c>
      <c r="CN17" s="42">
        <f t="shared" si="27"/>
        <v>14</v>
      </c>
      <c r="CO17" s="42">
        <f t="shared" si="28"/>
        <v>15</v>
      </c>
      <c r="CP17" s="42">
        <f t="shared" si="29"/>
        <v>10</v>
      </c>
      <c r="CQ17" s="42">
        <f t="shared" si="30"/>
        <v>15</v>
      </c>
      <c r="CR17" s="42">
        <f t="shared" si="31"/>
        <v>6</v>
      </c>
      <c r="CS17" s="42">
        <f t="shared" si="32"/>
        <v>15</v>
      </c>
      <c r="CT17" s="43" t="str">
        <f t="shared" si="33"/>
        <v>14-15</v>
      </c>
      <c r="CU17" s="43" t="str">
        <f t="shared" si="34"/>
        <v>10-15</v>
      </c>
      <c r="CV17" s="43" t="str">
        <f t="shared" si="35"/>
        <v>6-15</v>
      </c>
      <c r="CW17" s="13" t="s">
        <v>400</v>
      </c>
    </row>
    <row r="18" spans="1:101" x14ac:dyDescent="0.25">
      <c r="A18" s="31" t="s">
        <v>40</v>
      </c>
      <c r="B18" s="13">
        <v>288</v>
      </c>
      <c r="C18" s="13">
        <v>53</v>
      </c>
      <c r="D18" s="13">
        <v>25</v>
      </c>
      <c r="E18" s="32"/>
      <c r="F18" s="32"/>
      <c r="G18" s="32"/>
      <c r="H18" s="32"/>
      <c r="I18" s="32"/>
      <c r="J18" s="13"/>
      <c r="K18" s="33">
        <v>20</v>
      </c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Multiplier'!$A:$A,MATCH($D18,'Level Multiplier'!$B:$B,0)),"")</f>
        <v>19</v>
      </c>
      <c r="Q18" s="36">
        <f>IFERROR(INDEX('Level Multiplier'!$D:$D,MATCH(P18,'Level Multiplier'!$A:$A,0)),"")</f>
        <v>1.7173900390793821</v>
      </c>
      <c r="R18" s="37">
        <f t="shared" si="0"/>
        <v>12</v>
      </c>
      <c r="S18" s="37">
        <f t="shared" si="1"/>
        <v>12</v>
      </c>
      <c r="T18" s="38">
        <f t="shared" si="2"/>
        <v>72154053.503177851</v>
      </c>
      <c r="U18" s="38">
        <f t="shared" si="3"/>
        <v>72655993.232047126</v>
      </c>
      <c r="V18" s="38" t="b">
        <f t="shared" si="4"/>
        <v>1</v>
      </c>
      <c r="W18" s="37" t="str">
        <f t="array" ref="W18:AG18">IF(V18,"",IVSolution($M18,$N18,$O18,R18,S18,T18,U18,$E18,$F18,$G18,$H18,$I18))</f>
        <v/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19.5</v>
      </c>
      <c r="AI18" s="36">
        <f>IFERROR(INDEX('Level Multiplier'!$D:$D,MATCH(AH18,'Level Multiplier'!$A:$A,0)),"")</f>
        <v>1.6952373004785586</v>
      </c>
      <c r="AJ18" s="37">
        <f t="shared" si="6"/>
        <v>10</v>
      </c>
      <c r="AK18" s="37">
        <f t="shared" si="7"/>
        <v>11</v>
      </c>
      <c r="AL18" s="38">
        <f t="shared" si="8"/>
        <v>68502587.176723093</v>
      </c>
      <c r="AM18" s="38">
        <f t="shared" si="9"/>
        <v>68979125.47727491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20</v>
      </c>
      <c r="BA18" s="36">
        <f>IFERROR(INDEX('Level Multiplier'!$D:$D,MATCH(AZ18,'Level Multiplier'!$A:$A,0)),"")</f>
        <v>1.6739202933726098</v>
      </c>
      <c r="BB18" s="37">
        <f t="shared" si="12"/>
        <v>9</v>
      </c>
      <c r="BC18" s="37">
        <f t="shared" si="13"/>
        <v>10</v>
      </c>
      <c r="BD18" s="38">
        <f t="shared" si="14"/>
        <v>65121451.700207308</v>
      </c>
      <c r="BE18" s="38">
        <f t="shared" si="15"/>
        <v>65574469.129207827</v>
      </c>
      <c r="BF18" s="38" t="b">
        <f t="shared" si="16"/>
        <v>0</v>
      </c>
      <c r="BG18" s="37">
        <f t="array" ref="BG18:BQ18">IF(BF18,"",IVSolution($M18,$N18,$O18,BB18,BC18,BD18,BE18,$E18,$F18,$G18,$H18,$I18))</f>
        <v>9</v>
      </c>
      <c r="BH18" s="37">
        <v>23</v>
      </c>
      <c r="BI18" s="37">
        <v>27</v>
      </c>
      <c r="BJ18" s="39">
        <v>0.51111111111111107</v>
      </c>
      <c r="BK18" s="39">
        <v>0.6</v>
      </c>
      <c r="BL18" s="37">
        <v>9</v>
      </c>
      <c r="BM18" s="37">
        <v>10</v>
      </c>
      <c r="BN18" s="37">
        <v>7</v>
      </c>
      <c r="BO18" s="37">
        <v>12</v>
      </c>
      <c r="BP18" s="37">
        <v>1</v>
      </c>
      <c r="BQ18" s="37">
        <v>11</v>
      </c>
      <c r="BR18" s="40">
        <f t="shared" si="17"/>
        <v>20.5</v>
      </c>
      <c r="BS18" s="36">
        <f>IFERROR(INDEX('Level Multiplier'!$D:$D,MATCH(BR18,'Level Multiplier'!$A:$A,0)),"")</f>
        <v>1.653387720177633</v>
      </c>
      <c r="BT18" s="37">
        <f t="shared" si="18"/>
        <v>8</v>
      </c>
      <c r="BU18" s="37">
        <f t="shared" si="19"/>
        <v>9</v>
      </c>
      <c r="BV18" s="38">
        <f t="shared" si="20"/>
        <v>61984600.519818358</v>
      </c>
      <c r="BW18" s="38">
        <f t="shared" si="21"/>
        <v>62415796.441162102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20</v>
      </c>
      <c r="CK18" s="41">
        <f t="shared" si="24"/>
        <v>20</v>
      </c>
      <c r="CL18" s="39">
        <f t="shared" si="25"/>
        <v>0.51111111111111107</v>
      </c>
      <c r="CM18" s="39">
        <f t="shared" si="26"/>
        <v>0.6</v>
      </c>
      <c r="CN18" s="42">
        <f t="shared" si="27"/>
        <v>9</v>
      </c>
      <c r="CO18" s="42">
        <f t="shared" si="28"/>
        <v>10</v>
      </c>
      <c r="CP18" s="42">
        <f t="shared" si="29"/>
        <v>7</v>
      </c>
      <c r="CQ18" s="42">
        <f t="shared" si="30"/>
        <v>12</v>
      </c>
      <c r="CR18" s="42">
        <f t="shared" si="31"/>
        <v>1</v>
      </c>
      <c r="CS18" s="42">
        <f t="shared" si="32"/>
        <v>11</v>
      </c>
      <c r="CT18" s="43" t="str">
        <f t="shared" si="33"/>
        <v>9-10</v>
      </c>
      <c r="CU18" s="43" t="str">
        <f t="shared" si="34"/>
        <v>7-12</v>
      </c>
      <c r="CV18" s="43" t="str">
        <f t="shared" si="35"/>
        <v>1-11</v>
      </c>
      <c r="CW18" s="13"/>
    </row>
    <row r="19" spans="1:101" x14ac:dyDescent="0.25">
      <c r="A19" s="31" t="s">
        <v>40</v>
      </c>
      <c r="B19" s="13">
        <v>276</v>
      </c>
      <c r="C19" s="13">
        <v>50</v>
      </c>
      <c r="D19" s="13">
        <v>25</v>
      </c>
      <c r="E19" s="32"/>
      <c r="F19" s="32"/>
      <c r="G19" s="32"/>
      <c r="H19" s="32"/>
      <c r="I19" s="32"/>
      <c r="J19" s="13"/>
      <c r="K19" s="33">
        <v>19</v>
      </c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Multiplier'!$A:$A,MATCH($D19,'Level Multiplier'!$B:$B,0)),"")</f>
        <v>19</v>
      </c>
      <c r="Q19" s="36">
        <f>IFERROR(INDEX('Level Multiplier'!$D:$D,MATCH(P19,'Level Multiplier'!$A:$A,0)),"")</f>
        <v>1.7173900390793821</v>
      </c>
      <c r="R19" s="37">
        <f t="shared" si="0"/>
        <v>6</v>
      </c>
      <c r="S19" s="37">
        <f t="shared" si="1"/>
        <v>7</v>
      </c>
      <c r="T19" s="38">
        <f t="shared" si="2"/>
        <v>66266483.165244929</v>
      </c>
      <c r="U19" s="38">
        <f t="shared" si="3"/>
        <v>66747544.985114448</v>
      </c>
      <c r="V19" s="38" t="b">
        <f t="shared" si="4"/>
        <v>0</v>
      </c>
      <c r="W19" s="37">
        <f t="array" ref="W19:AG19">IF(V19,"",IVSolution($M19,$N19,$O19,R19,S19,T19,U19,$E19,$F19,$G19,$H19,$I19))</f>
        <v>8</v>
      </c>
      <c r="X19" s="37">
        <v>23</v>
      </c>
      <c r="Y19" s="37">
        <v>28</v>
      </c>
      <c r="Z19" s="39">
        <v>0.51111111111111107</v>
      </c>
      <c r="AA19" s="39">
        <v>0.62222222222222223</v>
      </c>
      <c r="AB19" s="37">
        <v>6</v>
      </c>
      <c r="AC19" s="37">
        <v>7</v>
      </c>
      <c r="AD19" s="37">
        <v>7</v>
      </c>
      <c r="AE19" s="37">
        <v>14</v>
      </c>
      <c r="AF19" s="37">
        <v>2</v>
      </c>
      <c r="AG19" s="37">
        <v>14</v>
      </c>
      <c r="AH19" s="40">
        <f t="shared" si="5"/>
        <v>19.5</v>
      </c>
      <c r="AI19" s="36">
        <f>IFERROR(INDEX('Level Multiplier'!$D:$D,MATCH(AH19,'Level Multiplier'!$A:$A,0)),"")</f>
        <v>1.6952373004785586</v>
      </c>
      <c r="AJ19" s="37">
        <f t="shared" si="6"/>
        <v>5</v>
      </c>
      <c r="AK19" s="37">
        <f t="shared" si="7"/>
        <v>6</v>
      </c>
      <c r="AL19" s="38">
        <f t="shared" si="8"/>
        <v>62912966.348066874</v>
      </c>
      <c r="AM19" s="38">
        <f t="shared" si="9"/>
        <v>63369683.298162453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20</v>
      </c>
      <c r="BA19" s="36">
        <f>IFERROR(INDEX('Level Multiplier'!$D:$D,MATCH(AZ19,'Level Multiplier'!$A:$A,0)),"")</f>
        <v>1.6739202933726098</v>
      </c>
      <c r="BB19" s="37">
        <f t="shared" si="12"/>
        <v>4</v>
      </c>
      <c r="BC19" s="37">
        <f t="shared" si="13"/>
        <v>5</v>
      </c>
      <c r="BD19" s="38">
        <f t="shared" si="14"/>
        <v>59807722.134391777</v>
      </c>
      <c r="BE19" s="38">
        <f t="shared" si="15"/>
        <v>60241896.550747566</v>
      </c>
      <c r="BF19" s="38" t="b">
        <f t="shared" si="16"/>
        <v>1</v>
      </c>
      <c r="BG19" s="37" t="str">
        <f t="array" ref="BG19:BQ19">IF(BF19,"",IVSolution($M19,$N19,$O19,BB19,BC19,BD19,BE19,$E19,$F19,$G19,$H19,$I19))</f>
        <v/>
      </c>
      <c r="BH19" s="37" t="str">
        <v/>
      </c>
      <c r="BI19" s="37" t="str">
        <v/>
      </c>
      <c r="BJ19" s="39" t="str">
        <v/>
      </c>
      <c r="BK19" s="39" t="str">
        <v/>
      </c>
      <c r="BL19" s="37" t="str">
        <v/>
      </c>
      <c r="BM19" s="37" t="str">
        <v/>
      </c>
      <c r="BN19" s="37" t="str">
        <v/>
      </c>
      <c r="BO19" s="37" t="str">
        <v/>
      </c>
      <c r="BP19" s="37" t="str">
        <v/>
      </c>
      <c r="BQ19" s="37" t="str">
        <v/>
      </c>
      <c r="BR19" s="40">
        <f t="shared" si="17"/>
        <v>20.5</v>
      </c>
      <c r="BS19" s="36">
        <f>IFERROR(INDEX('Level Multiplier'!$D:$D,MATCH(BR19,'Level Multiplier'!$A:$A,0)),"")</f>
        <v>1.653387720177633</v>
      </c>
      <c r="BT19" s="37">
        <f t="shared" si="18"/>
        <v>3</v>
      </c>
      <c r="BU19" s="37">
        <f t="shared" si="19"/>
        <v>4</v>
      </c>
      <c r="BV19" s="38">
        <f t="shared" si="20"/>
        <v>56926829.296847068</v>
      </c>
      <c r="BW19" s="38">
        <f t="shared" si="21"/>
        <v>57340089.859244101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19</v>
      </c>
      <c r="CK19" s="41">
        <f t="shared" si="24"/>
        <v>19</v>
      </c>
      <c r="CL19" s="39">
        <f t="shared" si="25"/>
        <v>0.51111111111111107</v>
      </c>
      <c r="CM19" s="39">
        <f t="shared" si="26"/>
        <v>0.62222222222222223</v>
      </c>
      <c r="CN19" s="42">
        <f t="shared" si="27"/>
        <v>6</v>
      </c>
      <c r="CO19" s="42">
        <f t="shared" si="28"/>
        <v>7</v>
      </c>
      <c r="CP19" s="42">
        <f t="shared" si="29"/>
        <v>7</v>
      </c>
      <c r="CQ19" s="42">
        <f t="shared" si="30"/>
        <v>14</v>
      </c>
      <c r="CR19" s="42">
        <f t="shared" si="31"/>
        <v>2</v>
      </c>
      <c r="CS19" s="42">
        <f t="shared" si="32"/>
        <v>14</v>
      </c>
      <c r="CT19" s="43" t="str">
        <f t="shared" si="33"/>
        <v>6-7</v>
      </c>
      <c r="CU19" s="43" t="str">
        <f t="shared" si="34"/>
        <v>7-14</v>
      </c>
      <c r="CV19" s="43" t="str">
        <f t="shared" si="35"/>
        <v>2-14</v>
      </c>
      <c r="CW19" s="13"/>
    </row>
    <row r="20" spans="1:101" x14ac:dyDescent="0.25">
      <c r="A20" s="31" t="s">
        <v>394</v>
      </c>
      <c r="B20" s="13">
        <v>264</v>
      </c>
      <c r="C20" s="13">
        <v>45</v>
      </c>
      <c r="D20" s="13">
        <v>22</v>
      </c>
      <c r="E20" s="32"/>
      <c r="F20" s="32"/>
      <c r="G20" s="32"/>
      <c r="H20" s="32"/>
      <c r="I20" s="32"/>
      <c r="J20" s="13"/>
      <c r="K20" s="33"/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Multiplier'!$A:$A,MATCH($D20,'Level Multiplier'!$B:$B,0)),"")</f>
        <v>17</v>
      </c>
      <c r="Q20" s="36">
        <f>IFERROR(INDEX('Level Multiplier'!$D:$D,MATCH(P20,'Level Multiplier'!$A:$A,0)),"")</f>
        <v>1.8155651266904069</v>
      </c>
      <c r="R20" s="37">
        <f t="shared" si="0"/>
        <v>2</v>
      </c>
      <c r="S20" s="37">
        <f t="shared" si="1"/>
        <v>3</v>
      </c>
      <c r="T20" s="38">
        <f t="shared" si="2"/>
        <v>75727772.546381414</v>
      </c>
      <c r="U20" s="38">
        <f t="shared" si="3"/>
        <v>76302554.33697249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17.5</v>
      </c>
      <c r="AI20" s="36">
        <f>IFERROR(INDEX('Level Multiplier'!$D:$D,MATCH(AH20,'Level Multiplier'!$A:$A,0)),"")</f>
        <v>1.7894511197969956</v>
      </c>
      <c r="AJ20" s="37">
        <f t="shared" si="6"/>
        <v>1</v>
      </c>
      <c r="AK20" s="37">
        <f t="shared" si="7"/>
        <v>2</v>
      </c>
      <c r="AL20" s="38">
        <f t="shared" si="8"/>
        <v>71463982.226688087</v>
      </c>
      <c r="AM20" s="38">
        <f t="shared" si="9"/>
        <v>72006401.398490176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18</v>
      </c>
      <c r="BA20" s="36">
        <f>IFERROR(INDEX('Level Multiplier'!$D:$D,MATCH(AZ20,'Level Multiplier'!$A:$A,0)),"")</f>
        <v>1.7644323330672333</v>
      </c>
      <c r="BB20" s="37">
        <f t="shared" si="12"/>
        <v>0</v>
      </c>
      <c r="BC20" s="37">
        <f t="shared" si="13"/>
        <v>1</v>
      </c>
      <c r="BD20" s="38">
        <f t="shared" si="14"/>
        <v>67550393.630158156</v>
      </c>
      <c r="BE20" s="38">
        <f t="shared" si="15"/>
        <v>68063108.251231864</v>
      </c>
      <c r="BF20" s="38" t="b">
        <f t="shared" si="16"/>
        <v>0</v>
      </c>
      <c r="BG20" s="37">
        <f t="array" ref="BG20:BQ20">IF(BF20,"",IVSolution($M20,$N20,$O20,BB20,BC20,BD20,BE20,$E20,$F20,$G20,$H20,$I20))</f>
        <v>7</v>
      </c>
      <c r="BH20" s="37">
        <v>24</v>
      </c>
      <c r="BI20" s="37">
        <v>27</v>
      </c>
      <c r="BJ20" s="39">
        <v>0.53333333333333333</v>
      </c>
      <c r="BK20" s="39">
        <v>0.6</v>
      </c>
      <c r="BL20" s="37">
        <v>0</v>
      </c>
      <c r="BM20" s="37">
        <v>1</v>
      </c>
      <c r="BN20" s="37">
        <v>11</v>
      </c>
      <c r="BO20" s="37">
        <v>15</v>
      </c>
      <c r="BP20" s="37">
        <v>8</v>
      </c>
      <c r="BQ20" s="37">
        <v>15</v>
      </c>
      <c r="BR20" s="40">
        <f t="shared" si="17"/>
        <v>18.5</v>
      </c>
      <c r="BS20" s="36">
        <f>IFERROR(INDEX('Level Multiplier'!$D:$D,MATCH(BR20,'Level Multiplier'!$A:$A,0)),"")</f>
        <v>1.7404345408706619</v>
      </c>
      <c r="BT20" s="37">
        <f t="shared" si="18"/>
        <v>0</v>
      </c>
      <c r="BU20" s="37">
        <f t="shared" si="19"/>
        <v>0</v>
      </c>
      <c r="BV20" s="38">
        <f t="shared" si="20"/>
        <v>63949717.278448582</v>
      </c>
      <c r="BW20" s="38">
        <f t="shared" si="21"/>
        <v>64435102.38577611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18</v>
      </c>
      <c r="CK20" s="41">
        <f t="shared" si="24"/>
        <v>18</v>
      </c>
      <c r="CL20" s="39">
        <f t="shared" si="25"/>
        <v>0.53333333333333333</v>
      </c>
      <c r="CM20" s="39">
        <f t="shared" si="26"/>
        <v>0.6</v>
      </c>
      <c r="CN20" s="42">
        <f t="shared" si="27"/>
        <v>0</v>
      </c>
      <c r="CO20" s="42">
        <f t="shared" si="28"/>
        <v>1</v>
      </c>
      <c r="CP20" s="42">
        <f t="shared" si="29"/>
        <v>11</v>
      </c>
      <c r="CQ20" s="42">
        <f t="shared" si="30"/>
        <v>15</v>
      </c>
      <c r="CR20" s="42">
        <f t="shared" si="31"/>
        <v>8</v>
      </c>
      <c r="CS20" s="42">
        <f t="shared" si="32"/>
        <v>15</v>
      </c>
      <c r="CT20" s="43" t="str">
        <f t="shared" si="33"/>
        <v>0-1</v>
      </c>
      <c r="CU20" s="43" t="str">
        <f t="shared" si="34"/>
        <v>11-15</v>
      </c>
      <c r="CV20" s="43" t="str">
        <f t="shared" si="35"/>
        <v>8-15</v>
      </c>
      <c r="CW20" s="13"/>
    </row>
    <row r="21" spans="1:101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Multiplier'!$A:$A,MATCH($D21,'Level Multiplier'!$B:$B,0)),"")</f>
        <v>15</v>
      </c>
      <c r="Q21" s="36">
        <f>IFERROR(INDEX('Level Multiplier'!$D:$D,MATCH(P21,'Level Multiplier'!$A:$A,0)),"")</f>
        <v>1.9327632261645116</v>
      </c>
      <c r="R21" s="37">
        <f t="shared" si="0"/>
        <v>9</v>
      </c>
      <c r="S21" s="37">
        <f t="shared" si="1"/>
        <v>10</v>
      </c>
      <c r="T21" s="38">
        <f t="shared" si="2"/>
        <v>68773410.935888901</v>
      </c>
      <c r="U21" s="38">
        <f t="shared" si="3"/>
        <v>69394386.665668756</v>
      </c>
      <c r="V21" s="38" t="b">
        <f t="shared" si="4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5"/>
        <v>15.5</v>
      </c>
      <c r="AI21" s="36">
        <f>IFERROR(INDEX('Level Multiplier'!$D:$D,MATCH(AH21,'Level Multiplier'!$A:$A,0)),"")</f>
        <v>1.9013484916795402</v>
      </c>
      <c r="AJ21" s="37">
        <f t="shared" si="6"/>
        <v>8</v>
      </c>
      <c r="AK21" s="37">
        <f t="shared" si="7"/>
        <v>9</v>
      </c>
      <c r="AL21" s="38">
        <f t="shared" si="8"/>
        <v>64409932.935499363</v>
      </c>
      <c r="AM21" s="38">
        <f t="shared" si="9"/>
        <v>64991509.5152473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16</v>
      </c>
      <c r="BA21" s="36">
        <f>IFERROR(INDEX('Level Multiplier'!$D:$D,MATCH(AZ21,'Level Multiplier'!$A:$A,0)),"")</f>
        <v>1.8714174169787303</v>
      </c>
      <c r="BB21" s="37">
        <f t="shared" si="12"/>
        <v>7</v>
      </c>
      <c r="BC21" s="37">
        <f t="shared" si="13"/>
        <v>7</v>
      </c>
      <c r="BD21" s="38">
        <f t="shared" si="14"/>
        <v>60448929.903714545</v>
      </c>
      <c r="BE21" s="38">
        <f t="shared" si="15"/>
        <v>60994741.400491446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16.5</v>
      </c>
      <c r="BS21" s="36">
        <f>IFERROR(INDEX('Level Multiplier'!$D:$D,MATCH(BR21,'Level Multiplier'!$A:$A,0)),"")</f>
        <v>1.8428567757863994</v>
      </c>
      <c r="BT21" s="37">
        <f t="shared" si="18"/>
        <v>5</v>
      </c>
      <c r="BU21" s="37">
        <f t="shared" si="19"/>
        <v>6</v>
      </c>
      <c r="BV21" s="38">
        <f t="shared" si="20"/>
        <v>56842383.97904475</v>
      </c>
      <c r="BW21" s="38">
        <f t="shared" si="21"/>
        <v>57355630.892255425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15</v>
      </c>
      <c r="CK21" s="41">
        <f t="shared" si="24"/>
        <v>15</v>
      </c>
      <c r="CL21" s="39">
        <f t="shared" si="25"/>
        <v>0.57777777777777772</v>
      </c>
      <c r="CM21" s="39">
        <f t="shared" si="26"/>
        <v>0.71111111111111114</v>
      </c>
      <c r="CN21" s="42">
        <f t="shared" si="27"/>
        <v>9</v>
      </c>
      <c r="CO21" s="42">
        <f t="shared" si="28"/>
        <v>10</v>
      </c>
      <c r="CP21" s="42">
        <f t="shared" si="29"/>
        <v>7</v>
      </c>
      <c r="CQ21" s="42">
        <f t="shared" si="30"/>
        <v>15</v>
      </c>
      <c r="CR21" s="42">
        <f t="shared" si="31"/>
        <v>1</v>
      </c>
      <c r="CS21" s="42">
        <f t="shared" si="32"/>
        <v>15</v>
      </c>
      <c r="CT21" s="43" t="str">
        <f t="shared" si="33"/>
        <v>9-10</v>
      </c>
      <c r="CU21" s="43" t="str">
        <f t="shared" si="34"/>
        <v>7-15</v>
      </c>
      <c r="CV21" s="43" t="str">
        <f t="shared" si="35"/>
        <v>1-15</v>
      </c>
      <c r="CW21" s="13"/>
    </row>
    <row r="22" spans="1:101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Multiplier'!$A:$A,MATCH($D22,'Level Multiplier'!$B:$B,0)),"")</f>
        <v>15</v>
      </c>
      <c r="Q22" s="36">
        <f>IFERROR(INDEX('Level Multiplier'!$D:$D,MATCH(P22,'Level Multiplier'!$A:$A,0)),"")</f>
        <v>1.9327632261645116</v>
      </c>
      <c r="R22" s="37">
        <f t="shared" si="0"/>
        <v>15</v>
      </c>
      <c r="S22" s="37">
        <f t="shared" si="1"/>
        <v>15</v>
      </c>
      <c r="T22" s="38">
        <f t="shared" si="2"/>
        <v>67539832.182798132</v>
      </c>
      <c r="U22" s="38">
        <f t="shared" si="3"/>
        <v>68155226.108265355</v>
      </c>
      <c r="V22" s="38" t="b">
        <f t="shared" si="4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5"/>
        <v>15.5</v>
      </c>
      <c r="AI22" s="36">
        <f>IFERROR(INDEX('Level Multiplier'!$D:$D,MATCH(AH22,'Level Multiplier'!$A:$A,0)),"")</f>
        <v>1.9013484916795402</v>
      </c>
      <c r="AJ22" s="37">
        <f t="shared" si="6"/>
        <v>14</v>
      </c>
      <c r="AK22" s="37">
        <f t="shared" si="7"/>
        <v>15</v>
      </c>
      <c r="AL22" s="38">
        <f t="shared" si="8"/>
        <v>63254621.25797762</v>
      </c>
      <c r="AM22" s="38">
        <f t="shared" si="9"/>
        <v>63830970.183076136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16</v>
      </c>
      <c r="BA22" s="36">
        <f>IFERROR(INDEX('Level Multiplier'!$D:$D,MATCH(AZ22,'Level Multiplier'!$A:$A,0)),"")</f>
        <v>1.8714174169787303</v>
      </c>
      <c r="BB22" s="37">
        <f t="shared" si="12"/>
        <v>12</v>
      </c>
      <c r="BC22" s="37">
        <f t="shared" si="13"/>
        <v>13</v>
      </c>
      <c r="BD22" s="38">
        <f t="shared" si="14"/>
        <v>59364666.166297056</v>
      </c>
      <c r="BE22" s="38">
        <f t="shared" si="15"/>
        <v>59905571.49231641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16.5</v>
      </c>
      <c r="BS22" s="36">
        <f>IFERROR(INDEX('Level Multiplier'!$D:$D,MATCH(BR22,'Level Multiplier'!$A:$A,0)),"")</f>
        <v>1.8428567757863994</v>
      </c>
      <c r="BT22" s="37">
        <f t="shared" si="18"/>
        <v>11</v>
      </c>
      <c r="BU22" s="37">
        <f t="shared" si="19"/>
        <v>12</v>
      </c>
      <c r="BV22" s="38">
        <f t="shared" si="20"/>
        <v>55822810.335722871</v>
      </c>
      <c r="BW22" s="38">
        <f t="shared" si="21"/>
        <v>56331443.793533899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15</v>
      </c>
      <c r="CK22" s="41">
        <f t="shared" si="24"/>
        <v>15</v>
      </c>
      <c r="CL22" s="39">
        <f t="shared" si="25"/>
        <v>0.6</v>
      </c>
      <c r="CM22" s="39">
        <f t="shared" si="26"/>
        <v>0.73333333333333328</v>
      </c>
      <c r="CN22" s="42">
        <f t="shared" si="27"/>
        <v>15</v>
      </c>
      <c r="CO22" s="42">
        <f t="shared" si="28"/>
        <v>15</v>
      </c>
      <c r="CP22" s="42">
        <f t="shared" si="29"/>
        <v>4</v>
      </c>
      <c r="CQ22" s="42">
        <f t="shared" si="30"/>
        <v>12</v>
      </c>
      <c r="CR22" s="42">
        <f t="shared" si="31"/>
        <v>0</v>
      </c>
      <c r="CS22" s="42">
        <f t="shared" si="32"/>
        <v>14</v>
      </c>
      <c r="CT22" s="43">
        <f t="shared" si="33"/>
        <v>15</v>
      </c>
      <c r="CU22" s="43" t="str">
        <f t="shared" si="34"/>
        <v>4-12</v>
      </c>
      <c r="CV22" s="43" t="str">
        <f t="shared" si="35"/>
        <v>0-14</v>
      </c>
      <c r="CW22" s="13"/>
    </row>
    <row r="23" spans="1:101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Multiplier'!$A:$A,MATCH($D23,'Level Multiplier'!$B:$B,0)),"")</f>
        <v>11</v>
      </c>
      <c r="Q23" s="36">
        <f>IFERROR(INDEX('Level Multiplier'!$D:$D,MATCH(P23,'Level Multiplier'!$A:$A,0)),"")</f>
        <v>2.2567884478610214</v>
      </c>
      <c r="R23" s="37">
        <f t="shared" si="0"/>
        <v>9</v>
      </c>
      <c r="S23" s="37">
        <f t="shared" si="1"/>
        <v>10</v>
      </c>
      <c r="T23" s="38">
        <f t="shared" si="2"/>
        <v>74086112.966887325</v>
      </c>
      <c r="U23" s="38">
        <f t="shared" si="3"/>
        <v>74965465.660972789</v>
      </c>
      <c r="V23" s="38" t="b">
        <f t="shared" si="4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5"/>
        <v>11.5</v>
      </c>
      <c r="AI23" s="36">
        <f>IFERROR(INDEX('Level Multiplier'!$D:$D,MATCH(AH23,'Level Multiplier'!$A:$A,0)),"")</f>
        <v>2.2072133782377708</v>
      </c>
      <c r="AJ23" s="37">
        <f t="shared" si="6"/>
        <v>7</v>
      </c>
      <c r="AK23" s="37">
        <f t="shared" si="7"/>
        <v>8</v>
      </c>
      <c r="AL23" s="38">
        <f t="shared" si="8"/>
        <v>67787667.166579247</v>
      </c>
      <c r="AM23" s="38">
        <f t="shared" si="9"/>
        <v>68592261.514447674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12</v>
      </c>
      <c r="BA23" s="36">
        <f>IFERROR(INDEX('Level Multiplier'!$D:$D,MATCH(AZ23,'Level Multiplier'!$A:$A,0)),"")</f>
        <v>2.1607681046600011</v>
      </c>
      <c r="BB23" s="37">
        <f t="shared" si="12"/>
        <v>5</v>
      </c>
      <c r="BC23" s="37">
        <f t="shared" si="13"/>
        <v>6</v>
      </c>
      <c r="BD23" s="38">
        <f t="shared" si="14"/>
        <v>62259560.622105949</v>
      </c>
      <c r="BE23" s="38">
        <f t="shared" si="15"/>
        <v>62998540.036373444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12.5</v>
      </c>
      <c r="BS23" s="36">
        <f>IFERROR(INDEX('Level Multiplier'!$D:$D,MATCH(BR23,'Level Multiplier'!$A:$A,0)),"")</f>
        <v>2.1171365813269869</v>
      </c>
      <c r="BT23" s="37">
        <f t="shared" si="18"/>
        <v>3</v>
      </c>
      <c r="BU23" s="37">
        <f t="shared" si="19"/>
        <v>4</v>
      </c>
      <c r="BV23" s="38">
        <f t="shared" si="20"/>
        <v>57381105.91879043</v>
      </c>
      <c r="BW23" s="38">
        <f t="shared" si="21"/>
        <v>58062181.333043084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11</v>
      </c>
      <c r="CK23" s="41">
        <f t="shared" si="24"/>
        <v>11</v>
      </c>
      <c r="CL23" s="39">
        <f t="shared" si="25"/>
        <v>0.71111111111111114</v>
      </c>
      <c r="CM23" s="39">
        <f t="shared" si="26"/>
        <v>0.77777777777777779</v>
      </c>
      <c r="CN23" s="42">
        <f t="shared" si="27"/>
        <v>9</v>
      </c>
      <c r="CO23" s="42">
        <f t="shared" si="28"/>
        <v>10</v>
      </c>
      <c r="CP23" s="42">
        <f t="shared" si="29"/>
        <v>11</v>
      </c>
      <c r="CQ23" s="42">
        <f t="shared" si="30"/>
        <v>15</v>
      </c>
      <c r="CR23" s="42">
        <f t="shared" si="31"/>
        <v>7</v>
      </c>
      <c r="CS23" s="42">
        <f t="shared" si="32"/>
        <v>15</v>
      </c>
      <c r="CT23" s="43" t="str">
        <f t="shared" si="33"/>
        <v>9-10</v>
      </c>
      <c r="CU23" s="43" t="str">
        <f t="shared" si="34"/>
        <v>11-15</v>
      </c>
      <c r="CV23" s="43" t="str">
        <f t="shared" si="35"/>
        <v>7-15</v>
      </c>
      <c r="CW23" s="13" t="s">
        <v>400</v>
      </c>
    </row>
    <row r="24" spans="1:101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Multiplier'!$A:$A,MATCH($D24,'Level Multiplier'!$B:$B,0)),"")</f>
        <v>7</v>
      </c>
      <c r="Q24" s="36">
        <f>IFERROR(INDEX('Level Multiplier'!$D:$D,MATCH(P24,'Level Multiplier'!$A:$A,0)),"")</f>
        <v>2.8635844494535538</v>
      </c>
      <c r="R24" s="37">
        <f t="shared" si="0"/>
        <v>18</v>
      </c>
      <c r="S24" s="37">
        <f t="shared" si="1"/>
        <v>15</v>
      </c>
      <c r="T24" s="38">
        <f t="shared" si="2"/>
        <v>87387574.227083772</v>
      </c>
      <c r="U24" s="38">
        <f t="shared" si="3"/>
        <v>88927413.754476979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7.5</v>
      </c>
      <c r="AI24" s="36">
        <f>IFERROR(INDEX('Level Multiplier'!$D:$D,MATCH(AH24,'Level Multiplier'!$A:$A,0)),"")</f>
        <v>2.7589422415193434</v>
      </c>
      <c r="AJ24" s="37">
        <f t="shared" si="6"/>
        <v>14</v>
      </c>
      <c r="AK24" s="37">
        <f t="shared" si="7"/>
        <v>15</v>
      </c>
      <c r="AL24" s="38">
        <f t="shared" si="8"/>
        <v>75297427.177598059</v>
      </c>
      <c r="AM24" s="38">
        <f t="shared" si="9"/>
        <v>76624228.564460933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8</v>
      </c>
      <c r="BA24" s="36">
        <f>IFERROR(INDEX('Level Multiplier'!$D:$D,MATCH(AZ24,'Level Multiplier'!$A:$A,0)),"")</f>
        <v>2.6649924118338562</v>
      </c>
      <c r="BB24" s="37">
        <f t="shared" si="12"/>
        <v>11</v>
      </c>
      <c r="BC24" s="37">
        <f t="shared" si="13"/>
        <v>13</v>
      </c>
      <c r="BD24" s="38">
        <f t="shared" si="14"/>
        <v>65553156.681520745</v>
      </c>
      <c r="BE24" s="38">
        <f t="shared" si="15"/>
        <v>66708256.164443813</v>
      </c>
      <c r="BF24" s="38" t="b">
        <f t="shared" si="16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7"/>
        <v>8.5</v>
      </c>
      <c r="BS24" s="36">
        <f>IFERROR(INDEX('Level Multiplier'!$D:$D,MATCH(BR24,'Level Multiplier'!$A:$A,0)),"")</f>
        <v>2.5800299090483212</v>
      </c>
      <c r="BT24" s="37">
        <f t="shared" si="18"/>
        <v>8</v>
      </c>
      <c r="BU24" s="37">
        <f t="shared" si="19"/>
        <v>10</v>
      </c>
      <c r="BV24" s="38">
        <f t="shared" si="20"/>
        <v>57584906.353898965</v>
      </c>
      <c r="BW24" s="38">
        <f t="shared" si="21"/>
        <v>58599598.840436578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8</v>
      </c>
      <c r="CK24" s="41">
        <f t="shared" si="24"/>
        <v>8</v>
      </c>
      <c r="CL24" s="39">
        <f t="shared" si="25"/>
        <v>0.53333333333333333</v>
      </c>
      <c r="CM24" s="39">
        <f t="shared" si="26"/>
        <v>0.68888888888888888</v>
      </c>
      <c r="CN24" s="42">
        <f t="shared" si="27"/>
        <v>11</v>
      </c>
      <c r="CO24" s="42">
        <f t="shared" si="28"/>
        <v>13</v>
      </c>
      <c r="CP24" s="42">
        <f t="shared" si="29"/>
        <v>4</v>
      </c>
      <c r="CQ24" s="42">
        <f t="shared" si="30"/>
        <v>13</v>
      </c>
      <c r="CR24" s="42">
        <f t="shared" si="31"/>
        <v>0</v>
      </c>
      <c r="CS24" s="42">
        <f t="shared" si="32"/>
        <v>15</v>
      </c>
      <c r="CT24" s="43" t="str">
        <f t="shared" si="33"/>
        <v>11-13</v>
      </c>
      <c r="CU24" s="43" t="str">
        <f t="shared" si="34"/>
        <v>4-13</v>
      </c>
      <c r="CV24" s="43" t="str">
        <f t="shared" si="35"/>
        <v>0-15</v>
      </c>
      <c r="CW24" s="13"/>
    </row>
    <row r="25" spans="1:101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Multiplier'!$A:$A,MATCH($D25,'Level Multiplier'!$B:$B,0)),"")</f>
        <v>5</v>
      </c>
      <c r="Q25" s="36">
        <f>IFERROR(INDEX('Level Multiplier'!$D:$D,MATCH(P25,'Level Multiplier'!$A:$A,0)),"")</f>
        <v>3.4453071953035774</v>
      </c>
      <c r="R25" s="37">
        <f t="shared" si="0"/>
        <v>3</v>
      </c>
      <c r="S25" s="37">
        <f t="shared" si="1"/>
        <v>6</v>
      </c>
      <c r="T25" s="38">
        <f t="shared" si="2"/>
        <v>71027822.712452158</v>
      </c>
      <c r="U25" s="38">
        <f t="shared" si="3"/>
        <v>73042696.477157712</v>
      </c>
      <c r="V25" s="38" t="b">
        <f t="shared" si="4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5"/>
        <v>5.5</v>
      </c>
      <c r="AI25" s="36">
        <f>IFERROR(INDEX('Level Multiplier'!$D:$D,MATCH(AH25,'Level Multiplier'!$A:$A,0)),"")</f>
        <v>3.2673612046279805</v>
      </c>
      <c r="AJ25" s="37">
        <f t="shared" si="6"/>
        <v>0</v>
      </c>
      <c r="AK25" s="37">
        <f t="shared" si="7"/>
        <v>1</v>
      </c>
      <c r="AL25" s="38">
        <f t="shared" si="8"/>
        <v>57452018.259438872</v>
      </c>
      <c r="AM25" s="38">
        <f t="shared" si="9"/>
        <v>59081781.919645131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6</v>
      </c>
      <c r="BA25" s="36">
        <f>IFERROR(INDEX('Level Multiplier'!$D:$D,MATCH(AZ25,'Level Multiplier'!$A:$A,0)),"")</f>
        <v>3.1144148824183806</v>
      </c>
      <c r="BB25" s="37">
        <f t="shared" si="12"/>
        <v>0</v>
      </c>
      <c r="BC25" s="37">
        <f t="shared" si="13"/>
        <v>-2</v>
      </c>
      <c r="BD25" s="38">
        <f t="shared" si="14"/>
        <v>47426662.267198943</v>
      </c>
      <c r="BE25" s="38">
        <f t="shared" si="15"/>
        <v>48772032.769918531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6.5</v>
      </c>
      <c r="BS25" s="36">
        <f>IFERROR(INDEX('Level Multiplier'!$D:$D,MATCH(BR25,'Level Multiplier'!$A:$A,0)),"")</f>
        <v>2.9811143188298668</v>
      </c>
      <c r="BT25" s="37">
        <f t="shared" si="18"/>
        <v>0</v>
      </c>
      <c r="BU25" s="37">
        <f t="shared" si="19"/>
        <v>-5</v>
      </c>
      <c r="BV25" s="38">
        <f t="shared" si="20"/>
        <v>39813578.982538022</v>
      </c>
      <c r="BW25" s="38">
        <f t="shared" si="21"/>
        <v>40942986.202237077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5</v>
      </c>
      <c r="CK25" s="41">
        <f t="shared" si="24"/>
        <v>5</v>
      </c>
      <c r="CL25" s="39">
        <f t="shared" si="25"/>
        <v>0.62222222222222223</v>
      </c>
      <c r="CM25" s="39">
        <f t="shared" si="26"/>
        <v>0.71111111111111114</v>
      </c>
      <c r="CN25" s="42">
        <f t="shared" si="27"/>
        <v>3</v>
      </c>
      <c r="CO25" s="42">
        <f t="shared" si="28"/>
        <v>6</v>
      </c>
      <c r="CP25" s="42">
        <f t="shared" si="29"/>
        <v>11</v>
      </c>
      <c r="CQ25" s="42">
        <f t="shared" si="30"/>
        <v>15</v>
      </c>
      <c r="CR25" s="42">
        <f t="shared" si="31"/>
        <v>7</v>
      </c>
      <c r="CS25" s="42">
        <f t="shared" si="32"/>
        <v>15</v>
      </c>
      <c r="CT25" s="43" t="str">
        <f t="shared" si="33"/>
        <v>3-6</v>
      </c>
      <c r="CU25" s="43" t="str">
        <f t="shared" si="34"/>
        <v>11-15</v>
      </c>
      <c r="CV25" s="43" t="str">
        <f t="shared" si="35"/>
        <v>7-15</v>
      </c>
      <c r="CW25" s="13" t="s">
        <v>400</v>
      </c>
    </row>
    <row r="26" spans="1:101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Multiplier'!$A:$A,MATCH($D26,'Level Multiplier'!$B:$B,0)),"")</f>
        <v>3</v>
      </c>
      <c r="Q26" s="36">
        <f>IFERROR(INDEX('Level Multiplier'!$D:$D,MATCH(P26,'Level Multiplier'!$A:$A,0)),"")</f>
        <v>4.6353708368517728</v>
      </c>
      <c r="R26" s="37">
        <f t="shared" si="0"/>
        <v>4</v>
      </c>
      <c r="S26" s="37">
        <f t="shared" si="1"/>
        <v>8</v>
      </c>
      <c r="T26" s="38">
        <f t="shared" si="2"/>
        <v>66666112.313579097</v>
      </c>
      <c r="U26" s="38">
        <f t="shared" si="3"/>
        <v>70221022.734732553</v>
      </c>
      <c r="V26" s="38" t="b">
        <f t="shared" si="4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5"/>
        <v>3.5</v>
      </c>
      <c r="AI26" s="36">
        <f>IFERROR(INDEX('Level Multiplier'!$D:$D,MATCH(AH26,'Level Multiplier'!$A:$A,0)),"")</f>
        <v>4.2270311192044296</v>
      </c>
      <c r="AJ26" s="37">
        <f t="shared" si="6"/>
        <v>0</v>
      </c>
      <c r="AK26" s="37">
        <f t="shared" si="7"/>
        <v>0</v>
      </c>
      <c r="AL26" s="38">
        <f t="shared" si="8"/>
        <v>46100854.32080707</v>
      </c>
      <c r="AM26" s="38">
        <f t="shared" si="9"/>
        <v>48559140.873924896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4</v>
      </c>
      <c r="BA26" s="36">
        <f>IFERROR(INDEX('Level Multiplier'!$D:$D,MATCH(AZ26,'Level Multiplier'!$A:$A,0)),"")</f>
        <v>3.9105263744473695</v>
      </c>
      <c r="BB26" s="37">
        <f t="shared" si="12"/>
        <v>0</v>
      </c>
      <c r="BC26" s="37">
        <f t="shared" si="13"/>
        <v>-5</v>
      </c>
      <c r="BD26" s="38">
        <f t="shared" si="14"/>
        <v>33768212.375233978</v>
      </c>
      <c r="BE26" s="38">
        <f t="shared" si="15"/>
        <v>35568871.899398118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4.5</v>
      </c>
      <c r="BS26" s="36">
        <f>IFERROR(INDEX('Level Multiplier'!$D:$D,MATCH(BR26,'Level Multiplier'!$A:$A,0)),"")</f>
        <v>3.6559010240255545</v>
      </c>
      <c r="BT26" s="37">
        <f t="shared" si="18"/>
        <v>0</v>
      </c>
      <c r="BU26" s="37">
        <f t="shared" si="19"/>
        <v>-10</v>
      </c>
      <c r="BV26" s="38">
        <f t="shared" si="20"/>
        <v>25795557.097263258</v>
      </c>
      <c r="BW26" s="38">
        <f t="shared" si="21"/>
        <v>27171081.956327852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3</v>
      </c>
      <c r="CK26" s="41">
        <f t="shared" si="24"/>
        <v>3</v>
      </c>
      <c r="CL26" s="39">
        <f t="shared" si="25"/>
        <v>0.51111111111111107</v>
      </c>
      <c r="CM26" s="39">
        <f t="shared" si="26"/>
        <v>0.68888888888888888</v>
      </c>
      <c r="CN26" s="42">
        <f t="shared" si="27"/>
        <v>4</v>
      </c>
      <c r="CO26" s="42">
        <f t="shared" si="28"/>
        <v>8</v>
      </c>
      <c r="CP26" s="42">
        <f t="shared" si="29"/>
        <v>7</v>
      </c>
      <c r="CQ26" s="42">
        <f t="shared" si="30"/>
        <v>15</v>
      </c>
      <c r="CR26" s="42">
        <f t="shared" si="31"/>
        <v>0</v>
      </c>
      <c r="CS26" s="42">
        <f t="shared" si="32"/>
        <v>15</v>
      </c>
      <c r="CT26" s="43" t="str">
        <f t="shared" si="33"/>
        <v>4-8</v>
      </c>
      <c r="CU26" s="43" t="str">
        <f t="shared" si="34"/>
        <v>7-15</v>
      </c>
      <c r="CV26" s="43" t="str">
        <f t="shared" si="35"/>
        <v>0-15</v>
      </c>
      <c r="CW26" s="13"/>
    </row>
    <row r="27" spans="1:101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Multiplier'!$A:$A,MATCH($D27,'Level Multiplier'!$B:$B,0)),"")</f>
        <v>27</v>
      </c>
      <c r="Q27" s="36">
        <f>IFERROR(INDEX('Level Multiplier'!$D:$D,MATCH(P27,'Level Multiplier'!$A:$A,0)),"")</f>
        <v>1.4406239976408342</v>
      </c>
      <c r="R27" s="37">
        <f t="shared" si="0"/>
        <v>13</v>
      </c>
      <c r="S27" s="37">
        <f t="shared" si="1"/>
        <v>14</v>
      </c>
      <c r="T27" s="38">
        <f t="shared" si="2"/>
        <v>979501854.6482724</v>
      </c>
      <c r="U27" s="38">
        <f t="shared" si="3"/>
        <v>980801359.4535346</v>
      </c>
      <c r="V27" s="38" t="b">
        <f t="shared" si="4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5"/>
        <v>27.5</v>
      </c>
      <c r="AI27" s="36">
        <f>IFERROR(INDEX('Level Multiplier'!$D:$D,MATCH(AH27,'Level Multiplier'!$A:$A,0)),"")</f>
        <v>1.4274729412404619</v>
      </c>
      <c r="AJ27" s="37">
        <f t="shared" si="6"/>
        <v>12</v>
      </c>
      <c r="AK27" s="37">
        <f t="shared" si="7"/>
        <v>12</v>
      </c>
      <c r="AL27" s="38">
        <f t="shared" si="8"/>
        <v>944222231.57174492</v>
      </c>
      <c r="AM27" s="38">
        <f t="shared" si="9"/>
        <v>945474930.91206777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28</v>
      </c>
      <c r="BA27" s="36">
        <f>IFERROR(INDEX('Level Multiplier'!$D:$D,MATCH(AZ27,'Level Multiplier'!$A:$A,0)),"")</f>
        <v>1.4146588449047404</v>
      </c>
      <c r="BB27" s="37">
        <f t="shared" si="12"/>
        <v>10</v>
      </c>
      <c r="BC27" s="37">
        <f t="shared" si="13"/>
        <v>10</v>
      </c>
      <c r="BD27" s="38">
        <f t="shared" si="14"/>
        <v>910771768.41155815</v>
      </c>
      <c r="BE27" s="38">
        <f t="shared" si="15"/>
        <v>911980089.0328325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28.5</v>
      </c>
      <c r="BS27" s="36">
        <f>IFERROR(INDEX('Level Multiplier'!$D:$D,MATCH(BR27,'Level Multiplier'!$A:$A,0)),"")</f>
        <v>1.4022000597460618</v>
      </c>
      <c r="BT27" s="37">
        <f t="shared" si="18"/>
        <v>8</v>
      </c>
      <c r="BU27" s="37">
        <f t="shared" si="19"/>
        <v>9</v>
      </c>
      <c r="BV27" s="38">
        <f t="shared" si="20"/>
        <v>879108761.06688309</v>
      </c>
      <c r="BW27" s="38">
        <f t="shared" si="21"/>
        <v>880275074.38618231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27</v>
      </c>
      <c r="CK27" s="41">
        <f t="shared" si="24"/>
        <v>27</v>
      </c>
      <c r="CL27" s="39">
        <f t="shared" si="25"/>
        <v>0.8666666666666667</v>
      </c>
      <c r="CM27" s="39">
        <f t="shared" si="26"/>
        <v>0.88888888888888884</v>
      </c>
      <c r="CN27" s="42">
        <f t="shared" si="27"/>
        <v>13</v>
      </c>
      <c r="CO27" s="42">
        <f t="shared" si="28"/>
        <v>14</v>
      </c>
      <c r="CP27" s="42">
        <f t="shared" si="29"/>
        <v>13</v>
      </c>
      <c r="CQ27" s="42">
        <f t="shared" si="30"/>
        <v>14</v>
      </c>
      <c r="CR27" s="42">
        <f t="shared" si="31"/>
        <v>11</v>
      </c>
      <c r="CS27" s="42">
        <f t="shared" si="32"/>
        <v>14</v>
      </c>
      <c r="CT27" s="43" t="str">
        <f t="shared" si="33"/>
        <v>13-14</v>
      </c>
      <c r="CU27" s="43" t="str">
        <f t="shared" si="34"/>
        <v>13-14</v>
      </c>
      <c r="CV27" s="43" t="str">
        <f t="shared" si="35"/>
        <v>11-14</v>
      </c>
      <c r="CW27" s="13" t="s">
        <v>399</v>
      </c>
    </row>
    <row r="28" spans="1:101" x14ac:dyDescent="0.25">
      <c r="A28" s="31" t="s">
        <v>44</v>
      </c>
      <c r="B28" s="13">
        <v>380</v>
      </c>
      <c r="C28" s="13">
        <v>42</v>
      </c>
      <c r="D28" s="13">
        <v>40</v>
      </c>
      <c r="E28" s="32"/>
      <c r="F28" s="32"/>
      <c r="G28" s="32"/>
      <c r="H28" s="32"/>
      <c r="I28" s="32"/>
      <c r="J28" s="13"/>
      <c r="K28" s="33">
        <v>25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Multiplier'!$A:$A,MATCH($D28,'Level Multiplier'!$B:$B,0)),"")</f>
        <v>25</v>
      </c>
      <c r="Q28" s="36">
        <f>IFERROR(INDEX('Level Multiplier'!$D:$D,MATCH(P28,'Level Multiplier'!$A:$A,0)),"")</f>
        <v>1.4971539104162985</v>
      </c>
      <c r="R28" s="37">
        <f t="shared" si="0"/>
        <v>3</v>
      </c>
      <c r="S28" s="37">
        <f t="shared" si="1"/>
        <v>4</v>
      </c>
      <c r="T28" s="38">
        <f t="shared" si="2"/>
        <v>72549260.358145386</v>
      </c>
      <c r="U28" s="38">
        <f t="shared" si="3"/>
        <v>72931600.989257216</v>
      </c>
      <c r="V28" s="38" t="b">
        <f t="shared" si="4"/>
        <v>0</v>
      </c>
      <c r="W28" s="37">
        <f t="array" ref="W28:AG28">IF(V28,"",IVSolution($M28,$N28,$O28,R28,S28,T28,U28,$E28,$F28,$G28,$H28,$I28))</f>
        <v>2</v>
      </c>
      <c r="X28" s="37">
        <v>31</v>
      </c>
      <c r="Y28" s="37">
        <v>31</v>
      </c>
      <c r="Z28" s="39">
        <v>0.68888888888888888</v>
      </c>
      <c r="AA28" s="39">
        <v>0.68888888888888888</v>
      </c>
      <c r="AB28" s="37">
        <v>3</v>
      </c>
      <c r="AC28" s="37">
        <v>4</v>
      </c>
      <c r="AD28" s="37">
        <v>14</v>
      </c>
      <c r="AE28" s="37">
        <v>15</v>
      </c>
      <c r="AF28" s="37">
        <v>13</v>
      </c>
      <c r="AG28" s="37">
        <v>13</v>
      </c>
      <c r="AH28" s="40">
        <f t="shared" si="5"/>
        <v>25.5</v>
      </c>
      <c r="AI28" s="36">
        <f>IFERROR(INDEX('Level Multiplier'!$D:$D,MATCH(AH28,'Level Multiplier'!$A:$A,0)),"")</f>
        <v>1.4824092786238152</v>
      </c>
      <c r="AJ28" s="37">
        <f t="shared" si="6"/>
        <v>3</v>
      </c>
      <c r="AK28" s="37">
        <f t="shared" si="7"/>
        <v>3</v>
      </c>
      <c r="AL28" s="38">
        <f t="shared" si="8"/>
        <v>69733215.524630502</v>
      </c>
      <c r="AM28" s="38">
        <f t="shared" si="9"/>
        <v>70100715.365449354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26</v>
      </c>
      <c r="BA28" s="36">
        <f>IFERROR(INDEX('Level Multiplier'!$D:$D,MATCH(AZ28,'Level Multiplier'!$A:$A,0)),"")</f>
        <v>1.4680732530970622</v>
      </c>
      <c r="BB28" s="37">
        <f t="shared" si="12"/>
        <v>2</v>
      </c>
      <c r="BC28" s="37">
        <f t="shared" si="13"/>
        <v>3</v>
      </c>
      <c r="BD28" s="38">
        <f t="shared" si="14"/>
        <v>67074601.083487399</v>
      </c>
      <c r="BE28" s="38">
        <f t="shared" si="15"/>
        <v>67428089.805263951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26.5</v>
      </c>
      <c r="BS28" s="36">
        <f>IFERROR(INDEX('Level Multiplier'!$D:$D,MATCH(BR28,'Level Multiplier'!$A:$A,0)),"")</f>
        <v>1.4541633575240582</v>
      </c>
      <c r="BT28" s="37">
        <f t="shared" si="18"/>
        <v>2</v>
      </c>
      <c r="BU28" s="37">
        <f t="shared" si="19"/>
        <v>2</v>
      </c>
      <c r="BV28" s="38">
        <f t="shared" si="20"/>
        <v>64568393.50192441</v>
      </c>
      <c r="BW28" s="38">
        <f t="shared" si="21"/>
        <v>64908674.301474027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25</v>
      </c>
      <c r="CK28" s="41">
        <f t="shared" si="24"/>
        <v>25</v>
      </c>
      <c r="CL28" s="39">
        <f t="shared" si="25"/>
        <v>0.68888888888888888</v>
      </c>
      <c r="CM28" s="39">
        <f t="shared" si="26"/>
        <v>0.68888888888888888</v>
      </c>
      <c r="CN28" s="42">
        <f t="shared" si="27"/>
        <v>3</v>
      </c>
      <c r="CO28" s="42">
        <f t="shared" si="28"/>
        <v>4</v>
      </c>
      <c r="CP28" s="42">
        <f t="shared" si="29"/>
        <v>14</v>
      </c>
      <c r="CQ28" s="42">
        <f t="shared" si="30"/>
        <v>15</v>
      </c>
      <c r="CR28" s="42">
        <f t="shared" si="31"/>
        <v>13</v>
      </c>
      <c r="CS28" s="42">
        <f t="shared" si="32"/>
        <v>13</v>
      </c>
      <c r="CT28" s="43" t="str">
        <f t="shared" si="33"/>
        <v>3-4</v>
      </c>
      <c r="CU28" s="43" t="str">
        <f t="shared" si="34"/>
        <v>14-15</v>
      </c>
      <c r="CV28" s="43">
        <f t="shared" si="35"/>
        <v>13</v>
      </c>
      <c r="CW28" s="13" t="s">
        <v>400</v>
      </c>
    </row>
    <row r="29" spans="1:101" x14ac:dyDescent="0.25">
      <c r="A29" s="31" t="s">
        <v>44</v>
      </c>
      <c r="B29" s="13">
        <v>373</v>
      </c>
      <c r="C29" s="13">
        <v>47</v>
      </c>
      <c r="D29" s="13">
        <v>35</v>
      </c>
      <c r="E29" s="32"/>
      <c r="F29" s="32"/>
      <c r="G29" s="32"/>
      <c r="H29" s="32"/>
      <c r="I29" s="32"/>
      <c r="J29" s="13"/>
      <c r="K29" s="33">
        <v>23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Multiplier'!$A:$A,MATCH($D29,'Level Multiplier'!$B:$B,0)),"")</f>
        <v>23</v>
      </c>
      <c r="Q29" s="36">
        <f>IFERROR(INDEX('Level Multiplier'!$D:$D,MATCH(P29,'Level Multiplier'!$A:$A,0)),"")</f>
        <v>1.560907508503629</v>
      </c>
      <c r="R29" s="37">
        <f t="shared" si="0"/>
        <v>14</v>
      </c>
      <c r="S29" s="37">
        <f t="shared" si="1"/>
        <v>14</v>
      </c>
      <c r="T29" s="38">
        <f t="shared" si="2"/>
        <v>82589786.32706432</v>
      </c>
      <c r="U29" s="38">
        <f t="shared" si="3"/>
        <v>83033220.624632165</v>
      </c>
      <c r="V29" s="38" t="b">
        <f t="shared" si="4"/>
        <v>0</v>
      </c>
      <c r="W29" s="37">
        <f t="array" ref="W29:AG29">IF(V29,"",IVSolution($M29,$N29,$O29,R29,S29,T29,U29,$E29,$F29,$G29,$H29,$I29))</f>
        <v>1</v>
      </c>
      <c r="X29" s="37">
        <v>40</v>
      </c>
      <c r="Y29" s="37">
        <v>40</v>
      </c>
      <c r="Z29" s="39">
        <v>0.88888888888888884</v>
      </c>
      <c r="AA29" s="39">
        <v>0.88888888888888884</v>
      </c>
      <c r="AB29" s="37">
        <v>14</v>
      </c>
      <c r="AC29" s="37">
        <v>14</v>
      </c>
      <c r="AD29" s="37">
        <v>13</v>
      </c>
      <c r="AE29" s="37">
        <v>13</v>
      </c>
      <c r="AF29" s="37">
        <v>13</v>
      </c>
      <c r="AG29" s="37">
        <v>13</v>
      </c>
      <c r="AH29" s="40">
        <f t="shared" si="5"/>
        <v>23.5</v>
      </c>
      <c r="AI29" s="36">
        <f>IFERROR(INDEX('Level Multiplier'!$D:$D,MATCH(AH29,'Level Multiplier'!$A:$A,0)),"")</f>
        <v>1.5442192764441367</v>
      </c>
      <c r="AJ29" s="37">
        <f t="shared" si="6"/>
        <v>13</v>
      </c>
      <c r="AK29" s="37">
        <f t="shared" si="7"/>
        <v>14</v>
      </c>
      <c r="AL29" s="38">
        <f t="shared" si="8"/>
        <v>79114036.140363246</v>
      </c>
      <c r="AM29" s="38">
        <f t="shared" si="9"/>
        <v>79538808.725495398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24</v>
      </c>
      <c r="BA29" s="36">
        <f>IFERROR(INDEX('Level Multiplier'!$D:$D,MATCH(AZ29,'Level Multiplier'!$A:$A,0)),"")</f>
        <v>1.5280341628098701</v>
      </c>
      <c r="BB29" s="37">
        <f t="shared" si="12"/>
        <v>12</v>
      </c>
      <c r="BC29" s="37">
        <f t="shared" si="13"/>
        <v>13</v>
      </c>
      <c r="BD29" s="38">
        <f t="shared" si="14"/>
        <v>75849010.538193136</v>
      </c>
      <c r="BE29" s="38">
        <f t="shared" si="15"/>
        <v>76256252.816021845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24.5</v>
      </c>
      <c r="BS29" s="36">
        <f>IFERROR(INDEX('Level Multiplier'!$D:$D,MATCH(BR29,'Level Multiplier'!$A:$A,0)),"")</f>
        <v>1.5123678280126109</v>
      </c>
      <c r="BT29" s="37">
        <f t="shared" si="18"/>
        <v>12</v>
      </c>
      <c r="BU29" s="37">
        <f t="shared" si="19"/>
        <v>12</v>
      </c>
      <c r="BV29" s="38">
        <f t="shared" si="20"/>
        <v>72785921.461081132</v>
      </c>
      <c r="BW29" s="38">
        <f t="shared" si="21"/>
        <v>73176717.652611494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23</v>
      </c>
      <c r="CK29" s="41">
        <f t="shared" si="24"/>
        <v>23</v>
      </c>
      <c r="CL29" s="39">
        <f t="shared" si="25"/>
        <v>0.88888888888888884</v>
      </c>
      <c r="CM29" s="39">
        <f t="shared" si="26"/>
        <v>0.88888888888888884</v>
      </c>
      <c r="CN29" s="42">
        <f t="shared" si="27"/>
        <v>14</v>
      </c>
      <c r="CO29" s="42">
        <f t="shared" si="28"/>
        <v>14</v>
      </c>
      <c r="CP29" s="42">
        <f t="shared" si="29"/>
        <v>13</v>
      </c>
      <c r="CQ29" s="42">
        <f t="shared" si="30"/>
        <v>13</v>
      </c>
      <c r="CR29" s="42">
        <f t="shared" si="31"/>
        <v>13</v>
      </c>
      <c r="CS29" s="42">
        <f t="shared" si="32"/>
        <v>13</v>
      </c>
      <c r="CT29" s="43">
        <f t="shared" si="33"/>
        <v>14</v>
      </c>
      <c r="CU29" s="43">
        <f t="shared" si="34"/>
        <v>13</v>
      </c>
      <c r="CV29" s="43">
        <f t="shared" si="35"/>
        <v>13</v>
      </c>
      <c r="CW29" s="13" t="s">
        <v>400</v>
      </c>
    </row>
    <row r="30" spans="1:101" x14ac:dyDescent="0.25">
      <c r="A30" s="31" t="s">
        <v>44</v>
      </c>
      <c r="B30" s="13">
        <v>335</v>
      </c>
      <c r="C30" s="13">
        <v>44</v>
      </c>
      <c r="D30" s="13">
        <v>30</v>
      </c>
      <c r="E30" s="32"/>
      <c r="F30" s="32"/>
      <c r="G30" s="32"/>
      <c r="H30" s="32"/>
      <c r="I30" s="32"/>
      <c r="J30" s="13"/>
      <c r="K30" s="33">
        <v>21</v>
      </c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Multiplier'!$A:$A,MATCH($D30,'Level Multiplier'!$B:$B,0)),"")</f>
        <v>21</v>
      </c>
      <c r="Q30" s="36">
        <f>IFERROR(INDEX('Level Multiplier'!$D:$D,MATCH(P30,'Level Multiplier'!$A:$A,0)),"")</f>
        <v>1.6335670853482771</v>
      </c>
      <c r="R30" s="37">
        <f t="shared" si="0"/>
        <v>12</v>
      </c>
      <c r="S30" s="37">
        <f t="shared" si="1"/>
        <v>13</v>
      </c>
      <c r="T30" s="38">
        <f t="shared" si="2"/>
        <v>79916694.26409553</v>
      </c>
      <c r="U30" s="38">
        <f t="shared" si="3"/>
        <v>80394520.968049258</v>
      </c>
      <c r="V30" s="38" t="b">
        <f t="shared" si="4"/>
        <v>0</v>
      </c>
      <c r="W30" s="37">
        <f t="array" ref="W30:AG30">IF(V30,"",IVSolution($M30,$N30,$O30,R30,S30,T30,U30,$E30,$F30,$G30,$H30,$I30))</f>
        <v>5</v>
      </c>
      <c r="X30" s="37">
        <v>37</v>
      </c>
      <c r="Y30" s="37">
        <v>38</v>
      </c>
      <c r="Z30" s="39">
        <v>0.82222222222222219</v>
      </c>
      <c r="AA30" s="39">
        <v>0.84444444444444444</v>
      </c>
      <c r="AB30" s="37">
        <v>12</v>
      </c>
      <c r="AC30" s="37">
        <v>13</v>
      </c>
      <c r="AD30" s="37">
        <v>12</v>
      </c>
      <c r="AE30" s="37">
        <v>15</v>
      </c>
      <c r="AF30" s="37">
        <v>9</v>
      </c>
      <c r="AG30" s="37">
        <v>14</v>
      </c>
      <c r="AH30" s="40">
        <f t="shared" si="5"/>
        <v>21.5</v>
      </c>
      <c r="AI30" s="36">
        <f>IFERROR(INDEX('Level Multiplier'!$D:$D,MATCH(AH30,'Level Multiplier'!$A:$A,0)),"")</f>
        <v>1.6144672670111633</v>
      </c>
      <c r="AJ30" s="37">
        <f t="shared" si="6"/>
        <v>12</v>
      </c>
      <c r="AK30" s="37">
        <f t="shared" si="7"/>
        <v>12</v>
      </c>
      <c r="AL30" s="38">
        <f t="shared" si="8"/>
        <v>76244161.204690874</v>
      </c>
      <c r="AM30" s="38">
        <f t="shared" si="9"/>
        <v>76700029.613408595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22</v>
      </c>
      <c r="BA30" s="36">
        <f>IFERROR(INDEX('Level Multiplier'!$D:$D,MATCH(AZ30,'Level Multiplier'!$A:$A,0)),"")</f>
        <v>1.5959981813919923</v>
      </c>
      <c r="BB30" s="37">
        <f t="shared" si="12"/>
        <v>11</v>
      </c>
      <c r="BC30" s="37">
        <f t="shared" si="13"/>
        <v>11</v>
      </c>
      <c r="BD30" s="38">
        <f t="shared" si="14"/>
        <v>72814719.803502023</v>
      </c>
      <c r="BE30" s="38">
        <f t="shared" si="15"/>
        <v>73250083.376575321</v>
      </c>
      <c r="BF30" s="38" t="b">
        <f t="shared" si="16"/>
        <v>1</v>
      </c>
      <c r="BG30" s="37" t="str">
        <f t="array" ref="BG30:BQ30">IF(BF30,"",IVSolution($M30,$N30,$O30,BB30,BC30,BD30,BE30,$E30,$F30,$G30,$H30,$I30))</f>
        <v/>
      </c>
      <c r="BH30" s="37" t="str">
        <v/>
      </c>
      <c r="BI30" s="37" t="str">
        <v/>
      </c>
      <c r="BJ30" s="39" t="str">
        <v/>
      </c>
      <c r="BK30" s="39" t="str">
        <v/>
      </c>
      <c r="BL30" s="37" t="str">
        <v/>
      </c>
      <c r="BM30" s="37" t="str">
        <v/>
      </c>
      <c r="BN30" s="37" t="str">
        <v/>
      </c>
      <c r="BO30" s="37" t="str">
        <v/>
      </c>
      <c r="BP30" s="37" t="str">
        <v/>
      </c>
      <c r="BQ30" s="37" t="str">
        <v/>
      </c>
      <c r="BR30" s="40">
        <f t="shared" si="17"/>
        <v>22.5</v>
      </c>
      <c r="BS30" s="36">
        <f>IFERROR(INDEX('Level Multiplier'!$D:$D,MATCH(BR30,'Level Multiplier'!$A:$A,0)),"")</f>
        <v>1.5781719054143564</v>
      </c>
      <c r="BT30" s="37">
        <f t="shared" si="18"/>
        <v>10</v>
      </c>
      <c r="BU30" s="37">
        <f t="shared" si="19"/>
        <v>11</v>
      </c>
      <c r="BV30" s="38">
        <f t="shared" si="20"/>
        <v>69615644.042204857</v>
      </c>
      <c r="BW30" s="38">
        <f t="shared" si="21"/>
        <v>70031880.149599105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21</v>
      </c>
      <c r="CK30" s="41">
        <f t="shared" si="24"/>
        <v>21</v>
      </c>
      <c r="CL30" s="39">
        <f t="shared" si="25"/>
        <v>0.82222222222222219</v>
      </c>
      <c r="CM30" s="39">
        <f t="shared" si="26"/>
        <v>0.84444444444444444</v>
      </c>
      <c r="CN30" s="42">
        <f t="shared" si="27"/>
        <v>12</v>
      </c>
      <c r="CO30" s="42">
        <f t="shared" si="28"/>
        <v>13</v>
      </c>
      <c r="CP30" s="42">
        <f t="shared" si="29"/>
        <v>12</v>
      </c>
      <c r="CQ30" s="42">
        <f t="shared" si="30"/>
        <v>15</v>
      </c>
      <c r="CR30" s="42">
        <f t="shared" si="31"/>
        <v>9</v>
      </c>
      <c r="CS30" s="42">
        <f t="shared" si="32"/>
        <v>14</v>
      </c>
      <c r="CT30" s="43" t="str">
        <f t="shared" si="33"/>
        <v>12-13</v>
      </c>
      <c r="CU30" s="43" t="str">
        <f t="shared" si="34"/>
        <v>12-15</v>
      </c>
      <c r="CV30" s="43" t="str">
        <f t="shared" si="35"/>
        <v>9-14</v>
      </c>
      <c r="CW30" s="13" t="s">
        <v>400</v>
      </c>
    </row>
    <row r="31" spans="1:101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Multiplier'!$A:$A,MATCH($D31,'Level Multiplier'!$B:$B,0)),"")</f>
        <v>13</v>
      </c>
      <c r="Q31" s="36">
        <f>IFERROR(INDEX('Level Multiplier'!$D:$D,MATCH(P31,'Level Multiplier'!$A:$A,0)),"")</f>
        <v>2.0760457639376111</v>
      </c>
      <c r="R31" s="37">
        <f t="shared" si="0"/>
        <v>7</v>
      </c>
      <c r="S31" s="37">
        <f t="shared" si="1"/>
        <v>8</v>
      </c>
      <c r="T31" s="38">
        <f t="shared" si="2"/>
        <v>74303228.166074753</v>
      </c>
      <c r="U31" s="38">
        <f t="shared" si="3"/>
        <v>75048118.028439656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5"/>
        <v>13.5</v>
      </c>
      <c r="AI31" s="36">
        <f>IFERROR(INDEX('Level Multiplier'!$D:$D,MATCH(AH31,'Level Multiplier'!$A:$A,0)),"")</f>
        <v>2.0372581927319593</v>
      </c>
      <c r="AJ31" s="37">
        <f t="shared" si="6"/>
        <v>6</v>
      </c>
      <c r="AK31" s="37">
        <f t="shared" si="7"/>
        <v>7</v>
      </c>
      <c r="AL31" s="38">
        <f t="shared" si="8"/>
        <v>68903976.04471074</v>
      </c>
      <c r="AM31" s="38">
        <f t="shared" si="9"/>
        <v>69594738.404558972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Multiplier'!$D:$D,MATCH(AZ31,'Level Multiplier'!$A:$A,0)),"")</f>
        <v>2.0005664003592698</v>
      </c>
      <c r="BB31" s="37">
        <f t="shared" si="12"/>
        <v>5</v>
      </c>
      <c r="BC31" s="37">
        <f t="shared" si="13"/>
        <v>6</v>
      </c>
      <c r="BD31" s="38">
        <f t="shared" si="14"/>
        <v>64072530.049500771</v>
      </c>
      <c r="BE31" s="38">
        <f t="shared" si="15"/>
        <v>64714857.163247019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14.5</v>
      </c>
      <c r="BS31" s="36">
        <f>IFERROR(INDEX('Level Multiplier'!$D:$D,MATCH(BR31,'Level Multiplier'!$A:$A,0)),"")</f>
        <v>1.9657883435887038</v>
      </c>
      <c r="BT31" s="37">
        <f t="shared" si="18"/>
        <v>3</v>
      </c>
      <c r="BU31" s="37">
        <f t="shared" si="19"/>
        <v>4</v>
      </c>
      <c r="BV31" s="38">
        <f t="shared" si="20"/>
        <v>59731994.089444652</v>
      </c>
      <c r="BW31" s="38">
        <f t="shared" si="21"/>
        <v>60330807.330191337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13</v>
      </c>
      <c r="CL31" s="39">
        <f t="shared" si="25"/>
        <v>0.71111111111111114</v>
      </c>
      <c r="CM31" s="39">
        <f t="shared" si="26"/>
        <v>0.73333333333333328</v>
      </c>
      <c r="CN31" s="42">
        <f t="shared" si="27"/>
        <v>7</v>
      </c>
      <c r="CO31" s="42">
        <f t="shared" si="28"/>
        <v>8</v>
      </c>
      <c r="CP31" s="42">
        <f t="shared" si="29"/>
        <v>12</v>
      </c>
      <c r="CQ31" s="42">
        <f t="shared" si="30"/>
        <v>15</v>
      </c>
      <c r="CR31" s="42">
        <f t="shared" si="31"/>
        <v>9</v>
      </c>
      <c r="CS31" s="42">
        <f t="shared" si="32"/>
        <v>14</v>
      </c>
      <c r="CT31" s="43" t="str">
        <f t="shared" si="33"/>
        <v>7-8</v>
      </c>
      <c r="CU31" s="43" t="str">
        <f t="shared" si="34"/>
        <v>12-15</v>
      </c>
      <c r="CV31" s="43" t="str">
        <f t="shared" si="35"/>
        <v>9-14</v>
      </c>
      <c r="CW31" s="13" t="s">
        <v>400</v>
      </c>
    </row>
    <row r="32" spans="1:101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Multiplier'!$A:$A,MATCH($D32,'Level Multiplier'!$B:$B,0)),"")</f>
        <v>11</v>
      </c>
      <c r="Q32" s="36">
        <f>IFERROR(INDEX('Level Multiplier'!$D:$D,MATCH(P32,'Level Multiplier'!$A:$A,0)),"")</f>
        <v>2.2567884478610214</v>
      </c>
      <c r="R32" s="37">
        <f t="shared" si="0"/>
        <v>15</v>
      </c>
      <c r="S32" s="37">
        <f t="shared" si="1"/>
        <v>15</v>
      </c>
      <c r="T32" s="38">
        <f t="shared" si="2"/>
        <v>72342971.343213499</v>
      </c>
      <c r="U32" s="38">
        <f t="shared" si="3"/>
        <v>73211948.19430089</v>
      </c>
      <c r="V32" s="38" t="b">
        <f t="shared" si="4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5"/>
        <v>11.5</v>
      </c>
      <c r="AI32" s="36">
        <f>IFERROR(INDEX('Level Multiplier'!$D:$D,MATCH(AH32,'Level Multiplier'!$A:$A,0)),"")</f>
        <v>2.2072133782377708</v>
      </c>
      <c r="AJ32" s="37">
        <f t="shared" si="6"/>
        <v>13</v>
      </c>
      <c r="AK32" s="37">
        <f t="shared" si="7"/>
        <v>15</v>
      </c>
      <c r="AL32" s="38">
        <f t="shared" si="8"/>
        <v>66192719.078769244</v>
      </c>
      <c r="AM32" s="38">
        <f t="shared" si="9"/>
        <v>66987819.688019767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12</v>
      </c>
      <c r="BA32" s="36">
        <f>IFERROR(INDEX('Level Multiplier'!$D:$D,MATCH(AZ32,'Level Multiplier'!$A:$A,0)),"")</f>
        <v>2.1607681046600011</v>
      </c>
      <c r="BB32" s="37">
        <f t="shared" si="12"/>
        <v>12</v>
      </c>
      <c r="BC32" s="37">
        <f t="shared" si="13"/>
        <v>13</v>
      </c>
      <c r="BD32" s="38">
        <f t="shared" si="14"/>
        <v>60794681.075239412</v>
      </c>
      <c r="BE32" s="38">
        <f t="shared" si="15"/>
        <v>61524940.968394607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12.5</v>
      </c>
      <c r="BS32" s="36">
        <f>IFERROR(INDEX('Level Multiplier'!$D:$D,MATCH(BR32,'Level Multiplier'!$A:$A,0)),"")</f>
        <v>2.1171365813269869</v>
      </c>
      <c r="BT32" s="37">
        <f t="shared" si="18"/>
        <v>10</v>
      </c>
      <c r="BU32" s="37">
        <f t="shared" si="19"/>
        <v>11</v>
      </c>
      <c r="BV32" s="38">
        <f t="shared" si="20"/>
        <v>56031009.522395797</v>
      </c>
      <c r="BW32" s="38">
        <f t="shared" si="21"/>
        <v>56704048.648574673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11</v>
      </c>
      <c r="CK32" s="41">
        <f t="shared" si="24"/>
        <v>11</v>
      </c>
      <c r="CL32" s="39">
        <f t="shared" si="25"/>
        <v>0.66666666666666663</v>
      </c>
      <c r="CM32" s="39">
        <f t="shared" si="26"/>
        <v>0.75555555555555554</v>
      </c>
      <c r="CN32" s="42">
        <f t="shared" si="27"/>
        <v>15</v>
      </c>
      <c r="CO32" s="42">
        <f t="shared" si="28"/>
        <v>15</v>
      </c>
      <c r="CP32" s="42">
        <f t="shared" si="29"/>
        <v>4</v>
      </c>
      <c r="CQ32" s="42">
        <f t="shared" si="30"/>
        <v>15</v>
      </c>
      <c r="CR32" s="42">
        <f t="shared" si="31"/>
        <v>0</v>
      </c>
      <c r="CS32" s="42">
        <f t="shared" si="32"/>
        <v>15</v>
      </c>
      <c r="CT32" s="43">
        <f t="shared" si="33"/>
        <v>15</v>
      </c>
      <c r="CU32" s="43" t="str">
        <f t="shared" si="34"/>
        <v>4-15</v>
      </c>
      <c r="CV32" s="43" t="str">
        <f t="shared" si="35"/>
        <v>0-15</v>
      </c>
      <c r="CW32" s="13" t="s">
        <v>400</v>
      </c>
    </row>
    <row r="33" spans="1:101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Multiplier'!$A:$A,MATCH($D33,'Level Multiplier'!$B:$B,0)),"")</f>
        <v>9</v>
      </c>
      <c r="Q33" s="36">
        <f>IFERROR(INDEX('Level Multiplier'!$D:$D,MATCH(P33,'Level Multiplier'!$A:$A,0)),"")</f>
        <v>2.50270742889658</v>
      </c>
      <c r="R33" s="37">
        <f t="shared" si="0"/>
        <v>18</v>
      </c>
      <c r="S33" s="37">
        <f t="shared" si="1"/>
        <v>15</v>
      </c>
      <c r="T33" s="38">
        <f t="shared" si="2"/>
        <v>90641588.277345747</v>
      </c>
      <c r="U33" s="38">
        <f t="shared" si="3"/>
        <v>91838163.953617841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9.5</v>
      </c>
      <c r="AI33" s="36">
        <f>IFERROR(INDEX('Level Multiplier'!$D:$D,MATCH(AH33,'Level Multiplier'!$A:$A,0)),"")</f>
        <v>2.4319447558651035</v>
      </c>
      <c r="AJ33" s="37">
        <f t="shared" si="6"/>
        <v>16</v>
      </c>
      <c r="AK33" s="37">
        <f t="shared" si="7"/>
        <v>15</v>
      </c>
      <c r="AL33" s="38">
        <f t="shared" si="8"/>
        <v>80816864.518459365</v>
      </c>
      <c r="AM33" s="38">
        <f t="shared" si="9"/>
        <v>81883742.274611115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10</v>
      </c>
      <c r="BA33" s="36">
        <f>IFERROR(INDEX('Level Multiplier'!$D:$D,MATCH(AZ33,'Level Multiplier'!$A:$A,0)),"")</f>
        <v>2.3668638493049978</v>
      </c>
      <c r="BB33" s="37">
        <f t="shared" si="12"/>
        <v>14</v>
      </c>
      <c r="BC33" s="37">
        <f t="shared" si="13"/>
        <v>15</v>
      </c>
      <c r="BD33" s="38">
        <f t="shared" si="14"/>
        <v>72507057.632755637</v>
      </c>
      <c r="BE33" s="38">
        <f t="shared" si="15"/>
        <v>73464236.15500246</v>
      </c>
      <c r="BF33" s="38" t="b">
        <f t="shared" si="16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7"/>
        <v>10.5</v>
      </c>
      <c r="BS33" s="36">
        <f>IFERROR(INDEX('Level Multiplier'!$D:$D,MATCH(BR33,'Level Multiplier'!$A:$A,0)),"")</f>
        <v>2.3098613438973334</v>
      </c>
      <c r="BT33" s="37">
        <f t="shared" si="18"/>
        <v>12</v>
      </c>
      <c r="BU33" s="37">
        <f t="shared" si="19"/>
        <v>13</v>
      </c>
      <c r="BV33" s="38">
        <f t="shared" si="20"/>
        <v>65770450.932788976</v>
      </c>
      <c r="BW33" s="38">
        <f t="shared" si="21"/>
        <v>66638698.315688066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10</v>
      </c>
      <c r="CK33" s="41">
        <f t="shared" si="24"/>
        <v>10</v>
      </c>
      <c r="CL33" s="39">
        <f t="shared" si="25"/>
        <v>0.66666666666666663</v>
      </c>
      <c r="CM33" s="39">
        <f t="shared" si="26"/>
        <v>0.75555555555555554</v>
      </c>
      <c r="CN33" s="42">
        <f t="shared" si="27"/>
        <v>14</v>
      </c>
      <c r="CO33" s="42">
        <f t="shared" si="28"/>
        <v>15</v>
      </c>
      <c r="CP33" s="42">
        <f t="shared" si="29"/>
        <v>4</v>
      </c>
      <c r="CQ33" s="42">
        <f t="shared" si="30"/>
        <v>15</v>
      </c>
      <c r="CR33" s="42">
        <f t="shared" si="31"/>
        <v>0</v>
      </c>
      <c r="CS33" s="42">
        <f t="shared" si="32"/>
        <v>15</v>
      </c>
      <c r="CT33" s="43" t="str">
        <f t="shared" si="33"/>
        <v>14-15</v>
      </c>
      <c r="CU33" s="43" t="str">
        <f t="shared" si="34"/>
        <v>4-15</v>
      </c>
      <c r="CV33" s="43" t="str">
        <f t="shared" si="35"/>
        <v>0-15</v>
      </c>
      <c r="CW33" s="13" t="s">
        <v>400</v>
      </c>
    </row>
    <row r="34" spans="1:101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Multiplier'!$A:$A,MATCH($D34,'Level Multiplier'!$B:$B,0)),"")</f>
        <v>7</v>
      </c>
      <c r="Q34" s="36">
        <f>IFERROR(INDEX('Level Multiplier'!$D:$D,MATCH(P34,'Level Multiplier'!$A:$A,0)),"")</f>
        <v>2.8635844494535538</v>
      </c>
      <c r="R34" s="37">
        <f t="shared" si="0"/>
        <v>21</v>
      </c>
      <c r="S34" s="37">
        <f t="shared" si="1"/>
        <v>15</v>
      </c>
      <c r="T34" s="38">
        <f t="shared" si="2"/>
        <v>111897247.05393206</v>
      </c>
      <c r="U34" s="38">
        <f t="shared" si="3"/>
        <v>113638812.28360385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7.5</v>
      </c>
      <c r="AI34" s="36">
        <f>IFERROR(INDEX('Level Multiplier'!$D:$D,MATCH(AH34,'Level Multiplier'!$A:$A,0)),"")</f>
        <v>2.7589422415193434</v>
      </c>
      <c r="AJ34" s="37">
        <f t="shared" si="6"/>
        <v>18</v>
      </c>
      <c r="AK34" s="37">
        <f t="shared" si="7"/>
        <v>15</v>
      </c>
      <c r="AL34" s="38">
        <f t="shared" si="8"/>
        <v>96416165.409542114</v>
      </c>
      <c r="AM34" s="38">
        <f t="shared" si="9"/>
        <v>97916783.571976542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8</v>
      </c>
      <c r="BA34" s="36">
        <f>IFERROR(INDEX('Level Multiplier'!$D:$D,MATCH(AZ34,'Level Multiplier'!$A:$A,0)),"")</f>
        <v>2.6649924118338562</v>
      </c>
      <c r="BB34" s="37">
        <f t="shared" si="12"/>
        <v>15</v>
      </c>
      <c r="BC34" s="37">
        <f t="shared" si="13"/>
        <v>15</v>
      </c>
      <c r="BD34" s="38">
        <f t="shared" si="14"/>
        <v>83938910.4599251</v>
      </c>
      <c r="BE34" s="38">
        <f t="shared" si="15"/>
        <v>85245333.019213647</v>
      </c>
      <c r="BF34" s="38" t="b">
        <f t="shared" si="16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7"/>
        <v>8.5</v>
      </c>
      <c r="BS34" s="36">
        <f>IFERROR(INDEX('Level Multiplier'!$D:$D,MATCH(BR34,'Level Multiplier'!$A:$A,0)),"")</f>
        <v>2.5800299090483212</v>
      </c>
      <c r="BT34" s="37">
        <f t="shared" si="18"/>
        <v>13</v>
      </c>
      <c r="BU34" s="37">
        <f t="shared" si="19"/>
        <v>14</v>
      </c>
      <c r="BV34" s="38">
        <f t="shared" si="20"/>
        <v>73735797.678919107</v>
      </c>
      <c r="BW34" s="38">
        <f t="shared" si="21"/>
        <v>74883419.312164709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8</v>
      </c>
      <c r="CK34" s="41">
        <f t="shared" si="24"/>
        <v>8</v>
      </c>
      <c r="CL34" s="39">
        <f t="shared" si="25"/>
        <v>0.91111111111111109</v>
      </c>
      <c r="CM34" s="39">
        <f t="shared" si="26"/>
        <v>0.93333333333333335</v>
      </c>
      <c r="CN34" s="42">
        <f t="shared" si="27"/>
        <v>15</v>
      </c>
      <c r="CO34" s="42">
        <f t="shared" si="28"/>
        <v>15</v>
      </c>
      <c r="CP34" s="42">
        <f t="shared" si="29"/>
        <v>12</v>
      </c>
      <c r="CQ34" s="42">
        <f t="shared" si="30"/>
        <v>15</v>
      </c>
      <c r="CR34" s="42">
        <f t="shared" si="31"/>
        <v>11</v>
      </c>
      <c r="CS34" s="42">
        <f t="shared" si="32"/>
        <v>15</v>
      </c>
      <c r="CT34" s="43">
        <f t="shared" si="33"/>
        <v>15</v>
      </c>
      <c r="CU34" s="43" t="str">
        <f t="shared" si="34"/>
        <v>12-15</v>
      </c>
      <c r="CV34" s="43" t="str">
        <f t="shared" si="35"/>
        <v>11-15</v>
      </c>
      <c r="CW34" s="13" t="s">
        <v>400</v>
      </c>
    </row>
    <row r="35" spans="1:101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Multiplier'!$A:$A,MATCH($D35,'Level Multiplier'!$B:$B,0)),"")</f>
        <v>7</v>
      </c>
      <c r="Q35" s="36">
        <f>IFERROR(INDEX('Level Multiplier'!$D:$D,MATCH(P35,'Level Multiplier'!$A:$A,0)),"")</f>
        <v>2.8635844494535538</v>
      </c>
      <c r="R35" s="37">
        <f t="shared" si="0"/>
        <v>15</v>
      </c>
      <c r="S35" s="37">
        <f t="shared" si="1"/>
        <v>15</v>
      </c>
      <c r="T35" s="38">
        <f t="shared" si="2"/>
        <v>103391146.60785165</v>
      </c>
      <c r="U35" s="38">
        <f t="shared" si="3"/>
        <v>105065469.93676391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7.5</v>
      </c>
      <c r="AI35" s="36">
        <f>IFERROR(INDEX('Level Multiplier'!$D:$D,MATCH(AH35,'Level Multiplier'!$A:$A,0)),"")</f>
        <v>2.7589422415193434</v>
      </c>
      <c r="AJ35" s="37">
        <f t="shared" si="6"/>
        <v>12</v>
      </c>
      <c r="AK35" s="37">
        <f t="shared" si="7"/>
        <v>14</v>
      </c>
      <c r="AL35" s="38">
        <f t="shared" si="8"/>
        <v>89086891.372941509</v>
      </c>
      <c r="AM35" s="38">
        <f t="shared" si="9"/>
        <v>90529570.610185415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8</v>
      </c>
      <c r="BA35" s="36">
        <f>IFERROR(INDEX('Level Multiplier'!$D:$D,MATCH(AZ35,'Level Multiplier'!$A:$A,0)),"")</f>
        <v>2.6649924118338562</v>
      </c>
      <c r="BB35" s="37">
        <f t="shared" si="12"/>
        <v>10</v>
      </c>
      <c r="BC35" s="37">
        <f t="shared" si="13"/>
        <v>11</v>
      </c>
      <c r="BD35" s="38">
        <f t="shared" si="14"/>
        <v>77558120.739847869</v>
      </c>
      <c r="BE35" s="38">
        <f t="shared" si="15"/>
        <v>78814102.273681253</v>
      </c>
      <c r="BF35" s="38" t="b">
        <f t="shared" si="16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7"/>
        <v>8.5</v>
      </c>
      <c r="BS35" s="36">
        <f>IFERROR(INDEX('Level Multiplier'!$D:$D,MATCH(BR35,'Level Multiplier'!$A:$A,0)),"")</f>
        <v>2.5800299090483212</v>
      </c>
      <c r="BT35" s="37">
        <f t="shared" si="18"/>
        <v>8</v>
      </c>
      <c r="BU35" s="37">
        <f t="shared" si="19"/>
        <v>9</v>
      </c>
      <c r="BV35" s="38">
        <f t="shared" si="20"/>
        <v>68130618.659399077</v>
      </c>
      <c r="BW35" s="38">
        <f t="shared" si="21"/>
        <v>69233930.577075362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8</v>
      </c>
      <c r="CK35" s="41">
        <f t="shared" si="24"/>
        <v>8</v>
      </c>
      <c r="CL35" s="39">
        <f t="shared" si="25"/>
        <v>0.77777777777777779</v>
      </c>
      <c r="CM35" s="39">
        <f t="shared" si="26"/>
        <v>0.82222222222222219</v>
      </c>
      <c r="CN35" s="42">
        <f t="shared" si="27"/>
        <v>10</v>
      </c>
      <c r="CO35" s="42">
        <f t="shared" si="28"/>
        <v>11</v>
      </c>
      <c r="CP35" s="42">
        <f t="shared" si="29"/>
        <v>11</v>
      </c>
      <c r="CQ35" s="42">
        <f t="shared" si="30"/>
        <v>15</v>
      </c>
      <c r="CR35" s="42">
        <f t="shared" si="31"/>
        <v>9</v>
      </c>
      <c r="CS35" s="42">
        <f t="shared" si="32"/>
        <v>15</v>
      </c>
      <c r="CT35" s="43" t="str">
        <f t="shared" si="33"/>
        <v>10-11</v>
      </c>
      <c r="CU35" s="43" t="str">
        <f t="shared" si="34"/>
        <v>11-15</v>
      </c>
      <c r="CV35" s="43" t="str">
        <f t="shared" si="35"/>
        <v>9-15</v>
      </c>
      <c r="CW35" s="13" t="s">
        <v>400</v>
      </c>
    </row>
    <row r="36" spans="1:101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Multiplier'!$A:$A,MATCH($D36,'Level Multiplier'!$B:$B,0)),"")</f>
        <v>7</v>
      </c>
      <c r="Q36" s="36">
        <f>IFERROR(INDEX('Level Multiplier'!$D:$D,MATCH(P36,'Level Multiplier'!$A:$A,0)),"")</f>
        <v>2.8635844494535538</v>
      </c>
      <c r="R36" s="37">
        <f t="shared" si="0"/>
        <v>18</v>
      </c>
      <c r="S36" s="37">
        <f t="shared" si="1"/>
        <v>15</v>
      </c>
      <c r="T36" s="38">
        <f t="shared" si="2"/>
        <v>98448866.902026281</v>
      </c>
      <c r="U36" s="38">
        <f t="shared" si="3"/>
        <v>100082845.09048283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7.5</v>
      </c>
      <c r="AI36" s="36">
        <f>IFERROR(INDEX('Level Multiplier'!$D:$D,MATCH(AH36,'Level Multiplier'!$A:$A,0)),"")</f>
        <v>2.7589422415193434</v>
      </c>
      <c r="AJ36" s="37">
        <f t="shared" si="6"/>
        <v>15</v>
      </c>
      <c r="AK36" s="37">
        <f t="shared" si="7"/>
        <v>15</v>
      </c>
      <c r="AL36" s="38">
        <f t="shared" si="8"/>
        <v>84828380.371438384</v>
      </c>
      <c r="AM36" s="38">
        <f t="shared" si="9"/>
        <v>86236296.253567979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8</v>
      </c>
      <c r="BA36" s="36">
        <f>IFERROR(INDEX('Level Multiplier'!$D:$D,MATCH(AZ36,'Level Multiplier'!$A:$A,0)),"")</f>
        <v>2.6649924118338562</v>
      </c>
      <c r="BB36" s="37">
        <f t="shared" si="12"/>
        <v>12</v>
      </c>
      <c r="BC36" s="37">
        <f t="shared" si="13"/>
        <v>14</v>
      </c>
      <c r="BD36" s="38">
        <f t="shared" si="14"/>
        <v>73850705.368893906</v>
      </c>
      <c r="BE36" s="38">
        <f t="shared" si="15"/>
        <v>75076422.287454203</v>
      </c>
      <c r="BF36" s="38" t="b">
        <f t="shared" si="16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7"/>
        <v>8.5</v>
      </c>
      <c r="BS36" s="36">
        <f>IFERROR(INDEX('Level Multiplier'!$D:$D,MATCH(BR36,'Level Multiplier'!$A:$A,0)),"")</f>
        <v>2.5800299090483212</v>
      </c>
      <c r="BT36" s="37">
        <f t="shared" si="18"/>
        <v>10</v>
      </c>
      <c r="BU36" s="37">
        <f t="shared" si="19"/>
        <v>12</v>
      </c>
      <c r="BV36" s="38">
        <f t="shared" si="20"/>
        <v>64873854.565053456</v>
      </c>
      <c r="BW36" s="38">
        <f t="shared" si="21"/>
        <v>65950580.653388135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8</v>
      </c>
      <c r="CK36" s="41">
        <f t="shared" si="24"/>
        <v>8</v>
      </c>
      <c r="CL36" s="39">
        <f t="shared" si="25"/>
        <v>0.68888888888888888</v>
      </c>
      <c r="CM36" s="39">
        <f t="shared" si="26"/>
        <v>0.77777777777777779</v>
      </c>
      <c r="CN36" s="42">
        <f t="shared" si="27"/>
        <v>12</v>
      </c>
      <c r="CO36" s="42">
        <f t="shared" si="28"/>
        <v>14</v>
      </c>
      <c r="CP36" s="42">
        <f t="shared" si="29"/>
        <v>6</v>
      </c>
      <c r="CQ36" s="42">
        <f t="shared" si="30"/>
        <v>15</v>
      </c>
      <c r="CR36" s="42">
        <f t="shared" si="31"/>
        <v>2</v>
      </c>
      <c r="CS36" s="42">
        <f t="shared" si="32"/>
        <v>15</v>
      </c>
      <c r="CT36" s="43" t="str">
        <f t="shared" si="33"/>
        <v>12-14</v>
      </c>
      <c r="CU36" s="43" t="str">
        <f t="shared" si="34"/>
        <v>6-15</v>
      </c>
      <c r="CV36" s="43" t="str">
        <f t="shared" si="35"/>
        <v>2-15</v>
      </c>
      <c r="CW36" s="13" t="s">
        <v>400</v>
      </c>
    </row>
    <row r="37" spans="1:101" x14ac:dyDescent="0.25">
      <c r="A37" s="31" t="s">
        <v>44</v>
      </c>
      <c r="B37" s="13">
        <v>92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Multiplier'!$A:$A,MATCH($D37,'Level Multiplier'!$B:$B,0)),"")</f>
        <v>5</v>
      </c>
      <c r="Q37" s="36">
        <f>IFERROR(INDEX('Level Multiplier'!$D:$D,MATCH(P37,'Level Multiplier'!$A:$A,0)),"")</f>
        <v>3.4453071953035774</v>
      </c>
      <c r="R37" s="37">
        <f t="shared" si="0"/>
        <v>20</v>
      </c>
      <c r="S37" s="37">
        <f t="shared" si="1"/>
        <v>15</v>
      </c>
      <c r="T37" s="38">
        <f t="shared" si="2"/>
        <v>119257982.82844576</v>
      </c>
      <c r="U37" s="38">
        <f t="shared" si="3"/>
        <v>121864637.69886903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5.5</v>
      </c>
      <c r="AI37" s="36">
        <f>IFERROR(INDEX('Level Multiplier'!$D:$D,MATCH(AH37,'Level Multiplier'!$A:$A,0)),"")</f>
        <v>3.2673612046279805</v>
      </c>
      <c r="AJ37" s="37">
        <f t="shared" si="6"/>
        <v>16</v>
      </c>
      <c r="AK37" s="37">
        <f t="shared" si="7"/>
        <v>15</v>
      </c>
      <c r="AL37" s="38">
        <f t="shared" si="8"/>
        <v>96463773.566334188</v>
      </c>
      <c r="AM37" s="38">
        <f t="shared" si="9"/>
        <v>98572209.070796832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6</v>
      </c>
      <c r="BA37" s="36">
        <f>IFERROR(INDEX('Level Multiplier'!$D:$D,MATCH(AZ37,'Level Multiplier'!$A:$A,0)),"")</f>
        <v>3.1144148824183806</v>
      </c>
      <c r="BB37" s="37">
        <f t="shared" si="12"/>
        <v>12</v>
      </c>
      <c r="BC37" s="37">
        <f t="shared" si="13"/>
        <v>14</v>
      </c>
      <c r="BD37" s="38">
        <f t="shared" si="14"/>
        <v>79630880.664465755</v>
      </c>
      <c r="BE37" s="38">
        <f t="shared" si="15"/>
        <v>81371394.951200888</v>
      </c>
      <c r="BF37" s="38" t="b">
        <f t="shared" si="16"/>
        <v>0</v>
      </c>
      <c r="BG37" s="37">
        <f t="array" ref="BG37:BQ37">IF(BF37,"",IVSolution($M37,$N37,$O37,BB37,BC37,BD37,BE37,$E37,$F37,$G37,$H37,$I37))</f>
        <v>26</v>
      </c>
      <c r="BH37" s="37">
        <v>37</v>
      </c>
      <c r="BI37" s="37">
        <v>39</v>
      </c>
      <c r="BJ37" s="39">
        <v>0.82222222222222219</v>
      </c>
      <c r="BK37" s="39">
        <v>0.8666666666666667</v>
      </c>
      <c r="BL37" s="37">
        <v>12</v>
      </c>
      <c r="BM37" s="37">
        <v>14</v>
      </c>
      <c r="BN37" s="37">
        <v>10</v>
      </c>
      <c r="BO37" s="37">
        <v>15</v>
      </c>
      <c r="BP37" s="37">
        <v>8</v>
      </c>
      <c r="BQ37" s="37">
        <v>15</v>
      </c>
      <c r="BR37" s="40">
        <f t="shared" si="17"/>
        <v>6.5</v>
      </c>
      <c r="BS37" s="36">
        <f>IFERROR(INDEX('Level Multiplier'!$D:$D,MATCH(BR37,'Level Multiplier'!$A:$A,0)),"")</f>
        <v>2.9811143188298668</v>
      </c>
      <c r="BT37" s="37">
        <f t="shared" si="18"/>
        <v>9</v>
      </c>
      <c r="BU37" s="37">
        <f t="shared" si="19"/>
        <v>11</v>
      </c>
      <c r="BV37" s="38">
        <f t="shared" si="20"/>
        <v>66848270.682047568</v>
      </c>
      <c r="BW37" s="38">
        <f t="shared" si="21"/>
        <v>68309391.910329565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6</v>
      </c>
      <c r="CK37" s="41">
        <f t="shared" si="24"/>
        <v>6</v>
      </c>
      <c r="CL37" s="39">
        <f t="shared" si="25"/>
        <v>0.82222222222222219</v>
      </c>
      <c r="CM37" s="39">
        <f t="shared" si="26"/>
        <v>0.8666666666666667</v>
      </c>
      <c r="CN37" s="42">
        <f t="shared" si="27"/>
        <v>12</v>
      </c>
      <c r="CO37" s="42">
        <f t="shared" si="28"/>
        <v>14</v>
      </c>
      <c r="CP37" s="42">
        <f t="shared" si="29"/>
        <v>10</v>
      </c>
      <c r="CQ37" s="42">
        <f t="shared" si="30"/>
        <v>15</v>
      </c>
      <c r="CR37" s="42">
        <f t="shared" si="31"/>
        <v>8</v>
      </c>
      <c r="CS37" s="42">
        <f t="shared" si="32"/>
        <v>15</v>
      </c>
      <c r="CT37" s="43" t="str">
        <f t="shared" si="33"/>
        <v>12-14</v>
      </c>
      <c r="CU37" s="43" t="str">
        <f t="shared" si="34"/>
        <v>10-15</v>
      </c>
      <c r="CV37" s="43" t="str">
        <f t="shared" si="35"/>
        <v>8-15</v>
      </c>
      <c r="CW37" s="13" t="s">
        <v>400</v>
      </c>
    </row>
    <row r="38" spans="1:101" x14ac:dyDescent="0.25">
      <c r="A38" s="31" t="s">
        <v>44</v>
      </c>
      <c r="B38" s="13">
        <v>91</v>
      </c>
      <c r="C38" s="13">
        <v>22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Multiplier'!$A:$A,MATCH($D38,'Level Multiplier'!$B:$B,0)),"")</f>
        <v>5</v>
      </c>
      <c r="Q38" s="36">
        <f>IFERROR(INDEX('Level Multiplier'!$D:$D,MATCH(P38,'Level Multiplier'!$A:$A,0)),"")</f>
        <v>3.4453071953035774</v>
      </c>
      <c r="R38" s="37">
        <f t="shared" si="0"/>
        <v>16</v>
      </c>
      <c r="S38" s="37">
        <f t="shared" si="1"/>
        <v>15</v>
      </c>
      <c r="T38" s="38">
        <f t="shared" si="2"/>
        <v>116679508.01067573</v>
      </c>
      <c r="U38" s="38">
        <f t="shared" si="3"/>
        <v>119257982.82844576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5.5</v>
      </c>
      <c r="AI38" s="36">
        <f>IFERROR(INDEX('Level Multiplier'!$D:$D,MATCH(AH38,'Level Multiplier'!$A:$A,0)),"")</f>
        <v>3.2673612046279805</v>
      </c>
      <c r="AJ38" s="37">
        <f t="shared" si="6"/>
        <v>12</v>
      </c>
      <c r="AK38" s="37">
        <f t="shared" si="7"/>
        <v>15</v>
      </c>
      <c r="AL38" s="38">
        <f t="shared" si="8"/>
        <v>94378131.959217086</v>
      </c>
      <c r="AM38" s="38">
        <f t="shared" si="9"/>
        <v>96463773.566334188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6</v>
      </c>
      <c r="BA38" s="36">
        <f>IFERROR(INDEX('Level Multiplier'!$D:$D,MATCH(AZ38,'Level Multiplier'!$A:$A,0)),"")</f>
        <v>3.1144148824183806</v>
      </c>
      <c r="BB38" s="37">
        <f t="shared" si="12"/>
        <v>9</v>
      </c>
      <c r="BC38" s="37">
        <f t="shared" si="13"/>
        <v>11</v>
      </c>
      <c r="BD38" s="38">
        <f t="shared" si="14"/>
        <v>77909182.748398021</v>
      </c>
      <c r="BE38" s="38">
        <f t="shared" si="15"/>
        <v>79630880.664465755</v>
      </c>
      <c r="BF38" s="38" t="b">
        <f t="shared" si="16"/>
        <v>0</v>
      </c>
      <c r="BG38" s="37">
        <f t="array" ref="BG38:BQ38">IF(BF38,"",IVSolution($M38,$N38,$O38,BB38,BC38,BD38,BE38,$E38,$F38,$G38,$H38,$I38))</f>
        <v>20</v>
      </c>
      <c r="BH38" s="37">
        <v>35</v>
      </c>
      <c r="BI38" s="37">
        <v>37</v>
      </c>
      <c r="BJ38" s="39">
        <v>0.77777777777777779</v>
      </c>
      <c r="BK38" s="39">
        <v>0.82222222222222219</v>
      </c>
      <c r="BL38" s="37">
        <v>9</v>
      </c>
      <c r="BM38" s="37">
        <v>11</v>
      </c>
      <c r="BN38" s="37">
        <v>11</v>
      </c>
      <c r="BO38" s="37">
        <v>15</v>
      </c>
      <c r="BP38" s="37">
        <v>9</v>
      </c>
      <c r="BQ38" s="37">
        <v>15</v>
      </c>
      <c r="BR38" s="40">
        <f t="shared" si="17"/>
        <v>6.5</v>
      </c>
      <c r="BS38" s="36">
        <f>IFERROR(INDEX('Level Multiplier'!$D:$D,MATCH(BR38,'Level Multiplier'!$A:$A,0)),"")</f>
        <v>2.9811143188298668</v>
      </c>
      <c r="BT38" s="37">
        <f t="shared" si="18"/>
        <v>6</v>
      </c>
      <c r="BU38" s="37">
        <f t="shared" si="19"/>
        <v>8</v>
      </c>
      <c r="BV38" s="38">
        <f t="shared" si="20"/>
        <v>65402945.358936191</v>
      </c>
      <c r="BW38" s="38">
        <f t="shared" si="21"/>
        <v>66848270.682047568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6</v>
      </c>
      <c r="CK38" s="41">
        <f t="shared" si="24"/>
        <v>6</v>
      </c>
      <c r="CL38" s="39">
        <f t="shared" si="25"/>
        <v>0.77777777777777779</v>
      </c>
      <c r="CM38" s="39">
        <f t="shared" si="26"/>
        <v>0.82222222222222219</v>
      </c>
      <c r="CN38" s="42">
        <f t="shared" si="27"/>
        <v>9</v>
      </c>
      <c r="CO38" s="42">
        <f t="shared" si="28"/>
        <v>11</v>
      </c>
      <c r="CP38" s="42">
        <f t="shared" si="29"/>
        <v>11</v>
      </c>
      <c r="CQ38" s="42">
        <f t="shared" si="30"/>
        <v>15</v>
      </c>
      <c r="CR38" s="42">
        <f t="shared" si="31"/>
        <v>9</v>
      </c>
      <c r="CS38" s="42">
        <f t="shared" si="32"/>
        <v>15</v>
      </c>
      <c r="CT38" s="43" t="str">
        <f t="shared" si="33"/>
        <v>9-11</v>
      </c>
      <c r="CU38" s="43" t="str">
        <f t="shared" si="34"/>
        <v>11-15</v>
      </c>
      <c r="CV38" s="43" t="str">
        <f t="shared" si="35"/>
        <v>9-15</v>
      </c>
      <c r="CW38" s="13" t="s">
        <v>400</v>
      </c>
    </row>
    <row r="39" spans="1:101" x14ac:dyDescent="0.25">
      <c r="A39" s="31" t="s">
        <v>44</v>
      </c>
      <c r="B39" s="13">
        <v>60</v>
      </c>
      <c r="C39" s="13">
        <v>18</v>
      </c>
      <c r="D39" s="13">
        <v>4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Multiplier'!$A:$A,MATCH($D39,'Level Multiplier'!$B:$B,0)),"")</f>
        <v>3</v>
      </c>
      <c r="Q39" s="36">
        <f>IFERROR(INDEX('Level Multiplier'!$D:$D,MATCH(P39,'Level Multiplier'!$A:$A,0)),"")</f>
        <v>4.6353708368517728</v>
      </c>
      <c r="R39" s="37">
        <f t="shared" si="0"/>
        <v>24</v>
      </c>
      <c r="S39" s="37">
        <f t="shared" si="1"/>
        <v>15</v>
      </c>
      <c r="T39" s="38">
        <f t="shared" si="2"/>
        <v>166203604.10587585</v>
      </c>
      <c r="U39" s="38">
        <f t="shared" si="3"/>
        <v>171789891.91054559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3.5</v>
      </c>
      <c r="AI39" s="36">
        <f>IFERROR(INDEX('Level Multiplier'!$D:$D,MATCH(AH39,'Level Multiplier'!$A:$A,0)),"")</f>
        <v>4.2270311192044296</v>
      </c>
      <c r="AJ39" s="37">
        <f t="shared" si="6"/>
        <v>17</v>
      </c>
      <c r="AK39" s="37">
        <f t="shared" si="7"/>
        <v>15</v>
      </c>
      <c r="AL39" s="38">
        <f t="shared" si="8"/>
        <v>114932877.80810627</v>
      </c>
      <c r="AM39" s="38">
        <f t="shared" si="9"/>
        <v>118795899.53443429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4</v>
      </c>
      <c r="BA39" s="36">
        <f>IFERROR(INDEX('Level Multiplier'!$D:$D,MATCH(AZ39,'Level Multiplier'!$A:$A,0)),"")</f>
        <v>3.9105263744473695</v>
      </c>
      <c r="BB39" s="37">
        <f t="shared" si="12"/>
        <v>11</v>
      </c>
      <c r="BC39" s="37">
        <f t="shared" si="13"/>
        <v>14</v>
      </c>
      <c r="BD39" s="38">
        <f t="shared" si="14"/>
        <v>84186679.05182986</v>
      </c>
      <c r="BE39" s="38">
        <f t="shared" si="15"/>
        <v>87016286.875516355</v>
      </c>
      <c r="BF39" s="38" t="b">
        <f t="shared" si="16"/>
        <v>0</v>
      </c>
      <c r="BG39" s="37">
        <f t="array" ref="BG39:BQ39">IF(BF39,"",IVSolution($M39,$N39,$O39,BB39,BC39,BD39,BE39,$E39,$F39,$G39,$H39,$I39))</f>
        <v>12</v>
      </c>
      <c r="BH39" s="37">
        <v>41</v>
      </c>
      <c r="BI39" s="37">
        <v>43</v>
      </c>
      <c r="BJ39" s="39">
        <v>0.91111111111111109</v>
      </c>
      <c r="BK39" s="39">
        <v>0.9555555555555556</v>
      </c>
      <c r="BL39" s="37">
        <v>12</v>
      </c>
      <c r="BM39" s="37">
        <v>14</v>
      </c>
      <c r="BN39" s="37">
        <v>13</v>
      </c>
      <c r="BO39" s="37">
        <v>15</v>
      </c>
      <c r="BP39" s="37">
        <v>12</v>
      </c>
      <c r="BQ39" s="37">
        <v>15</v>
      </c>
      <c r="BR39" s="40">
        <f t="shared" si="17"/>
        <v>4.5</v>
      </c>
      <c r="BS39" s="36">
        <f>IFERROR(INDEX('Level Multiplier'!$D:$D,MATCH(BR39,'Level Multiplier'!$A:$A,0)),"")</f>
        <v>3.6559010240255545</v>
      </c>
      <c r="BT39" s="37">
        <f t="shared" si="18"/>
        <v>6</v>
      </c>
      <c r="BU39" s="37">
        <f t="shared" si="19"/>
        <v>9</v>
      </c>
      <c r="BV39" s="38">
        <f t="shared" si="20"/>
        <v>64310253.151071839</v>
      </c>
      <c r="BW39" s="38">
        <f t="shared" si="21"/>
        <v>66471792.215316199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4</v>
      </c>
      <c r="CK39" s="41">
        <f t="shared" si="24"/>
        <v>4</v>
      </c>
      <c r="CL39" s="39">
        <f t="shared" si="25"/>
        <v>0.91111111111111109</v>
      </c>
      <c r="CM39" s="39">
        <f t="shared" si="26"/>
        <v>0.9555555555555556</v>
      </c>
      <c r="CN39" s="42">
        <f t="shared" si="27"/>
        <v>12</v>
      </c>
      <c r="CO39" s="42">
        <f t="shared" si="28"/>
        <v>14</v>
      </c>
      <c r="CP39" s="42">
        <f t="shared" si="29"/>
        <v>13</v>
      </c>
      <c r="CQ39" s="42">
        <f t="shared" si="30"/>
        <v>15</v>
      </c>
      <c r="CR39" s="42">
        <f t="shared" si="31"/>
        <v>12</v>
      </c>
      <c r="CS39" s="42">
        <f t="shared" si="32"/>
        <v>15</v>
      </c>
      <c r="CT39" s="43" t="str">
        <f t="shared" si="33"/>
        <v>12-14</v>
      </c>
      <c r="CU39" s="43" t="str">
        <f t="shared" si="34"/>
        <v>13-15</v>
      </c>
      <c r="CV39" s="43" t="str">
        <f t="shared" si="35"/>
        <v>12-15</v>
      </c>
      <c r="CW39" s="13" t="s">
        <v>400</v>
      </c>
    </row>
    <row r="40" spans="1:101" x14ac:dyDescent="0.25">
      <c r="A40" s="31" t="s">
        <v>44</v>
      </c>
      <c r="B40" s="13">
        <v>42</v>
      </c>
      <c r="C40" s="13">
        <v>15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Multiplier'!$A:$A,MATCH($D40,'Level Multiplier'!$B:$B,0)),"")</f>
        <v>3</v>
      </c>
      <c r="Q40" s="36">
        <f>IFERROR(INDEX('Level Multiplier'!$D:$D,MATCH(P40,'Level Multiplier'!$A:$A,0)),"")</f>
        <v>4.6353708368517728</v>
      </c>
      <c r="R40" s="37">
        <f t="shared" si="0"/>
        <v>10</v>
      </c>
      <c r="S40" s="37">
        <f t="shared" si="1"/>
        <v>14</v>
      </c>
      <c r="T40" s="38">
        <f t="shared" si="2"/>
        <v>81439766.011879176</v>
      </c>
      <c r="U40" s="38">
        <f t="shared" si="3"/>
        <v>85364017.775490135</v>
      </c>
      <c r="V40" s="38" t="b">
        <f t="shared" si="4"/>
        <v>0</v>
      </c>
      <c r="W40" s="37">
        <f t="array" ref="W40:AG40">IF(V40,"",IVSolution($M40,$N40,$O40,R40,S40,T40,U40,$E40,$F40,$G40,$H40,$I40))</f>
        <v>41</v>
      </c>
      <c r="X40" s="37">
        <v>39</v>
      </c>
      <c r="Y40" s="37">
        <v>42</v>
      </c>
      <c r="Z40" s="39">
        <v>0.8666666666666667</v>
      </c>
      <c r="AA40" s="39">
        <v>0.93333333333333335</v>
      </c>
      <c r="AB40" s="37">
        <v>10</v>
      </c>
      <c r="AC40" s="37">
        <v>14</v>
      </c>
      <c r="AD40" s="37">
        <v>11</v>
      </c>
      <c r="AE40" s="37">
        <v>15</v>
      </c>
      <c r="AF40" s="37">
        <v>10</v>
      </c>
      <c r="AG40" s="37">
        <v>15</v>
      </c>
      <c r="AH40" s="40">
        <f t="shared" si="5"/>
        <v>3.5</v>
      </c>
      <c r="AI40" s="36">
        <f>IFERROR(INDEX('Level Multiplier'!$D:$D,MATCH(AH40,'Level Multiplier'!$A:$A,0)),"")</f>
        <v>4.2270311192044296</v>
      </c>
      <c r="AJ40" s="37">
        <f t="shared" si="6"/>
        <v>4</v>
      </c>
      <c r="AK40" s="37">
        <f t="shared" si="7"/>
        <v>7</v>
      </c>
      <c r="AL40" s="38">
        <f t="shared" si="8"/>
        <v>56317110.12597207</v>
      </c>
      <c r="AM40" s="38">
        <f t="shared" si="9"/>
        <v>59030803.074219026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4</v>
      </c>
      <c r="BA40" s="36">
        <f>IFERROR(INDEX('Level Multiplier'!$D:$D,MATCH(AZ40,'Level Multiplier'!$A:$A,0)),"")</f>
        <v>3.9105263744473695</v>
      </c>
      <c r="BB40" s="37">
        <f t="shared" si="12"/>
        <v>0</v>
      </c>
      <c r="BC40" s="37">
        <f t="shared" si="13"/>
        <v>2</v>
      </c>
      <c r="BD40" s="38">
        <f t="shared" si="14"/>
        <v>41251472.735396631</v>
      </c>
      <c r="BE40" s="38">
        <f t="shared" si="15"/>
        <v>43239213.768564835</v>
      </c>
      <c r="BF40" s="38" t="b">
        <f t="shared" si="16"/>
        <v>1</v>
      </c>
      <c r="BG40" s="37" t="str">
        <f t="array" ref="BG40:BQ40">IF(BF40,"",IVSolution($M40,$N40,$O40,BB40,BC40,BD40,BE40,$E40,$F40,$G40,$H40,$I40))</f>
        <v/>
      </c>
      <c r="BH40" s="37" t="str">
        <v/>
      </c>
      <c r="BI40" s="37" t="str">
        <v/>
      </c>
      <c r="BJ40" s="39" t="str">
        <v/>
      </c>
      <c r="BK40" s="39" t="str">
        <v/>
      </c>
      <c r="BL40" s="37" t="str">
        <v/>
      </c>
      <c r="BM40" s="37" t="str">
        <v/>
      </c>
      <c r="BN40" s="37" t="str">
        <v/>
      </c>
      <c r="BO40" s="37" t="str">
        <v/>
      </c>
      <c r="BP40" s="37" t="str">
        <v/>
      </c>
      <c r="BQ40" s="37" t="str">
        <v/>
      </c>
      <c r="BR40" s="40">
        <f t="shared" si="17"/>
        <v>4.5</v>
      </c>
      <c r="BS40" s="36">
        <f>IFERROR(INDEX('Level Multiplier'!$D:$D,MATCH(BR40,'Level Multiplier'!$A:$A,0)),"")</f>
        <v>3.6559010240255545</v>
      </c>
      <c r="BT40" s="37">
        <f t="shared" si="18"/>
        <v>0</v>
      </c>
      <c r="BU40" s="37">
        <f t="shared" si="19"/>
        <v>-1</v>
      </c>
      <c r="BV40" s="38">
        <f t="shared" si="20"/>
        <v>31512024.044025201</v>
      </c>
      <c r="BW40" s="38">
        <f t="shared" si="21"/>
        <v>33030460.576758839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3</v>
      </c>
      <c r="CK40" s="41">
        <f t="shared" si="24"/>
        <v>3</v>
      </c>
      <c r="CL40" s="39">
        <f t="shared" si="25"/>
        <v>0.8666666666666667</v>
      </c>
      <c r="CM40" s="39">
        <f t="shared" si="26"/>
        <v>0.93333333333333335</v>
      </c>
      <c r="CN40" s="42">
        <f t="shared" si="27"/>
        <v>10</v>
      </c>
      <c r="CO40" s="42">
        <f t="shared" si="28"/>
        <v>14</v>
      </c>
      <c r="CP40" s="42">
        <f t="shared" si="29"/>
        <v>11</v>
      </c>
      <c r="CQ40" s="42">
        <f t="shared" si="30"/>
        <v>15</v>
      </c>
      <c r="CR40" s="42">
        <f t="shared" si="31"/>
        <v>10</v>
      </c>
      <c r="CS40" s="42">
        <f t="shared" si="32"/>
        <v>15</v>
      </c>
      <c r="CT40" s="43" t="str">
        <f t="shared" si="33"/>
        <v>10-14</v>
      </c>
      <c r="CU40" s="43" t="str">
        <f t="shared" si="34"/>
        <v>11-15</v>
      </c>
      <c r="CV40" s="43" t="str">
        <f t="shared" si="35"/>
        <v>10-15</v>
      </c>
      <c r="CW40" s="13" t="s">
        <v>400</v>
      </c>
    </row>
    <row r="41" spans="1:101" x14ac:dyDescent="0.25">
      <c r="A41" s="31" t="s">
        <v>45</v>
      </c>
      <c r="B41" s="13">
        <v>1135</v>
      </c>
      <c r="C41" s="13">
        <v>84</v>
      </c>
      <c r="D41" s="13">
        <v>40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20</v>
      </c>
      <c r="M41" s="34">
        <f>IFERROR(INDEX('Pokemon Data'!I:I,MATCH($A41,'Pokemon Data'!$B:$B,0)),"")</f>
        <v>110</v>
      </c>
      <c r="N41" s="34">
        <f>IFERROR(INDEX('Pokemon Data'!J:J,MATCH($A41,'Pokemon Data'!$B:$B,0)),"")</f>
        <v>161</v>
      </c>
      <c r="O41" s="34">
        <f>IFERROR(INDEX('Pokemon Data'!K:K,MATCH($A41,'Pokemon Data'!$B:$B,0)),"")</f>
        <v>144</v>
      </c>
      <c r="P41" s="35">
        <f>IFERROR(INDEX('Level Multiplier'!$A:$A,MATCH($D41,'Level Multiplier'!$B:$B,0)),"")</f>
        <v>25</v>
      </c>
      <c r="Q41" s="36">
        <f>IFERROR(INDEX('Level Multiplier'!$D:$D,MATCH(P41,'Level Multiplier'!$A:$A,0)),"")</f>
        <v>1.4971539104162985</v>
      </c>
      <c r="R41" s="37">
        <f t="shared" si="0"/>
        <v>16</v>
      </c>
      <c r="S41" s="37">
        <f t="shared" si="1"/>
        <v>15</v>
      </c>
      <c r="T41" s="38">
        <f t="shared" si="2"/>
        <v>647228330.50465262</v>
      </c>
      <c r="U41" s="38">
        <f t="shared" si="3"/>
        <v>648369323.37358153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25.5</v>
      </c>
      <c r="AI41" s="36">
        <f>IFERROR(INDEX('Level Multiplier'!$D:$D,MATCH(AH41,'Level Multiplier'!$A:$A,0)),"")</f>
        <v>1.4824092786238152</v>
      </c>
      <c r="AJ41" s="37">
        <f t="shared" si="6"/>
        <v>15</v>
      </c>
      <c r="AK41" s="37">
        <f t="shared" si="7"/>
        <v>15</v>
      </c>
      <c r="AL41" s="38">
        <f t="shared" si="8"/>
        <v>622105758.78959227</v>
      </c>
      <c r="AM41" s="38">
        <f t="shared" si="9"/>
        <v>623202463.30798864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26</v>
      </c>
      <c r="BA41" s="36">
        <f>IFERROR(INDEX('Level Multiplier'!$D:$D,MATCH(AZ41,'Level Multiplier'!$A:$A,0)),"")</f>
        <v>1.4680732530970622</v>
      </c>
      <c r="BB41" s="37">
        <f t="shared" si="12"/>
        <v>14</v>
      </c>
      <c r="BC41" s="37">
        <f t="shared" si="13"/>
        <v>14</v>
      </c>
      <c r="BD41" s="38">
        <f t="shared" si="14"/>
        <v>598387659.14664507</v>
      </c>
      <c r="BE41" s="38">
        <f t="shared" si="15"/>
        <v>599442551.24540269</v>
      </c>
      <c r="BF41" s="38" t="b">
        <f t="shared" si="16"/>
        <v>0</v>
      </c>
      <c r="BG41" s="37">
        <f t="array" ref="BG41:BQ41">IF(BF41,"",IVSolution($M41,$N41,$O41,BB41,BC41,BD41,BE41,$E41,$F41,$G41,$H41,$I41))</f>
        <v>1</v>
      </c>
      <c r="BH41" s="37">
        <v>41</v>
      </c>
      <c r="BI41" s="37">
        <v>41</v>
      </c>
      <c r="BJ41" s="39">
        <v>0.91111111111111109</v>
      </c>
      <c r="BK41" s="39">
        <v>0.91111111111111109</v>
      </c>
      <c r="BL41" s="37">
        <v>14</v>
      </c>
      <c r="BM41" s="37">
        <v>14</v>
      </c>
      <c r="BN41" s="37">
        <v>15</v>
      </c>
      <c r="BO41" s="37">
        <v>15</v>
      </c>
      <c r="BP41" s="37">
        <v>12</v>
      </c>
      <c r="BQ41" s="37">
        <v>12</v>
      </c>
      <c r="BR41" s="40">
        <f t="shared" si="17"/>
        <v>26.5</v>
      </c>
      <c r="BS41" s="36">
        <f>IFERROR(INDEX('Level Multiplier'!$D:$D,MATCH(BR41,'Level Multiplier'!$A:$A,0)),"")</f>
        <v>1.4541633575240582</v>
      </c>
      <c r="BT41" s="37">
        <f t="shared" si="18"/>
        <v>13</v>
      </c>
      <c r="BU41" s="37">
        <f t="shared" si="19"/>
        <v>13</v>
      </c>
      <c r="BV41" s="38">
        <f t="shared" si="20"/>
        <v>576029215.50565493</v>
      </c>
      <c r="BW41" s="38">
        <f t="shared" si="21"/>
        <v>577044692.10983002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26</v>
      </c>
      <c r="CK41" s="41">
        <f t="shared" si="24"/>
        <v>26</v>
      </c>
      <c r="CL41" s="39">
        <f t="shared" si="25"/>
        <v>0.91111111111111109</v>
      </c>
      <c r="CM41" s="39">
        <f t="shared" si="26"/>
        <v>0.91111111111111109</v>
      </c>
      <c r="CN41" s="42">
        <f t="shared" si="27"/>
        <v>14</v>
      </c>
      <c r="CO41" s="42">
        <f t="shared" si="28"/>
        <v>14</v>
      </c>
      <c r="CP41" s="42">
        <f t="shared" si="29"/>
        <v>15</v>
      </c>
      <c r="CQ41" s="42">
        <f t="shared" si="30"/>
        <v>15</v>
      </c>
      <c r="CR41" s="42">
        <f t="shared" si="31"/>
        <v>12</v>
      </c>
      <c r="CS41" s="42">
        <f t="shared" si="32"/>
        <v>12</v>
      </c>
      <c r="CT41" s="43">
        <f t="shared" si="33"/>
        <v>14</v>
      </c>
      <c r="CU41" s="43">
        <f t="shared" si="34"/>
        <v>15</v>
      </c>
      <c r="CV41" s="43">
        <f t="shared" si="35"/>
        <v>12</v>
      </c>
      <c r="CW41" s="13" t="s">
        <v>399</v>
      </c>
    </row>
    <row r="42" spans="1:101" x14ac:dyDescent="0.25">
      <c r="A42" s="31" t="s">
        <v>46</v>
      </c>
      <c r="B42" s="13">
        <v>431</v>
      </c>
      <c r="C42" s="13">
        <v>59</v>
      </c>
      <c r="D42" s="13">
        <v>35</v>
      </c>
      <c r="E42" s="32"/>
      <c r="F42" s="32"/>
      <c r="G42" s="32"/>
      <c r="H42" s="32"/>
      <c r="I42" s="32"/>
      <c r="J42" s="13"/>
      <c r="K42" s="33">
        <v>24</v>
      </c>
      <c r="L42" s="34">
        <f>IFERROR(INDEX('Pokemon Data'!A:A,MATCH($A42,'Pokemon Data'!$B:$B,0)),"")</f>
        <v>21</v>
      </c>
      <c r="M42" s="34">
        <f>IFERROR(INDEX('Pokemon Data'!I:I,MATCH($A42,'Pokemon Data'!$B:$B,0)),"")</f>
        <v>80</v>
      </c>
      <c r="N42" s="34">
        <f>IFERROR(INDEX('Pokemon Data'!J:J,MATCH($A42,'Pokemon Data'!$B:$B,0)),"")</f>
        <v>112</v>
      </c>
      <c r="O42" s="34">
        <f>IFERROR(INDEX('Pokemon Data'!K:K,MATCH($A42,'Pokemon Data'!$B:$B,0)),"")</f>
        <v>61</v>
      </c>
      <c r="P42" s="35">
        <f>IFERROR(INDEX('Level Multiplier'!$A:$A,MATCH($D42,'Level Multiplier'!$B:$B,0)),"")</f>
        <v>23</v>
      </c>
      <c r="Q42" s="36">
        <f>IFERROR(INDEX('Level Multiplier'!$D:$D,MATCH(P42,'Level Multiplier'!$A:$A,0)),"")</f>
        <v>1.560907508503629</v>
      </c>
      <c r="R42" s="37">
        <f t="shared" si="0"/>
        <v>13</v>
      </c>
      <c r="S42" s="37">
        <f t="shared" si="1"/>
        <v>13</v>
      </c>
      <c r="T42" s="38">
        <f t="shared" si="2"/>
        <v>110271484.00334793</v>
      </c>
      <c r="U42" s="38">
        <f t="shared" si="3"/>
        <v>110783778.24538414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23.5</v>
      </c>
      <c r="AI42" s="36">
        <f>IFERROR(INDEX('Level Multiplier'!$D:$D,MATCH(AH42,'Level Multiplier'!$A:$A,0)),"")</f>
        <v>1.5442192764441367</v>
      </c>
      <c r="AJ42" s="37">
        <f t="shared" si="6"/>
        <v>12</v>
      </c>
      <c r="AK42" s="37">
        <f t="shared" si="7"/>
        <v>12</v>
      </c>
      <c r="AL42" s="38">
        <f t="shared" si="8"/>
        <v>105630763.30218731</v>
      </c>
      <c r="AM42" s="38">
        <f t="shared" si="9"/>
        <v>106121497.8951847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24</v>
      </c>
      <c r="BA42" s="36">
        <f>IFERROR(INDEX('Level Multiplier'!$D:$D,MATCH(AZ42,'Level Multiplier'!$A:$A,0)),"")</f>
        <v>1.5280341628098701</v>
      </c>
      <c r="BB42" s="37">
        <f t="shared" si="12"/>
        <v>11</v>
      </c>
      <c r="BC42" s="37">
        <f t="shared" si="13"/>
        <v>11</v>
      </c>
      <c r="BD42" s="38">
        <f t="shared" si="14"/>
        <v>101271395.94610251</v>
      </c>
      <c r="BE42" s="38">
        <f t="shared" si="15"/>
        <v>101741877.98862751</v>
      </c>
      <c r="BF42" s="38" t="b">
        <f t="shared" si="16"/>
        <v>0</v>
      </c>
      <c r="BG42" s="37">
        <f t="array" ref="BG42:BQ42">IF(BF42,"",IVSolution($M42,$N42,$O42,BB42,BC42,BD42,BE42,$E42,$F42,$G42,$H42,$I42))</f>
        <v>2</v>
      </c>
      <c r="BH42" s="37">
        <v>34</v>
      </c>
      <c r="BI42" s="37">
        <v>35</v>
      </c>
      <c r="BJ42" s="39">
        <v>0.75555555555555554</v>
      </c>
      <c r="BK42" s="39">
        <v>0.77777777777777779</v>
      </c>
      <c r="BL42" s="37">
        <v>11</v>
      </c>
      <c r="BM42" s="37">
        <v>11</v>
      </c>
      <c r="BN42" s="37">
        <v>10</v>
      </c>
      <c r="BO42" s="37">
        <v>15</v>
      </c>
      <c r="BP42" s="37">
        <v>8</v>
      </c>
      <c r="BQ42" s="37">
        <v>14</v>
      </c>
      <c r="BR42" s="40">
        <f t="shared" si="17"/>
        <v>24.5</v>
      </c>
      <c r="BS42" s="36">
        <f>IFERROR(INDEX('Level Multiplier'!$D:$D,MATCH(BR42,'Level Multiplier'!$A:$A,0)),"")</f>
        <v>1.5123678280126109</v>
      </c>
      <c r="BT42" s="37">
        <f t="shared" si="18"/>
        <v>10</v>
      </c>
      <c r="BU42" s="37">
        <f t="shared" si="19"/>
        <v>10</v>
      </c>
      <c r="BV42" s="38">
        <f t="shared" si="20"/>
        <v>97181648.373321816</v>
      </c>
      <c r="BW42" s="38">
        <f t="shared" si="21"/>
        <v>97633130.452693582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24</v>
      </c>
      <c r="CK42" s="41">
        <f t="shared" si="24"/>
        <v>24</v>
      </c>
      <c r="CL42" s="39">
        <f t="shared" si="25"/>
        <v>0.75555555555555554</v>
      </c>
      <c r="CM42" s="39">
        <f t="shared" si="26"/>
        <v>0.77777777777777779</v>
      </c>
      <c r="CN42" s="42">
        <f t="shared" si="27"/>
        <v>11</v>
      </c>
      <c r="CO42" s="42">
        <f t="shared" si="28"/>
        <v>11</v>
      </c>
      <c r="CP42" s="42">
        <f t="shared" si="29"/>
        <v>10</v>
      </c>
      <c r="CQ42" s="42">
        <f t="shared" si="30"/>
        <v>15</v>
      </c>
      <c r="CR42" s="42">
        <f t="shared" si="31"/>
        <v>8</v>
      </c>
      <c r="CS42" s="42">
        <f t="shared" si="32"/>
        <v>14</v>
      </c>
      <c r="CT42" s="43">
        <f t="shared" si="33"/>
        <v>11</v>
      </c>
      <c r="CU42" s="43" t="str">
        <f t="shared" si="34"/>
        <v>10-15</v>
      </c>
      <c r="CV42" s="43" t="str">
        <f t="shared" si="35"/>
        <v>8-14</v>
      </c>
      <c r="CW42" s="13" t="s">
        <v>400</v>
      </c>
    </row>
    <row r="43" spans="1:101" x14ac:dyDescent="0.25">
      <c r="A43" s="31" t="s">
        <v>46</v>
      </c>
      <c r="B43" s="13">
        <v>358</v>
      </c>
      <c r="C43" s="13">
        <v>53</v>
      </c>
      <c r="D43" s="13">
        <v>25</v>
      </c>
      <c r="E43" s="32"/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Multiplier'!$A:$A,MATCH($D43,'Level Multiplier'!$B:$B,0)),"")</f>
        <v>19</v>
      </c>
      <c r="Q43" s="36">
        <f>IFERROR(INDEX('Level Multiplier'!$D:$D,MATCH(P43,'Level Multiplier'!$A:$A,0)),"")</f>
        <v>1.7173900390793821</v>
      </c>
      <c r="R43" s="37">
        <f t="shared" si="0"/>
        <v>12</v>
      </c>
      <c r="S43" s="37">
        <f t="shared" si="1"/>
        <v>12</v>
      </c>
      <c r="T43" s="38">
        <f t="shared" si="2"/>
        <v>111491513.71022962</v>
      </c>
      <c r="U43" s="38">
        <f t="shared" si="3"/>
        <v>112115241.24159752</v>
      </c>
      <c r="V43" s="38" t="b">
        <f t="shared" si="4"/>
        <v>0</v>
      </c>
      <c r="W43" s="37">
        <f t="array" ref="W43:AG43">IF(V43,"",IVSolution($M43,$N43,$O43,R43,S43,T43,U43,$E43,$F43,$G43,$H43,$I43))</f>
        <v>0</v>
      </c>
      <c r="X43" s="37">
        <v>46</v>
      </c>
      <c r="Y43" s="37">
        <v>-1</v>
      </c>
      <c r="Z43" s="39">
        <v>1.0222222222222221</v>
      </c>
      <c r="AA43" s="39">
        <v>-2.2222222222222223E-2</v>
      </c>
      <c r="AB43" s="37">
        <v>16</v>
      </c>
      <c r="AC43" s="37">
        <v>-1</v>
      </c>
      <c r="AD43" s="37">
        <v>16</v>
      </c>
      <c r="AE43" s="37">
        <v>0</v>
      </c>
      <c r="AF43" s="37">
        <v>16</v>
      </c>
      <c r="AG43" s="37">
        <v>-1</v>
      </c>
      <c r="AH43" s="40">
        <f t="shared" si="5"/>
        <v>19.5</v>
      </c>
      <c r="AI43" s="36">
        <f>IFERROR(INDEX('Level Multiplier'!$D:$D,MATCH(AH43,'Level Multiplier'!$A:$A,0)),"")</f>
        <v>1.6952373004785586</v>
      </c>
      <c r="AJ43" s="37">
        <f t="shared" si="6"/>
        <v>10</v>
      </c>
      <c r="AK43" s="37">
        <f t="shared" si="7"/>
        <v>11</v>
      </c>
      <c r="AL43" s="38">
        <f t="shared" si="8"/>
        <v>105849314.99466555</v>
      </c>
      <c r="AM43" s="38">
        <f t="shared" si="9"/>
        <v>106441477.83954535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20</v>
      </c>
      <c r="BA43" s="36">
        <f>IFERROR(INDEX('Level Multiplier'!$D:$D,MATCH(AZ43,'Level Multiplier'!$A:$A,0)),"")</f>
        <v>1.6739202933726098</v>
      </c>
      <c r="BB43" s="37">
        <f t="shared" si="12"/>
        <v>9</v>
      </c>
      <c r="BC43" s="37">
        <f t="shared" si="13"/>
        <v>10</v>
      </c>
      <c r="BD43" s="38">
        <f t="shared" si="14"/>
        <v>100624828.02499722</v>
      </c>
      <c r="BE43" s="38">
        <f t="shared" si="15"/>
        <v>101187763.0277587</v>
      </c>
      <c r="BF43" s="38" t="b">
        <f t="shared" si="16"/>
        <v>0</v>
      </c>
      <c r="BG43" s="37">
        <f t="array" ref="BG43:BQ43">IF(BF43,"",IVSolution($M43,$N43,$O43,BB43,BC43,BD43,BE43,$E43,$F43,$G43,$H43,$I43))</f>
        <v>4</v>
      </c>
      <c r="BH43" s="37">
        <v>34</v>
      </c>
      <c r="BI43" s="37">
        <v>34</v>
      </c>
      <c r="BJ43" s="39">
        <v>0.75555555555555554</v>
      </c>
      <c r="BK43" s="39">
        <v>0.75555555555555554</v>
      </c>
      <c r="BL43" s="37">
        <v>9</v>
      </c>
      <c r="BM43" s="37">
        <v>10</v>
      </c>
      <c r="BN43" s="37">
        <v>10</v>
      </c>
      <c r="BO43" s="37">
        <v>12</v>
      </c>
      <c r="BP43" s="37">
        <v>12</v>
      </c>
      <c r="BQ43" s="37">
        <v>15</v>
      </c>
      <c r="BR43" s="40">
        <f t="shared" si="17"/>
        <v>20.5</v>
      </c>
      <c r="BS43" s="36">
        <f>IFERROR(INDEX('Level Multiplier'!$D:$D,MATCH(BR43,'Level Multiplier'!$A:$A,0)),"")</f>
        <v>1.653387720177633</v>
      </c>
      <c r="BT43" s="37">
        <f t="shared" si="18"/>
        <v>8</v>
      </c>
      <c r="BU43" s="37">
        <f t="shared" si="19"/>
        <v>9</v>
      </c>
      <c r="BV43" s="38">
        <f t="shared" si="20"/>
        <v>95777806.001904905</v>
      </c>
      <c r="BW43" s="38">
        <f t="shared" si="21"/>
        <v>96313624.85043776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20</v>
      </c>
      <c r="CK43" s="41">
        <f t="shared" si="24"/>
        <v>20</v>
      </c>
      <c r="CL43" s="39">
        <f t="shared" si="25"/>
        <v>0.75555555555555554</v>
      </c>
      <c r="CM43" s="39">
        <f t="shared" si="26"/>
        <v>0.75555555555555554</v>
      </c>
      <c r="CN43" s="42">
        <f t="shared" si="27"/>
        <v>9</v>
      </c>
      <c r="CO43" s="42">
        <f t="shared" si="28"/>
        <v>10</v>
      </c>
      <c r="CP43" s="42">
        <f t="shared" si="29"/>
        <v>10</v>
      </c>
      <c r="CQ43" s="42">
        <f t="shared" si="30"/>
        <v>12</v>
      </c>
      <c r="CR43" s="42">
        <f t="shared" si="31"/>
        <v>12</v>
      </c>
      <c r="CS43" s="42">
        <f t="shared" si="32"/>
        <v>15</v>
      </c>
      <c r="CT43" s="43" t="str">
        <f t="shared" si="33"/>
        <v>9-10</v>
      </c>
      <c r="CU43" s="43" t="str">
        <f t="shared" si="34"/>
        <v>10-12</v>
      </c>
      <c r="CV43" s="43" t="str">
        <f t="shared" si="35"/>
        <v>12-15</v>
      </c>
      <c r="CW43" s="13"/>
    </row>
    <row r="44" spans="1:101" x14ac:dyDescent="0.25">
      <c r="A44" s="31" t="s">
        <v>46</v>
      </c>
      <c r="B44" s="13">
        <v>345</v>
      </c>
      <c r="C44" s="13">
        <v>50</v>
      </c>
      <c r="D44" s="13">
        <v>25</v>
      </c>
      <c r="E44" s="32"/>
      <c r="F44" s="32"/>
      <c r="G44" s="32"/>
      <c r="H44" s="32"/>
      <c r="I44" s="32"/>
      <c r="J44" s="13"/>
      <c r="K44" s="33">
        <v>19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Multiplier'!$A:$A,MATCH($D44,'Level Multiplier'!$B:$B,0)),"")</f>
        <v>19</v>
      </c>
      <c r="Q44" s="36">
        <f>IFERROR(INDEX('Level Multiplier'!$D:$D,MATCH(P44,'Level Multiplier'!$A:$A,0)),"")</f>
        <v>1.7173900390793821</v>
      </c>
      <c r="R44" s="37">
        <f t="shared" si="0"/>
        <v>6</v>
      </c>
      <c r="S44" s="37">
        <f t="shared" si="1"/>
        <v>7</v>
      </c>
      <c r="T44" s="38">
        <f t="shared" si="2"/>
        <v>103541379.94569521</v>
      </c>
      <c r="U44" s="38">
        <f t="shared" si="3"/>
        <v>104142489.74231336</v>
      </c>
      <c r="V44" s="38" t="b">
        <f t="shared" si="4"/>
        <v>0</v>
      </c>
      <c r="W44" s="37">
        <f t="array" ref="W44:AG44">IF(V44,"",IVSolution($M44,$N44,$O44,R44,S44,T44,U44,$E44,$F44,$G44,$H44,$I44))</f>
        <v>4</v>
      </c>
      <c r="X44" s="37">
        <v>35</v>
      </c>
      <c r="Y44" s="37">
        <v>35</v>
      </c>
      <c r="Z44" s="39">
        <v>0.77777777777777779</v>
      </c>
      <c r="AA44" s="39">
        <v>0.77777777777777779</v>
      </c>
      <c r="AB44" s="37">
        <v>6</v>
      </c>
      <c r="AC44" s="37">
        <v>7</v>
      </c>
      <c r="AD44" s="37">
        <v>14</v>
      </c>
      <c r="AE44" s="37">
        <v>15</v>
      </c>
      <c r="AF44" s="37">
        <v>13</v>
      </c>
      <c r="AG44" s="37">
        <v>15</v>
      </c>
      <c r="AH44" s="40">
        <f t="shared" si="5"/>
        <v>19.5</v>
      </c>
      <c r="AI44" s="36">
        <f>IFERROR(INDEX('Level Multiplier'!$D:$D,MATCH(AH44,'Level Multiplier'!$A:$A,0)),"")</f>
        <v>1.6952373004785586</v>
      </c>
      <c r="AJ44" s="37">
        <f t="shared" si="6"/>
        <v>5</v>
      </c>
      <c r="AK44" s="37">
        <f t="shared" si="7"/>
        <v>6</v>
      </c>
      <c r="AL44" s="38">
        <f t="shared" si="8"/>
        <v>98301509.91885449</v>
      </c>
      <c r="AM44" s="38">
        <f t="shared" si="9"/>
        <v>98872199.634073377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20</v>
      </c>
      <c r="BA44" s="36">
        <f>IFERROR(INDEX('Level Multiplier'!$D:$D,MATCH(AZ44,'Level Multiplier'!$A:$A,0)),"")</f>
        <v>1.6739202933726098</v>
      </c>
      <c r="BB44" s="37">
        <f t="shared" si="12"/>
        <v>4</v>
      </c>
      <c r="BC44" s="37">
        <f t="shared" si="13"/>
        <v>5</v>
      </c>
      <c r="BD44" s="38">
        <f t="shared" si="14"/>
        <v>93449565.834987149</v>
      </c>
      <c r="BE44" s="38">
        <f t="shared" si="15"/>
        <v>93992087.574050173</v>
      </c>
      <c r="BF44" s="38" t="b">
        <f t="shared" si="16"/>
        <v>1</v>
      </c>
      <c r="BG44" s="37" t="str">
        <f t="array" ref="BG44:BQ44">IF(BF44,"",IVSolution($M44,$N44,$O44,BB44,BC44,BD44,BE44,$E44,$F44,$G44,$H44,$I44))</f>
        <v/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20.5</v>
      </c>
      <c r="BS44" s="36">
        <f>IFERROR(INDEX('Level Multiplier'!$D:$D,MATCH(BR44,'Level Multiplier'!$A:$A,0)),"")</f>
        <v>1.653387720177633</v>
      </c>
      <c r="BT44" s="37">
        <f t="shared" si="18"/>
        <v>3</v>
      </c>
      <c r="BU44" s="37">
        <f t="shared" si="19"/>
        <v>4</v>
      </c>
      <c r="BV44" s="38">
        <f t="shared" si="20"/>
        <v>88948170.776323542</v>
      </c>
      <c r="BW44" s="38">
        <f t="shared" si="21"/>
        <v>89464559.65266414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19</v>
      </c>
      <c r="CK44" s="41">
        <f t="shared" si="24"/>
        <v>19</v>
      </c>
      <c r="CL44" s="39">
        <f t="shared" si="25"/>
        <v>0.77777777777777779</v>
      </c>
      <c r="CM44" s="39">
        <f t="shared" si="26"/>
        <v>0.77777777777777779</v>
      </c>
      <c r="CN44" s="42">
        <f t="shared" si="27"/>
        <v>6</v>
      </c>
      <c r="CO44" s="42">
        <f t="shared" si="28"/>
        <v>7</v>
      </c>
      <c r="CP44" s="42">
        <f t="shared" si="29"/>
        <v>14</v>
      </c>
      <c r="CQ44" s="42">
        <f t="shared" si="30"/>
        <v>15</v>
      </c>
      <c r="CR44" s="42">
        <f t="shared" si="31"/>
        <v>13</v>
      </c>
      <c r="CS44" s="42">
        <f t="shared" si="32"/>
        <v>15</v>
      </c>
      <c r="CT44" s="43" t="str">
        <f t="shared" si="33"/>
        <v>6-7</v>
      </c>
      <c r="CU44" s="43" t="str">
        <f t="shared" si="34"/>
        <v>14-15</v>
      </c>
      <c r="CV44" s="43" t="str">
        <f t="shared" si="35"/>
        <v>13-15</v>
      </c>
      <c r="CW44" s="13" t="s">
        <v>400</v>
      </c>
    </row>
    <row r="45" spans="1:101" x14ac:dyDescent="0.25">
      <c r="A45" s="31" t="s">
        <v>46</v>
      </c>
      <c r="B45" s="13">
        <v>277</v>
      </c>
      <c r="C45" s="13">
        <v>48</v>
      </c>
      <c r="D45" s="13">
        <v>19</v>
      </c>
      <c r="E45" s="32"/>
      <c r="F45" s="32"/>
      <c r="G45" s="32"/>
      <c r="H45" s="32"/>
      <c r="I45" s="32"/>
      <c r="J45" s="13"/>
      <c r="K45" s="33">
        <v>15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Multiplier'!$A:$A,MATCH($D45,'Level Multiplier'!$B:$B,0)),"")</f>
        <v>15</v>
      </c>
      <c r="Q45" s="36">
        <f>IFERROR(INDEX('Level Multiplier'!$D:$D,MATCH(P45,'Level Multiplier'!$A:$A,0)),"")</f>
        <v>1.9327632261645116</v>
      </c>
      <c r="R45" s="37">
        <f t="shared" si="0"/>
        <v>13</v>
      </c>
      <c r="S45" s="37">
        <f t="shared" si="1"/>
        <v>14</v>
      </c>
      <c r="T45" s="38">
        <f t="shared" si="2"/>
        <v>107071565.77590738</v>
      </c>
      <c r="U45" s="38">
        <f t="shared" si="3"/>
        <v>107846041.12428452</v>
      </c>
      <c r="V45" s="38" t="b">
        <f t="shared" si="4"/>
        <v>0</v>
      </c>
      <c r="W45" s="37">
        <f t="array" ref="W45:AG45">IF(V45,"",IVSolution($M45,$N45,$O45,R45,S45,T45,U45,$E45,$F45,$G45,$H45,$I45))</f>
        <v>6</v>
      </c>
      <c r="X45" s="37">
        <v>39</v>
      </c>
      <c r="Y45" s="37">
        <v>39</v>
      </c>
      <c r="Z45" s="39">
        <v>0.8666666666666667</v>
      </c>
      <c r="AA45" s="39">
        <v>0.8666666666666667</v>
      </c>
      <c r="AB45" s="37">
        <v>13</v>
      </c>
      <c r="AC45" s="37">
        <v>14</v>
      </c>
      <c r="AD45" s="37">
        <v>12</v>
      </c>
      <c r="AE45" s="37">
        <v>15</v>
      </c>
      <c r="AF45" s="37">
        <v>10</v>
      </c>
      <c r="AG45" s="37">
        <v>14</v>
      </c>
      <c r="AH45" s="40">
        <f t="shared" si="5"/>
        <v>15.5</v>
      </c>
      <c r="AI45" s="36">
        <f>IFERROR(INDEX('Level Multiplier'!$D:$D,MATCH(AH45,'Level Multiplier'!$A:$A,0)),"")</f>
        <v>1.9013484916795402</v>
      </c>
      <c r="AJ45" s="37">
        <f t="shared" si="6"/>
        <v>12</v>
      </c>
      <c r="AK45" s="37">
        <f t="shared" si="7"/>
        <v>13</v>
      </c>
      <c r="AL45" s="38">
        <f t="shared" si="8"/>
        <v>100278178.39882985</v>
      </c>
      <c r="AM45" s="38">
        <f t="shared" si="9"/>
        <v>101003515.48143683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16</v>
      </c>
      <c r="BA45" s="36">
        <f>IFERROR(INDEX('Level Multiplier'!$D:$D,MATCH(AZ45,'Level Multiplier'!$A:$A,0)),"")</f>
        <v>1.8714174169787303</v>
      </c>
      <c r="BB45" s="37">
        <f t="shared" si="12"/>
        <v>10</v>
      </c>
      <c r="BC45" s="37">
        <f t="shared" si="13"/>
        <v>11</v>
      </c>
      <c r="BD45" s="38">
        <f t="shared" si="14"/>
        <v>94111394.013921618</v>
      </c>
      <c r="BE45" s="38">
        <f t="shared" si="15"/>
        <v>94792125.206531018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16.5</v>
      </c>
      <c r="BS45" s="36">
        <f>IFERROR(INDEX('Level Multiplier'!$D:$D,MATCH(BR45,'Level Multiplier'!$A:$A,0)),"")</f>
        <v>1.8428567757863994</v>
      </c>
      <c r="BT45" s="37">
        <f t="shared" si="18"/>
        <v>9</v>
      </c>
      <c r="BU45" s="37">
        <f t="shared" si="19"/>
        <v>10</v>
      </c>
      <c r="BV45" s="38">
        <f t="shared" si="20"/>
        <v>88496454.839869425</v>
      </c>
      <c r="BW45" s="38">
        <f t="shared" si="21"/>
        <v>89136571.77657038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15</v>
      </c>
      <c r="CK45" s="41">
        <f t="shared" si="24"/>
        <v>15</v>
      </c>
      <c r="CL45" s="39">
        <f t="shared" si="25"/>
        <v>0.8666666666666667</v>
      </c>
      <c r="CM45" s="39">
        <f t="shared" si="26"/>
        <v>0.8666666666666667</v>
      </c>
      <c r="CN45" s="42">
        <f t="shared" si="27"/>
        <v>13</v>
      </c>
      <c r="CO45" s="42">
        <f t="shared" si="28"/>
        <v>14</v>
      </c>
      <c r="CP45" s="42">
        <f t="shared" si="29"/>
        <v>12</v>
      </c>
      <c r="CQ45" s="42">
        <f t="shared" si="30"/>
        <v>15</v>
      </c>
      <c r="CR45" s="42">
        <f t="shared" si="31"/>
        <v>10</v>
      </c>
      <c r="CS45" s="42">
        <f t="shared" si="32"/>
        <v>14</v>
      </c>
      <c r="CT45" s="43" t="str">
        <f t="shared" si="33"/>
        <v>13-14</v>
      </c>
      <c r="CU45" s="43" t="str">
        <f t="shared" si="34"/>
        <v>12-15</v>
      </c>
      <c r="CV45" s="43" t="str">
        <f t="shared" si="35"/>
        <v>10-14</v>
      </c>
      <c r="CW45" s="13" t="s">
        <v>400</v>
      </c>
    </row>
    <row r="46" spans="1:101" x14ac:dyDescent="0.25">
      <c r="A46" s="31" t="s">
        <v>46</v>
      </c>
      <c r="B46" s="13">
        <v>253</v>
      </c>
      <c r="C46" s="13">
        <v>45</v>
      </c>
      <c r="D46" s="13">
        <v>16</v>
      </c>
      <c r="E46" s="32"/>
      <c r="F46" s="32"/>
      <c r="G46" s="32"/>
      <c r="H46" s="32"/>
      <c r="I46" s="32"/>
      <c r="J46" s="13"/>
      <c r="K46" s="33"/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Multiplier'!$A:$A,MATCH($D46,'Level Multiplier'!$B:$B,0)),"")</f>
        <v>13</v>
      </c>
      <c r="Q46" s="36">
        <f>IFERROR(INDEX('Level Multiplier'!$D:$D,MATCH(P46,'Level Multiplier'!$A:$A,0)),"")</f>
        <v>2.0760457639376111</v>
      </c>
      <c r="R46" s="37">
        <f t="shared" si="0"/>
        <v>14</v>
      </c>
      <c r="S46" s="37">
        <f t="shared" si="1"/>
        <v>15</v>
      </c>
      <c r="T46" s="38">
        <f t="shared" si="2"/>
        <v>118901883.29205698</v>
      </c>
      <c r="U46" s="38">
        <f t="shared" si="3"/>
        <v>119843676.70906198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13.5</v>
      </c>
      <c r="AI46" s="36">
        <f>IFERROR(INDEX('Level Multiplier'!$D:$D,MATCH(AH46,'Level Multiplier'!$A:$A,0)),"")</f>
        <v>2.0372581927319593</v>
      </c>
      <c r="AJ46" s="37">
        <f t="shared" si="6"/>
        <v>12</v>
      </c>
      <c r="AK46" s="37">
        <f t="shared" si="7"/>
        <v>13</v>
      </c>
      <c r="AL46" s="38">
        <f t="shared" si="8"/>
        <v>110261865.06614725</v>
      </c>
      <c r="AM46" s="38">
        <f t="shared" si="9"/>
        <v>111135222.96251395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14</v>
      </c>
      <c r="BA46" s="36">
        <f>IFERROR(INDEX('Level Multiplier'!$D:$D,MATCH(AZ46,'Level Multiplier'!$A:$A,0)),"")</f>
        <v>2.0005664003592698</v>
      </c>
      <c r="BB46" s="37">
        <f t="shared" si="12"/>
        <v>11</v>
      </c>
      <c r="BC46" s="37">
        <f t="shared" si="13"/>
        <v>12</v>
      </c>
      <c r="BD46" s="38">
        <f t="shared" si="14"/>
        <v>102530464.39846237</v>
      </c>
      <c r="BE46" s="38">
        <f t="shared" si="15"/>
        <v>103342583.71683981</v>
      </c>
      <c r="BF46" s="38" t="b">
        <f t="shared" si="16"/>
        <v>0</v>
      </c>
      <c r="BG46" s="37">
        <f t="array" ref="BG46:BQ46">IF(BF46,"",IVSolution($M46,$N46,$O46,BB46,BC46,BD46,BE46,$E46,$F46,$G46,$H46,$I46))</f>
        <v>7</v>
      </c>
      <c r="BH46" s="37">
        <v>35</v>
      </c>
      <c r="BI46" s="37">
        <v>36</v>
      </c>
      <c r="BJ46" s="39">
        <v>0.77777777777777779</v>
      </c>
      <c r="BK46" s="39">
        <v>0.8</v>
      </c>
      <c r="BL46" s="37">
        <v>11</v>
      </c>
      <c r="BM46" s="37">
        <v>12</v>
      </c>
      <c r="BN46" s="37">
        <v>10</v>
      </c>
      <c r="BO46" s="37">
        <v>15</v>
      </c>
      <c r="BP46" s="37">
        <v>9</v>
      </c>
      <c r="BQ46" s="37">
        <v>15</v>
      </c>
      <c r="BR46" s="40">
        <f t="shared" si="17"/>
        <v>14.5</v>
      </c>
      <c r="BS46" s="36">
        <f>IFERROR(INDEX('Level Multiplier'!$D:$D,MATCH(BR46,'Level Multiplier'!$A:$A,0)),"")</f>
        <v>1.9657883435887038</v>
      </c>
      <c r="BT46" s="37">
        <f t="shared" si="18"/>
        <v>9</v>
      </c>
      <c r="BU46" s="37">
        <f t="shared" si="19"/>
        <v>10</v>
      </c>
      <c r="BV46" s="38">
        <f t="shared" si="20"/>
        <v>95584630.241781563</v>
      </c>
      <c r="BW46" s="38">
        <f t="shared" si="21"/>
        <v>96341733.266865283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14</v>
      </c>
      <c r="CK46" s="41">
        <f t="shared" si="24"/>
        <v>14</v>
      </c>
      <c r="CL46" s="39">
        <f t="shared" si="25"/>
        <v>0.77777777777777779</v>
      </c>
      <c r="CM46" s="39">
        <f t="shared" si="26"/>
        <v>0.8</v>
      </c>
      <c r="CN46" s="42">
        <f t="shared" si="27"/>
        <v>11</v>
      </c>
      <c r="CO46" s="42">
        <f t="shared" si="28"/>
        <v>12</v>
      </c>
      <c r="CP46" s="42">
        <f t="shared" si="29"/>
        <v>10</v>
      </c>
      <c r="CQ46" s="42">
        <f t="shared" si="30"/>
        <v>15</v>
      </c>
      <c r="CR46" s="42">
        <f t="shared" si="31"/>
        <v>9</v>
      </c>
      <c r="CS46" s="42">
        <f t="shared" si="32"/>
        <v>15</v>
      </c>
      <c r="CT46" s="43" t="str">
        <f t="shared" si="33"/>
        <v>11-12</v>
      </c>
      <c r="CU46" s="43" t="str">
        <f t="shared" si="34"/>
        <v>10-15</v>
      </c>
      <c r="CV46" s="43" t="str">
        <f t="shared" si="35"/>
        <v>9-15</v>
      </c>
      <c r="CW46" s="13" t="s">
        <v>400</v>
      </c>
    </row>
    <row r="47" spans="1:101" x14ac:dyDescent="0.25">
      <c r="A47" s="31" t="s">
        <v>46</v>
      </c>
      <c r="B47" s="13">
        <v>251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Multiplier'!$A:$A,MATCH($D47,'Level Multiplier'!$B:$B,0)),"")</f>
        <v>13</v>
      </c>
      <c r="Q47" s="36">
        <f>IFERROR(INDEX('Level Multiplier'!$D:$D,MATCH(P47,'Level Multiplier'!$A:$A,0)),"")</f>
        <v>2.0760457639376111</v>
      </c>
      <c r="R47" s="37">
        <f t="shared" si="0"/>
        <v>14</v>
      </c>
      <c r="S47" s="37">
        <f t="shared" si="1"/>
        <v>15</v>
      </c>
      <c r="T47" s="38">
        <f t="shared" si="2"/>
        <v>117029441.9422719</v>
      </c>
      <c r="U47" s="38">
        <f t="shared" si="3"/>
        <v>117963805.0364603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13.5</v>
      </c>
      <c r="AI47" s="36">
        <f>IFERROR(INDEX('Level Multiplier'!$D:$D,MATCH(AH47,'Level Multiplier'!$A:$A,0)),"")</f>
        <v>2.0372581927319593</v>
      </c>
      <c r="AJ47" s="37">
        <f t="shared" si="6"/>
        <v>12</v>
      </c>
      <c r="AK47" s="37">
        <f t="shared" si="7"/>
        <v>13</v>
      </c>
      <c r="AL47" s="38">
        <f t="shared" si="8"/>
        <v>108525484.86982054</v>
      </c>
      <c r="AM47" s="38">
        <f t="shared" si="9"/>
        <v>109391952.36858277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14</v>
      </c>
      <c r="BA47" s="36">
        <f>IFERROR(INDEX('Level Multiplier'!$D:$D,MATCH(AZ47,'Level Multiplier'!$A:$A,0)),"")</f>
        <v>2.0005664003592698</v>
      </c>
      <c r="BB47" s="37">
        <f t="shared" si="12"/>
        <v>11</v>
      </c>
      <c r="BC47" s="37">
        <f t="shared" si="13"/>
        <v>12</v>
      </c>
      <c r="BD47" s="38">
        <f t="shared" si="14"/>
        <v>100915836.64121495</v>
      </c>
      <c r="BE47" s="38">
        <f t="shared" si="15"/>
        <v>101721548.70658743</v>
      </c>
      <c r="BF47" s="38" t="b">
        <f t="shared" si="16"/>
        <v>0</v>
      </c>
      <c r="BG47" s="37">
        <f t="array" ref="BG47:BQ47">IF(BF47,"",IVSolution($M47,$N47,$O47,BB47,BC47,BD47,BE47,$E47,$F47,$G47,$H47,$I47))</f>
        <v>8</v>
      </c>
      <c r="BH47" s="37">
        <v>34</v>
      </c>
      <c r="BI47" s="37">
        <v>35</v>
      </c>
      <c r="BJ47" s="39">
        <v>0.75555555555555554</v>
      </c>
      <c r="BK47" s="39">
        <v>0.77777777777777779</v>
      </c>
      <c r="BL47" s="37">
        <v>11</v>
      </c>
      <c r="BM47" s="37">
        <v>12</v>
      </c>
      <c r="BN47" s="37">
        <v>9</v>
      </c>
      <c r="BO47" s="37">
        <v>15</v>
      </c>
      <c r="BP47" s="37">
        <v>8</v>
      </c>
      <c r="BQ47" s="37">
        <v>15</v>
      </c>
      <c r="BR47" s="40">
        <f t="shared" si="17"/>
        <v>14.5</v>
      </c>
      <c r="BS47" s="36">
        <f>IFERROR(INDEX('Level Multiplier'!$D:$D,MATCH(BR47,'Level Multiplier'!$A:$A,0)),"")</f>
        <v>1.9657883435887038</v>
      </c>
      <c r="BT47" s="37">
        <f t="shared" si="18"/>
        <v>9</v>
      </c>
      <c r="BU47" s="37">
        <f t="shared" si="19"/>
        <v>10</v>
      </c>
      <c r="BV47" s="38">
        <f t="shared" si="20"/>
        <v>94079383.990727559</v>
      </c>
      <c r="BW47" s="38">
        <f t="shared" si="21"/>
        <v>94830513.816402331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14</v>
      </c>
      <c r="CK47" s="41">
        <f t="shared" si="24"/>
        <v>14</v>
      </c>
      <c r="CL47" s="39">
        <f t="shared" si="25"/>
        <v>0.75555555555555554</v>
      </c>
      <c r="CM47" s="39">
        <f t="shared" si="26"/>
        <v>0.77777777777777779</v>
      </c>
      <c r="CN47" s="42">
        <f t="shared" si="27"/>
        <v>11</v>
      </c>
      <c r="CO47" s="42">
        <f t="shared" si="28"/>
        <v>12</v>
      </c>
      <c r="CP47" s="42">
        <f t="shared" si="29"/>
        <v>9</v>
      </c>
      <c r="CQ47" s="42">
        <f t="shared" si="30"/>
        <v>15</v>
      </c>
      <c r="CR47" s="42">
        <f t="shared" si="31"/>
        <v>8</v>
      </c>
      <c r="CS47" s="42">
        <f t="shared" si="32"/>
        <v>15</v>
      </c>
      <c r="CT47" s="43" t="str">
        <f t="shared" si="33"/>
        <v>11-12</v>
      </c>
      <c r="CU47" s="43" t="str">
        <f t="shared" si="34"/>
        <v>9-15</v>
      </c>
      <c r="CV47" s="43" t="str">
        <f t="shared" si="35"/>
        <v>8-15</v>
      </c>
      <c r="CW47" s="13" t="s">
        <v>400</v>
      </c>
    </row>
    <row r="48" spans="1:101" x14ac:dyDescent="0.25">
      <c r="A48" s="31" t="s">
        <v>46</v>
      </c>
      <c r="B48" s="13">
        <v>142</v>
      </c>
      <c r="C48" s="13">
        <v>35</v>
      </c>
      <c r="D48" s="13">
        <v>8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Multiplier'!$A:$A,MATCH($D48,'Level Multiplier'!$B:$B,0)),"")</f>
        <v>7</v>
      </c>
      <c r="Q48" s="36">
        <f>IFERROR(INDEX('Level Multiplier'!$D:$D,MATCH(P48,'Level Multiplier'!$A:$A,0)),"")</f>
        <v>2.8635844494535538</v>
      </c>
      <c r="R48" s="37">
        <f t="shared" si="0"/>
        <v>21</v>
      </c>
      <c r="S48" s="37">
        <f t="shared" si="1"/>
        <v>15</v>
      </c>
      <c r="T48" s="38">
        <f t="shared" si="2"/>
        <v>135586568.69151407</v>
      </c>
      <c r="U48" s="38">
        <f t="shared" si="3"/>
        <v>137502962.86316067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7.5</v>
      </c>
      <c r="AI48" s="36">
        <f>IFERROR(INDEX('Level Multiplier'!$D:$D,MATCH(AH48,'Level Multiplier'!$A:$A,0)),"")</f>
        <v>2.7589422415193434</v>
      </c>
      <c r="AJ48" s="37">
        <f t="shared" si="6"/>
        <v>17</v>
      </c>
      <c r="AK48" s="37">
        <f t="shared" si="7"/>
        <v>15</v>
      </c>
      <c r="AL48" s="38">
        <f t="shared" si="8"/>
        <v>116828048.75416183</v>
      </c>
      <c r="AM48" s="38">
        <f t="shared" si="9"/>
        <v>118479308.12209162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8</v>
      </c>
      <c r="BA48" s="36">
        <f>IFERROR(INDEX('Level Multiplier'!$D:$D,MATCH(AZ48,'Level Multiplier'!$A:$A,0)),"")</f>
        <v>2.6649924118338562</v>
      </c>
      <c r="BB48" s="37">
        <f t="shared" si="12"/>
        <v>14</v>
      </c>
      <c r="BC48" s="37">
        <f t="shared" si="13"/>
        <v>15</v>
      </c>
      <c r="BD48" s="38">
        <f t="shared" si="14"/>
        <v>101709283.72777657</v>
      </c>
      <c r="BE48" s="38">
        <f t="shared" si="15"/>
        <v>103146852.95324852</v>
      </c>
      <c r="BF48" s="38" t="b">
        <f t="shared" si="16"/>
        <v>0</v>
      </c>
      <c r="BG48" s="37">
        <f t="array" ref="BG48:BQ48">IF(BF48,"",IVSolution($M48,$N48,$O48,BB48,BC48,BD48,BE48,$E48,$F48,$G48,$H48,$I48))</f>
        <v>17</v>
      </c>
      <c r="BH48" s="37">
        <v>36</v>
      </c>
      <c r="BI48" s="37">
        <v>37</v>
      </c>
      <c r="BJ48" s="39">
        <v>0.8</v>
      </c>
      <c r="BK48" s="39">
        <v>0.82222222222222219</v>
      </c>
      <c r="BL48" s="37">
        <v>14</v>
      </c>
      <c r="BM48" s="37">
        <v>15</v>
      </c>
      <c r="BN48" s="37">
        <v>7</v>
      </c>
      <c r="BO48" s="37">
        <v>15</v>
      </c>
      <c r="BP48" s="37">
        <v>6</v>
      </c>
      <c r="BQ48" s="37">
        <v>15</v>
      </c>
      <c r="BR48" s="40">
        <f t="shared" si="17"/>
        <v>8.5</v>
      </c>
      <c r="BS48" s="36">
        <f>IFERROR(INDEX('Level Multiplier'!$D:$D,MATCH(BR48,'Level Multiplier'!$A:$A,0)),"")</f>
        <v>2.5800299090483212</v>
      </c>
      <c r="BT48" s="37">
        <f t="shared" si="18"/>
        <v>11</v>
      </c>
      <c r="BU48" s="37">
        <f t="shared" si="19"/>
        <v>12</v>
      </c>
      <c r="BV48" s="38">
        <f t="shared" si="20"/>
        <v>89346110.473993436</v>
      </c>
      <c r="BW48" s="38">
        <f t="shared" si="21"/>
        <v>90608937.367719293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8</v>
      </c>
      <c r="CK48" s="41">
        <f t="shared" si="24"/>
        <v>8</v>
      </c>
      <c r="CL48" s="39">
        <f t="shared" si="25"/>
        <v>0.8</v>
      </c>
      <c r="CM48" s="39">
        <f t="shared" si="26"/>
        <v>0.82222222222222219</v>
      </c>
      <c r="CN48" s="42">
        <f t="shared" si="27"/>
        <v>14</v>
      </c>
      <c r="CO48" s="42">
        <f t="shared" si="28"/>
        <v>15</v>
      </c>
      <c r="CP48" s="42">
        <f t="shared" si="29"/>
        <v>7</v>
      </c>
      <c r="CQ48" s="42">
        <f t="shared" si="30"/>
        <v>15</v>
      </c>
      <c r="CR48" s="42">
        <f t="shared" si="31"/>
        <v>6</v>
      </c>
      <c r="CS48" s="42">
        <f t="shared" si="32"/>
        <v>15</v>
      </c>
      <c r="CT48" s="43" t="str">
        <f t="shared" si="33"/>
        <v>14-15</v>
      </c>
      <c r="CU48" s="43" t="str">
        <f t="shared" si="34"/>
        <v>7-15</v>
      </c>
      <c r="CV48" s="43" t="str">
        <f t="shared" si="35"/>
        <v>6-15</v>
      </c>
      <c r="CW48" s="13" t="s">
        <v>400</v>
      </c>
    </row>
    <row r="49" spans="1:101" x14ac:dyDescent="0.25">
      <c r="A49" s="31" t="s">
        <v>46</v>
      </c>
      <c r="B49" s="13">
        <v>28</v>
      </c>
      <c r="C49" s="13">
        <v>15</v>
      </c>
      <c r="D49" s="13">
        <v>2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Multiplier'!$A:$A,MATCH($D49,'Level Multiplier'!$B:$B,0)),"")</f>
        <v>1</v>
      </c>
      <c r="Q49" s="36">
        <f>IFERROR(INDEX('Level Multiplier'!$D:$D,MATCH(P49,'Level Multiplier'!$A:$A,0)),"")</f>
        <v>10.638297872340425</v>
      </c>
      <c r="R49" s="37">
        <f t="shared" si="0"/>
        <v>80</v>
      </c>
      <c r="S49" s="37">
        <f t="shared" si="1"/>
        <v>15</v>
      </c>
      <c r="T49" s="38">
        <f t="shared" si="2"/>
        <v>1004164001.7042096</v>
      </c>
      <c r="U49" s="38">
        <f t="shared" si="3"/>
        <v>1077170823.2566841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1.5</v>
      </c>
      <c r="AI49" s="36">
        <f>IFERROR(INDEX('Level Multiplier'!$D:$D,MATCH(AH49,'Level Multiplier'!$A:$A,0)),"")</f>
        <v>7.3998742258177588</v>
      </c>
      <c r="AJ49" s="37">
        <f t="shared" si="6"/>
        <v>31</v>
      </c>
      <c r="AK49" s="37">
        <f t="shared" si="7"/>
        <v>15</v>
      </c>
      <c r="AL49" s="38">
        <f t="shared" si="8"/>
        <v>235078773.08496076</v>
      </c>
      <c r="AM49" s="38">
        <f t="shared" si="9"/>
        <v>252169959.39343366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</v>
      </c>
      <c r="BA49" s="36">
        <f>IFERROR(INDEX('Level Multiplier'!$D:$D,MATCH(AZ49,'Level Multiplier'!$A:$A,0)),"")</f>
        <v>6.0096923115662477</v>
      </c>
      <c r="BB49" s="37">
        <f t="shared" si="12"/>
        <v>11</v>
      </c>
      <c r="BC49" s="37">
        <f t="shared" si="13"/>
        <v>15</v>
      </c>
      <c r="BD49" s="38">
        <f t="shared" si="14"/>
        <v>102264526.47068319</v>
      </c>
      <c r="BE49" s="38">
        <f t="shared" si="15"/>
        <v>109699574.95133235</v>
      </c>
      <c r="BF49" s="38" t="b">
        <f t="shared" si="16"/>
        <v>0</v>
      </c>
      <c r="BG49" s="37">
        <f t="array" ref="BG49:BQ49">IF(BF49,"",IVSolution($M49,$N49,$O49,BB49,BC49,BD49,BE49,$E49,$F49,$G49,$H49,$I49))</f>
        <v>139</v>
      </c>
      <c r="BH49" s="37">
        <v>35</v>
      </c>
      <c r="BI49" s="37">
        <v>41</v>
      </c>
      <c r="BJ49" s="39">
        <v>0.77777777777777779</v>
      </c>
      <c r="BK49" s="39">
        <v>0.91111111111111109</v>
      </c>
      <c r="BL49" s="37">
        <v>11</v>
      </c>
      <c r="BM49" s="37">
        <v>15</v>
      </c>
      <c r="BN49" s="37">
        <v>8</v>
      </c>
      <c r="BO49" s="37">
        <v>15</v>
      </c>
      <c r="BP49" s="37">
        <v>6</v>
      </c>
      <c r="BQ49" s="37">
        <v>15</v>
      </c>
      <c r="BR49" s="40">
        <f t="shared" si="17"/>
        <v>2.5</v>
      </c>
      <c r="BS49" s="36">
        <f>IFERROR(INDEX('Level Multiplier'!$D:$D,MATCH(BR49,'Level Multiplier'!$A:$A,0)),"")</f>
        <v>5.1907356849930206</v>
      </c>
      <c r="BT49" s="37">
        <f t="shared" si="18"/>
        <v>0</v>
      </c>
      <c r="BU49" s="37">
        <f t="shared" si="19"/>
        <v>3</v>
      </c>
      <c r="BV49" s="38">
        <f t="shared" si="20"/>
        <v>56915652.935302377</v>
      </c>
      <c r="BW49" s="38">
        <f t="shared" si="21"/>
        <v>61053653.212486349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2</v>
      </c>
      <c r="CK49" s="41">
        <f t="shared" si="24"/>
        <v>2</v>
      </c>
      <c r="CL49" s="39">
        <f t="shared" si="25"/>
        <v>0.77777777777777779</v>
      </c>
      <c r="CM49" s="39">
        <f t="shared" si="26"/>
        <v>0.91111111111111109</v>
      </c>
      <c r="CN49" s="42">
        <f t="shared" si="27"/>
        <v>11</v>
      </c>
      <c r="CO49" s="42">
        <f t="shared" si="28"/>
        <v>15</v>
      </c>
      <c r="CP49" s="42">
        <f t="shared" si="29"/>
        <v>8</v>
      </c>
      <c r="CQ49" s="42">
        <f t="shared" si="30"/>
        <v>15</v>
      </c>
      <c r="CR49" s="42">
        <f t="shared" si="31"/>
        <v>6</v>
      </c>
      <c r="CS49" s="42">
        <f t="shared" si="32"/>
        <v>15</v>
      </c>
      <c r="CT49" s="43" t="str">
        <f t="shared" si="33"/>
        <v>11-15</v>
      </c>
      <c r="CU49" s="43" t="str">
        <f t="shared" si="34"/>
        <v>8-15</v>
      </c>
      <c r="CV49" s="43" t="str">
        <f t="shared" si="35"/>
        <v>6-15</v>
      </c>
      <c r="CW49" s="13" t="s">
        <v>400</v>
      </c>
    </row>
    <row r="50" spans="1:101" x14ac:dyDescent="0.25">
      <c r="A50" s="31" t="s">
        <v>47</v>
      </c>
      <c r="B50" s="13">
        <v>1465</v>
      </c>
      <c r="C50" s="13">
        <v>102</v>
      </c>
      <c r="D50" s="13">
        <v>50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22</v>
      </c>
      <c r="M50" s="34">
        <f>IFERROR(INDEX('Pokemon Data'!I:I,MATCH($A50,'Pokemon Data'!$B:$B,0)),"")</f>
        <v>130</v>
      </c>
      <c r="N50" s="34">
        <f>IFERROR(INDEX('Pokemon Data'!J:J,MATCH($A50,'Pokemon Data'!$B:$B,0)),"")</f>
        <v>182</v>
      </c>
      <c r="O50" s="34">
        <f>IFERROR(INDEX('Pokemon Data'!K:K,MATCH($A50,'Pokemon Data'!$B:$B,0)),"")</f>
        <v>135</v>
      </c>
      <c r="P50" s="35">
        <f>IFERROR(INDEX('Level Multiplier'!$A:$A,MATCH($D50,'Level Multiplier'!$B:$B,0)),"")</f>
        <v>29</v>
      </c>
      <c r="Q50" s="36">
        <f>IFERROR(INDEX('Level Multiplier'!$D:$D,MATCH(P50,'Level Multiplier'!$A:$A,0)),"")</f>
        <v>1.3900490199396833</v>
      </c>
      <c r="R50" s="37">
        <f t="shared" si="0"/>
        <v>12</v>
      </c>
      <c r="S50" s="37">
        <f t="shared" si="1"/>
        <v>13</v>
      </c>
      <c r="T50" s="38">
        <f t="shared" si="2"/>
        <v>801301051.9471817</v>
      </c>
      <c r="U50" s="38">
        <f t="shared" si="3"/>
        <v>802395351.65166616</v>
      </c>
      <c r="V50" s="38" t="b">
        <f t="shared" si="4"/>
        <v>0</v>
      </c>
      <c r="W50" s="37">
        <f t="array" ref="W50:AG50">IF(V50,"",IVSolution($M50,$N50,$O50,R50,S50,T50,U50,$E50,$F50,$G50,$H50,$I50))</f>
        <v>4</v>
      </c>
      <c r="X50" s="37">
        <v>38</v>
      </c>
      <c r="Y50" s="37">
        <v>39</v>
      </c>
      <c r="Z50" s="39">
        <v>0.84444444444444444</v>
      </c>
      <c r="AA50" s="39">
        <v>0.8666666666666667</v>
      </c>
      <c r="AB50" s="37">
        <v>12</v>
      </c>
      <c r="AC50" s="37">
        <v>13</v>
      </c>
      <c r="AD50" s="37">
        <v>12</v>
      </c>
      <c r="AE50" s="37">
        <v>14</v>
      </c>
      <c r="AF50" s="37">
        <v>11</v>
      </c>
      <c r="AG50" s="37">
        <v>15</v>
      </c>
      <c r="AH50" s="40">
        <f t="shared" si="5"/>
        <v>29.5</v>
      </c>
      <c r="AI50" s="36">
        <f>IFERROR(INDEX('Level Multiplier'!$D:$D,MATCH(AH50,'Level Multiplier'!$A:$A,0)),"")</f>
        <v>1.378223825401578</v>
      </c>
      <c r="AJ50" s="37">
        <f t="shared" si="6"/>
        <v>11</v>
      </c>
      <c r="AK50" s="37">
        <f t="shared" si="7"/>
        <v>11</v>
      </c>
      <c r="AL50" s="38">
        <f t="shared" si="8"/>
        <v>774380240.24333727</v>
      </c>
      <c r="AM50" s="38">
        <f t="shared" si="9"/>
        <v>775437775.44311976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30</v>
      </c>
      <c r="BA50" s="36">
        <f>IFERROR(INDEX('Level Multiplier'!$D:$D,MATCH(AZ50,'Level Multiplier'!$A:$A,0)),"")</f>
        <v>1.3666803334700013</v>
      </c>
      <c r="BB50" s="37">
        <f t="shared" si="12"/>
        <v>10</v>
      </c>
      <c r="BC50" s="37">
        <f t="shared" si="13"/>
        <v>10</v>
      </c>
      <c r="BD50" s="38">
        <f t="shared" si="14"/>
        <v>748760678.64764535</v>
      </c>
      <c r="BE50" s="38">
        <f t="shared" si="15"/>
        <v>749783226.39968276</v>
      </c>
      <c r="BF50" s="38" t="b">
        <f t="shared" si="16"/>
        <v>0</v>
      </c>
      <c r="BG50" s="37">
        <f t="array" ref="BG50:BQ50">IF(BF50,"",IVSolution($M50,$N50,$O50,BB50,BC50,BD50,BE50,$E50,$F50,$G50,$H50,$I50))</f>
        <v>0</v>
      </c>
      <c r="BH50" s="37">
        <v>46</v>
      </c>
      <c r="BI50" s="37">
        <v>-1</v>
      </c>
      <c r="BJ50" s="39">
        <v>1.0222222222222221</v>
      </c>
      <c r="BK50" s="39">
        <v>-2.2222222222222223E-2</v>
      </c>
      <c r="BL50" s="37">
        <v>16</v>
      </c>
      <c r="BM50" s="37">
        <v>-1</v>
      </c>
      <c r="BN50" s="37">
        <v>16</v>
      </c>
      <c r="BO50" s="37">
        <v>0</v>
      </c>
      <c r="BP50" s="37">
        <v>16</v>
      </c>
      <c r="BQ50" s="37">
        <v>-1</v>
      </c>
      <c r="BR50" s="40">
        <f t="shared" si="17"/>
        <v>30.5</v>
      </c>
      <c r="BS50" s="36">
        <f>IFERROR(INDEX('Level Multiplier'!$D:$D,MATCH(BR50,'Level Multiplier'!$A:$A,0)),"")</f>
        <v>1.3610237998842938</v>
      </c>
      <c r="BT50" s="37">
        <f t="shared" si="18"/>
        <v>9</v>
      </c>
      <c r="BU50" s="37">
        <f t="shared" si="19"/>
        <v>10</v>
      </c>
      <c r="BV50" s="38">
        <f t="shared" si="20"/>
        <v>736441286.58392882</v>
      </c>
      <c r="BW50" s="38">
        <f t="shared" si="21"/>
        <v>737447010.3132571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29</v>
      </c>
      <c r="CK50" s="41">
        <f t="shared" si="24"/>
        <v>29</v>
      </c>
      <c r="CL50" s="39">
        <f t="shared" si="25"/>
        <v>0.84444444444444444</v>
      </c>
      <c r="CM50" s="39">
        <f t="shared" si="26"/>
        <v>0.8666666666666667</v>
      </c>
      <c r="CN50" s="42">
        <f t="shared" si="27"/>
        <v>12</v>
      </c>
      <c r="CO50" s="42">
        <f t="shared" si="28"/>
        <v>13</v>
      </c>
      <c r="CP50" s="42">
        <f t="shared" si="29"/>
        <v>12</v>
      </c>
      <c r="CQ50" s="42">
        <f t="shared" si="30"/>
        <v>14</v>
      </c>
      <c r="CR50" s="42">
        <f t="shared" si="31"/>
        <v>11</v>
      </c>
      <c r="CS50" s="42">
        <f t="shared" si="32"/>
        <v>15</v>
      </c>
      <c r="CT50" s="43" t="str">
        <f t="shared" si="33"/>
        <v>12-13</v>
      </c>
      <c r="CU50" s="43" t="str">
        <f t="shared" si="34"/>
        <v>12-14</v>
      </c>
      <c r="CV50" s="43" t="str">
        <f t="shared" si="35"/>
        <v>11-15</v>
      </c>
      <c r="CW50" s="13" t="s">
        <v>399</v>
      </c>
    </row>
    <row r="51" spans="1:101" x14ac:dyDescent="0.25">
      <c r="A51" s="31" t="s">
        <v>49</v>
      </c>
      <c r="B51" s="13">
        <v>981</v>
      </c>
      <c r="C51" s="13">
        <v>80</v>
      </c>
      <c r="D51" s="13">
        <v>25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24</v>
      </c>
      <c r="M51" s="34">
        <f>IFERROR(INDEX('Pokemon Data'!I:I,MATCH($A51,'Pokemon Data'!$B:$B,0)),"")</f>
        <v>120</v>
      </c>
      <c r="N51" s="34">
        <f>IFERROR(INDEX('Pokemon Data'!J:J,MATCH($A51,'Pokemon Data'!$B:$B,0)),"")</f>
        <v>167</v>
      </c>
      <c r="O51" s="34">
        <f>IFERROR(INDEX('Pokemon Data'!K:K,MATCH($A51,'Pokemon Data'!$B:$B,0)),"")</f>
        <v>158</v>
      </c>
      <c r="P51" s="35">
        <f>IFERROR(INDEX('Level Multiplier'!$A:$A,MATCH($D51,'Level Multiplier'!$B:$B,0)),"")</f>
        <v>19</v>
      </c>
      <c r="Q51" s="36">
        <f>IFERROR(INDEX('Level Multiplier'!$D:$D,MATCH(P51,'Level Multiplier'!$A:$A,0)),"")</f>
        <v>1.7173900390793821</v>
      </c>
      <c r="R51" s="37">
        <f t="shared" si="0"/>
        <v>18</v>
      </c>
      <c r="S51" s="37">
        <f t="shared" si="1"/>
        <v>15</v>
      </c>
      <c r="T51" s="38">
        <f t="shared" si="2"/>
        <v>837170224.28833592</v>
      </c>
      <c r="U51" s="38">
        <f t="shared" si="3"/>
        <v>838877863.26194143</v>
      </c>
      <c r="V51" s="38" t="b">
        <f t="shared" si="4"/>
        <v>1</v>
      </c>
      <c r="W51" s="37" t="str">
        <f t="array" ref="W51:AG51">IF(V51,"",IVSolution($M51,$N51,$O51,R51,S51,T51,U51,$E51,$F51,$G51,$H51,$I51))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40">
        <f t="shared" si="5"/>
        <v>19.5</v>
      </c>
      <c r="AI51" s="36">
        <f>IFERROR(INDEX('Level Multiplier'!$D:$D,MATCH(AH51,'Level Multiplier'!$A:$A,0)),"")</f>
        <v>1.6952373004785586</v>
      </c>
      <c r="AJ51" s="37">
        <f t="shared" si="6"/>
        <v>16</v>
      </c>
      <c r="AK51" s="37">
        <f t="shared" si="7"/>
        <v>15</v>
      </c>
      <c r="AL51" s="38">
        <f t="shared" si="8"/>
        <v>794803943.6002413</v>
      </c>
      <c r="AM51" s="38">
        <f t="shared" si="9"/>
        <v>796425164.88964033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20</v>
      </c>
      <c r="BA51" s="36">
        <f>IFERROR(INDEX('Level Multiplier'!$D:$D,MATCH(AZ51,'Level Multiplier'!$A:$A,0)),"")</f>
        <v>1.6739202933726098</v>
      </c>
      <c r="BB51" s="37">
        <f t="shared" si="12"/>
        <v>14</v>
      </c>
      <c r="BC51" s="37">
        <f t="shared" si="13"/>
        <v>15</v>
      </c>
      <c r="BD51" s="38">
        <f t="shared" si="14"/>
        <v>755574187.15836227</v>
      </c>
      <c r="BE51" s="38">
        <f t="shared" si="15"/>
        <v>757115388.56759632</v>
      </c>
      <c r="BF51" s="38" t="b">
        <f t="shared" si="16"/>
        <v>0</v>
      </c>
      <c r="BG51" s="37">
        <f t="array" ref="BG51:BQ51">IF(BF51,"",IVSolution($M51,$N51,$O51,BB51,BC51,BD51,BE51,$E51,$F51,$G51,$H51,$I51))</f>
        <v>3</v>
      </c>
      <c r="BH51" s="37">
        <v>41</v>
      </c>
      <c r="BI51" s="37">
        <v>43</v>
      </c>
      <c r="BJ51" s="39">
        <v>0.91111111111111109</v>
      </c>
      <c r="BK51" s="39">
        <v>0.9555555555555556</v>
      </c>
      <c r="BL51" s="37">
        <v>15</v>
      </c>
      <c r="BM51" s="37">
        <v>15</v>
      </c>
      <c r="BN51" s="37">
        <v>13</v>
      </c>
      <c r="BO51" s="37">
        <v>15</v>
      </c>
      <c r="BP51" s="37">
        <v>11</v>
      </c>
      <c r="BQ51" s="37">
        <v>15</v>
      </c>
      <c r="BR51" s="40">
        <f t="shared" si="17"/>
        <v>20.5</v>
      </c>
      <c r="BS51" s="36">
        <f>IFERROR(INDEX('Level Multiplier'!$D:$D,MATCH(BR51,'Level Multiplier'!$A:$A,0)),"")</f>
        <v>1.653387720177633</v>
      </c>
      <c r="BT51" s="37">
        <f t="shared" si="18"/>
        <v>13</v>
      </c>
      <c r="BU51" s="37">
        <f t="shared" si="19"/>
        <v>13</v>
      </c>
      <c r="BV51" s="38">
        <f t="shared" si="20"/>
        <v>719178748.80465031</v>
      </c>
      <c r="BW51" s="38">
        <f t="shared" si="21"/>
        <v>720645711.70516634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20</v>
      </c>
      <c r="CK51" s="41">
        <f t="shared" si="24"/>
        <v>20</v>
      </c>
      <c r="CL51" s="39">
        <f t="shared" si="25"/>
        <v>0.91111111111111109</v>
      </c>
      <c r="CM51" s="39">
        <f t="shared" si="26"/>
        <v>0.9555555555555556</v>
      </c>
      <c r="CN51" s="42">
        <f t="shared" si="27"/>
        <v>15</v>
      </c>
      <c r="CO51" s="42">
        <f t="shared" si="28"/>
        <v>15</v>
      </c>
      <c r="CP51" s="42">
        <f t="shared" si="29"/>
        <v>13</v>
      </c>
      <c r="CQ51" s="42">
        <f t="shared" si="30"/>
        <v>15</v>
      </c>
      <c r="CR51" s="42">
        <f t="shared" si="31"/>
        <v>11</v>
      </c>
      <c r="CS51" s="42">
        <f t="shared" si="32"/>
        <v>15</v>
      </c>
      <c r="CT51" s="43">
        <f t="shared" si="33"/>
        <v>15</v>
      </c>
      <c r="CU51" s="43" t="str">
        <f t="shared" si="34"/>
        <v>13-15</v>
      </c>
      <c r="CV51" s="43" t="str">
        <f t="shared" si="35"/>
        <v>11-15</v>
      </c>
      <c r="CW51" s="13" t="s">
        <v>399</v>
      </c>
    </row>
    <row r="52" spans="1:101" x14ac:dyDescent="0.25">
      <c r="A52" s="31" t="s">
        <v>50</v>
      </c>
      <c r="B52" s="13">
        <v>549</v>
      </c>
      <c r="C52" s="13">
        <v>52</v>
      </c>
      <c r="D52" s="13">
        <v>45</v>
      </c>
      <c r="E52" s="32"/>
      <c r="F52" s="32"/>
      <c r="G52" s="32"/>
      <c r="H52" s="32"/>
      <c r="I52" s="32"/>
      <c r="J52" s="13"/>
      <c r="K52" s="33">
        <v>27</v>
      </c>
      <c r="L52" s="34">
        <f>IFERROR(INDEX('Pokemon Data'!A:A,MATCH($A52,'Pokemon Data'!$B:$B,0)),"")</f>
        <v>25</v>
      </c>
      <c r="M52" s="34">
        <f>IFERROR(INDEX('Pokemon Data'!I:I,MATCH($A52,'Pokemon Data'!$B:$B,0)),"")</f>
        <v>70</v>
      </c>
      <c r="N52" s="34">
        <f>IFERROR(INDEX('Pokemon Data'!J:J,MATCH($A52,'Pokemon Data'!$B:$B,0)),"")</f>
        <v>112</v>
      </c>
      <c r="O52" s="34">
        <f>IFERROR(INDEX('Pokemon Data'!K:K,MATCH($A52,'Pokemon Data'!$B:$B,0)),"")</f>
        <v>101</v>
      </c>
      <c r="P52" s="35">
        <f>IFERROR(INDEX('Level Multiplier'!$A:$A,MATCH($D52,'Level Multiplier'!$B:$B,0)),"")</f>
        <v>27</v>
      </c>
      <c r="Q52" s="36">
        <f>IFERROR(INDEX('Level Multiplier'!$D:$D,MATCH(P52,'Level Multiplier'!$A:$A,0)),"")</f>
        <v>1.4406239976408342</v>
      </c>
      <c r="R52" s="37">
        <f t="shared" si="0"/>
        <v>5</v>
      </c>
      <c r="S52" s="37">
        <f t="shared" si="1"/>
        <v>6</v>
      </c>
      <c r="T52" s="38">
        <f t="shared" si="2"/>
        <v>129821693.00989063</v>
      </c>
      <c r="U52" s="38">
        <f t="shared" si="3"/>
        <v>130295062.50971934</v>
      </c>
      <c r="V52" s="38" t="b">
        <f t="shared" si="4"/>
        <v>0</v>
      </c>
      <c r="W52" s="37">
        <f t="array" ref="W52:AG52">IF(V52,"",IVSolution($M52,$N52,$O52,R52,S52,T52,U52,$E52,$F52,$G52,$H52,$I52))</f>
        <v>4</v>
      </c>
      <c r="X52" s="37">
        <v>26</v>
      </c>
      <c r="Y52" s="37">
        <v>30</v>
      </c>
      <c r="Z52" s="39">
        <v>0.57777777777777772</v>
      </c>
      <c r="AA52" s="39">
        <v>0.66666666666666663</v>
      </c>
      <c r="AB52" s="37">
        <v>5</v>
      </c>
      <c r="AC52" s="37">
        <v>6</v>
      </c>
      <c r="AD52" s="37">
        <v>10</v>
      </c>
      <c r="AE52" s="37">
        <v>15</v>
      </c>
      <c r="AF52" s="37">
        <v>5</v>
      </c>
      <c r="AG52" s="37">
        <v>14</v>
      </c>
      <c r="AH52" s="40">
        <f t="shared" si="5"/>
        <v>27.5</v>
      </c>
      <c r="AI52" s="36">
        <f>IFERROR(INDEX('Level Multiplier'!$D:$D,MATCH(AH52,'Level Multiplier'!$A:$A,0)),"")</f>
        <v>1.4274729412404619</v>
      </c>
      <c r="AJ52" s="37">
        <f t="shared" si="6"/>
        <v>5</v>
      </c>
      <c r="AK52" s="37">
        <f t="shared" si="7"/>
        <v>5</v>
      </c>
      <c r="AL52" s="38">
        <f t="shared" si="8"/>
        <v>125145785.17489195</v>
      </c>
      <c r="AM52" s="38">
        <f t="shared" si="9"/>
        <v>125602104.88818821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28</v>
      </c>
      <c r="BA52" s="36">
        <f>IFERROR(INDEX('Level Multiplier'!$D:$D,MATCH(AZ52,'Level Multiplier'!$A:$A,0)),"")</f>
        <v>1.4146588449047404</v>
      </c>
      <c r="BB52" s="37">
        <f t="shared" si="12"/>
        <v>4</v>
      </c>
      <c r="BC52" s="37">
        <f t="shared" si="13"/>
        <v>4</v>
      </c>
      <c r="BD52" s="38">
        <f t="shared" si="14"/>
        <v>120712311.42615688</v>
      </c>
      <c r="BE52" s="38">
        <f t="shared" si="15"/>
        <v>121152465.34156309</v>
      </c>
      <c r="BF52" s="38" t="b">
        <f t="shared" si="16"/>
        <v>1</v>
      </c>
      <c r="BG52" s="37" t="str">
        <f t="array" ref="BG52:BQ52">IF(BF52,"",IVSolution($M52,$N52,$O52,BB52,BC52,BD52,BE52,$E52,$F52,$G52,$H52,$I52))</f>
        <v/>
      </c>
      <c r="BH52" s="37" t="str">
        <v/>
      </c>
      <c r="BI52" s="37" t="str">
        <v/>
      </c>
      <c r="BJ52" s="39" t="str">
        <v/>
      </c>
      <c r="BK52" s="39" t="str">
        <v/>
      </c>
      <c r="BL52" s="37" t="str">
        <v/>
      </c>
      <c r="BM52" s="37" t="str">
        <v/>
      </c>
      <c r="BN52" s="37" t="str">
        <v/>
      </c>
      <c r="BO52" s="37" t="str">
        <v/>
      </c>
      <c r="BP52" s="37" t="str">
        <v/>
      </c>
      <c r="BQ52" s="37" t="str">
        <v/>
      </c>
      <c r="BR52" s="40">
        <f t="shared" si="17"/>
        <v>28.5</v>
      </c>
      <c r="BS52" s="36">
        <f>IFERROR(INDEX('Level Multiplier'!$D:$D,MATCH(BR52,'Level Multiplier'!$A:$A,0)),"")</f>
        <v>1.4022000597460618</v>
      </c>
      <c r="BT52" s="37">
        <f t="shared" si="18"/>
        <v>3</v>
      </c>
      <c r="BU52" s="37">
        <f t="shared" si="19"/>
        <v>4</v>
      </c>
      <c r="BV52" s="38">
        <f t="shared" si="20"/>
        <v>116515744.36529475</v>
      </c>
      <c r="BW52" s="38">
        <f t="shared" si="21"/>
        <v>116940596.31687242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27</v>
      </c>
      <c r="CK52" s="41">
        <f t="shared" si="24"/>
        <v>27</v>
      </c>
      <c r="CL52" s="39">
        <f t="shared" si="25"/>
        <v>0.57777777777777772</v>
      </c>
      <c r="CM52" s="39">
        <f t="shared" si="26"/>
        <v>0.66666666666666663</v>
      </c>
      <c r="CN52" s="42">
        <f t="shared" si="27"/>
        <v>5</v>
      </c>
      <c r="CO52" s="42">
        <f t="shared" si="28"/>
        <v>6</v>
      </c>
      <c r="CP52" s="42">
        <f t="shared" si="29"/>
        <v>10</v>
      </c>
      <c r="CQ52" s="42">
        <f t="shared" si="30"/>
        <v>15</v>
      </c>
      <c r="CR52" s="42">
        <f t="shared" si="31"/>
        <v>5</v>
      </c>
      <c r="CS52" s="42">
        <f t="shared" si="32"/>
        <v>14</v>
      </c>
      <c r="CT52" s="43" t="str">
        <f t="shared" si="33"/>
        <v>5-6</v>
      </c>
      <c r="CU52" s="43" t="str">
        <f t="shared" si="34"/>
        <v>10-15</v>
      </c>
      <c r="CV52" s="43" t="str">
        <f t="shared" si="35"/>
        <v>5-14</v>
      </c>
      <c r="CW52" s="13" t="s">
        <v>401</v>
      </c>
    </row>
    <row r="53" spans="1:101" x14ac:dyDescent="0.25">
      <c r="A53" s="31" t="s">
        <v>50</v>
      </c>
      <c r="B53" s="13">
        <v>440</v>
      </c>
      <c r="C53" s="13">
        <v>49</v>
      </c>
      <c r="D53" s="13">
        <v>30</v>
      </c>
      <c r="E53" s="32"/>
      <c r="F53" s="32"/>
      <c r="G53" s="32"/>
      <c r="H53" s="32"/>
      <c r="I53" s="32"/>
      <c r="J53" s="13"/>
      <c r="K53" s="33">
        <v>21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Multiplier'!$A:$A,MATCH($D53,'Level Multiplier'!$B:$B,0)),"")</f>
        <v>21</v>
      </c>
      <c r="Q53" s="36">
        <f>IFERROR(INDEX('Level Multiplier'!$D:$D,MATCH(P53,'Level Multiplier'!$A:$A,0)),"")</f>
        <v>1.6335670853482771</v>
      </c>
      <c r="R53" s="37">
        <f t="shared" si="0"/>
        <v>11</v>
      </c>
      <c r="S53" s="37">
        <f t="shared" si="1"/>
        <v>11</v>
      </c>
      <c r="T53" s="38">
        <f t="shared" si="2"/>
        <v>137864753.92763549</v>
      </c>
      <c r="U53" s="38">
        <f t="shared" si="3"/>
        <v>138492124.0113661</v>
      </c>
      <c r="V53" s="38" t="b">
        <f t="shared" si="4"/>
        <v>0</v>
      </c>
      <c r="W53" s="37">
        <f t="array" ref="W53:AG53">IF(V53,"",IVSolution($M53,$N53,$O53,R53,S53,T53,U53,$E53,$F53,$G53,$H53,$I53))</f>
        <v>4</v>
      </c>
      <c r="X53" s="37">
        <v>31</v>
      </c>
      <c r="Y53" s="37">
        <v>34</v>
      </c>
      <c r="Z53" s="39">
        <v>0.68888888888888888</v>
      </c>
      <c r="AA53" s="39">
        <v>0.75555555555555554</v>
      </c>
      <c r="AB53" s="37">
        <v>11</v>
      </c>
      <c r="AC53" s="37">
        <v>11</v>
      </c>
      <c r="AD53" s="37">
        <v>11</v>
      </c>
      <c r="AE53" s="37">
        <v>15</v>
      </c>
      <c r="AF53" s="37">
        <v>5</v>
      </c>
      <c r="AG53" s="37">
        <v>12</v>
      </c>
      <c r="AH53" s="40">
        <f t="shared" si="5"/>
        <v>21.5</v>
      </c>
      <c r="AI53" s="36">
        <f>IFERROR(INDEX('Level Multiplier'!$D:$D,MATCH(AH53,'Level Multiplier'!$A:$A,0)),"")</f>
        <v>1.6144672670111633</v>
      </c>
      <c r="AJ53" s="37">
        <f t="shared" si="6"/>
        <v>10</v>
      </c>
      <c r="AK53" s="37">
        <f t="shared" si="7"/>
        <v>10</v>
      </c>
      <c r="AL53" s="38">
        <f t="shared" si="8"/>
        <v>131529245.79396883</v>
      </c>
      <c r="AM53" s="38">
        <f t="shared" si="9"/>
        <v>132127785.38872342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22</v>
      </c>
      <c r="BA53" s="36">
        <f>IFERROR(INDEX('Level Multiplier'!$D:$D,MATCH(AZ53,'Level Multiplier'!$A:$A,0)),"")</f>
        <v>1.5959981813919923</v>
      </c>
      <c r="BB53" s="37">
        <f t="shared" si="12"/>
        <v>9</v>
      </c>
      <c r="BC53" s="37">
        <f t="shared" si="13"/>
        <v>9</v>
      </c>
      <c r="BD53" s="38">
        <f t="shared" si="14"/>
        <v>125613096.49327683</v>
      </c>
      <c r="BE53" s="38">
        <f t="shared" si="15"/>
        <v>126184713.94167858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22.5</v>
      </c>
      <c r="BS53" s="36">
        <f>IFERROR(INDEX('Level Multiplier'!$D:$D,MATCH(BR53,'Level Multiplier'!$A:$A,0)),"")</f>
        <v>1.5781719054143564</v>
      </c>
      <c r="BT53" s="37">
        <f t="shared" si="18"/>
        <v>8</v>
      </c>
      <c r="BU53" s="37">
        <f t="shared" si="19"/>
        <v>8</v>
      </c>
      <c r="BV53" s="38">
        <f t="shared" si="20"/>
        <v>120094352.29735674</v>
      </c>
      <c r="BW53" s="38">
        <f t="shared" si="21"/>
        <v>120640856.03895783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21</v>
      </c>
      <c r="CK53" s="41">
        <f t="shared" si="24"/>
        <v>21</v>
      </c>
      <c r="CL53" s="39">
        <f t="shared" si="25"/>
        <v>0.68888888888888888</v>
      </c>
      <c r="CM53" s="39">
        <f t="shared" si="26"/>
        <v>0.75555555555555554</v>
      </c>
      <c r="CN53" s="42">
        <f t="shared" si="27"/>
        <v>11</v>
      </c>
      <c r="CO53" s="42">
        <f t="shared" si="28"/>
        <v>11</v>
      </c>
      <c r="CP53" s="42">
        <f t="shared" si="29"/>
        <v>11</v>
      </c>
      <c r="CQ53" s="42">
        <f t="shared" si="30"/>
        <v>15</v>
      </c>
      <c r="CR53" s="42">
        <f t="shared" si="31"/>
        <v>5</v>
      </c>
      <c r="CS53" s="42">
        <f t="shared" si="32"/>
        <v>12</v>
      </c>
      <c r="CT53" s="43">
        <f t="shared" si="33"/>
        <v>11</v>
      </c>
      <c r="CU53" s="43" t="str">
        <f t="shared" si="34"/>
        <v>11-15</v>
      </c>
      <c r="CV53" s="43" t="str">
        <f t="shared" si="35"/>
        <v>5-12</v>
      </c>
      <c r="CW53" s="13" t="s">
        <v>401</v>
      </c>
    </row>
    <row r="54" spans="1:101" x14ac:dyDescent="0.25">
      <c r="A54" s="31" t="s">
        <v>52</v>
      </c>
      <c r="B54" s="13">
        <v>1463</v>
      </c>
      <c r="C54" s="13">
        <v>91</v>
      </c>
      <c r="D54" s="13">
        <v>40</v>
      </c>
      <c r="E54" s="32"/>
      <c r="F54" s="32"/>
      <c r="G54" s="32"/>
      <c r="H54" s="32"/>
      <c r="I54" s="32"/>
      <c r="J54" s="13"/>
      <c r="K54" s="33"/>
      <c r="L54" s="34">
        <f>IFERROR(INDEX('Pokemon Data'!A:A,MATCH($A54,'Pokemon Data'!$B:$B,0)),"")</f>
        <v>26</v>
      </c>
      <c r="M54" s="34">
        <f>IFERROR(INDEX('Pokemon Data'!I:I,MATCH($A54,'Pokemon Data'!$B:$B,0)),"")</f>
        <v>120</v>
      </c>
      <c r="N54" s="34">
        <f>IFERROR(INDEX('Pokemon Data'!J:J,MATCH($A54,'Pokemon Data'!$B:$B,0)),"")</f>
        <v>193</v>
      </c>
      <c r="O54" s="34">
        <f>IFERROR(INDEX('Pokemon Data'!K:K,MATCH($A54,'Pokemon Data'!$B:$B,0)),"")</f>
        <v>165</v>
      </c>
      <c r="P54" s="35">
        <f>IFERROR(INDEX('Level Multiplier'!$A:$A,MATCH($D54,'Level Multiplier'!$B:$B,0)),"")</f>
        <v>25</v>
      </c>
      <c r="Q54" s="36">
        <f>IFERROR(INDEX('Level Multiplier'!$D:$D,MATCH(P54,'Level Multiplier'!$A:$A,0)),"")</f>
        <v>1.4971539104162985</v>
      </c>
      <c r="R54" s="37">
        <f t="shared" si="0"/>
        <v>17</v>
      </c>
      <c r="S54" s="37">
        <f t="shared" si="1"/>
        <v>15</v>
      </c>
      <c r="T54" s="38">
        <f t="shared" si="2"/>
        <v>1075361411.6586099</v>
      </c>
      <c r="U54" s="38">
        <f t="shared" si="3"/>
        <v>1076831991.1950939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25.5</v>
      </c>
      <c r="AI54" s="36">
        <f>IFERROR(INDEX('Level Multiplier'!$D:$D,MATCH(AH54,'Level Multiplier'!$A:$A,0)),"")</f>
        <v>1.4824092786238152</v>
      </c>
      <c r="AJ54" s="37">
        <f t="shared" si="6"/>
        <v>15</v>
      </c>
      <c r="AK54" s="37">
        <f t="shared" si="7"/>
        <v>15</v>
      </c>
      <c r="AL54" s="38">
        <f t="shared" si="8"/>
        <v>1033620587.1138356</v>
      </c>
      <c r="AM54" s="38">
        <f t="shared" si="9"/>
        <v>1035034085.1875238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26</v>
      </c>
      <c r="BA54" s="36">
        <f>IFERROR(INDEX('Level Multiplier'!$D:$D,MATCH(AZ54,'Level Multiplier'!$A:$A,0)),"")</f>
        <v>1.4680732530970622</v>
      </c>
      <c r="BB54" s="37">
        <f t="shared" si="12"/>
        <v>14</v>
      </c>
      <c r="BC54" s="37">
        <f t="shared" si="13"/>
        <v>15</v>
      </c>
      <c r="BD54" s="38">
        <f t="shared" si="14"/>
        <v>994213274.55999196</v>
      </c>
      <c r="BE54" s="38">
        <f t="shared" si="15"/>
        <v>995572882.29802084</v>
      </c>
      <c r="BF54" s="38" t="b">
        <f t="shared" si="16"/>
        <v>0</v>
      </c>
      <c r="BG54" s="37">
        <f t="array" ref="BG54:BQ54">IF(BF54,"",IVSolution($M54,$N54,$O54,BB54,BC54,BD54,BE54,$E54,$F54,$G54,$H54,$I54))</f>
        <v>3</v>
      </c>
      <c r="BH54" s="37">
        <v>36</v>
      </c>
      <c r="BI54" s="37">
        <v>38</v>
      </c>
      <c r="BJ54" s="39">
        <v>0.8</v>
      </c>
      <c r="BK54" s="39">
        <v>0.84444444444444444</v>
      </c>
      <c r="BL54" s="37">
        <v>14</v>
      </c>
      <c r="BM54" s="37">
        <v>15</v>
      </c>
      <c r="BN54" s="37">
        <v>11</v>
      </c>
      <c r="BO54" s="37">
        <v>14</v>
      </c>
      <c r="BP54" s="37">
        <v>7</v>
      </c>
      <c r="BQ54" s="37">
        <v>12</v>
      </c>
      <c r="BR54" s="40">
        <f t="shared" si="17"/>
        <v>26.5</v>
      </c>
      <c r="BS54" s="36">
        <f>IFERROR(INDEX('Level Multiplier'!$D:$D,MATCH(BR54,'Level Multiplier'!$A:$A,0)),"")</f>
        <v>1.4541633575240582</v>
      </c>
      <c r="BT54" s="37">
        <f t="shared" si="18"/>
        <v>13</v>
      </c>
      <c r="BU54" s="37">
        <f t="shared" si="19"/>
        <v>13</v>
      </c>
      <c r="BV54" s="38">
        <f t="shared" si="20"/>
        <v>957065012.68227458</v>
      </c>
      <c r="BW54" s="38">
        <f t="shared" si="21"/>
        <v>958373819.38435304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26</v>
      </c>
      <c r="CK54" s="41">
        <f t="shared" si="24"/>
        <v>26</v>
      </c>
      <c r="CL54" s="39">
        <f t="shared" si="25"/>
        <v>0.8</v>
      </c>
      <c r="CM54" s="39">
        <f t="shared" si="26"/>
        <v>0.84444444444444444</v>
      </c>
      <c r="CN54" s="42">
        <f t="shared" si="27"/>
        <v>14</v>
      </c>
      <c r="CO54" s="42">
        <f t="shared" si="28"/>
        <v>15</v>
      </c>
      <c r="CP54" s="42">
        <f t="shared" si="29"/>
        <v>11</v>
      </c>
      <c r="CQ54" s="42">
        <f t="shared" si="30"/>
        <v>14</v>
      </c>
      <c r="CR54" s="42">
        <f t="shared" si="31"/>
        <v>7</v>
      </c>
      <c r="CS54" s="42">
        <f t="shared" si="32"/>
        <v>12</v>
      </c>
      <c r="CT54" s="43" t="str">
        <f t="shared" si="33"/>
        <v>14-15</v>
      </c>
      <c r="CU54" s="43" t="str">
        <f t="shared" si="34"/>
        <v>11-14</v>
      </c>
      <c r="CV54" s="43" t="str">
        <f t="shared" si="35"/>
        <v>7-12</v>
      </c>
      <c r="CW54" s="13" t="s">
        <v>402</v>
      </c>
    </row>
    <row r="55" spans="1:101" x14ac:dyDescent="0.25">
      <c r="A55" s="31" t="s">
        <v>55</v>
      </c>
      <c r="B55" s="13">
        <v>1317</v>
      </c>
      <c r="C55" s="13">
        <v>98</v>
      </c>
      <c r="D55" s="13">
        <v>25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28</v>
      </c>
      <c r="M55" s="34">
        <f>IFERROR(INDEX('Pokemon Data'!I:I,MATCH($A55,'Pokemon Data'!$B:$B,0)),"")</f>
        <v>150</v>
      </c>
      <c r="N55" s="34">
        <f>IFERROR(INDEX('Pokemon Data'!J:J,MATCH($A55,'Pokemon Data'!$B:$B,0)),"")</f>
        <v>182</v>
      </c>
      <c r="O55" s="34">
        <f>IFERROR(INDEX('Pokemon Data'!K:K,MATCH($A55,'Pokemon Data'!$B:$B,0)),"")</f>
        <v>202</v>
      </c>
      <c r="P55" s="35">
        <f>IFERROR(INDEX('Level Multiplier'!$A:$A,MATCH($D55,'Level Multiplier'!$B:$B,0)),"")</f>
        <v>19</v>
      </c>
      <c r="Q55" s="36">
        <f>IFERROR(INDEX('Level Multiplier'!$D:$D,MATCH(P55,'Level Multiplier'!$A:$A,0)),"")</f>
        <v>1.7173900390793821</v>
      </c>
      <c r="R55" s="37">
        <f t="shared" si="0"/>
        <v>19</v>
      </c>
      <c r="S55" s="37">
        <f t="shared" si="1"/>
        <v>15</v>
      </c>
      <c r="T55" s="38">
        <f t="shared" si="2"/>
        <v>1508854312.6286826</v>
      </c>
      <c r="U55" s="38">
        <f t="shared" si="3"/>
        <v>1511146533.0542815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19.5</v>
      </c>
      <c r="AI55" s="36">
        <f>IFERROR(INDEX('Level Multiplier'!$D:$D,MATCH(AH55,'Level Multiplier'!$A:$A,0)),"")</f>
        <v>1.6952373004785586</v>
      </c>
      <c r="AJ55" s="37">
        <f t="shared" si="6"/>
        <v>17</v>
      </c>
      <c r="AK55" s="37">
        <f t="shared" si="7"/>
        <v>15</v>
      </c>
      <c r="AL55" s="38">
        <f t="shared" si="8"/>
        <v>1432496430.4780004</v>
      </c>
      <c r="AM55" s="38">
        <f t="shared" si="9"/>
        <v>1434672649.5801737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20</v>
      </c>
      <c r="BA55" s="36">
        <f>IFERROR(INDEX('Level Multiplier'!$D:$D,MATCH(AZ55,'Level Multiplier'!$A:$A,0)),"")</f>
        <v>1.6739202933726098</v>
      </c>
      <c r="BB55" s="37">
        <f t="shared" si="12"/>
        <v>15</v>
      </c>
      <c r="BC55" s="37">
        <f t="shared" si="13"/>
        <v>15</v>
      </c>
      <c r="BD55" s="38">
        <f t="shared" si="14"/>
        <v>1361791589.9648061</v>
      </c>
      <c r="BE55" s="38">
        <f t="shared" si="15"/>
        <v>1363860395.7280927</v>
      </c>
      <c r="BF55" s="38" t="b">
        <f t="shared" si="16"/>
        <v>0</v>
      </c>
      <c r="BG55" s="37">
        <f t="array" ref="BG55:BQ55">IF(BF55,"",IVSolution($M55,$N55,$O55,BB55,BC55,BD55,BE55,$E55,$F55,$G55,$H55,$I55))</f>
        <v>1</v>
      </c>
      <c r="BH55" s="37">
        <v>42</v>
      </c>
      <c r="BI55" s="37">
        <v>42</v>
      </c>
      <c r="BJ55" s="39">
        <v>0.93333333333333335</v>
      </c>
      <c r="BK55" s="39">
        <v>0.93333333333333335</v>
      </c>
      <c r="BL55" s="37">
        <v>15</v>
      </c>
      <c r="BM55" s="37">
        <v>15</v>
      </c>
      <c r="BN55" s="37">
        <v>14</v>
      </c>
      <c r="BO55" s="37">
        <v>14</v>
      </c>
      <c r="BP55" s="37">
        <v>13</v>
      </c>
      <c r="BQ55" s="37">
        <v>13</v>
      </c>
      <c r="BR55" s="40">
        <f t="shared" si="17"/>
        <v>20.5</v>
      </c>
      <c r="BS55" s="36">
        <f>IFERROR(INDEX('Level Multiplier'!$D:$D,MATCH(BR55,'Level Multiplier'!$A:$A,0)),"")</f>
        <v>1.653387720177633</v>
      </c>
      <c r="BT55" s="37">
        <f t="shared" si="18"/>
        <v>13</v>
      </c>
      <c r="BU55" s="37">
        <f t="shared" si="19"/>
        <v>13</v>
      </c>
      <c r="BV55" s="38">
        <f t="shared" si="20"/>
        <v>1296195116.8380983</v>
      </c>
      <c r="BW55" s="38">
        <f t="shared" si="21"/>
        <v>1298164269.7891221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20</v>
      </c>
      <c r="CK55" s="41">
        <f t="shared" si="24"/>
        <v>20</v>
      </c>
      <c r="CL55" s="39">
        <f t="shared" si="25"/>
        <v>0.93333333333333335</v>
      </c>
      <c r="CM55" s="39">
        <f t="shared" si="26"/>
        <v>0.93333333333333335</v>
      </c>
      <c r="CN55" s="42">
        <f t="shared" si="27"/>
        <v>15</v>
      </c>
      <c r="CO55" s="42">
        <f t="shared" si="28"/>
        <v>15</v>
      </c>
      <c r="CP55" s="42">
        <f t="shared" si="29"/>
        <v>14</v>
      </c>
      <c r="CQ55" s="42">
        <f t="shared" si="30"/>
        <v>14</v>
      </c>
      <c r="CR55" s="42">
        <f t="shared" si="31"/>
        <v>13</v>
      </c>
      <c r="CS55" s="42">
        <f t="shared" si="32"/>
        <v>13</v>
      </c>
      <c r="CT55" s="43">
        <f t="shared" si="33"/>
        <v>15</v>
      </c>
      <c r="CU55" s="43">
        <f t="shared" si="34"/>
        <v>14</v>
      </c>
      <c r="CV55" s="43">
        <f t="shared" si="35"/>
        <v>13</v>
      </c>
      <c r="CW55" s="13" t="s">
        <v>399</v>
      </c>
    </row>
    <row r="56" spans="1:101" x14ac:dyDescent="0.25">
      <c r="A56" s="31" t="s">
        <v>57</v>
      </c>
      <c r="B56" s="13">
        <v>410</v>
      </c>
      <c r="C56" s="13">
        <v>71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29</v>
      </c>
      <c r="M56" s="34">
        <f>IFERROR(INDEX('Pokemon Data'!I:I,MATCH($A56,'Pokemon Data'!$B:$B,0)),"")</f>
        <v>110</v>
      </c>
      <c r="N56" s="34">
        <f>IFERROR(INDEX('Pokemon Data'!J:J,MATCH($A56,'Pokemon Data'!$B:$B,0)),"")</f>
        <v>86</v>
      </c>
      <c r="O56" s="34">
        <f>IFERROR(INDEX('Pokemon Data'!K:K,MATCH($A56,'Pokemon Data'!$B:$B,0)),"")</f>
        <v>94</v>
      </c>
      <c r="P56" s="35">
        <f>IFERROR(INDEX('Level Multiplier'!$A:$A,MATCH($D56,'Level Multiplier'!$B:$B,0)),"")</f>
        <v>19</v>
      </c>
      <c r="Q56" s="36">
        <f>IFERROR(INDEX('Level Multiplier'!$D:$D,MATCH(P56,'Level Multiplier'!$A:$A,0)),"")</f>
        <v>1.7173900390793821</v>
      </c>
      <c r="R56" s="37">
        <f t="shared" si="0"/>
        <v>12</v>
      </c>
      <c r="S56" s="37">
        <f t="shared" si="1"/>
        <v>13</v>
      </c>
      <c r="T56" s="38">
        <f t="shared" si="2"/>
        <v>146232354.28583378</v>
      </c>
      <c r="U56" s="38">
        <f t="shared" si="3"/>
        <v>146946552.75620064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19.5</v>
      </c>
      <c r="AI56" s="36">
        <f>IFERROR(INDEX('Level Multiplier'!$D:$D,MATCH(AH56,'Level Multiplier'!$A:$A,0)),"")</f>
        <v>1.6952373004785586</v>
      </c>
      <c r="AJ56" s="37">
        <f t="shared" si="6"/>
        <v>11</v>
      </c>
      <c r="AK56" s="37">
        <f t="shared" si="7"/>
        <v>12</v>
      </c>
      <c r="AL56" s="38">
        <f t="shared" si="8"/>
        <v>138832042.15382853</v>
      </c>
      <c r="AM56" s="38">
        <f t="shared" si="9"/>
        <v>139510097.51735198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20</v>
      </c>
      <c r="BA56" s="36">
        <f>IFERROR(INDEX('Level Multiplier'!$D:$D,MATCH(AZ56,'Level Multiplier'!$A:$A,0)),"")</f>
        <v>1.6739202933726098</v>
      </c>
      <c r="BB56" s="37">
        <f t="shared" si="12"/>
        <v>9</v>
      </c>
      <c r="BC56" s="37">
        <f t="shared" si="13"/>
        <v>10</v>
      </c>
      <c r="BD56" s="38">
        <f t="shared" si="14"/>
        <v>131979601.06583777</v>
      </c>
      <c r="BE56" s="38">
        <f t="shared" si="15"/>
        <v>132624189.1233931</v>
      </c>
      <c r="BF56" s="38" t="b">
        <f t="shared" si="16"/>
        <v>0</v>
      </c>
      <c r="BG56" s="37">
        <f t="array" ref="BG56:BQ56">IF(BF56,"",IVSolution($M56,$N56,$O56,BB56,BC56,BD56,BE56,$E56,$F56,$G56,$H56,$I56))</f>
        <v>2</v>
      </c>
      <c r="BH56" s="37">
        <v>39</v>
      </c>
      <c r="BI56" s="37">
        <v>39</v>
      </c>
      <c r="BJ56" s="39">
        <v>0.8666666666666667</v>
      </c>
      <c r="BK56" s="39">
        <v>0.8666666666666667</v>
      </c>
      <c r="BL56" s="37">
        <v>9</v>
      </c>
      <c r="BM56" s="37">
        <v>10</v>
      </c>
      <c r="BN56" s="37">
        <v>15</v>
      </c>
      <c r="BO56" s="37">
        <v>15</v>
      </c>
      <c r="BP56" s="37">
        <v>14</v>
      </c>
      <c r="BQ56" s="37">
        <v>15</v>
      </c>
      <c r="BR56" s="40">
        <f t="shared" si="17"/>
        <v>20.5</v>
      </c>
      <c r="BS56" s="36">
        <f>IFERROR(INDEX('Level Multiplier'!$D:$D,MATCH(BR56,'Level Multiplier'!$A:$A,0)),"")</f>
        <v>1.653387720177633</v>
      </c>
      <c r="BT56" s="37">
        <f t="shared" si="18"/>
        <v>8</v>
      </c>
      <c r="BU56" s="37">
        <f t="shared" si="19"/>
        <v>9</v>
      </c>
      <c r="BV56" s="38">
        <f t="shared" si="20"/>
        <v>125622243.28922485</v>
      </c>
      <c r="BW56" s="38">
        <f t="shared" si="21"/>
        <v>126235782.02652678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20</v>
      </c>
      <c r="CK56" s="41">
        <f t="shared" si="24"/>
        <v>20</v>
      </c>
      <c r="CL56" s="39">
        <f t="shared" si="25"/>
        <v>0.8666666666666667</v>
      </c>
      <c r="CM56" s="39">
        <f t="shared" si="26"/>
        <v>0.8666666666666667</v>
      </c>
      <c r="CN56" s="42">
        <f t="shared" si="27"/>
        <v>9</v>
      </c>
      <c r="CO56" s="42">
        <f t="shared" si="28"/>
        <v>10</v>
      </c>
      <c r="CP56" s="42">
        <f t="shared" si="29"/>
        <v>15</v>
      </c>
      <c r="CQ56" s="42">
        <f t="shared" si="30"/>
        <v>15</v>
      </c>
      <c r="CR56" s="42">
        <f t="shared" si="31"/>
        <v>14</v>
      </c>
      <c r="CS56" s="42">
        <f t="shared" si="32"/>
        <v>15</v>
      </c>
      <c r="CT56" s="43" t="str">
        <f t="shared" si="33"/>
        <v>9-10</v>
      </c>
      <c r="CU56" s="43">
        <f t="shared" si="34"/>
        <v>15</v>
      </c>
      <c r="CV56" s="43" t="str">
        <f t="shared" si="35"/>
        <v>14-15</v>
      </c>
      <c r="CW56" s="13" t="s">
        <v>397</v>
      </c>
    </row>
    <row r="57" spans="1:101" x14ac:dyDescent="0.25">
      <c r="A57" s="31" t="s">
        <v>57</v>
      </c>
      <c r="B57" s="13">
        <v>408</v>
      </c>
      <c r="C57" s="13">
        <v>74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Multiplier'!$A:$A,MATCH($D57,'Level Multiplier'!$B:$B,0)),"")</f>
        <v>19</v>
      </c>
      <c r="Q57" s="36">
        <f>IFERROR(INDEX('Level Multiplier'!$D:$D,MATCH(P57,'Level Multiplier'!$A:$A,0)),"")</f>
        <v>1.7173900390793821</v>
      </c>
      <c r="R57" s="37">
        <f t="shared" si="0"/>
        <v>18</v>
      </c>
      <c r="S57" s="37">
        <f t="shared" si="1"/>
        <v>15</v>
      </c>
      <c r="T57" s="38">
        <f t="shared" si="2"/>
        <v>144809176.82235</v>
      </c>
      <c r="U57" s="38">
        <f t="shared" si="3"/>
        <v>145519895.64121687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Multiplier'!$D:$D,MATCH(AH57,'Level Multiplier'!$A:$A,0)),"")</f>
        <v>1.6952373004785586</v>
      </c>
      <c r="AJ57" s="37">
        <f t="shared" si="6"/>
        <v>16</v>
      </c>
      <c r="AK57" s="37">
        <f t="shared" si="7"/>
        <v>15</v>
      </c>
      <c r="AL57" s="38">
        <f t="shared" si="8"/>
        <v>137480886.76439565</v>
      </c>
      <c r="AM57" s="38">
        <f t="shared" si="9"/>
        <v>138155638.56950974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Multiplier'!$D:$D,MATCH(AZ57,'Level Multiplier'!$A:$A,0)),"")</f>
        <v>1.6739202933726098</v>
      </c>
      <c r="BB57" s="37">
        <f t="shared" si="12"/>
        <v>14</v>
      </c>
      <c r="BC57" s="37">
        <f t="shared" si="13"/>
        <v>15</v>
      </c>
      <c r="BD57" s="38">
        <f t="shared" si="14"/>
        <v>130695135.70388827</v>
      </c>
      <c r="BE57" s="38">
        <f t="shared" si="15"/>
        <v>131336583.25933616</v>
      </c>
      <c r="BF57" s="38" t="b">
        <f t="shared" si="16"/>
        <v>0</v>
      </c>
      <c r="BG57" s="37">
        <f t="array" ref="BG57:BQ57">IF(BF57,"",IVSolution($M57,$N57,$O57,BB57,BC57,BD57,BE57,$E57,$F57,$G57,$H57,$I57))</f>
        <v>4</v>
      </c>
      <c r="BH57" s="37">
        <v>40</v>
      </c>
      <c r="BI57" s="37">
        <v>42</v>
      </c>
      <c r="BJ57" s="39">
        <v>0.88888888888888884</v>
      </c>
      <c r="BK57" s="39">
        <v>0.93333333333333335</v>
      </c>
      <c r="BL57" s="37">
        <v>14</v>
      </c>
      <c r="BM57" s="37">
        <v>15</v>
      </c>
      <c r="BN57" s="37">
        <v>12</v>
      </c>
      <c r="BO57" s="37">
        <v>14</v>
      </c>
      <c r="BP57" s="37">
        <v>11</v>
      </c>
      <c r="BQ57" s="37">
        <v>15</v>
      </c>
      <c r="BR57" s="40">
        <f t="shared" si="17"/>
        <v>20.5</v>
      </c>
      <c r="BS57" s="36">
        <f>IFERROR(INDEX('Level Multiplier'!$D:$D,MATCH(BR57,'Level Multiplier'!$A:$A,0)),"")</f>
        <v>1.653387720177633</v>
      </c>
      <c r="BT57" s="37">
        <f t="shared" si="18"/>
        <v>13</v>
      </c>
      <c r="BU57" s="37">
        <f t="shared" si="19"/>
        <v>14</v>
      </c>
      <c r="BV57" s="38">
        <f t="shared" si="20"/>
        <v>124399649.65435769</v>
      </c>
      <c r="BW57" s="38">
        <f t="shared" si="21"/>
        <v>125010199.16516849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39">
        <f t="shared" si="25"/>
        <v>0.88888888888888884</v>
      </c>
      <c r="CM57" s="39">
        <f t="shared" si="26"/>
        <v>0.93333333333333335</v>
      </c>
      <c r="CN57" s="42">
        <f t="shared" si="27"/>
        <v>14</v>
      </c>
      <c r="CO57" s="42">
        <f t="shared" si="28"/>
        <v>15</v>
      </c>
      <c r="CP57" s="42">
        <f t="shared" si="29"/>
        <v>12</v>
      </c>
      <c r="CQ57" s="42">
        <f t="shared" si="30"/>
        <v>14</v>
      </c>
      <c r="CR57" s="42">
        <f t="shared" si="31"/>
        <v>11</v>
      </c>
      <c r="CS57" s="42">
        <f t="shared" si="32"/>
        <v>15</v>
      </c>
      <c r="CT57" s="43" t="str">
        <f t="shared" si="33"/>
        <v>14-15</v>
      </c>
      <c r="CU57" s="43" t="str">
        <f t="shared" si="34"/>
        <v>12-14</v>
      </c>
      <c r="CV57" s="43" t="str">
        <f t="shared" si="35"/>
        <v>11-15</v>
      </c>
      <c r="CW57" s="13" t="s">
        <v>395</v>
      </c>
    </row>
    <row r="58" spans="1:101" x14ac:dyDescent="0.25">
      <c r="A58" s="31" t="s">
        <v>58</v>
      </c>
      <c r="B58" s="13">
        <v>672</v>
      </c>
      <c r="C58" s="13">
        <v>90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30</v>
      </c>
      <c r="M58" s="34">
        <f>IFERROR(INDEX('Pokemon Data'!I:I,MATCH($A58,'Pokemon Data'!$B:$B,0)),"")</f>
        <v>140</v>
      </c>
      <c r="N58" s="34">
        <f>IFERROR(INDEX('Pokemon Data'!J:J,MATCH($A58,'Pokemon Data'!$B:$B,0)),"")</f>
        <v>117</v>
      </c>
      <c r="O58" s="34">
        <f>IFERROR(INDEX('Pokemon Data'!K:K,MATCH($A58,'Pokemon Data'!$B:$B,0)),"")</f>
        <v>126</v>
      </c>
      <c r="P58" s="35">
        <f>IFERROR(INDEX('Level Multiplier'!$A:$A,MATCH($D58,'Level Multiplier'!$B:$B,0)),"")</f>
        <v>19</v>
      </c>
      <c r="Q58" s="36">
        <f>IFERROR(INDEX('Level Multiplier'!$D:$D,MATCH(P58,'Level Multiplier'!$A:$A,0)),"")</f>
        <v>1.7173900390793821</v>
      </c>
      <c r="R58" s="37">
        <f t="shared" si="0"/>
        <v>15</v>
      </c>
      <c r="S58" s="37">
        <f t="shared" si="1"/>
        <v>15</v>
      </c>
      <c r="T58" s="38">
        <f t="shared" si="2"/>
        <v>392838735.73952383</v>
      </c>
      <c r="U58" s="38">
        <f t="shared" si="3"/>
        <v>394008768.55638552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Multiplier'!$D:$D,MATCH(AH58,'Level Multiplier'!$A:$A,0)),"")</f>
        <v>1.6952373004785586</v>
      </c>
      <c r="AJ58" s="37">
        <f t="shared" si="6"/>
        <v>13</v>
      </c>
      <c r="AK58" s="37">
        <f t="shared" si="7"/>
        <v>14</v>
      </c>
      <c r="AL58" s="38">
        <f t="shared" si="8"/>
        <v>372958530.18438131</v>
      </c>
      <c r="AM58" s="38">
        <f t="shared" si="9"/>
        <v>374069351.69953239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Multiplier'!$D:$D,MATCH(AZ58,'Level Multiplier'!$A:$A,0)),"")</f>
        <v>1.6739202933726098</v>
      </c>
      <c r="BB58" s="37">
        <f t="shared" si="12"/>
        <v>11</v>
      </c>
      <c r="BC58" s="37">
        <f t="shared" si="13"/>
        <v>12</v>
      </c>
      <c r="BD58" s="38">
        <f t="shared" si="14"/>
        <v>354550125.92335087</v>
      </c>
      <c r="BE58" s="38">
        <f t="shared" si="15"/>
        <v>355606119.75698298</v>
      </c>
      <c r="BF58" s="38" t="b">
        <f t="shared" si="16"/>
        <v>0</v>
      </c>
      <c r="BG58" s="37">
        <f t="array" ref="BG58:BQ58">IF(BF58,"",IVSolution($M58,$N58,$O58,BB58,BC58,BD58,BE58,$E58,$F58,$G58,$H58,$I58))</f>
        <v>5</v>
      </c>
      <c r="BH58" s="37">
        <v>35</v>
      </c>
      <c r="BI58" s="37">
        <v>37</v>
      </c>
      <c r="BJ58" s="39">
        <v>0.77777777777777779</v>
      </c>
      <c r="BK58" s="39">
        <v>0.82222222222222219</v>
      </c>
      <c r="BL58" s="37">
        <v>11</v>
      </c>
      <c r="BM58" s="37">
        <v>12</v>
      </c>
      <c r="BN58" s="37">
        <v>13</v>
      </c>
      <c r="BO58" s="37">
        <v>15</v>
      </c>
      <c r="BP58" s="37">
        <v>8</v>
      </c>
      <c r="BQ58" s="37">
        <v>13</v>
      </c>
      <c r="BR58" s="40">
        <f t="shared" si="17"/>
        <v>20.5</v>
      </c>
      <c r="BS58" s="36">
        <f>IFERROR(INDEX('Level Multiplier'!$D:$D,MATCH(BR58,'Level Multiplier'!$A:$A,0)),"")</f>
        <v>1.653387720177633</v>
      </c>
      <c r="BT58" s="37">
        <f t="shared" si="18"/>
        <v>9</v>
      </c>
      <c r="BU58" s="37">
        <f t="shared" si="19"/>
        <v>10</v>
      </c>
      <c r="BV58" s="38">
        <f t="shared" si="20"/>
        <v>337471713.94123328</v>
      </c>
      <c r="BW58" s="38">
        <f t="shared" si="21"/>
        <v>338476841.34887165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39">
        <f t="shared" si="25"/>
        <v>0.77777777777777779</v>
      </c>
      <c r="CM58" s="39">
        <f t="shared" si="26"/>
        <v>0.82222222222222219</v>
      </c>
      <c r="CN58" s="42">
        <f t="shared" si="27"/>
        <v>11</v>
      </c>
      <c r="CO58" s="42">
        <f t="shared" si="28"/>
        <v>12</v>
      </c>
      <c r="CP58" s="42">
        <f t="shared" si="29"/>
        <v>13</v>
      </c>
      <c r="CQ58" s="42">
        <f t="shared" si="30"/>
        <v>15</v>
      </c>
      <c r="CR58" s="42">
        <f t="shared" si="31"/>
        <v>8</v>
      </c>
      <c r="CS58" s="42">
        <f t="shared" si="32"/>
        <v>13</v>
      </c>
      <c r="CT58" s="43" t="str">
        <f t="shared" si="33"/>
        <v>11-12</v>
      </c>
      <c r="CU58" s="43" t="str">
        <f t="shared" si="34"/>
        <v>13-15</v>
      </c>
      <c r="CV58" s="43" t="str">
        <f t="shared" si="35"/>
        <v>8-13</v>
      </c>
      <c r="CW58" s="13" t="s">
        <v>396</v>
      </c>
    </row>
    <row r="59" spans="1:101" x14ac:dyDescent="0.25">
      <c r="A59" s="31" t="s">
        <v>59</v>
      </c>
      <c r="B59" s="13">
        <v>1322</v>
      </c>
      <c r="C59" s="13">
        <v>114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31</v>
      </c>
      <c r="M59" s="34">
        <f>IFERROR(INDEX('Pokemon Data'!I:I,MATCH($A59,'Pokemon Data'!$B:$B,0)),"")</f>
        <v>180</v>
      </c>
      <c r="N59" s="34">
        <f>IFERROR(INDEX('Pokemon Data'!J:J,MATCH($A59,'Pokemon Data'!$B:$B,0)),"")</f>
        <v>180</v>
      </c>
      <c r="O59" s="34">
        <f>IFERROR(INDEX('Pokemon Data'!K:K,MATCH($A59,'Pokemon Data'!$B:$B,0)),"")</f>
        <v>174</v>
      </c>
      <c r="P59" s="35">
        <f>IFERROR(INDEX('Level Multiplier'!$A:$A,MATCH($D59,'Level Multiplier'!$B:$B,0)),"")</f>
        <v>19</v>
      </c>
      <c r="Q59" s="36">
        <f>IFERROR(INDEX('Level Multiplier'!$D:$D,MATCH(P59,'Level Multiplier'!$A:$A,0)),"")</f>
        <v>1.7173900390793821</v>
      </c>
      <c r="R59" s="37">
        <f t="shared" si="0"/>
        <v>16</v>
      </c>
      <c r="S59" s="37">
        <f t="shared" si="1"/>
        <v>15</v>
      </c>
      <c r="T59" s="38">
        <f t="shared" si="2"/>
        <v>1520332813.0141766</v>
      </c>
      <c r="U59" s="38">
        <f t="shared" si="3"/>
        <v>1522633732.5685256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Multiplier'!$D:$D,MATCH(AH59,'Level Multiplier'!$A:$A,0)),"")</f>
        <v>1.6952373004785586</v>
      </c>
      <c r="AJ59" s="37">
        <f t="shared" si="6"/>
        <v>14</v>
      </c>
      <c r="AK59" s="37">
        <f t="shared" si="7"/>
        <v>14</v>
      </c>
      <c r="AL59" s="38">
        <f t="shared" si="8"/>
        <v>1443394043.7809141</v>
      </c>
      <c r="AM59" s="38">
        <f t="shared" si="9"/>
        <v>1445578521.7791107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Multiplier'!$D:$D,MATCH(AZ59,'Level Multiplier'!$A:$A,0)),"")</f>
        <v>1.6739202933726098</v>
      </c>
      <c r="BB59" s="37">
        <f t="shared" si="12"/>
        <v>11</v>
      </c>
      <c r="BC59" s="37">
        <f t="shared" si="13"/>
        <v>12</v>
      </c>
      <c r="BD59" s="38">
        <f t="shared" si="14"/>
        <v>1372151321.2917764</v>
      </c>
      <c r="BE59" s="38">
        <f t="shared" si="15"/>
        <v>1374227978.3103316</v>
      </c>
      <c r="BF59" s="38" t="b">
        <f t="shared" si="16"/>
        <v>0</v>
      </c>
      <c r="BG59" s="37">
        <f t="array" ref="BG59:BQ59">IF(BF59,"",IVSolution($M59,$N59,$O59,BB59,BC59,BD59,BE59,$E59,$F59,$G59,$H59,$I59))</f>
        <v>2</v>
      </c>
      <c r="BH59" s="37">
        <v>41</v>
      </c>
      <c r="BI59" s="37">
        <v>41</v>
      </c>
      <c r="BJ59" s="39">
        <v>0.91111111111111109</v>
      </c>
      <c r="BK59" s="39">
        <v>0.91111111111111109</v>
      </c>
      <c r="BL59" s="37">
        <v>11</v>
      </c>
      <c r="BM59" s="37">
        <v>12</v>
      </c>
      <c r="BN59" s="37">
        <v>15</v>
      </c>
      <c r="BO59" s="37">
        <v>15</v>
      </c>
      <c r="BP59" s="37">
        <v>14</v>
      </c>
      <c r="BQ59" s="37">
        <v>15</v>
      </c>
      <c r="BR59" s="40">
        <f t="shared" si="17"/>
        <v>20.5</v>
      </c>
      <c r="BS59" s="36">
        <f>IFERROR(INDEX('Level Multiplier'!$D:$D,MATCH(BR59,'Level Multiplier'!$A:$A,0)),"")</f>
        <v>1.653387720177633</v>
      </c>
      <c r="BT59" s="37">
        <f t="shared" si="18"/>
        <v>9</v>
      </c>
      <c r="BU59" s="37">
        <f t="shared" si="19"/>
        <v>10</v>
      </c>
      <c r="BV59" s="38">
        <f t="shared" si="20"/>
        <v>1306055827.7256732</v>
      </c>
      <c r="BW59" s="38">
        <f t="shared" si="21"/>
        <v>1308032453.7429247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20</v>
      </c>
      <c r="CK59" s="41">
        <f t="shared" si="24"/>
        <v>20</v>
      </c>
      <c r="CL59" s="39">
        <f t="shared" si="25"/>
        <v>0.91111111111111109</v>
      </c>
      <c r="CM59" s="39">
        <f t="shared" si="26"/>
        <v>0.91111111111111109</v>
      </c>
      <c r="CN59" s="42">
        <f t="shared" si="27"/>
        <v>11</v>
      </c>
      <c r="CO59" s="42">
        <f t="shared" si="28"/>
        <v>12</v>
      </c>
      <c r="CP59" s="42">
        <f t="shared" si="29"/>
        <v>15</v>
      </c>
      <c r="CQ59" s="42">
        <f t="shared" si="30"/>
        <v>15</v>
      </c>
      <c r="CR59" s="42">
        <f t="shared" si="31"/>
        <v>14</v>
      </c>
      <c r="CS59" s="42">
        <f t="shared" si="32"/>
        <v>15</v>
      </c>
      <c r="CT59" s="43" t="str">
        <f t="shared" si="33"/>
        <v>11-12</v>
      </c>
      <c r="CU59" s="43">
        <f t="shared" si="34"/>
        <v>15</v>
      </c>
      <c r="CV59" s="43" t="str">
        <f t="shared" si="35"/>
        <v>14-15</v>
      </c>
      <c r="CW59" s="13" t="s">
        <v>403</v>
      </c>
    </row>
    <row r="60" spans="1:101" x14ac:dyDescent="0.25">
      <c r="A60" s="31" t="s">
        <v>60</v>
      </c>
      <c r="B60" s="13">
        <v>412</v>
      </c>
      <c r="C60" s="13">
        <v>61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32</v>
      </c>
      <c r="M60" s="34">
        <f>IFERROR(INDEX('Pokemon Data'!I:I,MATCH($A60,'Pokemon Data'!$B:$B,0)),"")</f>
        <v>92</v>
      </c>
      <c r="N60" s="34">
        <f>IFERROR(INDEX('Pokemon Data'!J:J,MATCH($A60,'Pokemon Data'!$B:$B,0)),"")</f>
        <v>105</v>
      </c>
      <c r="O60" s="34">
        <f>IFERROR(INDEX('Pokemon Data'!K:K,MATCH($A60,'Pokemon Data'!$B:$B,0)),"")</f>
        <v>76</v>
      </c>
      <c r="P60" s="35">
        <f>IFERROR(INDEX('Level Multiplier'!$A:$A,MATCH($D60,'Level Multiplier'!$B:$B,0)),"")</f>
        <v>19</v>
      </c>
      <c r="Q60" s="36">
        <f>IFERROR(INDEX('Level Multiplier'!$D:$D,MATCH(P60,'Level Multiplier'!$A:$A,0)),"")</f>
        <v>1.7173900390793821</v>
      </c>
      <c r="R60" s="37">
        <f t="shared" si="0"/>
        <v>13</v>
      </c>
      <c r="S60" s="37">
        <f t="shared" si="1"/>
        <v>14</v>
      </c>
      <c r="T60" s="38">
        <f t="shared" si="2"/>
        <v>147662491.05231747</v>
      </c>
      <c r="U60" s="38">
        <f t="shared" si="3"/>
        <v>148380169.17418429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Multiplier'!$D:$D,MATCH(AH60,'Level Multiplier'!$A:$A,0)),"")</f>
        <v>1.6952373004785586</v>
      </c>
      <c r="AJ60" s="37">
        <f t="shared" si="6"/>
        <v>12</v>
      </c>
      <c r="AK60" s="37">
        <f t="shared" si="7"/>
        <v>13</v>
      </c>
      <c r="AL60" s="38">
        <f t="shared" si="8"/>
        <v>140189804.66008013</v>
      </c>
      <c r="AM60" s="38">
        <f t="shared" si="9"/>
        <v>140871163.58201295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Multiplier'!$D:$D,MATCH(AZ60,'Level Multiplier'!$A:$A,0)),"")</f>
        <v>1.6739202933726098</v>
      </c>
      <c r="BB60" s="37">
        <f t="shared" si="12"/>
        <v>11</v>
      </c>
      <c r="BC60" s="37">
        <f t="shared" si="13"/>
        <v>11</v>
      </c>
      <c r="BD60" s="38">
        <f t="shared" si="14"/>
        <v>133270347.43200217</v>
      </c>
      <c r="BE60" s="38">
        <f t="shared" si="15"/>
        <v>133918075.99166498</v>
      </c>
      <c r="BF60" s="38" t="b">
        <f t="shared" si="16"/>
        <v>0</v>
      </c>
      <c r="BG60" s="37">
        <f t="array" ref="BG60:BQ60">IF(BF60,"",IVSolution($M60,$N60,$O60,BB60,BC60,BD60,BE60,$E60,$F60,$G60,$H60,$I60))</f>
        <v>1</v>
      </c>
      <c r="BH60" s="37">
        <v>40</v>
      </c>
      <c r="BI60" s="37">
        <v>40</v>
      </c>
      <c r="BJ60" s="39">
        <v>0.88888888888888884</v>
      </c>
      <c r="BK60" s="39">
        <v>0.88888888888888884</v>
      </c>
      <c r="BL60" s="37">
        <v>11</v>
      </c>
      <c r="BM60" s="37">
        <v>11</v>
      </c>
      <c r="BN60" s="37">
        <v>15</v>
      </c>
      <c r="BO60" s="37">
        <v>15</v>
      </c>
      <c r="BP60" s="37">
        <v>14</v>
      </c>
      <c r="BQ60" s="37">
        <v>14</v>
      </c>
      <c r="BR60" s="40">
        <f t="shared" si="17"/>
        <v>20.5</v>
      </c>
      <c r="BS60" s="36">
        <f>IFERROR(INDEX('Level Multiplier'!$D:$D,MATCH(BR60,'Level Multiplier'!$A:$A,0)),"")</f>
        <v>1.653387720177633</v>
      </c>
      <c r="BT60" s="37">
        <f t="shared" si="18"/>
        <v>9</v>
      </c>
      <c r="BU60" s="37">
        <f t="shared" si="19"/>
        <v>10</v>
      </c>
      <c r="BV60" s="38">
        <f t="shared" si="20"/>
        <v>126850815.37707426</v>
      </c>
      <c r="BW60" s="38">
        <f t="shared" si="21"/>
        <v>127467343.34086731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20</v>
      </c>
      <c r="CK60" s="41">
        <f t="shared" si="24"/>
        <v>20</v>
      </c>
      <c r="CL60" s="39">
        <f t="shared" si="25"/>
        <v>0.88888888888888884</v>
      </c>
      <c r="CM60" s="39">
        <f t="shared" si="26"/>
        <v>0.88888888888888884</v>
      </c>
      <c r="CN60" s="42">
        <f t="shared" si="27"/>
        <v>11</v>
      </c>
      <c r="CO60" s="42">
        <f t="shared" si="28"/>
        <v>11</v>
      </c>
      <c r="CP60" s="42">
        <f t="shared" si="29"/>
        <v>15</v>
      </c>
      <c r="CQ60" s="42">
        <f t="shared" si="30"/>
        <v>15</v>
      </c>
      <c r="CR60" s="42">
        <f t="shared" si="31"/>
        <v>14</v>
      </c>
      <c r="CS60" s="42">
        <f t="shared" si="32"/>
        <v>14</v>
      </c>
      <c r="CT60" s="43">
        <f t="shared" si="33"/>
        <v>11</v>
      </c>
      <c r="CU60" s="43">
        <f t="shared" si="34"/>
        <v>15</v>
      </c>
      <c r="CV60" s="43">
        <f t="shared" si="35"/>
        <v>14</v>
      </c>
      <c r="CW60" s="13" t="s">
        <v>397</v>
      </c>
    </row>
    <row r="61" spans="1:101" x14ac:dyDescent="0.25">
      <c r="A61" s="31" t="s">
        <v>60</v>
      </c>
      <c r="B61" s="13">
        <v>182</v>
      </c>
      <c r="C61" s="13">
        <v>42</v>
      </c>
      <c r="D61" s="13">
        <v>10</v>
      </c>
      <c r="E61" s="32"/>
      <c r="F61" s="32"/>
      <c r="G61" s="32"/>
      <c r="H61" s="32"/>
      <c r="I61" s="32"/>
      <c r="J61" s="13"/>
      <c r="K61" s="33">
        <v>9</v>
      </c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Multiplier'!$A:$A,MATCH($D61,'Level Multiplier'!$B:$B,0)),"")</f>
        <v>9</v>
      </c>
      <c r="Q61" s="36">
        <f>IFERROR(INDEX('Level Multiplier'!$D:$D,MATCH(P61,'Level Multiplier'!$A:$A,0)),"")</f>
        <v>2.50270742889658</v>
      </c>
      <c r="R61" s="37">
        <f t="shared" si="0"/>
        <v>14</v>
      </c>
      <c r="S61" s="37">
        <f t="shared" si="1"/>
        <v>15</v>
      </c>
      <c r="T61" s="38">
        <f t="shared" si="2"/>
        <v>129952041.64208798</v>
      </c>
      <c r="U61" s="38">
        <f t="shared" si="3"/>
        <v>131384009.25467589</v>
      </c>
      <c r="V61" s="38" t="b">
        <f t="shared" si="4"/>
        <v>0</v>
      </c>
      <c r="W61" s="37">
        <f t="array" ref="W61:AG61">IF(V61,"",IVSolution($M61,$N61,$O61,R61,S61,T61,U61,$E61,$F61,$G61,$H61,$I61))</f>
        <v>9</v>
      </c>
      <c r="X61" s="37">
        <v>39</v>
      </c>
      <c r="Y61" s="37">
        <v>41</v>
      </c>
      <c r="Z61" s="39">
        <v>0.8666666666666667</v>
      </c>
      <c r="AA61" s="39">
        <v>0.91111111111111109</v>
      </c>
      <c r="AB61" s="37">
        <v>14</v>
      </c>
      <c r="AC61" s="37">
        <v>15</v>
      </c>
      <c r="AD61" s="37">
        <v>11</v>
      </c>
      <c r="AE61" s="37">
        <v>15</v>
      </c>
      <c r="AF61" s="37">
        <v>9</v>
      </c>
      <c r="AG61" s="37">
        <v>15</v>
      </c>
      <c r="AH61" s="40">
        <f t="shared" si="5"/>
        <v>9.5</v>
      </c>
      <c r="AI61" s="36">
        <f>IFERROR(INDEX('Level Multiplier'!$D:$D,MATCH(AH61,'Level Multiplier'!$A:$A,0)),"")</f>
        <v>2.4319447558651035</v>
      </c>
      <c r="AJ61" s="37">
        <f t="shared" si="6"/>
        <v>11</v>
      </c>
      <c r="AK61" s="37">
        <f t="shared" si="7"/>
        <v>12</v>
      </c>
      <c r="AL61" s="38">
        <f t="shared" si="8"/>
        <v>115866422.27793662</v>
      </c>
      <c r="AM61" s="38">
        <f t="shared" si="9"/>
        <v>117143177.6254625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10</v>
      </c>
      <c r="BA61" s="36">
        <f>IFERROR(INDEX('Level Multiplier'!$D:$D,MATCH(AZ61,'Level Multiplier'!$A:$A,0)),"")</f>
        <v>2.3668638493049978</v>
      </c>
      <c r="BB61" s="37">
        <f t="shared" si="12"/>
        <v>8</v>
      </c>
      <c r="BC61" s="37">
        <f t="shared" si="13"/>
        <v>9</v>
      </c>
      <c r="BD61" s="38">
        <f t="shared" si="14"/>
        <v>103952725.80624126</v>
      </c>
      <c r="BE61" s="38">
        <f t="shared" si="15"/>
        <v>105098201.74270056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10.5</v>
      </c>
      <c r="BS61" s="36">
        <f>IFERROR(INDEX('Level Multiplier'!$D:$D,MATCH(BR61,'Level Multiplier'!$A:$A,0)),"")</f>
        <v>2.3098613438973334</v>
      </c>
      <c r="BT61" s="37">
        <f t="shared" si="18"/>
        <v>6</v>
      </c>
      <c r="BU61" s="37">
        <f t="shared" si="19"/>
        <v>7</v>
      </c>
      <c r="BV61" s="38">
        <f t="shared" si="20"/>
        <v>94294512.495572284</v>
      </c>
      <c r="BW61" s="38">
        <f t="shared" si="21"/>
        <v>95333562.64232038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9</v>
      </c>
      <c r="CK61" s="41">
        <f t="shared" si="24"/>
        <v>9</v>
      </c>
      <c r="CL61" s="39">
        <f t="shared" si="25"/>
        <v>0.8666666666666667</v>
      </c>
      <c r="CM61" s="39">
        <f t="shared" si="26"/>
        <v>0.91111111111111109</v>
      </c>
      <c r="CN61" s="42">
        <f t="shared" si="27"/>
        <v>14</v>
      </c>
      <c r="CO61" s="42">
        <f t="shared" si="28"/>
        <v>15</v>
      </c>
      <c r="CP61" s="42">
        <f t="shared" si="29"/>
        <v>11</v>
      </c>
      <c r="CQ61" s="42">
        <f t="shared" si="30"/>
        <v>15</v>
      </c>
      <c r="CR61" s="42">
        <f t="shared" si="31"/>
        <v>9</v>
      </c>
      <c r="CS61" s="42">
        <f t="shared" si="32"/>
        <v>15</v>
      </c>
      <c r="CT61" s="43" t="str">
        <f t="shared" si="33"/>
        <v>14-15</v>
      </c>
      <c r="CU61" s="43" t="str">
        <f t="shared" si="34"/>
        <v>11-15</v>
      </c>
      <c r="CV61" s="43" t="str">
        <f t="shared" si="35"/>
        <v>9-15</v>
      </c>
      <c r="CW61" s="13" t="s">
        <v>395</v>
      </c>
    </row>
    <row r="62" spans="1:101" x14ac:dyDescent="0.25">
      <c r="A62" s="31" t="s">
        <v>61</v>
      </c>
      <c r="B62" s="13">
        <v>518</v>
      </c>
      <c r="C62" s="13">
        <v>68</v>
      </c>
      <c r="D62" s="13">
        <v>19</v>
      </c>
      <c r="E62" s="32"/>
      <c r="F62" s="32"/>
      <c r="G62" s="32"/>
      <c r="H62" s="32"/>
      <c r="I62" s="32"/>
      <c r="J62" s="13"/>
      <c r="K62" s="33">
        <v>15</v>
      </c>
      <c r="L62" s="34">
        <f>IFERROR(INDEX('Pokemon Data'!A:A,MATCH($A62,'Pokemon Data'!$B:$B,0)),"")</f>
        <v>33</v>
      </c>
      <c r="M62" s="34">
        <f>IFERROR(INDEX('Pokemon Data'!I:I,MATCH($A62,'Pokemon Data'!$B:$B,0)),"")</f>
        <v>122</v>
      </c>
      <c r="N62" s="34">
        <f>IFERROR(INDEX('Pokemon Data'!J:J,MATCH($A62,'Pokemon Data'!$B:$B,0)),"")</f>
        <v>137</v>
      </c>
      <c r="O62" s="34">
        <f>IFERROR(INDEX('Pokemon Data'!K:K,MATCH($A62,'Pokemon Data'!$B:$B,0)),"")</f>
        <v>112</v>
      </c>
      <c r="P62" s="35">
        <f>IFERROR(INDEX('Level Multiplier'!$A:$A,MATCH($D62,'Level Multiplier'!$B:$B,0)),"")</f>
        <v>15</v>
      </c>
      <c r="Q62" s="36">
        <f>IFERROR(INDEX('Level Multiplier'!$D:$D,MATCH(P62,'Level Multiplier'!$A:$A,0)),"")</f>
        <v>1.9327632261645116</v>
      </c>
      <c r="R62" s="37">
        <f t="shared" si="0"/>
        <v>10</v>
      </c>
      <c r="S62" s="37">
        <f t="shared" si="1"/>
        <v>11</v>
      </c>
      <c r="T62" s="38">
        <f t="shared" si="2"/>
        <v>374433015.09539515</v>
      </c>
      <c r="U62" s="38">
        <f t="shared" si="3"/>
        <v>375880097.86344391</v>
      </c>
      <c r="V62" s="38" t="b">
        <f t="shared" si="4"/>
        <v>0</v>
      </c>
      <c r="W62" s="37">
        <f t="array" ref="W62:AG62">IF(V62,"",IVSolution($M62,$N62,$O62,R62,S62,T62,U62,$E62,$F62,$G62,$H62,$I62))</f>
        <v>3</v>
      </c>
      <c r="X62" s="37">
        <v>36</v>
      </c>
      <c r="Y62" s="37">
        <v>38</v>
      </c>
      <c r="Z62" s="39">
        <v>0.8</v>
      </c>
      <c r="AA62" s="39">
        <v>0.84444444444444444</v>
      </c>
      <c r="AB62" s="37">
        <v>10</v>
      </c>
      <c r="AC62" s="37">
        <v>11</v>
      </c>
      <c r="AD62" s="37">
        <v>12</v>
      </c>
      <c r="AE62" s="37">
        <v>15</v>
      </c>
      <c r="AF62" s="37">
        <v>10</v>
      </c>
      <c r="AG62" s="37">
        <v>15</v>
      </c>
      <c r="AH62" s="40">
        <f t="shared" si="5"/>
        <v>15.5</v>
      </c>
      <c r="AI62" s="36">
        <f>IFERROR(INDEX('Level Multiplier'!$D:$D,MATCH(AH62,'Level Multiplier'!$A:$A,0)),"")</f>
        <v>1.9013484916795402</v>
      </c>
      <c r="AJ62" s="37">
        <f t="shared" si="6"/>
        <v>8</v>
      </c>
      <c r="AK62" s="37">
        <f t="shared" si="7"/>
        <v>9</v>
      </c>
      <c r="AL62" s="38">
        <f t="shared" si="8"/>
        <v>350676301.53771877</v>
      </c>
      <c r="AM62" s="38">
        <f t="shared" si="9"/>
        <v>352031571.00558078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16</v>
      </c>
      <c r="BA62" s="36">
        <f>IFERROR(INDEX('Level Multiplier'!$D:$D,MATCH(AZ62,'Level Multiplier'!$A:$A,0)),"")</f>
        <v>1.8714174169787303</v>
      </c>
      <c r="BB62" s="37">
        <f t="shared" si="12"/>
        <v>6</v>
      </c>
      <c r="BC62" s="37">
        <f t="shared" si="13"/>
        <v>7</v>
      </c>
      <c r="BD62" s="38">
        <f t="shared" si="14"/>
        <v>329110840.58689028</v>
      </c>
      <c r="BE62" s="38">
        <f t="shared" si="15"/>
        <v>330382765.35578388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16.5</v>
      </c>
      <c r="BS62" s="36">
        <f>IFERROR(INDEX('Level Multiplier'!$D:$D,MATCH(BR62,'Level Multiplier'!$A:$A,0)),"")</f>
        <v>1.8428567757863994</v>
      </c>
      <c r="BT62" s="37">
        <f t="shared" si="18"/>
        <v>4</v>
      </c>
      <c r="BU62" s="37">
        <f t="shared" si="19"/>
        <v>5</v>
      </c>
      <c r="BV62" s="38">
        <f t="shared" si="20"/>
        <v>309475201.66368812</v>
      </c>
      <c r="BW62" s="38">
        <f t="shared" si="21"/>
        <v>310671239.97604644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15</v>
      </c>
      <c r="CK62" s="41">
        <f t="shared" si="24"/>
        <v>15</v>
      </c>
      <c r="CL62" s="39">
        <f t="shared" si="25"/>
        <v>0.8</v>
      </c>
      <c r="CM62" s="39">
        <f t="shared" si="26"/>
        <v>0.84444444444444444</v>
      </c>
      <c r="CN62" s="42">
        <f t="shared" si="27"/>
        <v>10</v>
      </c>
      <c r="CO62" s="42">
        <f t="shared" si="28"/>
        <v>11</v>
      </c>
      <c r="CP62" s="42">
        <f t="shared" si="29"/>
        <v>12</v>
      </c>
      <c r="CQ62" s="42">
        <f t="shared" si="30"/>
        <v>15</v>
      </c>
      <c r="CR62" s="42">
        <f t="shared" si="31"/>
        <v>10</v>
      </c>
      <c r="CS62" s="42">
        <f t="shared" si="32"/>
        <v>15</v>
      </c>
      <c r="CT62" s="43" t="str">
        <f t="shared" si="33"/>
        <v>10-11</v>
      </c>
      <c r="CU62" s="43" t="str">
        <f t="shared" si="34"/>
        <v>12-15</v>
      </c>
      <c r="CV62" s="43" t="str">
        <f t="shared" si="35"/>
        <v>10-15</v>
      </c>
      <c r="CW62" s="13" t="s">
        <v>396</v>
      </c>
    </row>
    <row r="63" spans="1:101" x14ac:dyDescent="0.25">
      <c r="A63" s="31" t="s">
        <v>62</v>
      </c>
      <c r="B63" s="13">
        <v>1349</v>
      </c>
      <c r="C63" s="13">
        <v>105</v>
      </c>
      <c r="D63" s="13">
        <v>25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34</v>
      </c>
      <c r="M63" s="34">
        <f>IFERROR(INDEX('Pokemon Data'!I:I,MATCH($A63,'Pokemon Data'!$B:$B,0)),"")</f>
        <v>162</v>
      </c>
      <c r="N63" s="34">
        <f>IFERROR(INDEX('Pokemon Data'!J:J,MATCH($A63,'Pokemon Data'!$B:$B,0)),"")</f>
        <v>204</v>
      </c>
      <c r="O63" s="34">
        <f>IFERROR(INDEX('Pokemon Data'!K:K,MATCH($A63,'Pokemon Data'!$B:$B,0)),"")</f>
        <v>157</v>
      </c>
      <c r="P63" s="35">
        <f>IFERROR(INDEX('Level Multiplier'!$A:$A,MATCH($D63,'Level Multiplier'!$B:$B,0)),"")</f>
        <v>19</v>
      </c>
      <c r="Q63" s="36">
        <f>IFERROR(INDEX('Level Multiplier'!$D:$D,MATCH(P63,'Level Multiplier'!$A:$A,0)),"")</f>
        <v>1.7173900390793821</v>
      </c>
      <c r="R63" s="37">
        <f t="shared" si="0"/>
        <v>19</v>
      </c>
      <c r="S63" s="37">
        <f t="shared" si="1"/>
        <v>15</v>
      </c>
      <c r="T63" s="38">
        <f t="shared" si="2"/>
        <v>1583068319.8198369</v>
      </c>
      <c r="U63" s="38">
        <f t="shared" si="3"/>
        <v>1585416214.669435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19.5</v>
      </c>
      <c r="AI63" s="36">
        <f>IFERROR(INDEX('Level Multiplier'!$D:$D,MATCH(AH63,'Level Multiplier'!$A:$A,0)),"")</f>
        <v>1.6952373004785586</v>
      </c>
      <c r="AJ63" s="37">
        <f t="shared" si="6"/>
        <v>16</v>
      </c>
      <c r="AK63" s="37">
        <f t="shared" si="7"/>
        <v>15</v>
      </c>
      <c r="AL63" s="38">
        <f t="shared" si="8"/>
        <v>1502954724.2330713</v>
      </c>
      <c r="AM63" s="38">
        <f t="shared" si="9"/>
        <v>1505183800.2697947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20</v>
      </c>
      <c r="BA63" s="36">
        <f>IFERROR(INDEX('Level Multiplier'!$D:$D,MATCH(AZ63,'Level Multiplier'!$A:$A,0)),"")</f>
        <v>1.6739202933726098</v>
      </c>
      <c r="BB63" s="37">
        <f t="shared" si="12"/>
        <v>14</v>
      </c>
      <c r="BC63" s="37">
        <f t="shared" si="13"/>
        <v>15</v>
      </c>
      <c r="BD63" s="38">
        <f t="shared" si="14"/>
        <v>1428772218.9126272</v>
      </c>
      <c r="BE63" s="38">
        <f t="shared" si="15"/>
        <v>1430891272.7096331</v>
      </c>
      <c r="BF63" s="38" t="b">
        <f t="shared" si="16"/>
        <v>0</v>
      </c>
      <c r="BG63" s="37">
        <f t="array" ref="BG63:BQ63">IF(BF63,"",IVSolution($M63,$N63,$O63,BB63,BC63,BD63,BE63,$E63,$F63,$G63,$H63,$I63))</f>
        <v>2</v>
      </c>
      <c r="BH63" s="37">
        <v>42</v>
      </c>
      <c r="BI63" s="37">
        <v>42</v>
      </c>
      <c r="BJ63" s="39">
        <v>0.93333333333333335</v>
      </c>
      <c r="BK63" s="39">
        <v>0.93333333333333335</v>
      </c>
      <c r="BL63" s="37">
        <v>14</v>
      </c>
      <c r="BM63" s="37">
        <v>15</v>
      </c>
      <c r="BN63" s="37">
        <v>14</v>
      </c>
      <c r="BO63" s="37">
        <v>14</v>
      </c>
      <c r="BP63" s="37">
        <v>13</v>
      </c>
      <c r="BQ63" s="37">
        <v>14</v>
      </c>
      <c r="BR63" s="40">
        <f t="shared" si="17"/>
        <v>20.5</v>
      </c>
      <c r="BS63" s="36">
        <f>IFERROR(INDEX('Level Multiplier'!$D:$D,MATCH(BR63,'Level Multiplier'!$A:$A,0)),"")</f>
        <v>1.653387720177633</v>
      </c>
      <c r="BT63" s="37">
        <f t="shared" si="18"/>
        <v>12</v>
      </c>
      <c r="BU63" s="37">
        <f t="shared" si="19"/>
        <v>13</v>
      </c>
      <c r="BV63" s="38">
        <f t="shared" si="20"/>
        <v>1359949339.4406583</v>
      </c>
      <c r="BW63" s="38">
        <f t="shared" si="21"/>
        <v>1361966320.0155401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20</v>
      </c>
      <c r="CK63" s="41">
        <f t="shared" si="24"/>
        <v>20</v>
      </c>
      <c r="CL63" s="39">
        <f t="shared" si="25"/>
        <v>0.93333333333333335</v>
      </c>
      <c r="CM63" s="39">
        <f t="shared" si="26"/>
        <v>0.93333333333333335</v>
      </c>
      <c r="CN63" s="42">
        <f t="shared" si="27"/>
        <v>14</v>
      </c>
      <c r="CO63" s="42">
        <f t="shared" si="28"/>
        <v>15</v>
      </c>
      <c r="CP63" s="42">
        <f t="shared" si="29"/>
        <v>14</v>
      </c>
      <c r="CQ63" s="42">
        <f t="shared" si="30"/>
        <v>14</v>
      </c>
      <c r="CR63" s="42">
        <f t="shared" si="31"/>
        <v>13</v>
      </c>
      <c r="CS63" s="42">
        <f t="shared" si="32"/>
        <v>14</v>
      </c>
      <c r="CT63" s="43" t="str">
        <f t="shared" si="33"/>
        <v>14-15</v>
      </c>
      <c r="CU63" s="43">
        <f t="shared" si="34"/>
        <v>14</v>
      </c>
      <c r="CV63" s="43" t="str">
        <f t="shared" si="35"/>
        <v>13-14</v>
      </c>
      <c r="CW63" s="13" t="s">
        <v>398</v>
      </c>
    </row>
    <row r="64" spans="1:101" x14ac:dyDescent="0.25">
      <c r="A64" s="31" t="s">
        <v>63</v>
      </c>
      <c r="B64" s="13">
        <v>585</v>
      </c>
      <c r="C64" s="13">
        <v>90</v>
      </c>
      <c r="D64" s="13">
        <v>25</v>
      </c>
      <c r="E64" s="32"/>
      <c r="F64" s="32"/>
      <c r="G64" s="32"/>
      <c r="H64" s="32"/>
      <c r="I64" s="32"/>
      <c r="J64" s="13"/>
      <c r="K64" s="33">
        <v>20</v>
      </c>
      <c r="L64" s="34">
        <f>IFERROR(INDEX('Pokemon Data'!A:A,MATCH($A64,'Pokemon Data'!$B:$B,0)),"")</f>
        <v>35</v>
      </c>
      <c r="M64" s="34">
        <f>IFERROR(INDEX('Pokemon Data'!I:I,MATCH($A64,'Pokemon Data'!$B:$B,0)),"")</f>
        <v>140</v>
      </c>
      <c r="N64" s="34">
        <f>IFERROR(INDEX('Pokemon Data'!J:J,MATCH($A64,'Pokemon Data'!$B:$B,0)),"")</f>
        <v>107</v>
      </c>
      <c r="O64" s="34">
        <f>IFERROR(INDEX('Pokemon Data'!K:K,MATCH($A64,'Pokemon Data'!$B:$B,0)),"")</f>
        <v>116</v>
      </c>
      <c r="P64" s="35">
        <f>IFERROR(INDEX('Level Multiplier'!$A:$A,MATCH($D64,'Level Multiplier'!$B:$B,0)),"")</f>
        <v>19</v>
      </c>
      <c r="Q64" s="36">
        <f>IFERROR(INDEX('Level Multiplier'!$D:$D,MATCH(P64,'Level Multiplier'!$A:$A,0)),"")</f>
        <v>1.7173900390793821</v>
      </c>
      <c r="R64" s="37">
        <f t="shared" si="0"/>
        <v>15</v>
      </c>
      <c r="S64" s="37">
        <f t="shared" si="1"/>
        <v>15</v>
      </c>
      <c r="T64" s="38">
        <f t="shared" si="2"/>
        <v>297705933.6434828</v>
      </c>
      <c r="U64" s="38">
        <f t="shared" si="3"/>
        <v>298724601.62009621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Multiplier'!$D:$D,MATCH(AH64,'Level Multiplier'!$A:$A,0)),"")</f>
        <v>1.6952373004785586</v>
      </c>
      <c r="AJ64" s="37">
        <f t="shared" si="6"/>
        <v>13</v>
      </c>
      <c r="AK64" s="37">
        <f t="shared" si="7"/>
        <v>14</v>
      </c>
      <c r="AL64" s="38">
        <f t="shared" si="8"/>
        <v>282640069.16177255</v>
      </c>
      <c r="AM64" s="38">
        <f t="shared" si="9"/>
        <v>283607185.88611597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Multiplier'!$D:$D,MATCH(AZ64,'Level Multiplier'!$A:$A,0)),"")</f>
        <v>1.6739202933726098</v>
      </c>
      <c r="BB64" s="37">
        <f t="shared" si="12"/>
        <v>11</v>
      </c>
      <c r="BC64" s="37">
        <f t="shared" si="13"/>
        <v>12</v>
      </c>
      <c r="BD64" s="38">
        <f t="shared" si="14"/>
        <v>268689583.43103111</v>
      </c>
      <c r="BE64" s="38">
        <f t="shared" si="15"/>
        <v>269608965.42298883</v>
      </c>
      <c r="BF64" s="38" t="b">
        <f t="shared" si="16"/>
        <v>0</v>
      </c>
      <c r="BG64" s="37">
        <f t="array" ref="BG64:BQ64">IF(BF64,"",IVSolution($M64,$N64,$O64,BB64,BC64,BD64,BE64,$E64,$F64,$G64,$H64,$I64))</f>
        <v>8</v>
      </c>
      <c r="BH64" s="37">
        <v>30</v>
      </c>
      <c r="BI64" s="37">
        <v>35</v>
      </c>
      <c r="BJ64" s="39">
        <v>0.66666666666666663</v>
      </c>
      <c r="BK64" s="39">
        <v>0.77777777777777779</v>
      </c>
      <c r="BL64" s="37">
        <v>11</v>
      </c>
      <c r="BM64" s="37">
        <v>12</v>
      </c>
      <c r="BN64" s="37">
        <v>10</v>
      </c>
      <c r="BO64" s="37">
        <v>15</v>
      </c>
      <c r="BP64" s="37">
        <v>3</v>
      </c>
      <c r="BQ64" s="37">
        <v>14</v>
      </c>
      <c r="BR64" s="40">
        <f t="shared" si="17"/>
        <v>20.5</v>
      </c>
      <c r="BS64" s="36">
        <f>IFERROR(INDEX('Level Multiplier'!$D:$D,MATCH(BR64,'Level Multiplier'!$A:$A,0)),"")</f>
        <v>1.653387720177633</v>
      </c>
      <c r="BT64" s="37">
        <f t="shared" si="18"/>
        <v>9</v>
      </c>
      <c r="BU64" s="37">
        <f t="shared" si="19"/>
        <v>10</v>
      </c>
      <c r="BV64" s="38">
        <f t="shared" si="20"/>
        <v>255747008.98069587</v>
      </c>
      <c r="BW64" s="38">
        <f t="shared" si="21"/>
        <v>256622105.0359706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20</v>
      </c>
      <c r="CK64" s="41">
        <f t="shared" si="24"/>
        <v>20</v>
      </c>
      <c r="CL64" s="39">
        <f t="shared" si="25"/>
        <v>0.66666666666666663</v>
      </c>
      <c r="CM64" s="39">
        <f t="shared" si="26"/>
        <v>0.77777777777777779</v>
      </c>
      <c r="CN64" s="42">
        <f t="shared" si="27"/>
        <v>11</v>
      </c>
      <c r="CO64" s="42">
        <f t="shared" si="28"/>
        <v>12</v>
      </c>
      <c r="CP64" s="42">
        <f t="shared" si="29"/>
        <v>10</v>
      </c>
      <c r="CQ64" s="42">
        <f t="shared" si="30"/>
        <v>15</v>
      </c>
      <c r="CR64" s="42">
        <f t="shared" si="31"/>
        <v>3</v>
      </c>
      <c r="CS64" s="42">
        <f t="shared" si="32"/>
        <v>14</v>
      </c>
      <c r="CT64" s="43" t="str">
        <f t="shared" si="33"/>
        <v>11-12</v>
      </c>
      <c r="CU64" s="43" t="str">
        <f t="shared" si="34"/>
        <v>10-15</v>
      </c>
      <c r="CV64" s="43" t="str">
        <f t="shared" si="35"/>
        <v>3-14</v>
      </c>
      <c r="CW64" s="13"/>
    </row>
    <row r="65" spans="1:101" x14ac:dyDescent="0.25">
      <c r="A65" s="31" t="s">
        <v>67</v>
      </c>
      <c r="B65" s="13">
        <v>426</v>
      </c>
      <c r="C65" s="13">
        <v>53</v>
      </c>
      <c r="D65" s="13">
        <v>25</v>
      </c>
      <c r="E65" s="32"/>
      <c r="F65" s="32"/>
      <c r="G65" s="32"/>
      <c r="H65" s="32"/>
      <c r="I65" s="32"/>
      <c r="J65" s="13"/>
      <c r="K65" s="33"/>
      <c r="L65" s="34">
        <f>IFERROR(INDEX('Pokemon Data'!A:A,MATCH($A65,'Pokemon Data'!$B:$B,0)),"")</f>
        <v>37</v>
      </c>
      <c r="M65" s="34">
        <f>IFERROR(INDEX('Pokemon Data'!I:I,MATCH($A65,'Pokemon Data'!$B:$B,0)),"")</f>
        <v>76</v>
      </c>
      <c r="N65" s="34">
        <f>IFERROR(INDEX('Pokemon Data'!J:J,MATCH($A65,'Pokemon Data'!$B:$B,0)),"")</f>
        <v>96</v>
      </c>
      <c r="O65" s="34">
        <f>IFERROR(INDEX('Pokemon Data'!K:K,MATCH($A65,'Pokemon Data'!$B:$B,0)),"")</f>
        <v>122</v>
      </c>
      <c r="P65" s="35">
        <f>IFERROR(INDEX('Level Multiplier'!$A:$A,MATCH($D65,'Level Multiplier'!$B:$B,0)),"")</f>
        <v>19</v>
      </c>
      <c r="Q65" s="36">
        <f>IFERROR(INDEX('Level Multiplier'!$D:$D,MATCH(P65,'Level Multiplier'!$A:$A,0)),"")</f>
        <v>1.7173900390793821</v>
      </c>
      <c r="R65" s="37">
        <f t="shared" si="0"/>
        <v>16</v>
      </c>
      <c r="S65" s="37">
        <f t="shared" si="1"/>
        <v>15</v>
      </c>
      <c r="T65" s="38">
        <f t="shared" si="2"/>
        <v>157868308.90170118</v>
      </c>
      <c r="U65" s="38">
        <f t="shared" si="3"/>
        <v>158610344.58406773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19.5</v>
      </c>
      <c r="AI65" s="36">
        <f>IFERROR(INDEX('Level Multiplier'!$D:$D,MATCH(AH65,'Level Multiplier'!$A:$A,0)),"")</f>
        <v>1.6952373004785586</v>
      </c>
      <c r="AJ65" s="37">
        <f t="shared" si="6"/>
        <v>14</v>
      </c>
      <c r="AK65" s="37">
        <f t="shared" si="7"/>
        <v>15</v>
      </c>
      <c r="AL65" s="38">
        <f t="shared" si="8"/>
        <v>149879141.47476614</v>
      </c>
      <c r="AM65" s="38">
        <f t="shared" si="9"/>
        <v>150583625.30556455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20</v>
      </c>
      <c r="BA65" s="36">
        <f>IFERROR(INDEX('Level Multiplier'!$D:$D,MATCH(AZ65,'Level Multiplier'!$A:$A,0)),"")</f>
        <v>1.6739202933726098</v>
      </c>
      <c r="BB65" s="37">
        <f t="shared" si="12"/>
        <v>13</v>
      </c>
      <c r="BC65" s="37">
        <f t="shared" si="13"/>
        <v>14</v>
      </c>
      <c r="BD65" s="38">
        <f t="shared" si="14"/>
        <v>142481440.11317059</v>
      </c>
      <c r="BE65" s="38">
        <f t="shared" si="15"/>
        <v>143151152.18758556</v>
      </c>
      <c r="BF65" s="38" t="b">
        <f t="shared" si="16"/>
        <v>0</v>
      </c>
      <c r="BG65" s="37">
        <f t="array" ref="BG65:BQ65">IF(BF65,"",IVSolution($M65,$N65,$O65,BB65,BC65,BD65,BE65,$E65,$F65,$G65,$H65,$I65))</f>
        <v>5</v>
      </c>
      <c r="BH65" s="37">
        <v>36</v>
      </c>
      <c r="BI65" s="37">
        <v>40</v>
      </c>
      <c r="BJ65" s="39">
        <v>0.8</v>
      </c>
      <c r="BK65" s="39">
        <v>0.88888888888888884</v>
      </c>
      <c r="BL65" s="37">
        <v>13</v>
      </c>
      <c r="BM65" s="37">
        <v>14</v>
      </c>
      <c r="BN65" s="37">
        <v>12</v>
      </c>
      <c r="BO65" s="37">
        <v>15</v>
      </c>
      <c r="BP65" s="37">
        <v>7</v>
      </c>
      <c r="BQ65" s="37">
        <v>14</v>
      </c>
      <c r="BR65" s="40">
        <f t="shared" si="17"/>
        <v>20.5</v>
      </c>
      <c r="BS65" s="36">
        <f>IFERROR(INDEX('Level Multiplier'!$D:$D,MATCH(BR65,'Level Multiplier'!$A:$A,0)),"")</f>
        <v>1.653387720177633</v>
      </c>
      <c r="BT65" s="37">
        <f t="shared" si="18"/>
        <v>12</v>
      </c>
      <c r="BU65" s="37">
        <f t="shared" si="19"/>
        <v>13</v>
      </c>
      <c r="BV65" s="38">
        <f t="shared" si="20"/>
        <v>135618216.67552271</v>
      </c>
      <c r="BW65" s="38">
        <f t="shared" si="21"/>
        <v>136255669.22475359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20</v>
      </c>
      <c r="CK65" s="41">
        <f t="shared" si="24"/>
        <v>20</v>
      </c>
      <c r="CL65" s="39">
        <f t="shared" si="25"/>
        <v>0.8</v>
      </c>
      <c r="CM65" s="39">
        <f t="shared" si="26"/>
        <v>0.88888888888888884</v>
      </c>
      <c r="CN65" s="42">
        <f t="shared" si="27"/>
        <v>13</v>
      </c>
      <c r="CO65" s="42">
        <f t="shared" si="28"/>
        <v>14</v>
      </c>
      <c r="CP65" s="42">
        <f t="shared" si="29"/>
        <v>12</v>
      </c>
      <c r="CQ65" s="42">
        <f t="shared" si="30"/>
        <v>15</v>
      </c>
      <c r="CR65" s="42">
        <f t="shared" si="31"/>
        <v>7</v>
      </c>
      <c r="CS65" s="42">
        <f t="shared" si="32"/>
        <v>14</v>
      </c>
      <c r="CT65" s="43" t="str">
        <f t="shared" si="33"/>
        <v>13-14</v>
      </c>
      <c r="CU65" s="43" t="str">
        <f t="shared" si="34"/>
        <v>12-15</v>
      </c>
      <c r="CV65" s="43" t="str">
        <f t="shared" si="35"/>
        <v>7-14</v>
      </c>
      <c r="CW65" s="13"/>
    </row>
    <row r="66" spans="1:101" x14ac:dyDescent="0.25">
      <c r="A66" s="31" t="s">
        <v>67</v>
      </c>
      <c r="B66" s="13">
        <v>237</v>
      </c>
      <c r="C66" s="13">
        <v>38</v>
      </c>
      <c r="D66" s="13">
        <v>13</v>
      </c>
      <c r="E66" s="32"/>
      <c r="F66" s="32"/>
      <c r="G66" s="32"/>
      <c r="H66" s="32"/>
      <c r="I66" s="32"/>
      <c r="J66" s="13"/>
      <c r="K66" s="33">
        <v>11</v>
      </c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Multiplier'!$A:$A,MATCH($D66,'Level Multiplier'!$B:$B,0)),"")</f>
        <v>11</v>
      </c>
      <c r="Q66" s="36">
        <f>IFERROR(INDEX('Level Multiplier'!$D:$D,MATCH(P66,'Level Multiplier'!$A:$A,0)),"")</f>
        <v>2.2567884478610214</v>
      </c>
      <c r="R66" s="37">
        <f t="shared" si="0"/>
        <v>10</v>
      </c>
      <c r="S66" s="37">
        <f t="shared" si="1"/>
        <v>12</v>
      </c>
      <c r="T66" s="38">
        <f t="shared" si="2"/>
        <v>145700181.3394872</v>
      </c>
      <c r="U66" s="38">
        <f t="shared" si="3"/>
        <v>146932312.69550666</v>
      </c>
      <c r="V66" s="38" t="b">
        <f t="shared" si="4"/>
        <v>0</v>
      </c>
      <c r="W66" s="37">
        <f t="array" ref="W66:AG66">IF(V66,"",IVSolution($M66,$N66,$O66,R66,S66,T66,U66,$E66,$F66,$G66,$H66,$I66))</f>
        <v>4</v>
      </c>
      <c r="X66" s="37">
        <v>40</v>
      </c>
      <c r="Y66" s="37">
        <v>41</v>
      </c>
      <c r="Z66" s="39">
        <v>0.88888888888888884</v>
      </c>
      <c r="AA66" s="39">
        <v>0.91111111111111109</v>
      </c>
      <c r="AB66" s="37">
        <v>11</v>
      </c>
      <c r="AC66" s="37">
        <v>12</v>
      </c>
      <c r="AD66" s="37">
        <v>14</v>
      </c>
      <c r="AE66" s="37">
        <v>15</v>
      </c>
      <c r="AF66" s="37">
        <v>13</v>
      </c>
      <c r="AG66" s="37">
        <v>15</v>
      </c>
      <c r="AH66" s="40">
        <f t="shared" si="5"/>
        <v>11.5</v>
      </c>
      <c r="AI66" s="36">
        <f>IFERROR(INDEX('Level Multiplier'!$D:$D,MATCH(AH66,'Level Multiplier'!$A:$A,0)),"")</f>
        <v>2.2072133782377708</v>
      </c>
      <c r="AJ66" s="37">
        <f t="shared" si="6"/>
        <v>8</v>
      </c>
      <c r="AK66" s="37">
        <f t="shared" si="7"/>
        <v>10</v>
      </c>
      <c r="AL66" s="38">
        <f t="shared" si="8"/>
        <v>133313451.10743985</v>
      </c>
      <c r="AM66" s="38">
        <f t="shared" si="9"/>
        <v>134440832.56831744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12</v>
      </c>
      <c r="BA66" s="36">
        <f>IFERROR(INDEX('Level Multiplier'!$D:$D,MATCH(AZ66,'Level Multiplier'!$A:$A,0)),"")</f>
        <v>2.1607681046600011</v>
      </c>
      <c r="BB66" s="37">
        <f t="shared" si="12"/>
        <v>7</v>
      </c>
      <c r="BC66" s="37">
        <f t="shared" si="13"/>
        <v>8</v>
      </c>
      <c r="BD66" s="38">
        <f t="shared" si="14"/>
        <v>122441695.33920623</v>
      </c>
      <c r="BE66" s="38">
        <f t="shared" si="15"/>
        <v>123477138.47129196</v>
      </c>
      <c r="BF66" s="38" t="b">
        <f t="shared" si="16"/>
        <v>1</v>
      </c>
      <c r="BG66" s="37" t="str">
        <f t="array" ref="BG66:BQ66">IF(BF66,"",IVSolution($M66,$N66,$O66,BB66,BC66,BD66,BE66,$E66,$F66,$G66,$H66,$I66))</f>
        <v/>
      </c>
      <c r="BH66" s="37" t="str">
        <v/>
      </c>
      <c r="BI66" s="37" t="str">
        <v/>
      </c>
      <c r="BJ66" s="39" t="str">
        <v/>
      </c>
      <c r="BK66" s="39" t="str">
        <v/>
      </c>
      <c r="BL66" s="37" t="str">
        <v/>
      </c>
      <c r="BM66" s="37" t="str">
        <v/>
      </c>
      <c r="BN66" s="37" t="str">
        <v/>
      </c>
      <c r="BO66" s="37" t="str">
        <v/>
      </c>
      <c r="BP66" s="37" t="str">
        <v/>
      </c>
      <c r="BQ66" s="37" t="str">
        <v/>
      </c>
      <c r="BR66" s="40">
        <f t="shared" si="17"/>
        <v>12.5</v>
      </c>
      <c r="BS66" s="36">
        <f>IFERROR(INDEX('Level Multiplier'!$D:$D,MATCH(BR66,'Level Multiplier'!$A:$A,0)),"")</f>
        <v>2.1171365813269869</v>
      </c>
      <c r="BT66" s="37">
        <f t="shared" si="18"/>
        <v>5</v>
      </c>
      <c r="BU66" s="37">
        <f t="shared" si="19"/>
        <v>6</v>
      </c>
      <c r="BV66" s="38">
        <f t="shared" si="20"/>
        <v>112847566.20400335</v>
      </c>
      <c r="BW66" s="38">
        <f t="shared" si="21"/>
        <v>113801875.41276444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11</v>
      </c>
      <c r="CK66" s="41">
        <f t="shared" si="24"/>
        <v>11</v>
      </c>
      <c r="CL66" s="39">
        <f t="shared" si="25"/>
        <v>0.88888888888888884</v>
      </c>
      <c r="CM66" s="39">
        <f t="shared" si="26"/>
        <v>0.91111111111111109</v>
      </c>
      <c r="CN66" s="42">
        <f t="shared" si="27"/>
        <v>11</v>
      </c>
      <c r="CO66" s="42">
        <f t="shared" si="28"/>
        <v>12</v>
      </c>
      <c r="CP66" s="42">
        <f t="shared" si="29"/>
        <v>14</v>
      </c>
      <c r="CQ66" s="42">
        <f t="shared" si="30"/>
        <v>15</v>
      </c>
      <c r="CR66" s="42">
        <f t="shared" si="31"/>
        <v>13</v>
      </c>
      <c r="CS66" s="42">
        <f t="shared" si="32"/>
        <v>15</v>
      </c>
      <c r="CT66" s="43" t="str">
        <f t="shared" si="33"/>
        <v>11-12</v>
      </c>
      <c r="CU66" s="43" t="str">
        <f t="shared" si="34"/>
        <v>14-15</v>
      </c>
      <c r="CV66" s="43" t="str">
        <f t="shared" si="35"/>
        <v>13-15</v>
      </c>
      <c r="CW66" s="13"/>
    </row>
    <row r="67" spans="1:101" x14ac:dyDescent="0.25">
      <c r="A67" s="31" t="s">
        <v>68</v>
      </c>
      <c r="B67" s="13">
        <v>1199</v>
      </c>
      <c r="C67" s="13">
        <v>93</v>
      </c>
      <c r="D67" s="13">
        <v>25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38</v>
      </c>
      <c r="M67" s="34">
        <f>IFERROR(INDEX('Pokemon Data'!I:I,MATCH($A67,'Pokemon Data'!$B:$B,0)),"")</f>
        <v>146</v>
      </c>
      <c r="N67" s="34">
        <f>IFERROR(INDEX('Pokemon Data'!J:J,MATCH($A67,'Pokemon Data'!$B:$B,0)),"")</f>
        <v>169</v>
      </c>
      <c r="O67" s="34">
        <f>IFERROR(INDEX('Pokemon Data'!K:K,MATCH($A67,'Pokemon Data'!$B:$B,0)),"")</f>
        <v>204</v>
      </c>
      <c r="P67" s="35">
        <f>IFERROR(INDEX('Level Multiplier'!$A:$A,MATCH($D67,'Level Multiplier'!$B:$B,0)),"")</f>
        <v>19</v>
      </c>
      <c r="Q67" s="36">
        <f>IFERROR(INDEX('Level Multiplier'!$D:$D,MATCH(P67,'Level Multiplier'!$A:$A,0)),"")</f>
        <v>1.7173900390793821</v>
      </c>
      <c r="R67" s="37">
        <f t="shared" ref="R67:R130" si="36">IF(P67="","",IF($C67&gt;10,MAX(0,ROUNDUP(Q67*$C67-$M67,0)),0))</f>
        <v>14</v>
      </c>
      <c r="S67" s="37">
        <f t="shared" ref="S67:S130" si="37">IF(P67="","",MIN(15,ROUNDDOWN(Q67*($C67+1)-$M67,0)))</f>
        <v>15</v>
      </c>
      <c r="T67" s="38">
        <f t="shared" ref="T67:T130" si="38">IFERROR(IF($B67&gt;10,100*Q67^4*$B67^2,$N67^2*$O67*($M67+R67)),"")</f>
        <v>1250587618.9986253</v>
      </c>
      <c r="U67" s="38">
        <f t="shared" ref="U67:U130" si="39">IFERROR(100*Q67^4*($B67+1)^2,"")</f>
        <v>1252674539.9857266</v>
      </c>
      <c r="V67" s="38" t="b">
        <f t="shared" ref="V67:V130" si="40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1">IFERROR(P67+0.5,"")</f>
        <v>19.5</v>
      </c>
      <c r="AI67" s="36">
        <f>IFERROR(INDEX('Level Multiplier'!$D:$D,MATCH(AH67,'Level Multiplier'!$A:$A,0)),"")</f>
        <v>1.6952373004785586</v>
      </c>
      <c r="AJ67" s="37">
        <f t="shared" ref="AJ67:AJ130" si="42">IF(AH67="","",IF($C67&gt;10,MAX(0,ROUNDUP(AI67*$C67-$M67,0)),0))</f>
        <v>12</v>
      </c>
      <c r="AK67" s="37">
        <f t="shared" ref="AK67:AK130" si="43">IF(AH67="","",MIN(15,ROUNDDOWN(AI67*($C67+1)-$M67,0)))</f>
        <v>13</v>
      </c>
      <c r="AL67" s="38">
        <f t="shared" ref="AL67:AL130" si="44">IFERROR(IF($B67&gt;10,100*AI67^4*$B67^2,$N67^2*$O67*($M67+AJ67)),"")</f>
        <v>1187299718.2176445</v>
      </c>
      <c r="AM67" s="38">
        <f t="shared" ref="AM67:AM130" si="45">IFERROR(100*AI67^4*($B67+1)^2,"")</f>
        <v>1189281027.3736649</v>
      </c>
      <c r="AN67" s="38" t="b">
        <f t="shared" ref="AN67:AN130" si="46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7">IFERROR(AH67+0.5,"")</f>
        <v>20</v>
      </c>
      <c r="BA67" s="36">
        <f>IFERROR(INDEX('Level Multiplier'!$D:$D,MATCH(AZ67,'Level Multiplier'!$A:$A,0)),"")</f>
        <v>1.6739202933726098</v>
      </c>
      <c r="BB67" s="37">
        <f t="shared" ref="BB67:BB130" si="48">IF(AZ67="","",IF($C67&gt;10,MAX(0,ROUNDUP(BA67*$C67-$M67,0)),0))</f>
        <v>10</v>
      </c>
      <c r="BC67" s="37">
        <f t="shared" ref="BC67:BC130" si="49">IF(AZ67="","",MIN(15,ROUNDDOWN(BA67*($C67+1)-$M67,0)))</f>
        <v>11</v>
      </c>
      <c r="BD67" s="38">
        <f t="shared" ref="BD67:BD130" si="50">IFERROR(IF($B67&gt;10,100*BA67^4*$B67^2,$N67^2*$O67*($M67+BB67)),"")</f>
        <v>1128697242.545208</v>
      </c>
      <c r="BE67" s="38">
        <f t="shared" ref="BE67:BE130" si="51">IFERROR(100*BA67^4*($B67+1)^2,"")</f>
        <v>1130580758.6841545</v>
      </c>
      <c r="BF67" s="38" t="b">
        <f t="shared" ref="BF67:BF130" si="52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2</v>
      </c>
      <c r="BH67" s="37">
        <v>35</v>
      </c>
      <c r="BI67" s="37">
        <v>36</v>
      </c>
      <c r="BJ67" s="39">
        <v>0.77777777777777779</v>
      </c>
      <c r="BK67" s="39">
        <v>0.8</v>
      </c>
      <c r="BL67" s="37">
        <v>10</v>
      </c>
      <c r="BM67" s="37">
        <v>11</v>
      </c>
      <c r="BN67" s="37">
        <v>14</v>
      </c>
      <c r="BO67" s="37">
        <v>15</v>
      </c>
      <c r="BP67" s="37">
        <v>10</v>
      </c>
      <c r="BQ67" s="37">
        <v>11</v>
      </c>
      <c r="BR67" s="40">
        <f t="shared" ref="BR67:BR130" si="53">IFERROR(AZ67+0.5,"")</f>
        <v>20.5</v>
      </c>
      <c r="BS67" s="36">
        <f>IFERROR(INDEX('Level Multiplier'!$D:$D,MATCH(BR67,'Level Multiplier'!$A:$A,0)),"")</f>
        <v>1.653387720177633</v>
      </c>
      <c r="BT67" s="37">
        <f t="shared" ref="BT67:BT130" si="54">IF(BR67="","",IF($C67&gt;10,MAX(0,ROUNDUP(BS67*$C67-$M67,0)),0))</f>
        <v>8</v>
      </c>
      <c r="BU67" s="37">
        <f t="shared" ref="BU67:BU130" si="55">IF(BR67="","",MIN(15,ROUNDDOWN(BS67*($C67+1)-$M67,0)))</f>
        <v>9</v>
      </c>
      <c r="BV67" s="38">
        <f t="shared" ref="BV67:BV130" si="56">IFERROR(IF($B67&gt;10,100*BS67^4*$B67^2,$N67^2*$O67*($M67+BT67)),"")</f>
        <v>1074328748.2143543</v>
      </c>
      <c r="BW67" s="38">
        <f t="shared" ref="BW67:BW130" si="57">IFERROR(100*BS67^4*($B67+1)^2,"")</f>
        <v>1076121536.802402</v>
      </c>
      <c r="BX67" s="38" t="b">
        <f t="shared" ref="BX67:BX130" si="58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9">IF(IFERROR(W67*1,0)&gt;0,P67,IF(IFERROR(AO67*1,0)&gt;0,AH67,IF(IFERROR(BG67*1,0)&gt;0,AZ67,IF(IFERROR(BY67*1,0)&gt;0,BR67,""))))</f>
        <v>20</v>
      </c>
      <c r="CK67" s="41">
        <f t="shared" ref="CK67:CK130" si="60">IF(IFERROR(BY67*1,0)&gt;0,BR67,IF(IFERROR(BG67*1,0)&gt;0,AZ67,IF(IFERROR(AO67*1,0)&gt;0,AH67,IF(IFERROR(W67*1,0)&gt;0,P67,""))))</f>
        <v>20</v>
      </c>
      <c r="CL67" s="39">
        <f t="shared" ref="CL67:CL130" si="61">IF(OR(CJ67="",CK67=""),"",MIN(Z67,AR67,BJ67,CB67))</f>
        <v>0.77777777777777779</v>
      </c>
      <c r="CM67" s="39">
        <f t="shared" ref="CM67:CM130" si="62">IF(OR(CJ67="",CK67=""),"",MAX(AA67,AS67,BK67,CC67))</f>
        <v>0.8</v>
      </c>
      <c r="CN67" s="42">
        <f t="shared" ref="CN67:CN130" si="63">IF(OR(CJ67="",CK67=""),"",MIN(AB67,AT67,BL67,CD67))</f>
        <v>10</v>
      </c>
      <c r="CO67" s="42">
        <f t="shared" ref="CO67:CO130" si="64">IF(OR(CJ67="",CK67=""),"",MAX(AC67,AU67,BM67,CE67))</f>
        <v>11</v>
      </c>
      <c r="CP67" s="42">
        <f t="shared" ref="CP67:CP130" si="65">IF(OR(CJ67="",CK67=""),"",MIN(AD67,AV67,BN67,CF67))</f>
        <v>14</v>
      </c>
      <c r="CQ67" s="42">
        <f t="shared" ref="CQ67:CQ130" si="66">IF(OR(CJ67="",CK67=""),"",MAX(AE67,AW67,BO67,CG67))</f>
        <v>15</v>
      </c>
      <c r="CR67" s="42">
        <f t="shared" ref="CR67:CR130" si="67">IF(OR(CJ67="",CK67=""),"",MIN(AF67,AX67,BP67,CH67))</f>
        <v>10</v>
      </c>
      <c r="CS67" s="42">
        <f t="shared" ref="CS67:CS130" si="68">IF(OR(CJ67="",CK67=""),"",MAX(AG67,AY67,BQ67,CI67))</f>
        <v>11</v>
      </c>
      <c r="CT67" s="43" t="str">
        <f t="shared" ref="CT67:CT130" si="69">IF(CN67=CO67,CO67,CN67&amp;"-"&amp;CO67)</f>
        <v>10-11</v>
      </c>
      <c r="CU67" s="43" t="str">
        <f t="shared" ref="CU67:CU130" si="70">IF(CP67=CQ67,CQ67,CP67&amp;"-"&amp;CQ67)</f>
        <v>14-15</v>
      </c>
      <c r="CV67" s="43" t="str">
        <f t="shared" ref="CV67:CV130" si="71">IF(CR67=CS67,CS67,CR67&amp;"-"&amp;CS67)</f>
        <v>10-11</v>
      </c>
      <c r="CW67" s="13" t="s">
        <v>403</v>
      </c>
    </row>
    <row r="68" spans="1:101" x14ac:dyDescent="0.25">
      <c r="A68" s="31" t="s">
        <v>69</v>
      </c>
      <c r="B68" s="13">
        <v>274</v>
      </c>
      <c r="C68" s="13">
        <v>121</v>
      </c>
      <c r="D68" s="13">
        <v>16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39</v>
      </c>
      <c r="M68" s="34">
        <f>IFERROR(INDEX('Pokemon Data'!I:I,MATCH($A68,'Pokemon Data'!$B:$B,0)),"")</f>
        <v>230</v>
      </c>
      <c r="N68" s="34">
        <f>IFERROR(INDEX('Pokemon Data'!J:J,MATCH($A68,'Pokemon Data'!$B:$B,0)),"")</f>
        <v>80</v>
      </c>
      <c r="O68" s="34">
        <f>IFERROR(INDEX('Pokemon Data'!K:K,MATCH($A68,'Pokemon Data'!$B:$B,0)),"")</f>
        <v>44</v>
      </c>
      <c r="P68" s="35">
        <f>IFERROR(INDEX('Level Multiplier'!$A:$A,MATCH($D68,'Level Multiplier'!$B:$B,0)),"")</f>
        <v>13</v>
      </c>
      <c r="Q68" s="36">
        <f>IFERROR(INDEX('Level Multiplier'!$D:$D,MATCH(P68,'Level Multiplier'!$A:$A,0)),"")</f>
        <v>2.0760457639376111</v>
      </c>
      <c r="R68" s="37">
        <f t="shared" si="36"/>
        <v>22</v>
      </c>
      <c r="S68" s="37">
        <f t="shared" si="37"/>
        <v>15</v>
      </c>
      <c r="T68" s="38">
        <f t="shared" si="38"/>
        <v>139459728.94490573</v>
      </c>
      <c r="U68" s="38">
        <f t="shared" si="39"/>
        <v>140479540.75148508</v>
      </c>
      <c r="V68" s="38" t="b">
        <f t="shared" si="40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1"/>
        <v>13.5</v>
      </c>
      <c r="AI68" s="36">
        <f>IFERROR(INDEX('Level Multiplier'!$D:$D,MATCH(AH68,'Level Multiplier'!$A:$A,0)),"")</f>
        <v>2.0372581927319593</v>
      </c>
      <c r="AJ68" s="37">
        <f t="shared" si="42"/>
        <v>17</v>
      </c>
      <c r="AK68" s="37">
        <f t="shared" si="43"/>
        <v>15</v>
      </c>
      <c r="AL68" s="38">
        <f t="shared" si="44"/>
        <v>129325872.6383176</v>
      </c>
      <c r="AM68" s="38">
        <f t="shared" si="45"/>
        <v>130271579.70953125</v>
      </c>
      <c r="AN68" s="38" t="b">
        <f t="shared" si="46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7"/>
        <v>14</v>
      </c>
      <c r="BA68" s="36">
        <f>IFERROR(INDEX('Level Multiplier'!$D:$D,MATCH(AZ68,'Level Multiplier'!$A:$A,0)),"")</f>
        <v>2.0005664003592698</v>
      </c>
      <c r="BB68" s="37">
        <f t="shared" si="48"/>
        <v>13</v>
      </c>
      <c r="BC68" s="37">
        <f t="shared" si="49"/>
        <v>14</v>
      </c>
      <c r="BD68" s="38">
        <f t="shared" si="50"/>
        <v>120257731.64990801</v>
      </c>
      <c r="BE68" s="38">
        <f t="shared" si="51"/>
        <v>121137127.1248374</v>
      </c>
      <c r="BF68" s="38" t="b">
        <f t="shared" si="52"/>
        <v>0</v>
      </c>
      <c r="BG68" s="37">
        <f t="array" ref="BG68:BQ68">IF(BF68,"",IVSolution($M68,$N68,$O68,BB68,BC68,BD68,BE68,$E68,$F68,$G68,$H68,$I68))</f>
        <v>4</v>
      </c>
      <c r="BH68" s="37">
        <v>39</v>
      </c>
      <c r="BI68" s="37">
        <v>40</v>
      </c>
      <c r="BJ68" s="39">
        <v>0.8666666666666667</v>
      </c>
      <c r="BK68" s="39">
        <v>0.88888888888888884</v>
      </c>
      <c r="BL68" s="37">
        <v>13</v>
      </c>
      <c r="BM68" s="37">
        <v>14</v>
      </c>
      <c r="BN68" s="37">
        <v>13</v>
      </c>
      <c r="BO68" s="37">
        <v>15</v>
      </c>
      <c r="BP68" s="37">
        <v>11</v>
      </c>
      <c r="BQ68" s="37">
        <v>13</v>
      </c>
      <c r="BR68" s="40">
        <f t="shared" si="53"/>
        <v>14.5</v>
      </c>
      <c r="BS68" s="36">
        <f>IFERROR(INDEX('Level Multiplier'!$D:$D,MATCH(BR68,'Level Multiplier'!$A:$A,0)),"")</f>
        <v>1.9657883435887038</v>
      </c>
      <c r="BT68" s="37">
        <f t="shared" si="54"/>
        <v>8</v>
      </c>
      <c r="BU68" s="37">
        <f t="shared" si="55"/>
        <v>9</v>
      </c>
      <c r="BV68" s="38">
        <f t="shared" si="56"/>
        <v>112110979.70647867</v>
      </c>
      <c r="BW68" s="38">
        <f t="shared" si="57"/>
        <v>112930801.32535629</v>
      </c>
      <c r="BX68" s="38" t="b">
        <f t="shared" si="58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9"/>
        <v>14</v>
      </c>
      <c r="CK68" s="41">
        <f t="shared" si="60"/>
        <v>14</v>
      </c>
      <c r="CL68" s="39">
        <f t="shared" si="61"/>
        <v>0.8666666666666667</v>
      </c>
      <c r="CM68" s="39">
        <f t="shared" si="62"/>
        <v>0.88888888888888884</v>
      </c>
      <c r="CN68" s="42">
        <f t="shared" si="63"/>
        <v>13</v>
      </c>
      <c r="CO68" s="42">
        <f t="shared" si="64"/>
        <v>14</v>
      </c>
      <c r="CP68" s="42">
        <f t="shared" si="65"/>
        <v>13</v>
      </c>
      <c r="CQ68" s="42">
        <f t="shared" si="66"/>
        <v>15</v>
      </c>
      <c r="CR68" s="42">
        <f t="shared" si="67"/>
        <v>11</v>
      </c>
      <c r="CS68" s="42">
        <f t="shared" si="68"/>
        <v>13</v>
      </c>
      <c r="CT68" s="43" t="str">
        <f t="shared" si="69"/>
        <v>13-14</v>
      </c>
      <c r="CU68" s="43" t="str">
        <f t="shared" si="70"/>
        <v>13-15</v>
      </c>
      <c r="CV68" s="43" t="str">
        <f t="shared" si="71"/>
        <v>11-13</v>
      </c>
      <c r="CW68" s="13"/>
    </row>
    <row r="69" spans="1:101" x14ac:dyDescent="0.25">
      <c r="A69" s="31" t="s">
        <v>71</v>
      </c>
      <c r="B69" s="13">
        <v>1077</v>
      </c>
      <c r="C69" s="13">
        <v>176</v>
      </c>
      <c r="D69" s="13">
        <v>25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40</v>
      </c>
      <c r="M69" s="34">
        <f>IFERROR(INDEX('Pokemon Data'!I:I,MATCH($A69,'Pokemon Data'!$B:$B,0)),"")</f>
        <v>280</v>
      </c>
      <c r="N69" s="34">
        <f>IFERROR(INDEX('Pokemon Data'!J:J,MATCH($A69,'Pokemon Data'!$B:$B,0)),"")</f>
        <v>156</v>
      </c>
      <c r="O69" s="34">
        <f>IFERROR(INDEX('Pokemon Data'!K:K,MATCH($A69,'Pokemon Data'!$B:$B,0)),"")</f>
        <v>93</v>
      </c>
      <c r="P69" s="35">
        <f>IFERROR(INDEX('Level Multiplier'!$A:$A,MATCH($D69,'Level Multiplier'!$B:$B,0)),"")</f>
        <v>19</v>
      </c>
      <c r="Q69" s="36">
        <f>IFERROR(INDEX('Level Multiplier'!$D:$D,MATCH(P69,'Level Multiplier'!$A:$A,0)),"")</f>
        <v>1.7173900390793821</v>
      </c>
      <c r="R69" s="37">
        <f t="shared" si="36"/>
        <v>23</v>
      </c>
      <c r="S69" s="37">
        <f t="shared" si="37"/>
        <v>15</v>
      </c>
      <c r="T69" s="38">
        <f t="shared" si="38"/>
        <v>1009037171.1743776</v>
      </c>
      <c r="U69" s="38">
        <f t="shared" si="39"/>
        <v>1010911833.4199812</v>
      </c>
      <c r="V69" s="38" t="b">
        <f t="shared" si="40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1"/>
        <v>19.5</v>
      </c>
      <c r="AI69" s="36">
        <f>IFERROR(INDEX('Level Multiplier'!$D:$D,MATCH(AH69,'Level Multiplier'!$A:$A,0)),"")</f>
        <v>1.6952373004785586</v>
      </c>
      <c r="AJ69" s="37">
        <f t="shared" si="42"/>
        <v>19</v>
      </c>
      <c r="AK69" s="37">
        <f t="shared" si="43"/>
        <v>15</v>
      </c>
      <c r="AL69" s="38">
        <f t="shared" si="44"/>
        <v>957973300.5559082</v>
      </c>
      <c r="AM69" s="38">
        <f t="shared" si="45"/>
        <v>959753092.64895689</v>
      </c>
      <c r="AN69" s="38" t="b">
        <f t="shared" si="46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7"/>
        <v>20</v>
      </c>
      <c r="BA69" s="36">
        <f>IFERROR(INDEX('Level Multiplier'!$D:$D,MATCH(AZ69,'Level Multiplier'!$A:$A,0)),"")</f>
        <v>1.6739202933726098</v>
      </c>
      <c r="BB69" s="37">
        <f t="shared" si="48"/>
        <v>15</v>
      </c>
      <c r="BC69" s="37">
        <f t="shared" si="49"/>
        <v>15</v>
      </c>
      <c r="BD69" s="38">
        <f t="shared" si="50"/>
        <v>910689867.24982834</v>
      </c>
      <c r="BE69" s="38">
        <f t="shared" si="51"/>
        <v>912381812.76022017</v>
      </c>
      <c r="BF69" s="38" t="b">
        <f t="shared" si="52"/>
        <v>0</v>
      </c>
      <c r="BG69" s="37">
        <f t="array" ref="BG69:BQ69">IF(BF69,"",IVSolution($M69,$N69,$O69,BB69,BC69,BD69,BE69,$E69,$F69,$G69,$H69,$I69))</f>
        <v>1</v>
      </c>
      <c r="BH69" s="37">
        <v>43</v>
      </c>
      <c r="BI69" s="37">
        <v>43</v>
      </c>
      <c r="BJ69" s="39">
        <v>0.9555555555555556</v>
      </c>
      <c r="BK69" s="39">
        <v>0.9555555555555556</v>
      </c>
      <c r="BL69" s="37">
        <v>15</v>
      </c>
      <c r="BM69" s="37">
        <v>15</v>
      </c>
      <c r="BN69" s="37">
        <v>14</v>
      </c>
      <c r="BO69" s="37">
        <v>14</v>
      </c>
      <c r="BP69" s="37">
        <v>14</v>
      </c>
      <c r="BQ69" s="37">
        <v>14</v>
      </c>
      <c r="BR69" s="40">
        <f t="shared" si="53"/>
        <v>20.5</v>
      </c>
      <c r="BS69" s="36">
        <f>IFERROR(INDEX('Level Multiplier'!$D:$D,MATCH(BR69,'Level Multiplier'!$A:$A,0)),"")</f>
        <v>1.653387720177633</v>
      </c>
      <c r="BT69" s="37">
        <f t="shared" si="54"/>
        <v>11</v>
      </c>
      <c r="BU69" s="37">
        <f t="shared" si="55"/>
        <v>12</v>
      </c>
      <c r="BV69" s="38">
        <f t="shared" si="56"/>
        <v>866822623.65393984</v>
      </c>
      <c r="BW69" s="38">
        <f t="shared" si="57"/>
        <v>868433069.42602956</v>
      </c>
      <c r="BX69" s="38" t="b">
        <f t="shared" si="58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9"/>
        <v>20</v>
      </c>
      <c r="CK69" s="41">
        <f t="shared" si="60"/>
        <v>20</v>
      </c>
      <c r="CL69" s="39">
        <f t="shared" si="61"/>
        <v>0.9555555555555556</v>
      </c>
      <c r="CM69" s="39">
        <f t="shared" si="62"/>
        <v>0.9555555555555556</v>
      </c>
      <c r="CN69" s="42">
        <f t="shared" si="63"/>
        <v>15</v>
      </c>
      <c r="CO69" s="42">
        <f t="shared" si="64"/>
        <v>15</v>
      </c>
      <c r="CP69" s="42">
        <f t="shared" si="65"/>
        <v>14</v>
      </c>
      <c r="CQ69" s="42">
        <f t="shared" si="66"/>
        <v>14</v>
      </c>
      <c r="CR69" s="42">
        <f t="shared" si="67"/>
        <v>14</v>
      </c>
      <c r="CS69" s="42">
        <f t="shared" si="68"/>
        <v>14</v>
      </c>
      <c r="CT69" s="43">
        <f t="shared" si="69"/>
        <v>15</v>
      </c>
      <c r="CU69" s="43">
        <f t="shared" si="70"/>
        <v>14</v>
      </c>
      <c r="CV69" s="43">
        <f t="shared" si="71"/>
        <v>14</v>
      </c>
      <c r="CW69" s="13" t="s">
        <v>399</v>
      </c>
    </row>
    <row r="70" spans="1:101" x14ac:dyDescent="0.25">
      <c r="A70" s="31" t="s">
        <v>71</v>
      </c>
      <c r="B70" s="13">
        <v>1066</v>
      </c>
      <c r="C70" s="13">
        <v>174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Multiplier'!$A:$A,MATCH($D70,'Level Multiplier'!$B:$B,0)),"")</f>
        <v>19</v>
      </c>
      <c r="Q70" s="36">
        <f>IFERROR(INDEX('Level Multiplier'!$D:$D,MATCH(P70,'Level Multiplier'!$A:$A,0)),"")</f>
        <v>1.7173900390793821</v>
      </c>
      <c r="R70" s="37">
        <f t="shared" si="36"/>
        <v>19</v>
      </c>
      <c r="S70" s="37">
        <f t="shared" si="37"/>
        <v>15</v>
      </c>
      <c r="T70" s="38">
        <f t="shared" si="38"/>
        <v>988530714.97223628</v>
      </c>
      <c r="U70" s="38">
        <f t="shared" si="39"/>
        <v>990386239.13459015</v>
      </c>
      <c r="V70" s="38" t="b">
        <f t="shared" si="40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1"/>
        <v>19.5</v>
      </c>
      <c r="AI70" s="36">
        <f>IFERROR(INDEX('Level Multiplier'!$D:$D,MATCH(AH70,'Level Multiplier'!$A:$A,0)),"")</f>
        <v>1.6952373004785586</v>
      </c>
      <c r="AJ70" s="37">
        <f t="shared" si="42"/>
        <v>15</v>
      </c>
      <c r="AK70" s="37">
        <f t="shared" si="43"/>
        <v>15</v>
      </c>
      <c r="AL70" s="38">
        <f t="shared" si="44"/>
        <v>938504604.95988083</v>
      </c>
      <c r="AM70" s="38">
        <f t="shared" si="45"/>
        <v>940266227.48167801</v>
      </c>
      <c r="AN70" s="38" t="b">
        <f t="shared" si="46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7"/>
        <v>20</v>
      </c>
      <c r="BA70" s="36">
        <f>IFERROR(INDEX('Level Multiplier'!$D:$D,MATCH(AZ70,'Level Multiplier'!$A:$A,0)),"")</f>
        <v>1.6739202933726098</v>
      </c>
      <c r="BB70" s="37">
        <f t="shared" si="48"/>
        <v>12</v>
      </c>
      <c r="BC70" s="37">
        <f t="shared" si="49"/>
        <v>12</v>
      </c>
      <c r="BD70" s="38">
        <f t="shared" si="50"/>
        <v>892182103.20506334</v>
      </c>
      <c r="BE70" s="38">
        <f t="shared" si="51"/>
        <v>893856775.95386422</v>
      </c>
      <c r="BF70" s="38" t="b">
        <f t="shared" si="52"/>
        <v>0</v>
      </c>
      <c r="BG70" s="37">
        <f t="array" ref="BG70:BQ70">IF(BF70,"",IVSolution($M70,$N70,$O70,BB70,BC70,BD70,BE70,$E70,$F70,$G70,$H70,$I70))</f>
        <v>1</v>
      </c>
      <c r="BH70" s="37">
        <v>39</v>
      </c>
      <c r="BI70" s="37">
        <v>39</v>
      </c>
      <c r="BJ70" s="39">
        <v>0.8666666666666667</v>
      </c>
      <c r="BK70" s="39">
        <v>0.8666666666666667</v>
      </c>
      <c r="BL70" s="37">
        <v>12</v>
      </c>
      <c r="BM70" s="37">
        <v>12</v>
      </c>
      <c r="BN70" s="37">
        <v>13</v>
      </c>
      <c r="BO70" s="37">
        <v>13</v>
      </c>
      <c r="BP70" s="37">
        <v>14</v>
      </c>
      <c r="BQ70" s="37">
        <v>14</v>
      </c>
      <c r="BR70" s="40">
        <f t="shared" si="53"/>
        <v>20.5</v>
      </c>
      <c r="BS70" s="36">
        <f>IFERROR(INDEX('Level Multiplier'!$D:$D,MATCH(BR70,'Level Multiplier'!$A:$A,0)),"")</f>
        <v>1.653387720177633</v>
      </c>
      <c r="BT70" s="37">
        <f t="shared" si="54"/>
        <v>8</v>
      </c>
      <c r="BU70" s="37">
        <f t="shared" si="55"/>
        <v>9</v>
      </c>
      <c r="BV70" s="38">
        <f t="shared" si="56"/>
        <v>849206364.63515997</v>
      </c>
      <c r="BW70" s="38">
        <f t="shared" si="57"/>
        <v>850800369.66154861</v>
      </c>
      <c r="BX70" s="38" t="b">
        <f t="shared" si="58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9"/>
        <v>20</v>
      </c>
      <c r="CK70" s="41">
        <f t="shared" si="60"/>
        <v>20</v>
      </c>
      <c r="CL70" s="39">
        <f t="shared" si="61"/>
        <v>0.8666666666666667</v>
      </c>
      <c r="CM70" s="39">
        <f t="shared" si="62"/>
        <v>0.8666666666666667</v>
      </c>
      <c r="CN70" s="42">
        <f t="shared" si="63"/>
        <v>12</v>
      </c>
      <c r="CO70" s="42">
        <f t="shared" si="64"/>
        <v>12</v>
      </c>
      <c r="CP70" s="42">
        <f t="shared" si="65"/>
        <v>13</v>
      </c>
      <c r="CQ70" s="42">
        <f t="shared" si="66"/>
        <v>13</v>
      </c>
      <c r="CR70" s="42">
        <f t="shared" si="67"/>
        <v>14</v>
      </c>
      <c r="CS70" s="42">
        <f t="shared" si="68"/>
        <v>14</v>
      </c>
      <c r="CT70" s="43">
        <f t="shared" si="69"/>
        <v>12</v>
      </c>
      <c r="CU70" s="43">
        <f t="shared" si="70"/>
        <v>13</v>
      </c>
      <c r="CV70" s="43">
        <f t="shared" si="71"/>
        <v>14</v>
      </c>
      <c r="CW70" s="13" t="s">
        <v>403</v>
      </c>
    </row>
    <row r="71" spans="1:101" x14ac:dyDescent="0.25">
      <c r="A71" s="31" t="s">
        <v>72</v>
      </c>
      <c r="B71" s="13">
        <v>440</v>
      </c>
      <c r="C71" s="13">
        <v>66</v>
      </c>
      <c r="D71" s="13">
        <v>50</v>
      </c>
      <c r="E71" s="32"/>
      <c r="F71" s="32"/>
      <c r="G71" s="32"/>
      <c r="H71" s="32"/>
      <c r="I71" s="32"/>
      <c r="J71" s="13"/>
      <c r="K71" s="33">
        <v>29</v>
      </c>
      <c r="L71" s="34">
        <f>IFERROR(INDEX('Pokemon Data'!A:A,MATCH($A71,'Pokemon Data'!$B:$B,0)),"")</f>
        <v>41</v>
      </c>
      <c r="M71" s="34">
        <f>IFERROR(INDEX('Pokemon Data'!I:I,MATCH($A71,'Pokemon Data'!$B:$B,0)),"")</f>
        <v>80</v>
      </c>
      <c r="N71" s="34">
        <f>IFERROR(INDEX('Pokemon Data'!J:J,MATCH($A71,'Pokemon Data'!$B:$B,0)),"")</f>
        <v>83</v>
      </c>
      <c r="O71" s="34">
        <f>IFERROR(INDEX('Pokemon Data'!K:K,MATCH($A71,'Pokemon Data'!$B:$B,0)),"")</f>
        <v>76</v>
      </c>
      <c r="P71" s="35">
        <f>IFERROR(INDEX('Level Multiplier'!$A:$A,MATCH($D71,'Level Multiplier'!$B:$B,0)),"")</f>
        <v>29</v>
      </c>
      <c r="Q71" s="36">
        <f>IFERROR(INDEX('Level Multiplier'!$D:$D,MATCH(P71,'Level Multiplier'!$A:$A,0)),"")</f>
        <v>1.3900490199396833</v>
      </c>
      <c r="R71" s="37">
        <f t="shared" si="36"/>
        <v>12</v>
      </c>
      <c r="S71" s="37">
        <f t="shared" si="37"/>
        <v>13</v>
      </c>
      <c r="T71" s="38">
        <f t="shared" si="38"/>
        <v>72281276.966289356</v>
      </c>
      <c r="U71" s="38">
        <f t="shared" si="39"/>
        <v>72610201.578930378</v>
      </c>
      <c r="V71" s="38" t="b">
        <f t="shared" si="40"/>
        <v>0</v>
      </c>
      <c r="W71" s="37">
        <f t="array" ref="W71:AG71">IF(V71,"",IVSolution($M71,$N71,$O71,R71,S71,T71,U71,$E71,$F71,$G71,$H71,$I71))</f>
        <v>6</v>
      </c>
      <c r="X71" s="37">
        <v>33</v>
      </c>
      <c r="Y71" s="37">
        <v>37</v>
      </c>
      <c r="Z71" s="39">
        <v>0.73333333333333328</v>
      </c>
      <c r="AA71" s="39">
        <v>0.82222222222222219</v>
      </c>
      <c r="AB71" s="37">
        <v>12</v>
      </c>
      <c r="AC71" s="37">
        <v>13</v>
      </c>
      <c r="AD71" s="37">
        <v>10</v>
      </c>
      <c r="AE71" s="37">
        <v>15</v>
      </c>
      <c r="AF71" s="37">
        <v>5</v>
      </c>
      <c r="AG71" s="37">
        <v>15</v>
      </c>
      <c r="AH71" s="40">
        <f t="shared" si="41"/>
        <v>29.5</v>
      </c>
      <c r="AI71" s="36">
        <f>IFERROR(INDEX('Level Multiplier'!$D:$D,MATCH(AH71,'Level Multiplier'!$A:$A,0)),"")</f>
        <v>1.378223825401578</v>
      </c>
      <c r="AJ71" s="37">
        <f t="shared" si="42"/>
        <v>11</v>
      </c>
      <c r="AK71" s="37">
        <f t="shared" si="43"/>
        <v>12</v>
      </c>
      <c r="AL71" s="38">
        <f t="shared" si="44"/>
        <v>69852887.982904911</v>
      </c>
      <c r="AM71" s="38">
        <f t="shared" si="45"/>
        <v>70170761.920471743</v>
      </c>
      <c r="AN71" s="38" t="b">
        <f t="shared" si="46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7"/>
        <v>30</v>
      </c>
      <c r="BA71" s="36">
        <f>IFERROR(INDEX('Level Multiplier'!$D:$D,MATCH(AZ71,'Level Multiplier'!$A:$A,0)),"")</f>
        <v>1.3666803334700013</v>
      </c>
      <c r="BB71" s="37">
        <f t="shared" si="48"/>
        <v>11</v>
      </c>
      <c r="BC71" s="37">
        <f t="shared" si="49"/>
        <v>11</v>
      </c>
      <c r="BD71" s="38">
        <f t="shared" si="50"/>
        <v>67541878.128427431</v>
      </c>
      <c r="BE71" s="38">
        <f t="shared" si="51"/>
        <v>67849235.538712263</v>
      </c>
      <c r="BF71" s="38" t="b">
        <f t="shared" si="52"/>
        <v>1</v>
      </c>
      <c r="BG71" s="37" t="str">
        <f t="array" ref="BG71:BQ71">IF(BF71,"",IVSolution($M71,$N71,$O71,BB71,BC71,BD71,BE71,$E71,$F71,$G71,$H71,$I71))</f>
        <v/>
      </c>
      <c r="BH71" s="37" t="str">
        <v/>
      </c>
      <c r="BI71" s="37" t="str">
        <v/>
      </c>
      <c r="BJ71" s="39" t="str">
        <v/>
      </c>
      <c r="BK71" s="39" t="str">
        <v/>
      </c>
      <c r="BL71" s="37" t="str">
        <v/>
      </c>
      <c r="BM71" s="37" t="str">
        <v/>
      </c>
      <c r="BN71" s="37" t="str">
        <v/>
      </c>
      <c r="BO71" s="37" t="str">
        <v/>
      </c>
      <c r="BP71" s="37" t="str">
        <v/>
      </c>
      <c r="BQ71" s="37" t="str">
        <v/>
      </c>
      <c r="BR71" s="40">
        <f t="shared" si="53"/>
        <v>30.5</v>
      </c>
      <c r="BS71" s="36">
        <f>IFERROR(INDEX('Level Multiplier'!$D:$D,MATCH(BR71,'Level Multiplier'!$A:$A,0)),"")</f>
        <v>1.3610237998842938</v>
      </c>
      <c r="BT71" s="37">
        <f t="shared" si="54"/>
        <v>10</v>
      </c>
      <c r="BU71" s="37">
        <f t="shared" si="55"/>
        <v>11</v>
      </c>
      <c r="BV71" s="38">
        <f t="shared" si="56"/>
        <v>66430608.665283747</v>
      </c>
      <c r="BW71" s="38">
        <f t="shared" si="57"/>
        <v>66732909.110707901</v>
      </c>
      <c r="BX71" s="38" t="b">
        <f t="shared" si="58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9"/>
        <v>29</v>
      </c>
      <c r="CK71" s="41">
        <f t="shared" si="60"/>
        <v>29</v>
      </c>
      <c r="CL71" s="39">
        <f t="shared" si="61"/>
        <v>0.73333333333333328</v>
      </c>
      <c r="CM71" s="39">
        <f t="shared" si="62"/>
        <v>0.82222222222222219</v>
      </c>
      <c r="CN71" s="42">
        <f t="shared" si="63"/>
        <v>12</v>
      </c>
      <c r="CO71" s="42">
        <f t="shared" si="64"/>
        <v>13</v>
      </c>
      <c r="CP71" s="42">
        <f t="shared" si="65"/>
        <v>10</v>
      </c>
      <c r="CQ71" s="42">
        <f t="shared" si="66"/>
        <v>15</v>
      </c>
      <c r="CR71" s="42">
        <f t="shared" si="67"/>
        <v>5</v>
      </c>
      <c r="CS71" s="42">
        <f t="shared" si="68"/>
        <v>15</v>
      </c>
      <c r="CT71" s="43" t="str">
        <f t="shared" si="69"/>
        <v>12-13</v>
      </c>
      <c r="CU71" s="43" t="str">
        <f t="shared" si="70"/>
        <v>10-15</v>
      </c>
      <c r="CV71" s="43" t="str">
        <f t="shared" si="71"/>
        <v>5-15</v>
      </c>
      <c r="CW71" s="13" t="s">
        <v>404</v>
      </c>
    </row>
    <row r="72" spans="1:101" x14ac:dyDescent="0.25">
      <c r="A72" s="31" t="s">
        <v>72</v>
      </c>
      <c r="B72" s="13">
        <v>414</v>
      </c>
      <c r="C72" s="13">
        <v>65</v>
      </c>
      <c r="D72" s="13">
        <v>45</v>
      </c>
      <c r="E72" s="32"/>
      <c r="F72" s="32"/>
      <c r="G72" s="32"/>
      <c r="H72" s="32"/>
      <c r="I72" s="32"/>
      <c r="J72" s="13"/>
      <c r="K72" s="33">
        <v>27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Multiplier'!$A:$A,MATCH($D72,'Level Multiplier'!$B:$B,0)),"")</f>
        <v>27</v>
      </c>
      <c r="Q72" s="36">
        <f>IFERROR(INDEX('Level Multiplier'!$D:$D,MATCH(P72,'Level Multiplier'!$A:$A,0)),"")</f>
        <v>1.4406239976408342</v>
      </c>
      <c r="R72" s="37">
        <f t="shared" si="36"/>
        <v>14</v>
      </c>
      <c r="S72" s="37">
        <f t="shared" si="37"/>
        <v>15</v>
      </c>
      <c r="T72" s="38">
        <f t="shared" si="38"/>
        <v>73824967.054267287</v>
      </c>
      <c r="U72" s="38">
        <f t="shared" si="39"/>
        <v>74182040.134665832</v>
      </c>
      <c r="V72" s="38" t="b">
        <f t="shared" si="40"/>
        <v>0</v>
      </c>
      <c r="W72" s="37">
        <f t="array" ref="W72:AG72">IF(V72,"",IVSolution($M72,$N72,$O72,R72,S72,T72,U72,$E72,$F72,$G72,$H72,$I72))</f>
        <v>6</v>
      </c>
      <c r="X72" s="37">
        <v>35</v>
      </c>
      <c r="Y72" s="37">
        <v>39</v>
      </c>
      <c r="Z72" s="39">
        <v>0.77777777777777779</v>
      </c>
      <c r="AA72" s="39">
        <v>0.8666666666666667</v>
      </c>
      <c r="AB72" s="37">
        <v>14</v>
      </c>
      <c r="AC72" s="37">
        <v>15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1"/>
        <v>27.5</v>
      </c>
      <c r="AI72" s="36">
        <f>IFERROR(INDEX('Level Multiplier'!$D:$D,MATCH(AH72,'Level Multiplier'!$A:$A,0)),"")</f>
        <v>1.4274729412404619</v>
      </c>
      <c r="AJ72" s="37">
        <f t="shared" si="42"/>
        <v>13</v>
      </c>
      <c r="AK72" s="37">
        <f t="shared" si="43"/>
        <v>14</v>
      </c>
      <c r="AL72" s="38">
        <f t="shared" si="44"/>
        <v>71165945.022862494</v>
      </c>
      <c r="AM72" s="38">
        <f t="shared" si="45"/>
        <v>71510157.072291613</v>
      </c>
      <c r="AN72" s="38" t="b">
        <f t="shared" si="46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7"/>
        <v>28</v>
      </c>
      <c r="BA72" s="36">
        <f>IFERROR(INDEX('Level Multiplier'!$D:$D,MATCH(AZ72,'Level Multiplier'!$A:$A,0)),"")</f>
        <v>1.4146588449047404</v>
      </c>
      <c r="BB72" s="37">
        <f t="shared" si="48"/>
        <v>12</v>
      </c>
      <c r="BC72" s="37">
        <f t="shared" si="49"/>
        <v>13</v>
      </c>
      <c r="BD72" s="38">
        <f t="shared" si="50"/>
        <v>68644786.610520825</v>
      </c>
      <c r="BE72" s="38">
        <f t="shared" si="51"/>
        <v>68976804.441159353</v>
      </c>
      <c r="BF72" s="38" t="b">
        <f t="shared" si="52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3"/>
        <v>28.5</v>
      </c>
      <c r="BS72" s="36">
        <f>IFERROR(INDEX('Level Multiplier'!$D:$D,MATCH(BR72,'Level Multiplier'!$A:$A,0)),"")</f>
        <v>1.4022000597460618</v>
      </c>
      <c r="BT72" s="37">
        <f t="shared" si="54"/>
        <v>12</v>
      </c>
      <c r="BU72" s="37">
        <f t="shared" si="55"/>
        <v>12</v>
      </c>
      <c r="BV72" s="38">
        <f t="shared" si="56"/>
        <v>66258348.582898065</v>
      </c>
      <c r="BW72" s="38">
        <f t="shared" si="57"/>
        <v>66578823.803878844</v>
      </c>
      <c r="BX72" s="38" t="b">
        <f t="shared" si="58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9"/>
        <v>27</v>
      </c>
      <c r="CK72" s="41">
        <f t="shared" si="60"/>
        <v>27</v>
      </c>
      <c r="CL72" s="39">
        <f t="shared" si="61"/>
        <v>0.77777777777777779</v>
      </c>
      <c r="CM72" s="39">
        <f t="shared" si="62"/>
        <v>0.8666666666666667</v>
      </c>
      <c r="CN72" s="42">
        <f t="shared" si="63"/>
        <v>14</v>
      </c>
      <c r="CO72" s="42">
        <f t="shared" si="64"/>
        <v>15</v>
      </c>
      <c r="CP72" s="42">
        <f t="shared" si="65"/>
        <v>10</v>
      </c>
      <c r="CQ72" s="42">
        <f t="shared" si="66"/>
        <v>15</v>
      </c>
      <c r="CR72" s="42">
        <f t="shared" si="67"/>
        <v>5</v>
      </c>
      <c r="CS72" s="42">
        <f t="shared" si="68"/>
        <v>15</v>
      </c>
      <c r="CT72" s="43" t="str">
        <f t="shared" si="69"/>
        <v>14-15</v>
      </c>
      <c r="CU72" s="43" t="str">
        <f t="shared" si="70"/>
        <v>10-15</v>
      </c>
      <c r="CV72" s="43" t="str">
        <f t="shared" si="71"/>
        <v>5-15</v>
      </c>
      <c r="CW72" s="13" t="s">
        <v>404</v>
      </c>
    </row>
    <row r="73" spans="1:101" x14ac:dyDescent="0.25">
      <c r="A73" s="31" t="s">
        <v>72</v>
      </c>
      <c r="B73" s="13">
        <v>316</v>
      </c>
      <c r="C73" s="13">
        <v>56</v>
      </c>
      <c r="D73" s="13">
        <v>25</v>
      </c>
      <c r="E73" s="32"/>
      <c r="F73" s="32"/>
      <c r="G73" s="32"/>
      <c r="H73" s="32"/>
      <c r="I73" s="32"/>
      <c r="J73" s="13"/>
      <c r="K73" s="33"/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Multiplier'!$A:$A,MATCH($D73,'Level Multiplier'!$B:$B,0)),"")</f>
        <v>19</v>
      </c>
      <c r="Q73" s="36">
        <f>IFERROR(INDEX('Level Multiplier'!$D:$D,MATCH(P73,'Level Multiplier'!$A:$A,0)),"")</f>
        <v>1.7173900390793821</v>
      </c>
      <c r="R73" s="37">
        <f t="shared" si="36"/>
        <v>17</v>
      </c>
      <c r="S73" s="37">
        <f t="shared" si="37"/>
        <v>15</v>
      </c>
      <c r="T73" s="38">
        <f t="shared" si="38"/>
        <v>86866020.045010209</v>
      </c>
      <c r="U73" s="38">
        <f t="shared" si="39"/>
        <v>87416674.894878939</v>
      </c>
      <c r="V73" s="38" t="b">
        <f t="shared" si="40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1"/>
        <v>19.5</v>
      </c>
      <c r="AI73" s="36">
        <f>IFERROR(INDEX('Level Multiplier'!$D:$D,MATCH(AH73,'Level Multiplier'!$A:$A,0)),"")</f>
        <v>1.6952373004785586</v>
      </c>
      <c r="AJ73" s="37">
        <f t="shared" si="42"/>
        <v>15</v>
      </c>
      <c r="AK73" s="37">
        <f t="shared" si="43"/>
        <v>15</v>
      </c>
      <c r="AL73" s="38">
        <f t="shared" si="44"/>
        <v>82470032.131544918</v>
      </c>
      <c r="AM73" s="38">
        <f t="shared" si="45"/>
        <v>82992820.249827921</v>
      </c>
      <c r="AN73" s="38" t="b">
        <f t="shared" si="46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7"/>
        <v>20</v>
      </c>
      <c r="BA73" s="36">
        <f>IFERROR(INDEX('Level Multiplier'!$D:$D,MATCH(AZ73,'Level Multiplier'!$A:$A,0)),"")</f>
        <v>1.6739202933726098</v>
      </c>
      <c r="BB73" s="37">
        <f t="shared" si="48"/>
        <v>14</v>
      </c>
      <c r="BC73" s="37">
        <f t="shared" si="49"/>
        <v>15</v>
      </c>
      <c r="BD73" s="38">
        <f t="shared" si="50"/>
        <v>78399494.610531211</v>
      </c>
      <c r="BE73" s="38">
        <f t="shared" si="51"/>
        <v>78896479.069036111</v>
      </c>
      <c r="BF73" s="38" t="b">
        <f t="shared" si="52"/>
        <v>0</v>
      </c>
      <c r="BG73" s="37">
        <f t="array" ref="BG73:BQ73">IF(BF73,"",IVSolution($M73,$N73,$O73,BB73,BC73,BD73,BE73,$E73,$F73,$G73,$H73,$I73))</f>
        <v>6</v>
      </c>
      <c r="BH73" s="37">
        <v>40</v>
      </c>
      <c r="BI73" s="37">
        <v>42</v>
      </c>
      <c r="BJ73" s="39">
        <v>0.88888888888888884</v>
      </c>
      <c r="BK73" s="39">
        <v>0.93333333333333335</v>
      </c>
      <c r="BL73" s="37">
        <v>14</v>
      </c>
      <c r="BM73" s="37">
        <v>15</v>
      </c>
      <c r="BN73" s="37">
        <v>13</v>
      </c>
      <c r="BO73" s="37">
        <v>15</v>
      </c>
      <c r="BP73" s="37">
        <v>10</v>
      </c>
      <c r="BQ73" s="37">
        <v>15</v>
      </c>
      <c r="BR73" s="40">
        <f t="shared" si="53"/>
        <v>20.5</v>
      </c>
      <c r="BS73" s="36">
        <f>IFERROR(INDEX('Level Multiplier'!$D:$D,MATCH(BR73,'Level Multiplier'!$A:$A,0)),"")</f>
        <v>1.653387720177633</v>
      </c>
      <c r="BT73" s="37">
        <f t="shared" si="54"/>
        <v>13</v>
      </c>
      <c r="BU73" s="37">
        <f t="shared" si="55"/>
        <v>14</v>
      </c>
      <c r="BV73" s="38">
        <f t="shared" si="56"/>
        <v>74623050.124264345</v>
      </c>
      <c r="BW73" s="38">
        <f t="shared" si="57"/>
        <v>75096095.216483742</v>
      </c>
      <c r="BX73" s="38" t="b">
        <f t="shared" si="58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9"/>
        <v>20</v>
      </c>
      <c r="CK73" s="41">
        <f t="shared" si="60"/>
        <v>20</v>
      </c>
      <c r="CL73" s="39">
        <f t="shared" si="61"/>
        <v>0.88888888888888884</v>
      </c>
      <c r="CM73" s="39">
        <f t="shared" si="62"/>
        <v>0.93333333333333335</v>
      </c>
      <c r="CN73" s="42">
        <f t="shared" si="63"/>
        <v>14</v>
      </c>
      <c r="CO73" s="42">
        <f t="shared" si="64"/>
        <v>15</v>
      </c>
      <c r="CP73" s="42">
        <f t="shared" si="65"/>
        <v>13</v>
      </c>
      <c r="CQ73" s="42">
        <f t="shared" si="66"/>
        <v>15</v>
      </c>
      <c r="CR73" s="42">
        <f t="shared" si="67"/>
        <v>10</v>
      </c>
      <c r="CS73" s="42">
        <f t="shared" si="68"/>
        <v>15</v>
      </c>
      <c r="CT73" s="43" t="str">
        <f t="shared" si="69"/>
        <v>14-15</v>
      </c>
      <c r="CU73" s="43" t="str">
        <f t="shared" si="70"/>
        <v>13-15</v>
      </c>
      <c r="CV73" s="43" t="str">
        <f t="shared" si="71"/>
        <v>10-15</v>
      </c>
      <c r="CW73" s="13" t="s">
        <v>404</v>
      </c>
    </row>
    <row r="74" spans="1:101" x14ac:dyDescent="0.25">
      <c r="A74" s="31" t="s">
        <v>72</v>
      </c>
      <c r="B74" s="13">
        <v>311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Multiplier'!$A:$A,MATCH($D74,'Level Multiplier'!$B:$B,0)),"")</f>
        <v>19</v>
      </c>
      <c r="Q74" s="36">
        <f>IFERROR(INDEX('Level Multiplier'!$D:$D,MATCH(P74,'Level Multiplier'!$A:$A,0)),"")</f>
        <v>1.7173900390793821</v>
      </c>
      <c r="R74" s="37">
        <f t="shared" si="36"/>
        <v>17</v>
      </c>
      <c r="S74" s="37">
        <f t="shared" si="37"/>
        <v>15</v>
      </c>
      <c r="T74" s="38">
        <f t="shared" si="38"/>
        <v>84138843.181916282</v>
      </c>
      <c r="U74" s="38">
        <f t="shared" si="39"/>
        <v>84680798.903035119</v>
      </c>
      <c r="V74" s="38" t="b">
        <f t="shared" si="40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1"/>
        <v>19.5</v>
      </c>
      <c r="AI74" s="36">
        <f>IFERROR(INDEX('Level Multiplier'!$D:$D,MATCH(AH74,'Level Multiplier'!$A:$A,0)),"")</f>
        <v>1.6952373004785586</v>
      </c>
      <c r="AJ74" s="37">
        <f t="shared" si="42"/>
        <v>15</v>
      </c>
      <c r="AK74" s="37">
        <f t="shared" si="43"/>
        <v>15</v>
      </c>
      <c r="AL74" s="38">
        <f t="shared" si="44"/>
        <v>79880868.228200167</v>
      </c>
      <c r="AM74" s="38">
        <f t="shared" si="45"/>
        <v>80395397.450459749</v>
      </c>
      <c r="AN74" s="38" t="b">
        <f t="shared" si="46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7"/>
        <v>20</v>
      </c>
      <c r="BA74" s="36">
        <f>IFERROR(INDEX('Level Multiplier'!$D:$D,MATCH(AZ74,'Level Multiplier'!$A:$A,0)),"")</f>
        <v>1.6739202933726098</v>
      </c>
      <c r="BB74" s="37">
        <f t="shared" si="48"/>
        <v>14</v>
      </c>
      <c r="BC74" s="37">
        <f t="shared" si="49"/>
        <v>15</v>
      </c>
      <c r="BD74" s="38">
        <f t="shared" si="50"/>
        <v>75938126.08381258</v>
      </c>
      <c r="BE74" s="38">
        <f t="shared" si="51"/>
        <v>76427259.287048846</v>
      </c>
      <c r="BF74" s="38" t="b">
        <f t="shared" si="52"/>
        <v>0</v>
      </c>
      <c r="BG74" s="37">
        <f t="array" ref="BG74:BQ74">IF(BF74,"",IVSolution($M74,$N74,$O74,BB74,BC74,BD74,BE74,$E74,$F74,$G74,$H74,$I74))</f>
        <v>7</v>
      </c>
      <c r="BH74" s="37">
        <v>38</v>
      </c>
      <c r="BI74" s="37">
        <v>41</v>
      </c>
      <c r="BJ74" s="39">
        <v>0.84444444444444444</v>
      </c>
      <c r="BK74" s="39">
        <v>0.91111111111111109</v>
      </c>
      <c r="BL74" s="37">
        <v>14</v>
      </c>
      <c r="BM74" s="37">
        <v>15</v>
      </c>
      <c r="BN74" s="37">
        <v>11</v>
      </c>
      <c r="BO74" s="37">
        <v>14</v>
      </c>
      <c r="BP74" s="37">
        <v>9</v>
      </c>
      <c r="BQ74" s="37">
        <v>15</v>
      </c>
      <c r="BR74" s="40">
        <f t="shared" si="53"/>
        <v>20.5</v>
      </c>
      <c r="BS74" s="36">
        <f>IFERROR(INDEX('Level Multiplier'!$D:$D,MATCH(BR74,'Level Multiplier'!$A:$A,0)),"")</f>
        <v>1.653387720177633</v>
      </c>
      <c r="BT74" s="37">
        <f t="shared" si="54"/>
        <v>13</v>
      </c>
      <c r="BU74" s="37">
        <f t="shared" si="55"/>
        <v>14</v>
      </c>
      <c r="BV74" s="38">
        <f t="shared" si="56"/>
        <v>72280243.861850783</v>
      </c>
      <c r="BW74" s="38">
        <f t="shared" si="57"/>
        <v>72745815.887842387</v>
      </c>
      <c r="BX74" s="38" t="b">
        <f t="shared" si="58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9"/>
        <v>20</v>
      </c>
      <c r="CK74" s="41">
        <f t="shared" si="60"/>
        <v>20</v>
      </c>
      <c r="CL74" s="39">
        <f t="shared" si="61"/>
        <v>0.84444444444444444</v>
      </c>
      <c r="CM74" s="39">
        <f t="shared" si="62"/>
        <v>0.91111111111111109</v>
      </c>
      <c r="CN74" s="42">
        <f t="shared" si="63"/>
        <v>14</v>
      </c>
      <c r="CO74" s="42">
        <f t="shared" si="64"/>
        <v>15</v>
      </c>
      <c r="CP74" s="42">
        <f t="shared" si="65"/>
        <v>11</v>
      </c>
      <c r="CQ74" s="42">
        <f t="shared" si="66"/>
        <v>14</v>
      </c>
      <c r="CR74" s="42">
        <f t="shared" si="67"/>
        <v>9</v>
      </c>
      <c r="CS74" s="42">
        <f t="shared" si="68"/>
        <v>15</v>
      </c>
      <c r="CT74" s="43" t="str">
        <f t="shared" si="69"/>
        <v>14-15</v>
      </c>
      <c r="CU74" s="43" t="str">
        <f t="shared" si="70"/>
        <v>11-14</v>
      </c>
      <c r="CV74" s="43" t="str">
        <f t="shared" si="71"/>
        <v>9-15</v>
      </c>
      <c r="CW74" s="13" t="s">
        <v>404</v>
      </c>
    </row>
    <row r="75" spans="1:101" x14ac:dyDescent="0.25">
      <c r="A75" s="31" t="s">
        <v>72</v>
      </c>
      <c r="B75" s="13">
        <v>303</v>
      </c>
      <c r="C75" s="13">
        <v>53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Multiplier'!$A:$A,MATCH($D75,'Level Multiplier'!$B:$B,0)),"")</f>
        <v>19</v>
      </c>
      <c r="Q75" s="36">
        <f>IFERROR(INDEX('Level Multiplier'!$D:$D,MATCH(P75,'Level Multiplier'!$A:$A,0)),"")</f>
        <v>1.7173900390793821</v>
      </c>
      <c r="R75" s="37">
        <f t="shared" si="36"/>
        <v>12</v>
      </c>
      <c r="S75" s="37">
        <f t="shared" si="37"/>
        <v>12</v>
      </c>
      <c r="T75" s="38">
        <f t="shared" si="38"/>
        <v>79865831.139964983</v>
      </c>
      <c r="U75" s="38">
        <f t="shared" si="39"/>
        <v>80393868.255083963</v>
      </c>
      <c r="V75" s="38" t="b">
        <f t="shared" si="40"/>
        <v>0</v>
      </c>
      <c r="W75" s="37">
        <f t="array" ref="W75:AG75">IF(V75,"",IVSolution($M75,$N75,$O75,R75,S75,T75,U75,$E75,$F75,$G75,$H75,$I75))</f>
        <v>0</v>
      </c>
      <c r="X75" s="37">
        <v>46</v>
      </c>
      <c r="Y75" s="37">
        <v>-1</v>
      </c>
      <c r="Z75" s="39">
        <v>1.0222222222222221</v>
      </c>
      <c r="AA75" s="39">
        <v>-2.2222222222222223E-2</v>
      </c>
      <c r="AB75" s="37">
        <v>16</v>
      </c>
      <c r="AC75" s="37">
        <v>-1</v>
      </c>
      <c r="AD75" s="37">
        <v>16</v>
      </c>
      <c r="AE75" s="37">
        <v>0</v>
      </c>
      <c r="AF75" s="37">
        <v>16</v>
      </c>
      <c r="AG75" s="37">
        <v>-1</v>
      </c>
      <c r="AH75" s="40">
        <f t="shared" si="41"/>
        <v>19.5</v>
      </c>
      <c r="AI75" s="36">
        <f>IFERROR(INDEX('Level Multiplier'!$D:$D,MATCH(AH75,'Level Multiplier'!$A:$A,0)),"")</f>
        <v>1.6952373004785586</v>
      </c>
      <c r="AJ75" s="37">
        <f t="shared" si="42"/>
        <v>10</v>
      </c>
      <c r="AK75" s="37">
        <f t="shared" si="43"/>
        <v>11</v>
      </c>
      <c r="AL75" s="38">
        <f t="shared" si="44"/>
        <v>75824098.501492217</v>
      </c>
      <c r="AM75" s="38">
        <f t="shared" si="45"/>
        <v>76325413.490114316</v>
      </c>
      <c r="AN75" s="38" t="b">
        <f t="shared" si="46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7"/>
        <v>20</v>
      </c>
      <c r="BA75" s="36">
        <f>IFERROR(INDEX('Level Multiplier'!$D:$D,MATCH(AZ75,'Level Multiplier'!$A:$A,0)),"")</f>
        <v>1.6739202933726098</v>
      </c>
      <c r="BB75" s="37">
        <f t="shared" si="48"/>
        <v>9</v>
      </c>
      <c r="BC75" s="37">
        <f t="shared" si="49"/>
        <v>10</v>
      </c>
      <c r="BD75" s="38">
        <f t="shared" si="50"/>
        <v>72081589.495856628</v>
      </c>
      <c r="BE75" s="38">
        <f t="shared" si="51"/>
        <v>72558160.690663069</v>
      </c>
      <c r="BF75" s="38" t="b">
        <f t="shared" si="52"/>
        <v>0</v>
      </c>
      <c r="BG75" s="37">
        <f t="array" ref="BG75:BQ75">IF(BF75,"",IVSolution($M75,$N75,$O75,BB75,BC75,BD75,BE75,$E75,$F75,$G75,$H75,$I75))</f>
        <v>5</v>
      </c>
      <c r="BH75" s="37">
        <v>34</v>
      </c>
      <c r="BI75" s="37">
        <v>36</v>
      </c>
      <c r="BJ75" s="39">
        <v>0.75555555555555554</v>
      </c>
      <c r="BK75" s="39">
        <v>0.8</v>
      </c>
      <c r="BL75" s="37">
        <v>9</v>
      </c>
      <c r="BM75" s="37">
        <v>10</v>
      </c>
      <c r="BN75" s="37">
        <v>11</v>
      </c>
      <c r="BO75" s="37">
        <v>13</v>
      </c>
      <c r="BP75" s="37">
        <v>11</v>
      </c>
      <c r="BQ75" s="37">
        <v>15</v>
      </c>
      <c r="BR75" s="40">
        <f t="shared" si="53"/>
        <v>20.5</v>
      </c>
      <c r="BS75" s="36">
        <f>IFERROR(INDEX('Level Multiplier'!$D:$D,MATCH(BR75,'Level Multiplier'!$A:$A,0)),"")</f>
        <v>1.653387720177633</v>
      </c>
      <c r="BT75" s="37">
        <f t="shared" si="54"/>
        <v>8</v>
      </c>
      <c r="BU75" s="37">
        <f t="shared" si="55"/>
        <v>9</v>
      </c>
      <c r="BV75" s="38">
        <f t="shared" si="56"/>
        <v>68609473.730758145</v>
      </c>
      <c r="BW75" s="38">
        <f t="shared" si="57"/>
        <v>69063088.85078527</v>
      </c>
      <c r="BX75" s="38" t="b">
        <f t="shared" si="58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9"/>
        <v>20</v>
      </c>
      <c r="CK75" s="41">
        <f t="shared" si="60"/>
        <v>20</v>
      </c>
      <c r="CL75" s="39">
        <f t="shared" si="61"/>
        <v>0.75555555555555554</v>
      </c>
      <c r="CM75" s="39">
        <f t="shared" si="62"/>
        <v>0.8</v>
      </c>
      <c r="CN75" s="42">
        <f t="shared" si="63"/>
        <v>9</v>
      </c>
      <c r="CO75" s="42">
        <f t="shared" si="64"/>
        <v>10</v>
      </c>
      <c r="CP75" s="42">
        <f t="shared" si="65"/>
        <v>11</v>
      </c>
      <c r="CQ75" s="42">
        <f t="shared" si="66"/>
        <v>13</v>
      </c>
      <c r="CR75" s="42">
        <f t="shared" si="67"/>
        <v>11</v>
      </c>
      <c r="CS75" s="42">
        <f t="shared" si="68"/>
        <v>15</v>
      </c>
      <c r="CT75" s="43" t="str">
        <f t="shared" si="69"/>
        <v>9-10</v>
      </c>
      <c r="CU75" s="43" t="str">
        <f t="shared" si="70"/>
        <v>11-13</v>
      </c>
      <c r="CV75" s="43" t="str">
        <f t="shared" si="71"/>
        <v>11-15</v>
      </c>
      <c r="CW75" s="13" t="s">
        <v>404</v>
      </c>
    </row>
    <row r="76" spans="1:101" x14ac:dyDescent="0.25">
      <c r="A76" s="31" t="s">
        <v>72</v>
      </c>
      <c r="B76" s="13">
        <v>289</v>
      </c>
      <c r="C76" s="13">
        <v>55</v>
      </c>
      <c r="D76" s="13">
        <v>25</v>
      </c>
      <c r="E76" s="32"/>
      <c r="F76" s="32"/>
      <c r="G76" s="32"/>
      <c r="H76" s="32"/>
      <c r="I76" s="32"/>
      <c r="J76" s="13"/>
      <c r="K76" s="33">
        <v>19</v>
      </c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Multiplier'!$A:$A,MATCH($D76,'Level Multiplier'!$B:$B,0)),"")</f>
        <v>19</v>
      </c>
      <c r="Q76" s="36">
        <f>IFERROR(INDEX('Level Multiplier'!$D:$D,MATCH(P76,'Level Multiplier'!$A:$A,0)),"")</f>
        <v>1.7173900390793821</v>
      </c>
      <c r="R76" s="37">
        <f t="shared" si="36"/>
        <v>15</v>
      </c>
      <c r="S76" s="37">
        <f t="shared" si="37"/>
        <v>15</v>
      </c>
      <c r="T76" s="38">
        <f t="shared" si="38"/>
        <v>72655993.232047126</v>
      </c>
      <c r="U76" s="38">
        <f t="shared" si="39"/>
        <v>73159672.786666393</v>
      </c>
      <c r="V76" s="38" t="b">
        <f t="shared" si="40"/>
        <v>0</v>
      </c>
      <c r="W76" s="37">
        <f t="array" ref="W76:AG76">IF(V76,"",IVSolution($M76,$N76,$O76,R76,S76,T76,U76,$E76,$F76,$G76,$H76,$I76))</f>
        <v>5</v>
      </c>
      <c r="X76" s="37">
        <v>34</v>
      </c>
      <c r="Y76" s="37">
        <v>38</v>
      </c>
      <c r="Z76" s="39">
        <v>0.75555555555555554</v>
      </c>
      <c r="AA76" s="39">
        <v>0.84444444444444444</v>
      </c>
      <c r="AB76" s="37">
        <v>15</v>
      </c>
      <c r="AC76" s="37">
        <v>15</v>
      </c>
      <c r="AD76" s="37">
        <v>10</v>
      </c>
      <c r="AE76" s="37">
        <v>15</v>
      </c>
      <c r="AF76" s="37">
        <v>4</v>
      </c>
      <c r="AG76" s="37">
        <v>13</v>
      </c>
      <c r="AH76" s="40">
        <f t="shared" si="41"/>
        <v>19.5</v>
      </c>
      <c r="AI76" s="36">
        <f>IFERROR(INDEX('Level Multiplier'!$D:$D,MATCH(AH76,'Level Multiplier'!$A:$A,0)),"")</f>
        <v>1.6952373004785586</v>
      </c>
      <c r="AJ76" s="37">
        <f t="shared" si="42"/>
        <v>14</v>
      </c>
      <c r="AK76" s="37">
        <f t="shared" si="43"/>
        <v>14</v>
      </c>
      <c r="AL76" s="38">
        <f t="shared" si="44"/>
        <v>68979125.47727491</v>
      </c>
      <c r="AM76" s="38">
        <f t="shared" si="45"/>
        <v>69457315.557031408</v>
      </c>
      <c r="AN76" s="38" t="b">
        <f t="shared" si="46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7"/>
        <v>20</v>
      </c>
      <c r="BA76" s="36">
        <f>IFERROR(INDEX('Level Multiplier'!$D:$D,MATCH(AZ76,'Level Multiplier'!$A:$A,0)),"")</f>
        <v>1.6739202933726098</v>
      </c>
      <c r="BB76" s="37">
        <f t="shared" si="48"/>
        <v>13</v>
      </c>
      <c r="BC76" s="37">
        <f t="shared" si="49"/>
        <v>13</v>
      </c>
      <c r="BD76" s="38">
        <f t="shared" si="50"/>
        <v>65574469.129207827</v>
      </c>
      <c r="BE76" s="38">
        <f t="shared" si="51"/>
        <v>66029056.809262082</v>
      </c>
      <c r="BF76" s="38" t="b">
        <f t="shared" si="52"/>
        <v>1</v>
      </c>
      <c r="BG76" s="37" t="str">
        <f t="array" ref="BG76:BQ76">IF(BF76,"",IVSolution($M76,$N76,$O76,BB76,BC76,BD76,BE76,$E76,$F76,$G76,$H76,$I76))</f>
        <v/>
      </c>
      <c r="BH76" s="37" t="str">
        <v/>
      </c>
      <c r="BI76" s="37" t="str">
        <v/>
      </c>
      <c r="BJ76" s="39" t="str">
        <v/>
      </c>
      <c r="BK76" s="39" t="str">
        <v/>
      </c>
      <c r="BL76" s="37" t="str">
        <v/>
      </c>
      <c r="BM76" s="37" t="str">
        <v/>
      </c>
      <c r="BN76" s="37" t="str">
        <v/>
      </c>
      <c r="BO76" s="37" t="str">
        <v/>
      </c>
      <c r="BP76" s="37" t="str">
        <v/>
      </c>
      <c r="BQ76" s="37" t="str">
        <v/>
      </c>
      <c r="BR76" s="40">
        <f t="shared" si="53"/>
        <v>20.5</v>
      </c>
      <c r="BS76" s="36">
        <f>IFERROR(INDEX('Level Multiplier'!$D:$D,MATCH(BR76,'Level Multiplier'!$A:$A,0)),"")</f>
        <v>1.653387720177633</v>
      </c>
      <c r="BT76" s="37">
        <f t="shared" si="54"/>
        <v>11</v>
      </c>
      <c r="BU76" s="37">
        <f t="shared" si="55"/>
        <v>12</v>
      </c>
      <c r="BV76" s="38">
        <f t="shared" si="56"/>
        <v>62415796.441162102</v>
      </c>
      <c r="BW76" s="38">
        <f t="shared" si="57"/>
        <v>62848486.9757514</v>
      </c>
      <c r="BX76" s="38" t="b">
        <f t="shared" si="58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9"/>
        <v>19</v>
      </c>
      <c r="CK76" s="41">
        <f t="shared" si="60"/>
        <v>19</v>
      </c>
      <c r="CL76" s="39">
        <f t="shared" si="61"/>
        <v>0.75555555555555554</v>
      </c>
      <c r="CM76" s="39">
        <f t="shared" si="62"/>
        <v>0.84444444444444444</v>
      </c>
      <c r="CN76" s="42">
        <f t="shared" si="63"/>
        <v>15</v>
      </c>
      <c r="CO76" s="42">
        <f t="shared" si="64"/>
        <v>15</v>
      </c>
      <c r="CP76" s="42">
        <f t="shared" si="65"/>
        <v>10</v>
      </c>
      <c r="CQ76" s="42">
        <f t="shared" si="66"/>
        <v>15</v>
      </c>
      <c r="CR76" s="42">
        <f t="shared" si="67"/>
        <v>4</v>
      </c>
      <c r="CS76" s="42">
        <f t="shared" si="68"/>
        <v>13</v>
      </c>
      <c r="CT76" s="43">
        <f t="shared" si="69"/>
        <v>15</v>
      </c>
      <c r="CU76" s="43" t="str">
        <f t="shared" si="70"/>
        <v>10-15</v>
      </c>
      <c r="CV76" s="43" t="str">
        <f t="shared" si="71"/>
        <v>4-13</v>
      </c>
      <c r="CW76" s="13" t="s">
        <v>404</v>
      </c>
    </row>
    <row r="77" spans="1:101" x14ac:dyDescent="0.25">
      <c r="A77" s="31" t="s">
        <v>72</v>
      </c>
      <c r="B77" s="13">
        <v>123</v>
      </c>
      <c r="C77" s="13">
        <v>33</v>
      </c>
      <c r="D77" s="13">
        <v>8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Multiplier'!$A:$A,MATCH($D77,'Level Multiplier'!$B:$B,0)),"")</f>
        <v>7</v>
      </c>
      <c r="Q77" s="36">
        <f>IFERROR(INDEX('Level Multiplier'!$D:$D,MATCH(P77,'Level Multiplier'!$A:$A,0)),"")</f>
        <v>2.8635844494535538</v>
      </c>
      <c r="R77" s="37">
        <f t="shared" si="36"/>
        <v>15</v>
      </c>
      <c r="S77" s="37">
        <f t="shared" si="37"/>
        <v>15</v>
      </c>
      <c r="T77" s="38">
        <f t="shared" si="38"/>
        <v>101730271.65909128</v>
      </c>
      <c r="U77" s="38">
        <f t="shared" si="39"/>
        <v>103391146.60785165</v>
      </c>
      <c r="V77" s="38" t="b">
        <f t="shared" si="40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1"/>
        <v>7.5</v>
      </c>
      <c r="AI77" s="36">
        <f>IFERROR(INDEX('Level Multiplier'!$D:$D,MATCH(AH77,'Level Multiplier'!$A:$A,0)),"")</f>
        <v>2.7589422415193434</v>
      </c>
      <c r="AJ77" s="37">
        <f t="shared" si="42"/>
        <v>12</v>
      </c>
      <c r="AK77" s="37">
        <f t="shared" si="43"/>
        <v>13</v>
      </c>
      <c r="AL77" s="38">
        <f t="shared" si="44"/>
        <v>87655799.920735687</v>
      </c>
      <c r="AM77" s="38">
        <f t="shared" si="45"/>
        <v>89086891.372941509</v>
      </c>
      <c r="AN77" s="38" t="b">
        <f t="shared" si="46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7"/>
        <v>8</v>
      </c>
      <c r="BA77" s="36">
        <f>IFERROR(INDEX('Level Multiplier'!$D:$D,MATCH(AZ77,'Level Multiplier'!$A:$A,0)),"")</f>
        <v>2.6649924118338562</v>
      </c>
      <c r="BB77" s="37">
        <f t="shared" si="48"/>
        <v>8</v>
      </c>
      <c r="BC77" s="37">
        <f t="shared" si="49"/>
        <v>10</v>
      </c>
      <c r="BD77" s="38">
        <f t="shared" si="50"/>
        <v>76312227.411105514</v>
      </c>
      <c r="BE77" s="38">
        <f t="shared" si="51"/>
        <v>77558120.739847869</v>
      </c>
      <c r="BF77" s="38" t="b">
        <f t="shared" si="52"/>
        <v>0</v>
      </c>
      <c r="BG77" s="37">
        <f t="array" ref="BG77:BQ77">IF(BF77,"",IVSolution($M77,$N77,$O77,BB77,BC77,BD77,BE77,$E77,$F77,$G77,$H77,$I77))</f>
        <v>4</v>
      </c>
      <c r="BH77" s="37">
        <v>38</v>
      </c>
      <c r="BI77" s="37">
        <v>39</v>
      </c>
      <c r="BJ77" s="39">
        <v>0.84444444444444444</v>
      </c>
      <c r="BK77" s="39">
        <v>0.8666666666666667</v>
      </c>
      <c r="BL77" s="37">
        <v>8</v>
      </c>
      <c r="BM77" s="37">
        <v>10</v>
      </c>
      <c r="BN77" s="37">
        <v>14</v>
      </c>
      <c r="BO77" s="37">
        <v>15</v>
      </c>
      <c r="BP77" s="37">
        <v>13</v>
      </c>
      <c r="BQ77" s="37">
        <v>15</v>
      </c>
      <c r="BR77" s="40">
        <f t="shared" si="53"/>
        <v>8.5</v>
      </c>
      <c r="BS77" s="36">
        <f>IFERROR(INDEX('Level Multiplier'!$D:$D,MATCH(BR77,'Level Multiplier'!$A:$A,0)),"")</f>
        <v>2.5800299090483212</v>
      </c>
      <c r="BT77" s="37">
        <f t="shared" si="54"/>
        <v>6</v>
      </c>
      <c r="BU77" s="37">
        <f t="shared" si="55"/>
        <v>7</v>
      </c>
      <c r="BV77" s="38">
        <f t="shared" si="56"/>
        <v>67036168.684836678</v>
      </c>
      <c r="BW77" s="38">
        <f t="shared" si="57"/>
        <v>68130618.659399077</v>
      </c>
      <c r="BX77" s="38" t="b">
        <f t="shared" si="58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9"/>
        <v>8</v>
      </c>
      <c r="CK77" s="41">
        <f t="shared" si="60"/>
        <v>8</v>
      </c>
      <c r="CL77" s="39">
        <f t="shared" si="61"/>
        <v>0.84444444444444444</v>
      </c>
      <c r="CM77" s="39">
        <f t="shared" si="62"/>
        <v>0.8666666666666667</v>
      </c>
      <c r="CN77" s="42">
        <f t="shared" si="63"/>
        <v>8</v>
      </c>
      <c r="CO77" s="42">
        <f t="shared" si="64"/>
        <v>10</v>
      </c>
      <c r="CP77" s="42">
        <f t="shared" si="65"/>
        <v>14</v>
      </c>
      <c r="CQ77" s="42">
        <f t="shared" si="66"/>
        <v>15</v>
      </c>
      <c r="CR77" s="42">
        <f t="shared" si="67"/>
        <v>13</v>
      </c>
      <c r="CS77" s="42">
        <f t="shared" si="68"/>
        <v>15</v>
      </c>
      <c r="CT77" s="43" t="str">
        <f t="shared" si="69"/>
        <v>8-10</v>
      </c>
      <c r="CU77" s="43" t="str">
        <f t="shared" si="70"/>
        <v>14-15</v>
      </c>
      <c r="CV77" s="43" t="str">
        <f t="shared" si="71"/>
        <v>13-15</v>
      </c>
      <c r="CW77" s="13" t="s">
        <v>404</v>
      </c>
    </row>
    <row r="78" spans="1:101" x14ac:dyDescent="0.25">
      <c r="A78" s="31" t="s">
        <v>73</v>
      </c>
      <c r="B78" s="13">
        <v>570</v>
      </c>
      <c r="C78" s="13">
        <v>72</v>
      </c>
      <c r="D78" s="13">
        <v>13</v>
      </c>
      <c r="E78" s="32"/>
      <c r="F78" s="32"/>
      <c r="G78" s="32"/>
      <c r="H78" s="32"/>
      <c r="I78" s="32"/>
      <c r="J78" s="13"/>
      <c r="K78" s="33">
        <v>11</v>
      </c>
      <c r="L78" s="34">
        <f>IFERROR(INDEX('Pokemon Data'!A:A,MATCH($A78,'Pokemon Data'!$B:$B,0)),"")</f>
        <v>42</v>
      </c>
      <c r="M78" s="34">
        <f>IFERROR(INDEX('Pokemon Data'!I:I,MATCH($A78,'Pokemon Data'!$B:$B,0)),"")</f>
        <v>150</v>
      </c>
      <c r="N78" s="34">
        <f>IFERROR(INDEX('Pokemon Data'!J:J,MATCH($A78,'Pokemon Data'!$B:$B,0)),"")</f>
        <v>161</v>
      </c>
      <c r="O78" s="34">
        <f>IFERROR(INDEX('Pokemon Data'!K:K,MATCH($A78,'Pokemon Data'!$B:$B,0)),"")</f>
        <v>153</v>
      </c>
      <c r="P78" s="35">
        <f>IFERROR(INDEX('Level Multiplier'!$A:$A,MATCH($D78,'Level Multiplier'!$B:$B,0)),"")</f>
        <v>11</v>
      </c>
      <c r="Q78" s="36">
        <f>IFERROR(INDEX('Level Multiplier'!$D:$D,MATCH(P78,'Level Multiplier'!$A:$A,0)),"")</f>
        <v>2.2567884478610214</v>
      </c>
      <c r="R78" s="37">
        <f t="shared" si="36"/>
        <v>13</v>
      </c>
      <c r="S78" s="37">
        <f t="shared" si="37"/>
        <v>14</v>
      </c>
      <c r="T78" s="38">
        <f t="shared" si="38"/>
        <v>842777847.51730299</v>
      </c>
      <c r="U78" s="38">
        <f t="shared" si="39"/>
        <v>845737556.73249924</v>
      </c>
      <c r="V78" s="38" t="b">
        <f t="shared" si="40"/>
        <v>0</v>
      </c>
      <c r="W78" s="37">
        <f t="array" ref="W78:AG78">IF(V78,"",IVSolution($M78,$N78,$O78,R78,S78,T78,U78,$E78,$F78,$G78,$H78,$I78))</f>
        <v>3</v>
      </c>
      <c r="X78" s="37">
        <v>42</v>
      </c>
      <c r="Y78" s="37">
        <v>43</v>
      </c>
      <c r="Z78" s="39">
        <v>0.93333333333333335</v>
      </c>
      <c r="AA78" s="39">
        <v>0.9555555555555556</v>
      </c>
      <c r="AB78" s="37">
        <v>13</v>
      </c>
      <c r="AC78" s="37">
        <v>14</v>
      </c>
      <c r="AD78" s="37">
        <v>14</v>
      </c>
      <c r="AE78" s="37">
        <v>15</v>
      </c>
      <c r="AF78" s="37">
        <v>13</v>
      </c>
      <c r="AG78" s="37">
        <v>15</v>
      </c>
      <c r="AH78" s="40">
        <f t="shared" si="41"/>
        <v>11.5</v>
      </c>
      <c r="AI78" s="36">
        <f>IFERROR(INDEX('Level Multiplier'!$D:$D,MATCH(AH78,'Level Multiplier'!$A:$A,0)),"")</f>
        <v>2.2072133782377708</v>
      </c>
      <c r="AJ78" s="37">
        <f t="shared" si="42"/>
        <v>9</v>
      </c>
      <c r="AK78" s="37">
        <f t="shared" si="43"/>
        <v>11</v>
      </c>
      <c r="AL78" s="38">
        <f t="shared" si="44"/>
        <v>771128919.24027848</v>
      </c>
      <c r="AM78" s="38">
        <f t="shared" si="45"/>
        <v>773837008.18103921</v>
      </c>
      <c r="AN78" s="38" t="b">
        <f t="shared" si="46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7"/>
        <v>12</v>
      </c>
      <c r="BA78" s="36">
        <f>IFERROR(INDEX('Level Multiplier'!$D:$D,MATCH(AZ78,'Level Multiplier'!$A:$A,0)),"")</f>
        <v>2.1607681046600011</v>
      </c>
      <c r="BB78" s="37">
        <f t="shared" si="48"/>
        <v>6</v>
      </c>
      <c r="BC78" s="37">
        <f t="shared" si="49"/>
        <v>7</v>
      </c>
      <c r="BD78" s="38">
        <f t="shared" si="50"/>
        <v>708243102.34663439</v>
      </c>
      <c r="BE78" s="38">
        <f t="shared" si="51"/>
        <v>710730345.74391818</v>
      </c>
      <c r="BF78" s="38" t="b">
        <f t="shared" si="52"/>
        <v>1</v>
      </c>
      <c r="BG78" s="37" t="str">
        <f t="array" ref="BG78:BQ78">IF(BF78,"",IVSolution($M78,$N78,$O78,BB78,BC78,BD78,BE78,$E78,$F78,$G78,$H78,$I78))</f>
        <v/>
      </c>
      <c r="BH78" s="37" t="str">
        <v/>
      </c>
      <c r="BI78" s="37" t="str">
        <v/>
      </c>
      <c r="BJ78" s="39" t="str">
        <v/>
      </c>
      <c r="BK78" s="39" t="str">
        <v/>
      </c>
      <c r="BL78" s="37" t="str">
        <v/>
      </c>
      <c r="BM78" s="37" t="str">
        <v/>
      </c>
      <c r="BN78" s="37" t="str">
        <v/>
      </c>
      <c r="BO78" s="37" t="str">
        <v/>
      </c>
      <c r="BP78" s="37" t="str">
        <v/>
      </c>
      <c r="BQ78" s="37" t="str">
        <v/>
      </c>
      <c r="BR78" s="40">
        <f t="shared" si="53"/>
        <v>12.5</v>
      </c>
      <c r="BS78" s="36">
        <f>IFERROR(INDEX('Level Multiplier'!$D:$D,MATCH(BR78,'Level Multiplier'!$A:$A,0)),"")</f>
        <v>2.1171365813269869</v>
      </c>
      <c r="BT78" s="37">
        <f t="shared" si="54"/>
        <v>3</v>
      </c>
      <c r="BU78" s="37">
        <f t="shared" si="55"/>
        <v>4</v>
      </c>
      <c r="BV78" s="38">
        <f t="shared" si="56"/>
        <v>652747498.79258466</v>
      </c>
      <c r="BW78" s="38">
        <f t="shared" si="57"/>
        <v>655039849.96562982</v>
      </c>
      <c r="BX78" s="38" t="b">
        <f t="shared" si="58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9"/>
        <v>11</v>
      </c>
      <c r="CK78" s="41">
        <f t="shared" si="60"/>
        <v>11</v>
      </c>
      <c r="CL78" s="39">
        <f t="shared" si="61"/>
        <v>0.93333333333333335</v>
      </c>
      <c r="CM78" s="39">
        <f t="shared" si="62"/>
        <v>0.9555555555555556</v>
      </c>
      <c r="CN78" s="42">
        <f t="shared" si="63"/>
        <v>13</v>
      </c>
      <c r="CO78" s="42">
        <f t="shared" si="64"/>
        <v>14</v>
      </c>
      <c r="CP78" s="42">
        <f t="shared" si="65"/>
        <v>14</v>
      </c>
      <c r="CQ78" s="42">
        <f t="shared" si="66"/>
        <v>15</v>
      </c>
      <c r="CR78" s="42">
        <f t="shared" si="67"/>
        <v>13</v>
      </c>
      <c r="CS78" s="42">
        <f t="shared" si="68"/>
        <v>15</v>
      </c>
      <c r="CT78" s="43" t="str">
        <f t="shared" si="69"/>
        <v>13-14</v>
      </c>
      <c r="CU78" s="43" t="str">
        <f t="shared" si="70"/>
        <v>14-15</v>
      </c>
      <c r="CV78" s="43" t="str">
        <f t="shared" si="71"/>
        <v>13-15</v>
      </c>
      <c r="CW78" s="13" t="s">
        <v>399</v>
      </c>
    </row>
    <row r="79" spans="1:101" x14ac:dyDescent="0.25">
      <c r="A79" s="31" t="s">
        <v>73</v>
      </c>
      <c r="B79" s="13">
        <v>289</v>
      </c>
      <c r="C79" s="13">
        <v>51</v>
      </c>
      <c r="D79" s="13">
        <v>6</v>
      </c>
      <c r="E79" s="32"/>
      <c r="F79" s="32"/>
      <c r="G79" s="32"/>
      <c r="H79" s="32"/>
      <c r="I79" s="32"/>
      <c r="J79" s="13"/>
      <c r="K79" s="33"/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Multiplier'!$A:$A,MATCH($D79,'Level Multiplier'!$B:$B,0)),"")</f>
        <v>5</v>
      </c>
      <c r="Q79" s="36">
        <f>IFERROR(INDEX('Level Multiplier'!$D:$D,MATCH(P79,'Level Multiplier'!$A:$A,0)),"")</f>
        <v>3.4453071953035774</v>
      </c>
      <c r="R79" s="37">
        <f t="shared" si="36"/>
        <v>26</v>
      </c>
      <c r="S79" s="37">
        <f t="shared" si="37"/>
        <v>15</v>
      </c>
      <c r="T79" s="38">
        <f t="shared" si="38"/>
        <v>1176813088.8249786</v>
      </c>
      <c r="U79" s="38">
        <f t="shared" si="39"/>
        <v>1184971214.0680871</v>
      </c>
      <c r="V79" s="38" t="b">
        <f t="shared" si="40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1"/>
        <v>5.5</v>
      </c>
      <c r="AI79" s="36">
        <f>IFERROR(INDEX('Level Multiplier'!$D:$D,MATCH(AH79,'Level Multiplier'!$A:$A,0)),"")</f>
        <v>3.2673612046279805</v>
      </c>
      <c r="AJ79" s="37">
        <f t="shared" si="42"/>
        <v>17</v>
      </c>
      <c r="AK79" s="37">
        <f t="shared" si="43"/>
        <v>15</v>
      </c>
      <c r="AL79" s="38">
        <f t="shared" si="44"/>
        <v>951884550.09851098</v>
      </c>
      <c r="AM79" s="38">
        <f t="shared" si="45"/>
        <v>958483383.38004541</v>
      </c>
      <c r="AN79" s="38" t="b">
        <f t="shared" si="46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7"/>
        <v>6</v>
      </c>
      <c r="BA79" s="36">
        <f>IFERROR(INDEX('Level Multiplier'!$D:$D,MATCH(AZ79,'Level Multiplier'!$A:$A,0)),"")</f>
        <v>3.1144148824183806</v>
      </c>
      <c r="BB79" s="37">
        <f t="shared" si="48"/>
        <v>9</v>
      </c>
      <c r="BC79" s="37">
        <f t="shared" si="49"/>
        <v>11</v>
      </c>
      <c r="BD79" s="38">
        <f t="shared" si="50"/>
        <v>785781047.25624347</v>
      </c>
      <c r="BE79" s="38">
        <f t="shared" si="51"/>
        <v>791228386.56445765</v>
      </c>
      <c r="BF79" s="38" t="b">
        <f t="shared" si="52"/>
        <v>0</v>
      </c>
      <c r="BG79" s="37">
        <f t="array" ref="BG79:BQ79">IF(BF79,"",IVSolution($M79,$N79,$O79,BB79,BC79,BD79,BE79,$E79,$F79,$G79,$H79,$I79))</f>
        <v>19</v>
      </c>
      <c r="BH79" s="37">
        <v>31</v>
      </c>
      <c r="BI79" s="37">
        <v>36</v>
      </c>
      <c r="BJ79" s="39">
        <v>0.68888888888888888</v>
      </c>
      <c r="BK79" s="39">
        <v>0.8</v>
      </c>
      <c r="BL79" s="37">
        <v>9</v>
      </c>
      <c r="BM79" s="37">
        <v>11</v>
      </c>
      <c r="BN79" s="37">
        <v>10</v>
      </c>
      <c r="BO79" s="37">
        <v>15</v>
      </c>
      <c r="BP79" s="37">
        <v>5</v>
      </c>
      <c r="BQ79" s="37">
        <v>15</v>
      </c>
      <c r="BR79" s="40">
        <f t="shared" si="53"/>
        <v>6.5</v>
      </c>
      <c r="BS79" s="36">
        <f>IFERROR(INDEX('Level Multiplier'!$D:$D,MATCH(BR79,'Level Multiplier'!$A:$A,0)),"")</f>
        <v>2.9811143188298668</v>
      </c>
      <c r="BT79" s="37">
        <f t="shared" si="54"/>
        <v>3</v>
      </c>
      <c r="BU79" s="37">
        <f t="shared" si="55"/>
        <v>5</v>
      </c>
      <c r="BV79" s="38">
        <f t="shared" si="56"/>
        <v>659644897.87751591</v>
      </c>
      <c r="BW79" s="38">
        <f t="shared" si="57"/>
        <v>664217812.42440939</v>
      </c>
      <c r="BX79" s="38" t="b">
        <f t="shared" si="58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9"/>
        <v>6</v>
      </c>
      <c r="CK79" s="41">
        <f t="shared" si="60"/>
        <v>6</v>
      </c>
      <c r="CL79" s="39">
        <f t="shared" si="61"/>
        <v>0.68888888888888888</v>
      </c>
      <c r="CM79" s="39">
        <f t="shared" si="62"/>
        <v>0.8</v>
      </c>
      <c r="CN79" s="42">
        <f t="shared" si="63"/>
        <v>9</v>
      </c>
      <c r="CO79" s="42">
        <f t="shared" si="64"/>
        <v>11</v>
      </c>
      <c r="CP79" s="42">
        <f t="shared" si="65"/>
        <v>10</v>
      </c>
      <c r="CQ79" s="42">
        <f t="shared" si="66"/>
        <v>15</v>
      </c>
      <c r="CR79" s="42">
        <f t="shared" si="67"/>
        <v>5</v>
      </c>
      <c r="CS79" s="42">
        <f t="shared" si="68"/>
        <v>15</v>
      </c>
      <c r="CT79" s="43" t="str">
        <f t="shared" si="69"/>
        <v>9-11</v>
      </c>
      <c r="CU79" s="43" t="str">
        <f t="shared" si="70"/>
        <v>10-15</v>
      </c>
      <c r="CV79" s="43" t="str">
        <f t="shared" si="71"/>
        <v>5-15</v>
      </c>
      <c r="CW79" s="13" t="s">
        <v>399</v>
      </c>
    </row>
    <row r="80" spans="1:101" x14ac:dyDescent="0.25">
      <c r="A80" s="31" t="s">
        <v>75</v>
      </c>
      <c r="B80" s="13">
        <v>602</v>
      </c>
      <c r="C80" s="13">
        <v>62</v>
      </c>
      <c r="D80" s="13">
        <v>25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43</v>
      </c>
      <c r="M80" s="34">
        <f>IFERROR(INDEX('Pokemon Data'!I:I,MATCH($A80,'Pokemon Data'!$B:$B,0)),"")</f>
        <v>90</v>
      </c>
      <c r="N80" s="34">
        <f>IFERROR(INDEX('Pokemon Data'!J:J,MATCH($A80,'Pokemon Data'!$B:$B,0)),"")</f>
        <v>131</v>
      </c>
      <c r="O80" s="34">
        <f>IFERROR(INDEX('Pokemon Data'!K:K,MATCH($A80,'Pokemon Data'!$B:$B,0)),"")</f>
        <v>116</v>
      </c>
      <c r="P80" s="35">
        <f>IFERROR(INDEX('Level Multiplier'!$A:$A,MATCH($D80,'Level Multiplier'!$B:$B,0)),"")</f>
        <v>19</v>
      </c>
      <c r="Q80" s="36">
        <f>IFERROR(INDEX('Level Multiplier'!$D:$D,MATCH(P80,'Level Multiplier'!$A:$A,0)),"")</f>
        <v>1.7173900390793821</v>
      </c>
      <c r="R80" s="37">
        <f t="shared" si="36"/>
        <v>17</v>
      </c>
      <c r="S80" s="37">
        <f t="shared" si="37"/>
        <v>15</v>
      </c>
      <c r="T80" s="38">
        <f t="shared" si="38"/>
        <v>315259905.54790783</v>
      </c>
      <c r="U80" s="38">
        <f t="shared" si="39"/>
        <v>316308150.56227088</v>
      </c>
      <c r="V80" s="38" t="b">
        <f t="shared" si="40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1"/>
        <v>19.5</v>
      </c>
      <c r="AI80" s="36">
        <f>IFERROR(INDEX('Level Multiplier'!$D:$D,MATCH(AH80,'Level Multiplier'!$A:$A,0)),"")</f>
        <v>1.6952373004785586</v>
      </c>
      <c r="AJ80" s="37">
        <f t="shared" si="42"/>
        <v>16</v>
      </c>
      <c r="AK80" s="37">
        <f t="shared" si="43"/>
        <v>15</v>
      </c>
      <c r="AL80" s="38">
        <f t="shared" si="44"/>
        <v>299305695.44744837</v>
      </c>
      <c r="AM80" s="38">
        <f t="shared" si="45"/>
        <v>300300892.41827148</v>
      </c>
      <c r="AN80" s="38" t="b">
        <f t="shared" si="46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7"/>
        <v>20</v>
      </c>
      <c r="BA80" s="36">
        <f>IFERROR(INDEX('Level Multiplier'!$D:$D,MATCH(AZ80,'Level Multiplier'!$A:$A,0)),"")</f>
        <v>1.6739202933726098</v>
      </c>
      <c r="BB80" s="37">
        <f t="shared" si="48"/>
        <v>14</v>
      </c>
      <c r="BC80" s="37">
        <f t="shared" si="49"/>
        <v>15</v>
      </c>
      <c r="BD80" s="38">
        <f t="shared" si="50"/>
        <v>284532631.43761969</v>
      </c>
      <c r="BE80" s="38">
        <f t="shared" si="51"/>
        <v>285478707.69749081</v>
      </c>
      <c r="BF80" s="38" t="b">
        <f t="shared" si="52"/>
        <v>0</v>
      </c>
      <c r="BG80" s="37">
        <f t="array" ref="BG80:BQ80">IF(BF80,"",IVSolution($M80,$N80,$O80,BB80,BC80,BD80,BE80,$E80,$F80,$G80,$H80,$I80))</f>
        <v>2</v>
      </c>
      <c r="BH80" s="37">
        <v>42</v>
      </c>
      <c r="BI80" s="37">
        <v>43</v>
      </c>
      <c r="BJ80" s="39">
        <v>0.93333333333333335</v>
      </c>
      <c r="BK80" s="39">
        <v>0.9555555555555556</v>
      </c>
      <c r="BL80" s="37">
        <v>15</v>
      </c>
      <c r="BM80" s="37">
        <v>15</v>
      </c>
      <c r="BN80" s="37">
        <v>13</v>
      </c>
      <c r="BO80" s="37">
        <v>14</v>
      </c>
      <c r="BP80" s="37">
        <v>13</v>
      </c>
      <c r="BQ80" s="37">
        <v>15</v>
      </c>
      <c r="BR80" s="40">
        <f t="shared" si="53"/>
        <v>20.5</v>
      </c>
      <c r="BS80" s="36">
        <f>IFERROR(INDEX('Level Multiplier'!$D:$D,MATCH(BR80,'Level Multiplier'!$A:$A,0)),"")</f>
        <v>1.653387720177633</v>
      </c>
      <c r="BT80" s="37">
        <f t="shared" si="54"/>
        <v>13</v>
      </c>
      <c r="BU80" s="37">
        <f t="shared" si="55"/>
        <v>14</v>
      </c>
      <c r="BV80" s="38">
        <f t="shared" si="56"/>
        <v>270826909.32176232</v>
      </c>
      <c r="BW80" s="38">
        <f t="shared" si="57"/>
        <v>271727413.80221152</v>
      </c>
      <c r="BX80" s="38" t="b">
        <f t="shared" si="58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9"/>
        <v>20</v>
      </c>
      <c r="CK80" s="41">
        <f t="shared" si="60"/>
        <v>20</v>
      </c>
      <c r="CL80" s="39">
        <f t="shared" si="61"/>
        <v>0.93333333333333335</v>
      </c>
      <c r="CM80" s="39">
        <f t="shared" si="62"/>
        <v>0.9555555555555556</v>
      </c>
      <c r="CN80" s="42">
        <f t="shared" si="63"/>
        <v>15</v>
      </c>
      <c r="CO80" s="42">
        <f t="shared" si="64"/>
        <v>15</v>
      </c>
      <c r="CP80" s="42">
        <f t="shared" si="65"/>
        <v>13</v>
      </c>
      <c r="CQ80" s="42">
        <f t="shared" si="66"/>
        <v>14</v>
      </c>
      <c r="CR80" s="42">
        <f t="shared" si="67"/>
        <v>13</v>
      </c>
      <c r="CS80" s="42">
        <f t="shared" si="68"/>
        <v>15</v>
      </c>
      <c r="CT80" s="43">
        <f t="shared" si="69"/>
        <v>15</v>
      </c>
      <c r="CU80" s="43" t="str">
        <f t="shared" si="70"/>
        <v>13-14</v>
      </c>
      <c r="CV80" s="43" t="str">
        <f t="shared" si="71"/>
        <v>13-15</v>
      </c>
      <c r="CW80" s="13" t="s">
        <v>397</v>
      </c>
    </row>
    <row r="81" spans="1:101" x14ac:dyDescent="0.25">
      <c r="A81" s="31" t="s">
        <v>75</v>
      </c>
      <c r="B81" s="13">
        <v>598</v>
      </c>
      <c r="C81" s="13">
        <v>60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Multiplier'!$A:$A,MATCH($D81,'Level Multiplier'!$B:$B,0)),"")</f>
        <v>19</v>
      </c>
      <c r="Q81" s="36">
        <f>IFERROR(INDEX('Level Multiplier'!$D:$D,MATCH(P81,'Level Multiplier'!$A:$A,0)),"")</f>
        <v>1.7173900390793821</v>
      </c>
      <c r="R81" s="37">
        <f t="shared" si="36"/>
        <v>14</v>
      </c>
      <c r="S81" s="37">
        <f t="shared" si="37"/>
        <v>14</v>
      </c>
      <c r="T81" s="38">
        <f t="shared" si="38"/>
        <v>311084323.74795538</v>
      </c>
      <c r="U81" s="38">
        <f t="shared" si="39"/>
        <v>312125609.45931852</v>
      </c>
      <c r="V81" s="38" t="b">
        <f t="shared" si="40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1"/>
        <v>19.5</v>
      </c>
      <c r="AI81" s="36">
        <f>IFERROR(INDEX('Level Multiplier'!$D:$D,MATCH(AH81,'Level Multiplier'!$A:$A,0)),"")</f>
        <v>1.6952373004785586</v>
      </c>
      <c r="AJ81" s="37">
        <f t="shared" si="42"/>
        <v>12</v>
      </c>
      <c r="AK81" s="37">
        <f t="shared" si="43"/>
        <v>13</v>
      </c>
      <c r="AL81" s="38">
        <f t="shared" si="44"/>
        <v>295341425.35620284</v>
      </c>
      <c r="AM81" s="38">
        <f t="shared" si="45"/>
        <v>296330015.21020716</v>
      </c>
      <c r="AN81" s="38" t="b">
        <f t="shared" si="46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7"/>
        <v>20</v>
      </c>
      <c r="BA81" s="36">
        <f>IFERROR(INDEX('Level Multiplier'!$D:$D,MATCH(AZ81,'Level Multiplier'!$A:$A,0)),"")</f>
        <v>1.6739202933726098</v>
      </c>
      <c r="BB81" s="37">
        <f t="shared" si="48"/>
        <v>11</v>
      </c>
      <c r="BC81" s="37">
        <f t="shared" si="49"/>
        <v>12</v>
      </c>
      <c r="BD81" s="38">
        <f t="shared" si="50"/>
        <v>280764028.90867251</v>
      </c>
      <c r="BE81" s="38">
        <f t="shared" si="51"/>
        <v>281703824.16432869</v>
      </c>
      <c r="BF81" s="38" t="b">
        <f t="shared" si="52"/>
        <v>0</v>
      </c>
      <c r="BG81" s="37">
        <f t="array" ref="BG81:BQ81">IF(BF81,"",IVSolution($M81,$N81,$O81,BB81,BC81,BD81,BE81,$E81,$F81,$G81,$H81,$I81))</f>
        <v>1</v>
      </c>
      <c r="BH81" s="37">
        <v>41</v>
      </c>
      <c r="BI81" s="37">
        <v>41</v>
      </c>
      <c r="BJ81" s="39">
        <v>0.91111111111111109</v>
      </c>
      <c r="BK81" s="39">
        <v>0.91111111111111109</v>
      </c>
      <c r="BL81" s="37">
        <v>12</v>
      </c>
      <c r="BM81" s="37">
        <v>12</v>
      </c>
      <c r="BN81" s="37">
        <v>14</v>
      </c>
      <c r="BO81" s="37">
        <v>14</v>
      </c>
      <c r="BP81" s="37">
        <v>15</v>
      </c>
      <c r="BQ81" s="37">
        <v>15</v>
      </c>
      <c r="BR81" s="40">
        <f t="shared" si="53"/>
        <v>20.5</v>
      </c>
      <c r="BS81" s="36">
        <f>IFERROR(INDEX('Level Multiplier'!$D:$D,MATCH(BR81,'Level Multiplier'!$A:$A,0)),"")</f>
        <v>1.653387720177633</v>
      </c>
      <c r="BT81" s="37">
        <f t="shared" si="54"/>
        <v>10</v>
      </c>
      <c r="BU81" s="37">
        <f t="shared" si="55"/>
        <v>10</v>
      </c>
      <c r="BV81" s="38">
        <f t="shared" si="56"/>
        <v>267239837.53242096</v>
      </c>
      <c r="BW81" s="38">
        <f t="shared" si="57"/>
        <v>268134363.55988798</v>
      </c>
      <c r="BX81" s="38" t="b">
        <f t="shared" si="58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9"/>
        <v>20</v>
      </c>
      <c r="CK81" s="41">
        <f t="shared" si="60"/>
        <v>20</v>
      </c>
      <c r="CL81" s="39">
        <f t="shared" si="61"/>
        <v>0.91111111111111109</v>
      </c>
      <c r="CM81" s="39">
        <f t="shared" si="62"/>
        <v>0.91111111111111109</v>
      </c>
      <c r="CN81" s="42">
        <f t="shared" si="63"/>
        <v>12</v>
      </c>
      <c r="CO81" s="42">
        <f t="shared" si="64"/>
        <v>12</v>
      </c>
      <c r="CP81" s="42">
        <f t="shared" si="65"/>
        <v>14</v>
      </c>
      <c r="CQ81" s="42">
        <f t="shared" si="66"/>
        <v>14</v>
      </c>
      <c r="CR81" s="42">
        <f t="shared" si="67"/>
        <v>15</v>
      </c>
      <c r="CS81" s="42">
        <f t="shared" si="68"/>
        <v>15</v>
      </c>
      <c r="CT81" s="43">
        <f t="shared" si="69"/>
        <v>12</v>
      </c>
      <c r="CU81" s="43">
        <f t="shared" si="70"/>
        <v>14</v>
      </c>
      <c r="CV81" s="43">
        <f t="shared" si="71"/>
        <v>15</v>
      </c>
      <c r="CW81" s="13" t="s">
        <v>395</v>
      </c>
    </row>
    <row r="82" spans="1:101" x14ac:dyDescent="0.25">
      <c r="A82" s="31" t="s">
        <v>75</v>
      </c>
      <c r="B82" s="13">
        <v>587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Multiplier'!$A:$A,MATCH($D82,'Level Multiplier'!$B:$B,0)),"")</f>
        <v>19</v>
      </c>
      <c r="Q82" s="36">
        <f>IFERROR(INDEX('Level Multiplier'!$D:$D,MATCH(P82,'Level Multiplier'!$A:$A,0)),"")</f>
        <v>1.7173900390793821</v>
      </c>
      <c r="R82" s="37">
        <f t="shared" si="36"/>
        <v>14</v>
      </c>
      <c r="S82" s="37">
        <f t="shared" si="37"/>
        <v>14</v>
      </c>
      <c r="T82" s="38">
        <f t="shared" si="38"/>
        <v>299745009.4224596</v>
      </c>
      <c r="U82" s="38">
        <f t="shared" si="39"/>
        <v>300767157.05057293</v>
      </c>
      <c r="V82" s="38" t="b">
        <f t="shared" si="40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1"/>
        <v>19.5</v>
      </c>
      <c r="AI82" s="36">
        <f>IFERROR(INDEX('Level Multiplier'!$D:$D,MATCH(AH82,'Level Multiplier'!$A:$A,0)),"")</f>
        <v>1.6952373004785586</v>
      </c>
      <c r="AJ82" s="37">
        <f t="shared" si="42"/>
        <v>12</v>
      </c>
      <c r="AK82" s="37">
        <f t="shared" si="43"/>
        <v>13</v>
      </c>
      <c r="AL82" s="38">
        <f t="shared" si="44"/>
        <v>284575954.38966411</v>
      </c>
      <c r="AM82" s="38">
        <f t="shared" si="45"/>
        <v>285546374.67241693</v>
      </c>
      <c r="AN82" s="38" t="b">
        <f t="shared" si="46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7"/>
        <v>20</v>
      </c>
      <c r="BA82" s="36">
        <f>IFERROR(INDEX('Level Multiplier'!$D:$D,MATCH(AZ82,'Level Multiplier'!$A:$A,0)),"")</f>
        <v>1.6739202933726098</v>
      </c>
      <c r="BB82" s="37">
        <f t="shared" si="48"/>
        <v>11</v>
      </c>
      <c r="BC82" s="37">
        <f t="shared" si="49"/>
        <v>12</v>
      </c>
      <c r="BD82" s="38">
        <f t="shared" si="50"/>
        <v>270529917.66600031</v>
      </c>
      <c r="BE82" s="38">
        <f t="shared" si="51"/>
        <v>271452440.16006553</v>
      </c>
      <c r="BF82" s="38" t="b">
        <f t="shared" si="52"/>
        <v>0</v>
      </c>
      <c r="BG82" s="37">
        <f t="array" ref="BG82:BQ82">IF(BF82,"",IVSolution($M82,$N82,$O82,BB82,BC82,BD82,BE82,$E82,$F82,$G82,$H82,$I82))</f>
        <v>4</v>
      </c>
      <c r="BH82" s="37">
        <v>36</v>
      </c>
      <c r="BI82" s="37">
        <v>38</v>
      </c>
      <c r="BJ82" s="39">
        <v>0.8</v>
      </c>
      <c r="BK82" s="39">
        <v>0.84444444444444444</v>
      </c>
      <c r="BL82" s="37">
        <v>11</v>
      </c>
      <c r="BM82" s="37">
        <v>12</v>
      </c>
      <c r="BN82" s="37">
        <v>12</v>
      </c>
      <c r="BO82" s="37">
        <v>15</v>
      </c>
      <c r="BP82" s="37">
        <v>10</v>
      </c>
      <c r="BQ82" s="37">
        <v>15</v>
      </c>
      <c r="BR82" s="40">
        <f t="shared" si="53"/>
        <v>20.5</v>
      </c>
      <c r="BS82" s="36">
        <f>IFERROR(INDEX('Level Multiplier'!$D:$D,MATCH(BR82,'Level Multiplier'!$A:$A,0)),"")</f>
        <v>1.653387720177633</v>
      </c>
      <c r="BT82" s="37">
        <f t="shared" si="54"/>
        <v>10</v>
      </c>
      <c r="BU82" s="37">
        <f t="shared" si="55"/>
        <v>10</v>
      </c>
      <c r="BV82" s="38">
        <f t="shared" si="56"/>
        <v>257498695.7044909</v>
      </c>
      <c r="BW82" s="38">
        <f t="shared" si="57"/>
        <v>258376780.98625675</v>
      </c>
      <c r="BX82" s="38" t="b">
        <f t="shared" si="58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9"/>
        <v>20</v>
      </c>
      <c r="CK82" s="41">
        <f t="shared" si="60"/>
        <v>20</v>
      </c>
      <c r="CL82" s="39">
        <f t="shared" si="61"/>
        <v>0.8</v>
      </c>
      <c r="CM82" s="39">
        <f t="shared" si="62"/>
        <v>0.84444444444444444</v>
      </c>
      <c r="CN82" s="42">
        <f t="shared" si="63"/>
        <v>11</v>
      </c>
      <c r="CO82" s="42">
        <f t="shared" si="64"/>
        <v>12</v>
      </c>
      <c r="CP82" s="42">
        <f t="shared" si="65"/>
        <v>12</v>
      </c>
      <c r="CQ82" s="42">
        <f t="shared" si="66"/>
        <v>15</v>
      </c>
      <c r="CR82" s="42">
        <f t="shared" si="67"/>
        <v>10</v>
      </c>
      <c r="CS82" s="42">
        <f t="shared" si="68"/>
        <v>15</v>
      </c>
      <c r="CT82" s="43" t="str">
        <f t="shared" si="69"/>
        <v>11-12</v>
      </c>
      <c r="CU82" s="43" t="str">
        <f t="shared" si="70"/>
        <v>12-15</v>
      </c>
      <c r="CV82" s="43" t="str">
        <f t="shared" si="71"/>
        <v>10-15</v>
      </c>
      <c r="CW82" s="13" t="s">
        <v>396</v>
      </c>
    </row>
    <row r="83" spans="1:101" x14ac:dyDescent="0.25">
      <c r="A83" s="31" t="s">
        <v>76</v>
      </c>
      <c r="B83" s="13">
        <v>828</v>
      </c>
      <c r="C83" s="13">
        <v>78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44</v>
      </c>
      <c r="M83" s="34">
        <f>IFERROR(INDEX('Pokemon Data'!I:I,MATCH($A83,'Pokemon Data'!$B:$B,0)),"")</f>
        <v>120</v>
      </c>
      <c r="N83" s="34">
        <f>IFERROR(INDEX('Pokemon Data'!J:J,MATCH($A83,'Pokemon Data'!$B:$B,0)),"")</f>
        <v>153</v>
      </c>
      <c r="O83" s="34">
        <f>IFERROR(INDEX('Pokemon Data'!K:K,MATCH($A83,'Pokemon Data'!$B:$B,0)),"")</f>
        <v>139</v>
      </c>
      <c r="P83" s="35">
        <f>IFERROR(INDEX('Level Multiplier'!$A:$A,MATCH($D83,'Level Multiplier'!$B:$B,0)),"")</f>
        <v>19</v>
      </c>
      <c r="Q83" s="36">
        <f>IFERROR(INDEX('Level Multiplier'!$D:$D,MATCH(P83,'Level Multiplier'!$A:$A,0)),"")</f>
        <v>1.7173900390793821</v>
      </c>
      <c r="R83" s="37">
        <f t="shared" si="36"/>
        <v>14</v>
      </c>
      <c r="S83" s="37">
        <f t="shared" si="37"/>
        <v>15</v>
      </c>
      <c r="T83" s="38">
        <f t="shared" si="38"/>
        <v>596398348.48720443</v>
      </c>
      <c r="U83" s="38">
        <f t="shared" si="39"/>
        <v>597839794.12106299</v>
      </c>
      <c r="V83" s="38" t="b">
        <f t="shared" si="40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1"/>
        <v>19.5</v>
      </c>
      <c r="AI83" s="36">
        <f>IFERROR(INDEX('Level Multiplier'!$D:$D,MATCH(AH83,'Level Multiplier'!$A:$A,0)),"")</f>
        <v>1.6952373004785586</v>
      </c>
      <c r="AJ83" s="37">
        <f t="shared" si="42"/>
        <v>13</v>
      </c>
      <c r="AK83" s="37">
        <f t="shared" si="43"/>
        <v>13</v>
      </c>
      <c r="AL83" s="38">
        <f t="shared" si="44"/>
        <v>566216697.13260186</v>
      </c>
      <c r="AM83" s="38">
        <f t="shared" si="45"/>
        <v>567585196.20368397</v>
      </c>
      <c r="AN83" s="38" t="b">
        <f t="shared" si="46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7"/>
        <v>20</v>
      </c>
      <c r="BA83" s="36">
        <f>IFERROR(INDEX('Level Multiplier'!$D:$D,MATCH(AZ83,'Level Multiplier'!$A:$A,0)),"")</f>
        <v>1.6739202933726098</v>
      </c>
      <c r="BB83" s="37">
        <f t="shared" si="48"/>
        <v>11</v>
      </c>
      <c r="BC83" s="37">
        <f t="shared" si="49"/>
        <v>12</v>
      </c>
      <c r="BD83" s="38">
        <f t="shared" si="50"/>
        <v>538269499.20952594</v>
      </c>
      <c r="BE83" s="38">
        <f t="shared" si="51"/>
        <v>539570452.20753968</v>
      </c>
      <c r="BF83" s="38" t="b">
        <f t="shared" si="52"/>
        <v>0</v>
      </c>
      <c r="BG83" s="37">
        <f t="array" ref="BG83:BQ83">IF(BF83,"",IVSolution($M83,$N83,$O83,BB83,BC83,BD83,BE83,$E83,$F83,$G83,$H83,$I83))</f>
        <v>4</v>
      </c>
      <c r="BH83" s="37">
        <v>34</v>
      </c>
      <c r="BI83" s="37">
        <v>36</v>
      </c>
      <c r="BJ83" s="39">
        <v>0.75555555555555554</v>
      </c>
      <c r="BK83" s="39">
        <v>0.8</v>
      </c>
      <c r="BL83" s="37">
        <v>11</v>
      </c>
      <c r="BM83" s="37">
        <v>12</v>
      </c>
      <c r="BN83" s="37">
        <v>11</v>
      </c>
      <c r="BO83" s="37">
        <v>13</v>
      </c>
      <c r="BP83" s="37">
        <v>9</v>
      </c>
      <c r="BQ83" s="37">
        <v>14</v>
      </c>
      <c r="BR83" s="40">
        <f t="shared" si="53"/>
        <v>20.5</v>
      </c>
      <c r="BS83" s="36">
        <f>IFERROR(INDEX('Level Multiplier'!$D:$D,MATCH(BR83,'Level Multiplier'!$A:$A,0)),"")</f>
        <v>1.653387720177633</v>
      </c>
      <c r="BT83" s="37">
        <f t="shared" si="54"/>
        <v>9</v>
      </c>
      <c r="BU83" s="37">
        <f t="shared" si="55"/>
        <v>10</v>
      </c>
      <c r="BV83" s="38">
        <f t="shared" si="56"/>
        <v>512341463.67162365</v>
      </c>
      <c r="BW83" s="38">
        <f t="shared" si="57"/>
        <v>513579750.74556917</v>
      </c>
      <c r="BX83" s="38" t="b">
        <f t="shared" si="58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9"/>
        <v>20</v>
      </c>
      <c r="CK83" s="41">
        <f t="shared" si="60"/>
        <v>20</v>
      </c>
      <c r="CL83" s="39">
        <f t="shared" si="61"/>
        <v>0.75555555555555554</v>
      </c>
      <c r="CM83" s="39">
        <f t="shared" si="62"/>
        <v>0.8</v>
      </c>
      <c r="CN83" s="42">
        <f t="shared" si="63"/>
        <v>11</v>
      </c>
      <c r="CO83" s="42">
        <f t="shared" si="64"/>
        <v>12</v>
      </c>
      <c r="CP83" s="42">
        <f t="shared" si="65"/>
        <v>11</v>
      </c>
      <c r="CQ83" s="42">
        <f t="shared" si="66"/>
        <v>13</v>
      </c>
      <c r="CR83" s="42">
        <f t="shared" si="67"/>
        <v>9</v>
      </c>
      <c r="CS83" s="42">
        <f t="shared" si="68"/>
        <v>14</v>
      </c>
      <c r="CT83" s="43" t="str">
        <f t="shared" si="69"/>
        <v>11-12</v>
      </c>
      <c r="CU83" s="43" t="str">
        <f t="shared" si="70"/>
        <v>11-13</v>
      </c>
      <c r="CV83" s="43" t="str">
        <f t="shared" si="71"/>
        <v>9-14</v>
      </c>
      <c r="CW83" s="13" t="s">
        <v>405</v>
      </c>
    </row>
    <row r="84" spans="1:101" x14ac:dyDescent="0.25">
      <c r="A84" s="31" t="s">
        <v>80</v>
      </c>
      <c r="B84" s="13">
        <v>393</v>
      </c>
      <c r="C84" s="13">
        <v>70</v>
      </c>
      <c r="D84" s="13">
        <v>19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48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100</v>
      </c>
      <c r="O84" s="34">
        <f>IFERROR(INDEX('Pokemon Data'!K:K,MATCH($A84,'Pokemon Data'!$B:$B,0)),"")</f>
        <v>102</v>
      </c>
      <c r="P84" s="35">
        <f>IFERROR(INDEX('Level Multiplier'!$A:$A,MATCH($D84,'Level Multiplier'!$B:$B,0)),"")</f>
        <v>15</v>
      </c>
      <c r="Q84" s="36">
        <f>IFERROR(INDEX('Level Multiplier'!$D:$D,MATCH(P84,'Level Multiplier'!$A:$A,0)),"")</f>
        <v>1.9327632261645116</v>
      </c>
      <c r="R84" s="37">
        <f t="shared" si="36"/>
        <v>16</v>
      </c>
      <c r="S84" s="37">
        <f t="shared" si="37"/>
        <v>15</v>
      </c>
      <c r="T84" s="38">
        <f t="shared" si="38"/>
        <v>215526023.57026836</v>
      </c>
      <c r="U84" s="38">
        <f t="shared" si="39"/>
        <v>216624243.56877789</v>
      </c>
      <c r="V84" s="38" t="b">
        <f t="shared" si="40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1"/>
        <v>15.5</v>
      </c>
      <c r="AI84" s="36">
        <f>IFERROR(INDEX('Level Multiplier'!$D:$D,MATCH(AH84,'Level Multiplier'!$A:$A,0)),"")</f>
        <v>1.9013484916795402</v>
      </c>
      <c r="AJ84" s="37">
        <f t="shared" si="42"/>
        <v>14</v>
      </c>
      <c r="AK84" s="37">
        <f t="shared" si="43"/>
        <v>14</v>
      </c>
      <c r="AL84" s="38">
        <f t="shared" si="44"/>
        <v>201851508.23705342</v>
      </c>
      <c r="AM84" s="38">
        <f t="shared" si="45"/>
        <v>202880049.28932673</v>
      </c>
      <c r="AN84" s="38" t="b">
        <f t="shared" si="46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7"/>
        <v>16</v>
      </c>
      <c r="BA84" s="36">
        <f>IFERROR(INDEX('Level Multiplier'!$D:$D,MATCH(AZ84,'Level Multiplier'!$A:$A,0)),"")</f>
        <v>1.8714174169787303</v>
      </c>
      <c r="BB84" s="37">
        <f t="shared" si="48"/>
        <v>11</v>
      </c>
      <c r="BC84" s="37">
        <f t="shared" si="49"/>
        <v>12</v>
      </c>
      <c r="BD84" s="38">
        <f t="shared" si="50"/>
        <v>189438291.83302507</v>
      </c>
      <c r="BE84" s="38">
        <f t="shared" si="51"/>
        <v>190403580.92957211</v>
      </c>
      <c r="BF84" s="38" t="b">
        <f t="shared" si="52"/>
        <v>0</v>
      </c>
      <c r="BG84" s="37">
        <f t="array" ref="BG84:BQ84">IF(BF84,"",IVSolution($M84,$N84,$O84,BB84,BC84,BD84,BE84,$E84,$F84,$G84,$H84,$I84))</f>
        <v>2</v>
      </c>
      <c r="BH84" s="37">
        <v>34</v>
      </c>
      <c r="BI84" s="37">
        <v>38</v>
      </c>
      <c r="BJ84" s="39">
        <v>0.75555555555555554</v>
      </c>
      <c r="BK84" s="39">
        <v>0.84444444444444444</v>
      </c>
      <c r="BL84" s="37">
        <v>12</v>
      </c>
      <c r="BM84" s="37">
        <v>12</v>
      </c>
      <c r="BN84" s="37">
        <v>11</v>
      </c>
      <c r="BO84" s="37">
        <v>15</v>
      </c>
      <c r="BP84" s="37">
        <v>7</v>
      </c>
      <c r="BQ84" s="37">
        <v>15</v>
      </c>
      <c r="BR84" s="40">
        <f t="shared" si="53"/>
        <v>16.5</v>
      </c>
      <c r="BS84" s="36">
        <f>IFERROR(INDEX('Level Multiplier'!$D:$D,MATCH(BR84,'Level Multiplier'!$A:$A,0)),"")</f>
        <v>1.8428567757863994</v>
      </c>
      <c r="BT84" s="37">
        <f t="shared" si="54"/>
        <v>9</v>
      </c>
      <c r="BU84" s="37">
        <f t="shared" si="55"/>
        <v>10</v>
      </c>
      <c r="BV84" s="38">
        <f t="shared" si="56"/>
        <v>178135893.25500128</v>
      </c>
      <c r="BW84" s="38">
        <f t="shared" si="57"/>
        <v>179043590.60488173</v>
      </c>
      <c r="BX84" s="38" t="b">
        <f t="shared" si="58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9"/>
        <v>16</v>
      </c>
      <c r="CK84" s="41">
        <f t="shared" si="60"/>
        <v>16</v>
      </c>
      <c r="CL84" s="39">
        <f t="shared" si="61"/>
        <v>0.75555555555555554</v>
      </c>
      <c r="CM84" s="39">
        <f t="shared" si="62"/>
        <v>0.84444444444444444</v>
      </c>
      <c r="CN84" s="42">
        <f t="shared" si="63"/>
        <v>12</v>
      </c>
      <c r="CO84" s="42">
        <f t="shared" si="64"/>
        <v>12</v>
      </c>
      <c r="CP84" s="42">
        <f t="shared" si="65"/>
        <v>11</v>
      </c>
      <c r="CQ84" s="42">
        <f t="shared" si="66"/>
        <v>15</v>
      </c>
      <c r="CR84" s="42">
        <f t="shared" si="67"/>
        <v>7</v>
      </c>
      <c r="CS84" s="42">
        <f t="shared" si="68"/>
        <v>15</v>
      </c>
      <c r="CT84" s="43">
        <f t="shared" si="69"/>
        <v>12</v>
      </c>
      <c r="CU84" s="43" t="str">
        <f t="shared" si="70"/>
        <v>11-15</v>
      </c>
      <c r="CV84" s="43" t="str">
        <f t="shared" si="71"/>
        <v>7-15</v>
      </c>
      <c r="CW84" s="13"/>
    </row>
    <row r="85" spans="1:101" x14ac:dyDescent="0.25">
      <c r="A85" s="31" t="s">
        <v>81</v>
      </c>
      <c r="B85" s="13">
        <v>1093</v>
      </c>
      <c r="C85" s="13">
        <v>91</v>
      </c>
      <c r="D85" s="13">
        <v>25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49</v>
      </c>
      <c r="M85" s="34">
        <f>IFERROR(INDEX('Pokemon Data'!I:I,MATCH($A85,'Pokemon Data'!$B:$B,0)),"")</f>
        <v>140</v>
      </c>
      <c r="N85" s="34">
        <f>IFERROR(INDEX('Pokemon Data'!J:J,MATCH($A85,'Pokemon Data'!$B:$B,0)),"")</f>
        <v>179</v>
      </c>
      <c r="O85" s="34">
        <f>IFERROR(INDEX('Pokemon Data'!K:K,MATCH($A85,'Pokemon Data'!$B:$B,0)),"")</f>
        <v>150</v>
      </c>
      <c r="P85" s="35">
        <f>IFERROR(INDEX('Level Multiplier'!$A:$A,MATCH($D85,'Level Multiplier'!$B:$B,0)),"")</f>
        <v>19</v>
      </c>
      <c r="Q85" s="36">
        <f>IFERROR(INDEX('Level Multiplier'!$D:$D,MATCH(P85,'Level Multiplier'!$A:$A,0)),"")</f>
        <v>1.7173900390793821</v>
      </c>
      <c r="R85" s="37">
        <f t="shared" si="36"/>
        <v>17</v>
      </c>
      <c r="S85" s="37">
        <f t="shared" si="37"/>
        <v>15</v>
      </c>
      <c r="T85" s="38">
        <f t="shared" si="38"/>
        <v>1039240546.1940335</v>
      </c>
      <c r="U85" s="38">
        <f t="shared" si="39"/>
        <v>1041143045.6516368</v>
      </c>
      <c r="V85" s="38" t="b">
        <f t="shared" si="40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1"/>
        <v>19.5</v>
      </c>
      <c r="AI85" s="36">
        <f>IFERROR(INDEX('Level Multiplier'!$D:$D,MATCH(AH85,'Level Multiplier'!$A:$A,0)),"")</f>
        <v>1.6952373004785586</v>
      </c>
      <c r="AJ85" s="37">
        <f t="shared" si="42"/>
        <v>15</v>
      </c>
      <c r="AK85" s="37">
        <f t="shared" si="43"/>
        <v>15</v>
      </c>
      <c r="AL85" s="38">
        <f t="shared" si="44"/>
        <v>986648187.54925096</v>
      </c>
      <c r="AM85" s="38">
        <f t="shared" si="45"/>
        <v>988454408.10957468</v>
      </c>
      <c r="AN85" s="38" t="b">
        <f t="shared" si="46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7"/>
        <v>20</v>
      </c>
      <c r="BA85" s="36">
        <f>IFERROR(INDEX('Level Multiplier'!$D:$D,MATCH(AZ85,'Level Multiplier'!$A:$A,0)),"")</f>
        <v>1.6739202933726098</v>
      </c>
      <c r="BB85" s="37">
        <f t="shared" si="48"/>
        <v>13</v>
      </c>
      <c r="BC85" s="37">
        <f t="shared" si="49"/>
        <v>14</v>
      </c>
      <c r="BD85" s="38">
        <f t="shared" si="50"/>
        <v>937949425.54254627</v>
      </c>
      <c r="BE85" s="38">
        <f t="shared" si="51"/>
        <v>939666495.06979775</v>
      </c>
      <c r="BF85" s="38" t="b">
        <f t="shared" si="52"/>
        <v>0</v>
      </c>
      <c r="BG85" s="37">
        <f t="array" ref="BG85:BQ85">IF(BF85,"",IVSolution($M85,$N85,$O85,BB85,BC85,BD85,BE85,$E85,$F85,$G85,$H85,$I85))</f>
        <v>2</v>
      </c>
      <c r="BH85" s="37">
        <v>41</v>
      </c>
      <c r="BI85" s="37">
        <v>41</v>
      </c>
      <c r="BJ85" s="39">
        <v>0.91111111111111109</v>
      </c>
      <c r="BK85" s="39">
        <v>0.91111111111111109</v>
      </c>
      <c r="BL85" s="37">
        <v>13</v>
      </c>
      <c r="BM85" s="37">
        <v>14</v>
      </c>
      <c r="BN85" s="37">
        <v>15</v>
      </c>
      <c r="BO85" s="37">
        <v>15</v>
      </c>
      <c r="BP85" s="37">
        <v>12</v>
      </c>
      <c r="BQ85" s="37">
        <v>13</v>
      </c>
      <c r="BR85" s="40">
        <f t="shared" si="53"/>
        <v>20.5</v>
      </c>
      <c r="BS85" s="36">
        <f>IFERROR(INDEX('Level Multiplier'!$D:$D,MATCH(BR85,'Level Multiplier'!$A:$A,0)),"")</f>
        <v>1.653387720177633</v>
      </c>
      <c r="BT85" s="37">
        <f t="shared" si="54"/>
        <v>11</v>
      </c>
      <c r="BU85" s="37">
        <f t="shared" si="55"/>
        <v>12</v>
      </c>
      <c r="BV85" s="38">
        <f t="shared" si="56"/>
        <v>892769109.59684229</v>
      </c>
      <c r="BW85" s="38">
        <f t="shared" si="57"/>
        <v>894403469.18086088</v>
      </c>
      <c r="BX85" s="38" t="b">
        <f t="shared" si="58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9"/>
        <v>20</v>
      </c>
      <c r="CK85" s="41">
        <f t="shared" si="60"/>
        <v>20</v>
      </c>
      <c r="CL85" s="39">
        <f t="shared" si="61"/>
        <v>0.91111111111111109</v>
      </c>
      <c r="CM85" s="39">
        <f t="shared" si="62"/>
        <v>0.91111111111111109</v>
      </c>
      <c r="CN85" s="42">
        <f t="shared" si="63"/>
        <v>13</v>
      </c>
      <c r="CO85" s="42">
        <f t="shared" si="64"/>
        <v>14</v>
      </c>
      <c r="CP85" s="42">
        <f t="shared" si="65"/>
        <v>15</v>
      </c>
      <c r="CQ85" s="42">
        <f t="shared" si="66"/>
        <v>15</v>
      </c>
      <c r="CR85" s="42">
        <f t="shared" si="67"/>
        <v>12</v>
      </c>
      <c r="CS85" s="42">
        <f t="shared" si="68"/>
        <v>13</v>
      </c>
      <c r="CT85" s="43" t="str">
        <f t="shared" si="69"/>
        <v>13-14</v>
      </c>
      <c r="CU85" s="43">
        <f t="shared" si="70"/>
        <v>15</v>
      </c>
      <c r="CV85" s="43" t="str">
        <f t="shared" si="71"/>
        <v>12-13</v>
      </c>
      <c r="CW85" s="13" t="s">
        <v>399</v>
      </c>
    </row>
    <row r="86" spans="1:101" x14ac:dyDescent="0.25">
      <c r="A86" s="31" t="s">
        <v>82</v>
      </c>
      <c r="B86" s="13">
        <v>248</v>
      </c>
      <c r="C86" s="13">
        <v>18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50</v>
      </c>
      <c r="M86" s="34">
        <f>IFERROR(INDEX('Pokemon Data'!I:I,MATCH($A86,'Pokemon Data'!$B:$B,0)),"")</f>
        <v>20</v>
      </c>
      <c r="N86" s="34">
        <f>IFERROR(INDEX('Pokemon Data'!J:J,MATCH($A86,'Pokemon Data'!$B:$B,0)),"")</f>
        <v>109</v>
      </c>
      <c r="O86" s="34">
        <f>IFERROR(INDEX('Pokemon Data'!K:K,MATCH($A86,'Pokemon Data'!$B:$B,0)),"")</f>
        <v>88</v>
      </c>
      <c r="P86" s="35">
        <f>IFERROR(INDEX('Level Multiplier'!$A:$A,MATCH($D86,'Level Multiplier'!$B:$B,0)),"")</f>
        <v>19</v>
      </c>
      <c r="Q86" s="36">
        <f>IFERROR(INDEX('Level Multiplier'!$D:$D,MATCH(P86,'Level Multiplier'!$A:$A,0)),"")</f>
        <v>1.7173900390793821</v>
      </c>
      <c r="R86" s="37">
        <f t="shared" si="36"/>
        <v>11</v>
      </c>
      <c r="S86" s="37">
        <f t="shared" si="37"/>
        <v>12</v>
      </c>
      <c r="T86" s="38">
        <f t="shared" si="38"/>
        <v>53503121.463390365</v>
      </c>
      <c r="U86" s="38">
        <f t="shared" si="39"/>
        <v>53935468.162260436</v>
      </c>
      <c r="V86" s="38" t="b">
        <f t="shared" si="40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1"/>
        <v>19.5</v>
      </c>
      <c r="AI86" s="36">
        <f>IFERROR(INDEX('Level Multiplier'!$D:$D,MATCH(AH86,'Level Multiplier'!$A:$A,0)),"")</f>
        <v>1.6952373004785586</v>
      </c>
      <c r="AJ86" s="37">
        <f t="shared" si="42"/>
        <v>11</v>
      </c>
      <c r="AK86" s="37">
        <f t="shared" si="43"/>
        <v>12</v>
      </c>
      <c r="AL86" s="38">
        <f t="shared" si="44"/>
        <v>50795514.102492973</v>
      </c>
      <c r="AM86" s="38">
        <f t="shared" si="45"/>
        <v>51205981.234857358</v>
      </c>
      <c r="AN86" s="38" t="b">
        <f t="shared" si="46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7"/>
        <v>20</v>
      </c>
      <c r="BA86" s="36">
        <f>IFERROR(INDEX('Level Multiplier'!$D:$D,MATCH(AZ86,'Level Multiplier'!$A:$A,0)),"")</f>
        <v>1.6739202933726098</v>
      </c>
      <c r="BB86" s="37">
        <f t="shared" si="48"/>
        <v>11</v>
      </c>
      <c r="BC86" s="37">
        <f t="shared" si="49"/>
        <v>11</v>
      </c>
      <c r="BD86" s="38">
        <f t="shared" si="50"/>
        <v>48288360.404243223</v>
      </c>
      <c r="BE86" s="38">
        <f t="shared" si="51"/>
        <v>48678567.791094631</v>
      </c>
      <c r="BF86" s="38" t="b">
        <f t="shared" si="52"/>
        <v>0</v>
      </c>
      <c r="BG86" s="37">
        <f t="array" ref="BG86:BQ86">IF(BF86,"",IVSolution($M86,$N86,$O86,BB86,BC86,BD86,BE86,$E86,$F86,$G86,$H86,$I86))</f>
        <v>2</v>
      </c>
      <c r="BH86" s="37">
        <v>40</v>
      </c>
      <c r="BI86" s="37">
        <v>40</v>
      </c>
      <c r="BJ86" s="39">
        <v>0.88888888888888884</v>
      </c>
      <c r="BK86" s="39">
        <v>0.88888888888888884</v>
      </c>
      <c r="BL86" s="37">
        <v>11</v>
      </c>
      <c r="BM86" s="37">
        <v>11</v>
      </c>
      <c r="BN86" s="37">
        <v>14</v>
      </c>
      <c r="BO86" s="37">
        <v>15</v>
      </c>
      <c r="BP86" s="37">
        <v>14</v>
      </c>
      <c r="BQ86" s="37">
        <v>15</v>
      </c>
      <c r="BR86" s="40">
        <f t="shared" si="53"/>
        <v>20.5</v>
      </c>
      <c r="BS86" s="36">
        <f>IFERROR(INDEX('Level Multiplier'!$D:$D,MATCH(BR86,'Level Multiplier'!$A:$A,0)),"")</f>
        <v>1.653387720177633</v>
      </c>
      <c r="BT86" s="37">
        <f t="shared" si="54"/>
        <v>10</v>
      </c>
      <c r="BU86" s="37">
        <f t="shared" si="55"/>
        <v>11</v>
      </c>
      <c r="BV86" s="38">
        <f t="shared" si="56"/>
        <v>45962346.52742704</v>
      </c>
      <c r="BW86" s="38">
        <f t="shared" si="57"/>
        <v>46333757.918948427</v>
      </c>
      <c r="BX86" s="38" t="b">
        <f t="shared" si="58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9"/>
        <v>20</v>
      </c>
      <c r="CK86" s="41">
        <f t="shared" si="60"/>
        <v>20</v>
      </c>
      <c r="CL86" s="39">
        <f t="shared" si="61"/>
        <v>0.88888888888888884</v>
      </c>
      <c r="CM86" s="39">
        <f t="shared" si="62"/>
        <v>0.88888888888888884</v>
      </c>
      <c r="CN86" s="42">
        <f t="shared" si="63"/>
        <v>11</v>
      </c>
      <c r="CO86" s="42">
        <f t="shared" si="64"/>
        <v>11</v>
      </c>
      <c r="CP86" s="42">
        <f t="shared" si="65"/>
        <v>14</v>
      </c>
      <c r="CQ86" s="42">
        <f t="shared" si="66"/>
        <v>15</v>
      </c>
      <c r="CR86" s="42">
        <f t="shared" si="67"/>
        <v>14</v>
      </c>
      <c r="CS86" s="42">
        <f t="shared" si="68"/>
        <v>15</v>
      </c>
      <c r="CT86" s="43">
        <f t="shared" si="69"/>
        <v>11</v>
      </c>
      <c r="CU86" s="43" t="str">
        <f t="shared" si="70"/>
        <v>14-15</v>
      </c>
      <c r="CV86" s="43" t="str">
        <f t="shared" si="71"/>
        <v>14-15</v>
      </c>
      <c r="CW86" s="13"/>
    </row>
    <row r="87" spans="1:101" x14ac:dyDescent="0.25">
      <c r="A87" s="31" t="s">
        <v>83</v>
      </c>
      <c r="B87" s="13">
        <v>755</v>
      </c>
      <c r="C87" s="13">
        <v>50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51</v>
      </c>
      <c r="M87" s="34">
        <f>IFERROR(INDEX('Pokemon Data'!I:I,MATCH($A87,'Pokemon Data'!$B:$B,0)),"")</f>
        <v>70</v>
      </c>
      <c r="N87" s="34">
        <f>IFERROR(INDEX('Pokemon Data'!J:J,MATCH($A87,'Pokemon Data'!$B:$B,0)),"")</f>
        <v>167</v>
      </c>
      <c r="O87" s="34">
        <f>IFERROR(INDEX('Pokemon Data'!K:K,MATCH($A87,'Pokemon Data'!$B:$B,0)),"")</f>
        <v>147</v>
      </c>
      <c r="P87" s="35">
        <f>IFERROR(INDEX('Level Multiplier'!$A:$A,MATCH($D87,'Level Multiplier'!$B:$B,0)),"")</f>
        <v>19</v>
      </c>
      <c r="Q87" s="36">
        <f>IFERROR(INDEX('Level Multiplier'!$D:$D,MATCH(P87,'Level Multiplier'!$A:$A,0)),"")</f>
        <v>1.7173900390793821</v>
      </c>
      <c r="R87" s="37">
        <f t="shared" si="36"/>
        <v>16</v>
      </c>
      <c r="S87" s="37">
        <f t="shared" si="37"/>
        <v>15</v>
      </c>
      <c r="T87" s="38">
        <f t="shared" si="38"/>
        <v>495872086.56622481</v>
      </c>
      <c r="U87" s="38">
        <f t="shared" si="39"/>
        <v>497186524.92033488</v>
      </c>
      <c r="V87" s="38" t="b">
        <f t="shared" si="40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1"/>
        <v>19.5</v>
      </c>
      <c r="AI87" s="36">
        <f>IFERROR(INDEX('Level Multiplier'!$D:$D,MATCH(AH87,'Level Multiplier'!$A:$A,0)),"")</f>
        <v>1.6952373004785586</v>
      </c>
      <c r="AJ87" s="37">
        <f t="shared" si="42"/>
        <v>15</v>
      </c>
      <c r="AK87" s="37">
        <f t="shared" si="43"/>
        <v>15</v>
      </c>
      <c r="AL87" s="38">
        <f t="shared" si="44"/>
        <v>470777720.57546759</v>
      </c>
      <c r="AM87" s="38">
        <f t="shared" si="45"/>
        <v>472025639.76460761</v>
      </c>
      <c r="AN87" s="38" t="b">
        <f t="shared" si="46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7"/>
        <v>20</v>
      </c>
      <c r="BA87" s="36">
        <f>IFERROR(INDEX('Level Multiplier'!$D:$D,MATCH(AZ87,'Level Multiplier'!$A:$A,0)),"")</f>
        <v>1.6739202933726098</v>
      </c>
      <c r="BB87" s="37">
        <f t="shared" si="48"/>
        <v>14</v>
      </c>
      <c r="BC87" s="37">
        <f t="shared" si="49"/>
        <v>15</v>
      </c>
      <c r="BD87" s="38">
        <f t="shared" si="50"/>
        <v>447541178.45064944</v>
      </c>
      <c r="BE87" s="38">
        <f t="shared" si="51"/>
        <v>448727503.12174094</v>
      </c>
      <c r="BF87" s="38" t="b">
        <f t="shared" si="52"/>
        <v>0</v>
      </c>
      <c r="BG87" s="37">
        <f t="array" ref="BG87:BQ87">IF(BF87,"",IVSolution($M87,$N87,$O87,BB87,BC87,BD87,BE87,$E87,$F87,$G87,$H87,$I87))</f>
        <v>3</v>
      </c>
      <c r="BH87" s="37">
        <v>42</v>
      </c>
      <c r="BI87" s="37">
        <v>43</v>
      </c>
      <c r="BJ87" s="39">
        <v>0.93333333333333335</v>
      </c>
      <c r="BK87" s="39">
        <v>0.9555555555555556</v>
      </c>
      <c r="BL87" s="37">
        <v>14</v>
      </c>
      <c r="BM87" s="37">
        <v>15</v>
      </c>
      <c r="BN87" s="37">
        <v>14</v>
      </c>
      <c r="BO87" s="37">
        <v>15</v>
      </c>
      <c r="BP87" s="37">
        <v>12</v>
      </c>
      <c r="BQ87" s="37">
        <v>14</v>
      </c>
      <c r="BR87" s="40">
        <f t="shared" si="53"/>
        <v>20.5</v>
      </c>
      <c r="BS87" s="36">
        <f>IFERROR(INDEX('Level Multiplier'!$D:$D,MATCH(BR87,'Level Multiplier'!$A:$A,0)),"")</f>
        <v>1.653387720177633</v>
      </c>
      <c r="BT87" s="37">
        <f t="shared" si="54"/>
        <v>13</v>
      </c>
      <c r="BU87" s="37">
        <f t="shared" si="55"/>
        <v>14</v>
      </c>
      <c r="BV87" s="38">
        <f t="shared" si="56"/>
        <v>425983457.64985365</v>
      </c>
      <c r="BW87" s="38">
        <f t="shared" si="57"/>
        <v>427112637.95687336</v>
      </c>
      <c r="BX87" s="38" t="b">
        <f t="shared" si="58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9"/>
        <v>20</v>
      </c>
      <c r="CK87" s="41">
        <f t="shared" si="60"/>
        <v>20</v>
      </c>
      <c r="CL87" s="39">
        <f t="shared" si="61"/>
        <v>0.93333333333333335</v>
      </c>
      <c r="CM87" s="39">
        <f t="shared" si="62"/>
        <v>0.9555555555555556</v>
      </c>
      <c r="CN87" s="42">
        <f t="shared" si="63"/>
        <v>14</v>
      </c>
      <c r="CO87" s="42">
        <f t="shared" si="64"/>
        <v>15</v>
      </c>
      <c r="CP87" s="42">
        <f t="shared" si="65"/>
        <v>14</v>
      </c>
      <c r="CQ87" s="42">
        <f t="shared" si="66"/>
        <v>15</v>
      </c>
      <c r="CR87" s="42">
        <f t="shared" si="67"/>
        <v>12</v>
      </c>
      <c r="CS87" s="42">
        <f t="shared" si="68"/>
        <v>14</v>
      </c>
      <c r="CT87" s="43" t="str">
        <f t="shared" si="69"/>
        <v>14-15</v>
      </c>
      <c r="CU87" s="43" t="str">
        <f t="shared" si="70"/>
        <v>14-15</v>
      </c>
      <c r="CV87" s="43" t="str">
        <f t="shared" si="71"/>
        <v>12-14</v>
      </c>
      <c r="CW87" s="13" t="s">
        <v>399</v>
      </c>
    </row>
    <row r="88" spans="1:101" x14ac:dyDescent="0.25">
      <c r="A88" s="31" t="s">
        <v>85</v>
      </c>
      <c r="B88" s="13">
        <v>1125</v>
      </c>
      <c r="C88" s="13">
        <v>97</v>
      </c>
      <c r="D88" s="13">
        <v>40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53</v>
      </c>
      <c r="M88" s="34">
        <f>IFERROR(INDEX('Pokemon Data'!I:I,MATCH($A88,'Pokemon Data'!$B:$B,0)),"")</f>
        <v>130</v>
      </c>
      <c r="N88" s="34">
        <f>IFERROR(INDEX('Pokemon Data'!J:J,MATCH($A88,'Pokemon Data'!$B:$B,0)),"")</f>
        <v>150</v>
      </c>
      <c r="O88" s="34">
        <f>IFERROR(INDEX('Pokemon Data'!K:K,MATCH($A88,'Pokemon Data'!$B:$B,0)),"")</f>
        <v>139</v>
      </c>
      <c r="P88" s="35">
        <f>IFERROR(INDEX('Level Multiplier'!$A:$A,MATCH($D88,'Level Multiplier'!$B:$B,0)),"")</f>
        <v>25</v>
      </c>
      <c r="Q88" s="36">
        <f>IFERROR(INDEX('Level Multiplier'!$D:$D,MATCH(P88,'Level Multiplier'!$A:$A,0)),"")</f>
        <v>1.4971539104162985</v>
      </c>
      <c r="R88" s="37">
        <f t="shared" si="36"/>
        <v>16</v>
      </c>
      <c r="S88" s="37">
        <f t="shared" si="37"/>
        <v>15</v>
      </c>
      <c r="T88" s="38">
        <f t="shared" si="38"/>
        <v>635873667.8724221</v>
      </c>
      <c r="U88" s="38">
        <f t="shared" si="39"/>
        <v>637004612.36734021</v>
      </c>
      <c r="V88" s="38" t="b">
        <f t="shared" si="40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1"/>
        <v>25.5</v>
      </c>
      <c r="AI88" s="36">
        <f>IFERROR(INDEX('Level Multiplier'!$D:$D,MATCH(AH88,'Level Multiplier'!$A:$A,0)),"")</f>
        <v>1.4824092786238152</v>
      </c>
      <c r="AJ88" s="37">
        <f t="shared" si="42"/>
        <v>14</v>
      </c>
      <c r="AK88" s="37">
        <f t="shared" si="43"/>
        <v>15</v>
      </c>
      <c r="AL88" s="38">
        <f t="shared" si="44"/>
        <v>611191834.47618055</v>
      </c>
      <c r="AM88" s="38">
        <f t="shared" si="45"/>
        <v>612278880.65447652</v>
      </c>
      <c r="AN88" s="38" t="b">
        <f t="shared" si="46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7"/>
        <v>26</v>
      </c>
      <c r="BA88" s="36">
        <f>IFERROR(INDEX('Level Multiplier'!$D:$D,MATCH(AZ88,'Level Multiplier'!$A:$A,0)),"")</f>
        <v>1.4680732530970622</v>
      </c>
      <c r="BB88" s="37">
        <f t="shared" si="48"/>
        <v>13</v>
      </c>
      <c r="BC88" s="37">
        <f t="shared" si="49"/>
        <v>13</v>
      </c>
      <c r="BD88" s="38">
        <f t="shared" si="50"/>
        <v>587889833.76931262</v>
      </c>
      <c r="BE88" s="38">
        <f t="shared" si="51"/>
        <v>588935435.75711679</v>
      </c>
      <c r="BF88" s="38" t="b">
        <f t="shared" si="52"/>
        <v>0</v>
      </c>
      <c r="BG88" s="37">
        <f t="array" ref="BG88:BQ88">IF(BF88,"",IVSolution($M88,$N88,$O88,BB88,BC88,BD88,BE88,$E88,$F88,$G88,$H88,$I88))</f>
        <v>1</v>
      </c>
      <c r="BH88" s="37">
        <v>41</v>
      </c>
      <c r="BI88" s="37">
        <v>41</v>
      </c>
      <c r="BJ88" s="39">
        <v>0.91111111111111109</v>
      </c>
      <c r="BK88" s="39">
        <v>0.91111111111111109</v>
      </c>
      <c r="BL88" s="37">
        <v>13</v>
      </c>
      <c r="BM88" s="37">
        <v>13</v>
      </c>
      <c r="BN88" s="37">
        <v>14</v>
      </c>
      <c r="BO88" s="37">
        <v>14</v>
      </c>
      <c r="BP88" s="37">
        <v>14</v>
      </c>
      <c r="BQ88" s="37">
        <v>14</v>
      </c>
      <c r="BR88" s="40">
        <f t="shared" si="53"/>
        <v>26.5</v>
      </c>
      <c r="BS88" s="36">
        <f>IFERROR(INDEX('Level Multiplier'!$D:$D,MATCH(BR88,'Level Multiplier'!$A:$A,0)),"")</f>
        <v>1.4541633575240582</v>
      </c>
      <c r="BT88" s="37">
        <f t="shared" si="54"/>
        <v>12</v>
      </c>
      <c r="BU88" s="37">
        <f t="shared" si="55"/>
        <v>12</v>
      </c>
      <c r="BV88" s="38">
        <f t="shared" si="56"/>
        <v>565923635.91324854</v>
      </c>
      <c r="BW88" s="38">
        <f t="shared" si="57"/>
        <v>566930169.52663374</v>
      </c>
      <c r="BX88" s="38" t="b">
        <f t="shared" si="58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9"/>
        <v>26</v>
      </c>
      <c r="CK88" s="41">
        <f t="shared" si="60"/>
        <v>26</v>
      </c>
      <c r="CL88" s="39">
        <f t="shared" si="61"/>
        <v>0.91111111111111109</v>
      </c>
      <c r="CM88" s="39">
        <f t="shared" si="62"/>
        <v>0.91111111111111109</v>
      </c>
      <c r="CN88" s="42">
        <f t="shared" si="63"/>
        <v>13</v>
      </c>
      <c r="CO88" s="42">
        <f t="shared" si="64"/>
        <v>13</v>
      </c>
      <c r="CP88" s="42">
        <f t="shared" si="65"/>
        <v>14</v>
      </c>
      <c r="CQ88" s="42">
        <f t="shared" si="66"/>
        <v>14</v>
      </c>
      <c r="CR88" s="42">
        <f t="shared" si="67"/>
        <v>14</v>
      </c>
      <c r="CS88" s="42">
        <f t="shared" si="68"/>
        <v>14</v>
      </c>
      <c r="CT88" s="43">
        <f t="shared" si="69"/>
        <v>13</v>
      </c>
      <c r="CU88" s="43">
        <f t="shared" si="70"/>
        <v>14</v>
      </c>
      <c r="CV88" s="43">
        <f t="shared" si="71"/>
        <v>14</v>
      </c>
      <c r="CW88" s="13" t="s">
        <v>399</v>
      </c>
    </row>
    <row r="89" spans="1:101" x14ac:dyDescent="0.25">
      <c r="A89" s="31" t="s">
        <v>86</v>
      </c>
      <c r="B89" s="13">
        <v>530</v>
      </c>
      <c r="C89" s="13">
        <v>68</v>
      </c>
      <c r="D89" s="13">
        <v>25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54</v>
      </c>
      <c r="M89" s="34">
        <f>IFERROR(INDEX('Pokemon Data'!I:I,MATCH($A89,'Pokemon Data'!$B:$B,0)),"")</f>
        <v>100</v>
      </c>
      <c r="N89" s="34">
        <f>IFERROR(INDEX('Pokemon Data'!J:J,MATCH($A89,'Pokemon Data'!$B:$B,0)),"")</f>
        <v>122</v>
      </c>
      <c r="O89" s="34">
        <f>IFERROR(INDEX('Pokemon Data'!K:K,MATCH($A89,'Pokemon Data'!$B:$B,0)),"")</f>
        <v>96</v>
      </c>
      <c r="P89" s="35">
        <f>IFERROR(INDEX('Level Multiplier'!$A:$A,MATCH($D89,'Level Multiplier'!$B:$B,0)),"")</f>
        <v>19</v>
      </c>
      <c r="Q89" s="36">
        <f>IFERROR(INDEX('Level Multiplier'!$D:$D,MATCH(P89,'Level Multiplier'!$A:$A,0)),"")</f>
        <v>1.7173900390793821</v>
      </c>
      <c r="R89" s="37">
        <f t="shared" si="36"/>
        <v>17</v>
      </c>
      <c r="S89" s="37">
        <f t="shared" si="37"/>
        <v>15</v>
      </c>
      <c r="T89" s="38">
        <f t="shared" si="38"/>
        <v>244358526.58471566</v>
      </c>
      <c r="U89" s="38">
        <f t="shared" si="39"/>
        <v>245281504.14508015</v>
      </c>
      <c r="V89" s="38" t="b">
        <f t="shared" si="40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1"/>
        <v>19.5</v>
      </c>
      <c r="AI89" s="36">
        <f>IFERROR(INDEX('Level Multiplier'!$D:$D,MATCH(AH89,'Level Multiplier'!$A:$A,0)),"")</f>
        <v>1.6952373004785586</v>
      </c>
      <c r="AJ89" s="37">
        <f t="shared" si="42"/>
        <v>16</v>
      </c>
      <c r="AK89" s="37">
        <f t="shared" si="43"/>
        <v>15</v>
      </c>
      <c r="AL89" s="38">
        <f t="shared" si="44"/>
        <v>231992389.29809895</v>
      </c>
      <c r="AM89" s="38">
        <f t="shared" si="45"/>
        <v>232868658.16618466</v>
      </c>
      <c r="AN89" s="38" t="b">
        <f t="shared" si="46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7"/>
        <v>20</v>
      </c>
      <c r="BA89" s="36">
        <f>IFERROR(INDEX('Level Multiplier'!$D:$D,MATCH(AZ89,'Level Multiplier'!$A:$A,0)),"")</f>
        <v>1.6739202933726098</v>
      </c>
      <c r="BB89" s="37">
        <f t="shared" si="48"/>
        <v>14</v>
      </c>
      <c r="BC89" s="37">
        <f t="shared" si="49"/>
        <v>15</v>
      </c>
      <c r="BD89" s="38">
        <f t="shared" si="50"/>
        <v>220541760.49609655</v>
      </c>
      <c r="BE89" s="38">
        <f t="shared" si="51"/>
        <v>221374778.68009925</v>
      </c>
      <c r="BF89" s="38" t="b">
        <f t="shared" si="52"/>
        <v>0</v>
      </c>
      <c r="BG89" s="37">
        <f t="array" ref="BG89:BQ89">IF(BF89,"",IVSolution($M89,$N89,$O89,BB89,BC89,BD89,BE89,$E89,$F89,$G89,$H89,$I89))</f>
        <v>3</v>
      </c>
      <c r="BH89" s="37">
        <v>37</v>
      </c>
      <c r="BI89" s="37">
        <v>38</v>
      </c>
      <c r="BJ89" s="39">
        <v>0.82222222222222219</v>
      </c>
      <c r="BK89" s="39">
        <v>0.84444444444444444</v>
      </c>
      <c r="BL89" s="37">
        <v>14</v>
      </c>
      <c r="BM89" s="37">
        <v>15</v>
      </c>
      <c r="BN89" s="37">
        <v>12</v>
      </c>
      <c r="BO89" s="37">
        <v>14</v>
      </c>
      <c r="BP89" s="37">
        <v>8</v>
      </c>
      <c r="BQ89" s="37">
        <v>12</v>
      </c>
      <c r="BR89" s="40">
        <f t="shared" si="53"/>
        <v>20.5</v>
      </c>
      <c r="BS89" s="36">
        <f>IFERROR(INDEX('Level Multiplier'!$D:$D,MATCH(BR89,'Level Multiplier'!$A:$A,0)),"")</f>
        <v>1.653387720177633</v>
      </c>
      <c r="BT89" s="37">
        <f t="shared" si="54"/>
        <v>13</v>
      </c>
      <c r="BU89" s="37">
        <f t="shared" si="55"/>
        <v>14</v>
      </c>
      <c r="BV89" s="38">
        <f t="shared" si="56"/>
        <v>209918430.33874634</v>
      </c>
      <c r="BW89" s="38">
        <f t="shared" si="57"/>
        <v>210711322.66551533</v>
      </c>
      <c r="BX89" s="38" t="b">
        <f t="shared" si="58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9"/>
        <v>20</v>
      </c>
      <c r="CK89" s="41">
        <f t="shared" si="60"/>
        <v>20</v>
      </c>
      <c r="CL89" s="39">
        <f t="shared" si="61"/>
        <v>0.82222222222222219</v>
      </c>
      <c r="CM89" s="39">
        <f t="shared" si="62"/>
        <v>0.84444444444444444</v>
      </c>
      <c r="CN89" s="42">
        <f t="shared" si="63"/>
        <v>14</v>
      </c>
      <c r="CO89" s="42">
        <f t="shared" si="64"/>
        <v>15</v>
      </c>
      <c r="CP89" s="42">
        <f t="shared" si="65"/>
        <v>12</v>
      </c>
      <c r="CQ89" s="42">
        <f t="shared" si="66"/>
        <v>14</v>
      </c>
      <c r="CR89" s="42">
        <f t="shared" si="67"/>
        <v>8</v>
      </c>
      <c r="CS89" s="42">
        <f t="shared" si="68"/>
        <v>12</v>
      </c>
      <c r="CT89" s="43" t="str">
        <f t="shared" si="69"/>
        <v>14-15</v>
      </c>
      <c r="CU89" s="43" t="str">
        <f t="shared" si="70"/>
        <v>12-14</v>
      </c>
      <c r="CV89" s="43" t="str">
        <f t="shared" si="71"/>
        <v>8-12</v>
      </c>
      <c r="CW89" s="13"/>
    </row>
    <row r="90" spans="1:101" x14ac:dyDescent="0.25">
      <c r="A90" s="31" t="s">
        <v>87</v>
      </c>
      <c r="B90" s="13">
        <v>1290</v>
      </c>
      <c r="C90" s="13">
        <v>104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55</v>
      </c>
      <c r="M90" s="34">
        <f>IFERROR(INDEX('Pokemon Data'!I:I,MATCH($A90,'Pokemon Data'!$B:$B,0)),"")</f>
        <v>160</v>
      </c>
      <c r="N90" s="34">
        <f>IFERROR(INDEX('Pokemon Data'!J:J,MATCH($A90,'Pokemon Data'!$B:$B,0)),"")</f>
        <v>191</v>
      </c>
      <c r="O90" s="34">
        <f>IFERROR(INDEX('Pokemon Data'!K:K,MATCH($A90,'Pokemon Data'!$B:$B,0)),"")</f>
        <v>163</v>
      </c>
      <c r="P90" s="35">
        <f>IFERROR(INDEX('Level Multiplier'!$A:$A,MATCH($D90,'Level Multiplier'!$B:$B,0)),"")</f>
        <v>19</v>
      </c>
      <c r="Q90" s="36">
        <f>IFERROR(INDEX('Level Multiplier'!$D:$D,MATCH(P90,'Level Multiplier'!$A:$A,0)),"")</f>
        <v>1.7173900390793821</v>
      </c>
      <c r="R90" s="37">
        <f t="shared" si="36"/>
        <v>19</v>
      </c>
      <c r="S90" s="37">
        <f t="shared" si="37"/>
        <v>15</v>
      </c>
      <c r="T90" s="38">
        <f t="shared" si="38"/>
        <v>1447622015.2710052</v>
      </c>
      <c r="U90" s="38">
        <f t="shared" si="39"/>
        <v>1449867260.4013546</v>
      </c>
      <c r="V90" s="38" t="b">
        <f t="shared" si="40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1"/>
        <v>19.5</v>
      </c>
      <c r="AI90" s="36">
        <f>IFERROR(INDEX('Level Multiplier'!$D:$D,MATCH(AH90,'Level Multiplier'!$A:$A,0)),"")</f>
        <v>1.6952373004785586</v>
      </c>
      <c r="AJ90" s="37">
        <f t="shared" si="42"/>
        <v>17</v>
      </c>
      <c r="AK90" s="37">
        <f t="shared" si="43"/>
        <v>15</v>
      </c>
      <c r="AL90" s="38">
        <f t="shared" si="44"/>
        <v>1374362887.2586915</v>
      </c>
      <c r="AM90" s="38">
        <f t="shared" si="45"/>
        <v>1376494508.3223383</v>
      </c>
      <c r="AN90" s="38" t="b">
        <f t="shared" si="46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7"/>
        <v>20</v>
      </c>
      <c r="BA90" s="36">
        <f>IFERROR(INDEX('Level Multiplier'!$D:$D,MATCH(AZ90,'Level Multiplier'!$A:$A,0)),"")</f>
        <v>1.6739202933726098</v>
      </c>
      <c r="BB90" s="37">
        <f t="shared" si="48"/>
        <v>15</v>
      </c>
      <c r="BC90" s="37">
        <f t="shared" si="49"/>
        <v>15</v>
      </c>
      <c r="BD90" s="38">
        <f t="shared" si="50"/>
        <v>1306527389.2543762</v>
      </c>
      <c r="BE90" s="38">
        <f t="shared" si="51"/>
        <v>1308553798.239212</v>
      </c>
      <c r="BF90" s="38" t="b">
        <f t="shared" si="52"/>
        <v>0</v>
      </c>
      <c r="BG90" s="37">
        <f t="array" ref="BG90:BQ90">IF(BF90,"",IVSolution($M90,$N90,$O90,BB90,BC90,BD90,BE90,$E90,$F90,$G90,$H90,$I90))</f>
        <v>1</v>
      </c>
      <c r="BH90" s="37">
        <v>43</v>
      </c>
      <c r="BI90" s="37">
        <v>43</v>
      </c>
      <c r="BJ90" s="39">
        <v>0.9555555555555556</v>
      </c>
      <c r="BK90" s="39">
        <v>0.9555555555555556</v>
      </c>
      <c r="BL90" s="37">
        <v>15</v>
      </c>
      <c r="BM90" s="37">
        <v>15</v>
      </c>
      <c r="BN90" s="37">
        <v>15</v>
      </c>
      <c r="BO90" s="37">
        <v>15</v>
      </c>
      <c r="BP90" s="37">
        <v>13</v>
      </c>
      <c r="BQ90" s="37">
        <v>13</v>
      </c>
      <c r="BR90" s="40">
        <f t="shared" si="53"/>
        <v>20.5</v>
      </c>
      <c r="BS90" s="36">
        <f>IFERROR(INDEX('Level Multiplier'!$D:$D,MATCH(BR90,'Level Multiplier'!$A:$A,0)),"")</f>
        <v>1.653387720177633</v>
      </c>
      <c r="BT90" s="37">
        <f t="shared" si="54"/>
        <v>12</v>
      </c>
      <c r="BU90" s="37">
        <f t="shared" si="55"/>
        <v>13</v>
      </c>
      <c r="BV90" s="38">
        <f t="shared" si="56"/>
        <v>1243592950.9672759</v>
      </c>
      <c r="BW90" s="38">
        <f t="shared" si="57"/>
        <v>1245521749.3606696</v>
      </c>
      <c r="BX90" s="38" t="b">
        <f t="shared" si="58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9"/>
        <v>20</v>
      </c>
      <c r="CK90" s="41">
        <f t="shared" si="60"/>
        <v>20</v>
      </c>
      <c r="CL90" s="39">
        <f t="shared" si="61"/>
        <v>0.9555555555555556</v>
      </c>
      <c r="CM90" s="39">
        <f t="shared" si="62"/>
        <v>0.9555555555555556</v>
      </c>
      <c r="CN90" s="42">
        <f t="shared" si="63"/>
        <v>15</v>
      </c>
      <c r="CO90" s="42">
        <f t="shared" si="64"/>
        <v>15</v>
      </c>
      <c r="CP90" s="42">
        <f t="shared" si="65"/>
        <v>15</v>
      </c>
      <c r="CQ90" s="42">
        <f t="shared" si="66"/>
        <v>15</v>
      </c>
      <c r="CR90" s="42">
        <f t="shared" si="67"/>
        <v>13</v>
      </c>
      <c r="CS90" s="42">
        <f t="shared" si="68"/>
        <v>13</v>
      </c>
      <c r="CT90" s="43">
        <f t="shared" si="69"/>
        <v>15</v>
      </c>
      <c r="CU90" s="43">
        <f t="shared" si="70"/>
        <v>15</v>
      </c>
      <c r="CV90" s="43">
        <f t="shared" si="71"/>
        <v>13</v>
      </c>
      <c r="CW90" s="13" t="s">
        <v>399</v>
      </c>
    </row>
    <row r="91" spans="1:101" x14ac:dyDescent="0.25">
      <c r="A91" s="31" t="s">
        <v>89</v>
      </c>
      <c r="B91" s="13">
        <v>806</v>
      </c>
      <c r="C91" s="13">
        <v>71</v>
      </c>
      <c r="D91" s="13">
        <v>16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57</v>
      </c>
      <c r="M91" s="34">
        <f>IFERROR(INDEX('Pokemon Data'!I:I,MATCH($A91,'Pokemon Data'!$B:$B,0)),"")</f>
        <v>130</v>
      </c>
      <c r="N91" s="34">
        <f>IFERROR(INDEX('Pokemon Data'!J:J,MATCH($A91,'Pokemon Data'!$B:$B,0)),"")</f>
        <v>207</v>
      </c>
      <c r="O91" s="34">
        <f>IFERROR(INDEX('Pokemon Data'!K:K,MATCH($A91,'Pokemon Data'!$B:$B,0)),"")</f>
        <v>144</v>
      </c>
      <c r="P91" s="35">
        <f>IFERROR(INDEX('Level Multiplier'!$A:$A,MATCH($D91,'Level Multiplier'!$B:$B,0)),"")</f>
        <v>13</v>
      </c>
      <c r="Q91" s="36">
        <f>IFERROR(INDEX('Level Multiplier'!$D:$D,MATCH(P91,'Level Multiplier'!$A:$A,0)),"")</f>
        <v>2.0760457639376111</v>
      </c>
      <c r="R91" s="37">
        <f t="shared" si="36"/>
        <v>18</v>
      </c>
      <c r="S91" s="37">
        <f t="shared" si="37"/>
        <v>15</v>
      </c>
      <c r="T91" s="38">
        <f t="shared" si="38"/>
        <v>1206751298.3224037</v>
      </c>
      <c r="U91" s="38">
        <f t="shared" si="39"/>
        <v>1209747575.9982004</v>
      </c>
      <c r="V91" s="38" t="b">
        <f t="shared" si="40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1"/>
        <v>13.5</v>
      </c>
      <c r="AI91" s="36">
        <f>IFERROR(INDEX('Level Multiplier'!$D:$D,MATCH(AH91,'Level Multiplier'!$A:$A,0)),"")</f>
        <v>2.0372581927319593</v>
      </c>
      <c r="AJ91" s="37">
        <f t="shared" si="42"/>
        <v>15</v>
      </c>
      <c r="AK91" s="37">
        <f t="shared" si="43"/>
        <v>15</v>
      </c>
      <c r="AL91" s="38">
        <f t="shared" si="44"/>
        <v>1119062584.5445428</v>
      </c>
      <c r="AM91" s="38">
        <f t="shared" si="45"/>
        <v>1121841137.3785458</v>
      </c>
      <c r="AN91" s="38" t="b">
        <f t="shared" si="46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7"/>
        <v>14</v>
      </c>
      <c r="BA91" s="36">
        <f>IFERROR(INDEX('Level Multiplier'!$D:$D,MATCH(AZ91,'Level Multiplier'!$A:$A,0)),"")</f>
        <v>2.0005664003592698</v>
      </c>
      <c r="BB91" s="37">
        <f t="shared" si="48"/>
        <v>13</v>
      </c>
      <c r="BC91" s="37">
        <f t="shared" si="49"/>
        <v>14</v>
      </c>
      <c r="BD91" s="38">
        <f t="shared" si="50"/>
        <v>1040595553.2809371</v>
      </c>
      <c r="BE91" s="38">
        <f t="shared" si="51"/>
        <v>1043179278.0551833</v>
      </c>
      <c r="BF91" s="38" t="b">
        <f t="shared" si="52"/>
        <v>0</v>
      </c>
      <c r="BG91" s="37">
        <f t="array" ref="BG91:BQ91">IF(BF91,"",IVSolution($M91,$N91,$O91,BB91,BC91,BD91,BE91,$E91,$F91,$G91,$H91,$I91))</f>
        <v>9</v>
      </c>
      <c r="BH91" s="37">
        <v>32</v>
      </c>
      <c r="BI91" s="37">
        <v>35</v>
      </c>
      <c r="BJ91" s="39">
        <v>0.71111111111111114</v>
      </c>
      <c r="BK91" s="39">
        <v>0.77777777777777779</v>
      </c>
      <c r="BL91" s="37">
        <v>13</v>
      </c>
      <c r="BM91" s="37">
        <v>14</v>
      </c>
      <c r="BN91" s="37">
        <v>7</v>
      </c>
      <c r="BO91" s="37">
        <v>15</v>
      </c>
      <c r="BP91" s="37">
        <v>4</v>
      </c>
      <c r="BQ91" s="37">
        <v>15</v>
      </c>
      <c r="BR91" s="40">
        <f t="shared" si="53"/>
        <v>14.5</v>
      </c>
      <c r="BS91" s="36">
        <f>IFERROR(INDEX('Level Multiplier'!$D:$D,MATCH(BR91,'Level Multiplier'!$A:$A,0)),"")</f>
        <v>1.9657883435887038</v>
      </c>
      <c r="BT91" s="37">
        <f t="shared" si="54"/>
        <v>10</v>
      </c>
      <c r="BU91" s="37">
        <f t="shared" si="55"/>
        <v>11</v>
      </c>
      <c r="BV91" s="38">
        <f t="shared" si="56"/>
        <v>970101342.80726159</v>
      </c>
      <c r="BW91" s="38">
        <f t="shared" si="57"/>
        <v>972510035.46891844</v>
      </c>
      <c r="BX91" s="38" t="b">
        <f t="shared" si="58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9"/>
        <v>14</v>
      </c>
      <c r="CK91" s="41">
        <f t="shared" si="60"/>
        <v>14</v>
      </c>
      <c r="CL91" s="39">
        <f t="shared" si="61"/>
        <v>0.71111111111111114</v>
      </c>
      <c r="CM91" s="39">
        <f t="shared" si="62"/>
        <v>0.77777777777777779</v>
      </c>
      <c r="CN91" s="42">
        <f t="shared" si="63"/>
        <v>13</v>
      </c>
      <c r="CO91" s="42">
        <f t="shared" si="64"/>
        <v>14</v>
      </c>
      <c r="CP91" s="42">
        <f t="shared" si="65"/>
        <v>7</v>
      </c>
      <c r="CQ91" s="42">
        <f t="shared" si="66"/>
        <v>15</v>
      </c>
      <c r="CR91" s="42">
        <f t="shared" si="67"/>
        <v>4</v>
      </c>
      <c r="CS91" s="42">
        <f t="shared" si="68"/>
        <v>15</v>
      </c>
      <c r="CT91" s="43" t="str">
        <f t="shared" si="69"/>
        <v>13-14</v>
      </c>
      <c r="CU91" s="43" t="str">
        <f t="shared" si="70"/>
        <v>7-15</v>
      </c>
      <c r="CV91" s="43" t="str">
        <f t="shared" si="71"/>
        <v>4-15</v>
      </c>
      <c r="CW91" s="13" t="s">
        <v>399</v>
      </c>
    </row>
    <row r="92" spans="1:101" x14ac:dyDescent="0.25">
      <c r="A92" s="31" t="s">
        <v>91</v>
      </c>
      <c r="B92" s="13">
        <v>618</v>
      </c>
      <c r="C92" s="13">
        <v>72</v>
      </c>
      <c r="D92" s="13">
        <v>25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58</v>
      </c>
      <c r="M92" s="34">
        <f>IFERROR(INDEX('Pokemon Data'!I:I,MATCH($A92,'Pokemon Data'!$B:$B,0)),"")</f>
        <v>110</v>
      </c>
      <c r="N92" s="34">
        <f>IFERROR(INDEX('Pokemon Data'!J:J,MATCH($A92,'Pokemon Data'!$B:$B,0)),"")</f>
        <v>136</v>
      </c>
      <c r="O92" s="34">
        <f>IFERROR(INDEX('Pokemon Data'!K:K,MATCH($A92,'Pokemon Data'!$B:$B,0)),"")</f>
        <v>96</v>
      </c>
      <c r="P92" s="35">
        <f>IFERROR(INDEX('Level Multiplier'!$A:$A,MATCH($D92,'Level Multiplier'!$B:$B,0)),"")</f>
        <v>19</v>
      </c>
      <c r="Q92" s="36">
        <f>IFERROR(INDEX('Level Multiplier'!$D:$D,MATCH(P92,'Level Multiplier'!$A:$A,0)),"")</f>
        <v>1.7173900390793821</v>
      </c>
      <c r="R92" s="37">
        <f t="shared" si="36"/>
        <v>14</v>
      </c>
      <c r="S92" s="37">
        <f t="shared" si="37"/>
        <v>15</v>
      </c>
      <c r="T92" s="38">
        <f t="shared" si="38"/>
        <v>332240604.86771429</v>
      </c>
      <c r="U92" s="38">
        <f t="shared" si="39"/>
        <v>333316687.09407705</v>
      </c>
      <c r="V92" s="38" t="b">
        <f t="shared" si="40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1"/>
        <v>19.5</v>
      </c>
      <c r="AI92" s="36">
        <f>IFERROR(INDEX('Level Multiplier'!$D:$D,MATCH(AH92,'Level Multiplier'!$A:$A,0)),"")</f>
        <v>1.6952373004785586</v>
      </c>
      <c r="AJ92" s="37">
        <f t="shared" si="42"/>
        <v>13</v>
      </c>
      <c r="AK92" s="37">
        <f t="shared" si="43"/>
        <v>13</v>
      </c>
      <c r="AL92" s="38">
        <f t="shared" si="44"/>
        <v>315427060.48518026</v>
      </c>
      <c r="AM92" s="38">
        <f t="shared" si="45"/>
        <v>316448685.92327833</v>
      </c>
      <c r="AN92" s="38" t="b">
        <f t="shared" si="46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7"/>
        <v>20</v>
      </c>
      <c r="BA92" s="36">
        <f>IFERROR(INDEX('Level Multiplier'!$D:$D,MATCH(AZ92,'Level Multiplier'!$A:$A,0)),"")</f>
        <v>1.6739202933726098</v>
      </c>
      <c r="BB92" s="37">
        <f t="shared" si="48"/>
        <v>11</v>
      </c>
      <c r="BC92" s="37">
        <f t="shared" si="49"/>
        <v>12</v>
      </c>
      <c r="BD92" s="38">
        <f t="shared" si="50"/>
        <v>299858281.72200489</v>
      </c>
      <c r="BE92" s="38">
        <f t="shared" si="51"/>
        <v>300829481.99873567</v>
      </c>
      <c r="BF92" s="38" t="b">
        <f t="shared" si="52"/>
        <v>0</v>
      </c>
      <c r="BG92" s="37">
        <f t="array" ref="BG92:BQ92">IF(BF92,"",IVSolution($M92,$N92,$O92,BB92,BC92,BD92,BE92,$E92,$F92,$G92,$H92,$I92))</f>
        <v>3</v>
      </c>
      <c r="BH92" s="37">
        <v>39</v>
      </c>
      <c r="BI92" s="37">
        <v>40</v>
      </c>
      <c r="BJ92" s="39">
        <v>0.8666666666666667</v>
      </c>
      <c r="BK92" s="39">
        <v>0.88888888888888884</v>
      </c>
      <c r="BL92" s="37">
        <v>11</v>
      </c>
      <c r="BM92" s="37">
        <v>12</v>
      </c>
      <c r="BN92" s="37">
        <v>13</v>
      </c>
      <c r="BO92" s="37">
        <v>15</v>
      </c>
      <c r="BP92" s="37">
        <v>12</v>
      </c>
      <c r="BQ92" s="37">
        <v>15</v>
      </c>
      <c r="BR92" s="40">
        <f t="shared" si="53"/>
        <v>20.5</v>
      </c>
      <c r="BS92" s="36">
        <f>IFERROR(INDEX('Level Multiplier'!$D:$D,MATCH(BR92,'Level Multiplier'!$A:$A,0)),"")</f>
        <v>1.653387720177633</v>
      </c>
      <c r="BT92" s="37">
        <f t="shared" si="54"/>
        <v>10</v>
      </c>
      <c r="BU92" s="37">
        <f t="shared" si="55"/>
        <v>10</v>
      </c>
      <c r="BV92" s="38">
        <f t="shared" si="56"/>
        <v>285414334.5984171</v>
      </c>
      <c r="BW92" s="38">
        <f t="shared" si="57"/>
        <v>286338752.89079529</v>
      </c>
      <c r="BX92" s="38" t="b">
        <f t="shared" si="58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9"/>
        <v>20</v>
      </c>
      <c r="CK92" s="41">
        <f t="shared" si="60"/>
        <v>20</v>
      </c>
      <c r="CL92" s="39">
        <f t="shared" si="61"/>
        <v>0.8666666666666667</v>
      </c>
      <c r="CM92" s="39">
        <f t="shared" si="62"/>
        <v>0.88888888888888884</v>
      </c>
      <c r="CN92" s="42">
        <f t="shared" si="63"/>
        <v>11</v>
      </c>
      <c r="CO92" s="42">
        <f t="shared" si="64"/>
        <v>12</v>
      </c>
      <c r="CP92" s="42">
        <f t="shared" si="65"/>
        <v>13</v>
      </c>
      <c r="CQ92" s="42">
        <f t="shared" si="66"/>
        <v>15</v>
      </c>
      <c r="CR92" s="42">
        <f t="shared" si="67"/>
        <v>12</v>
      </c>
      <c r="CS92" s="42">
        <f t="shared" si="68"/>
        <v>15</v>
      </c>
      <c r="CT92" s="43" t="str">
        <f t="shared" si="69"/>
        <v>11-12</v>
      </c>
      <c r="CU92" s="43" t="str">
        <f t="shared" si="70"/>
        <v>13-15</v>
      </c>
      <c r="CV92" s="43" t="str">
        <f t="shared" si="71"/>
        <v>12-15</v>
      </c>
      <c r="CW92" s="13"/>
    </row>
    <row r="93" spans="1:101" x14ac:dyDescent="0.25">
      <c r="A93" s="31" t="s">
        <v>92</v>
      </c>
      <c r="B93" s="13">
        <v>1590</v>
      </c>
      <c r="C93" s="13">
        <v>113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59</v>
      </c>
      <c r="M93" s="34">
        <f>IFERROR(INDEX('Pokemon Data'!I:I,MATCH($A93,'Pokemon Data'!$B:$B,0)),"")</f>
        <v>180</v>
      </c>
      <c r="N93" s="34">
        <f>IFERROR(INDEX('Pokemon Data'!J:J,MATCH($A93,'Pokemon Data'!$B:$B,0)),"")</f>
        <v>227</v>
      </c>
      <c r="O93" s="34">
        <f>IFERROR(INDEX('Pokemon Data'!K:K,MATCH($A93,'Pokemon Data'!$B:$B,0)),"")</f>
        <v>166</v>
      </c>
      <c r="P93" s="35">
        <f>IFERROR(INDEX('Level Multiplier'!$A:$A,MATCH($D93,'Level Multiplier'!$B:$B,0)),"")</f>
        <v>19</v>
      </c>
      <c r="Q93" s="36">
        <f>IFERROR(INDEX('Level Multiplier'!$D:$D,MATCH(P93,'Level Multiplier'!$A:$A,0)),"")</f>
        <v>1.7173900390793821</v>
      </c>
      <c r="R93" s="37">
        <f t="shared" si="36"/>
        <v>15</v>
      </c>
      <c r="S93" s="37">
        <f t="shared" si="37"/>
        <v>15</v>
      </c>
      <c r="T93" s="38">
        <f t="shared" si="38"/>
        <v>2199226739.2624412</v>
      </c>
      <c r="U93" s="38">
        <f t="shared" si="39"/>
        <v>2201993932.1177845</v>
      </c>
      <c r="V93" s="38" t="b">
        <f t="shared" si="40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1"/>
        <v>19.5</v>
      </c>
      <c r="AI93" s="36">
        <f>IFERROR(INDEX('Level Multiplier'!$D:$D,MATCH(AH93,'Level Multiplier'!$A:$A,0)),"")</f>
        <v>1.6952373004785586</v>
      </c>
      <c r="AJ93" s="37">
        <f t="shared" si="42"/>
        <v>12</v>
      </c>
      <c r="AK93" s="37">
        <f t="shared" si="43"/>
        <v>13</v>
      </c>
      <c r="AL93" s="38">
        <f t="shared" si="44"/>
        <v>2087931503.6828904</v>
      </c>
      <c r="AM93" s="38">
        <f t="shared" si="45"/>
        <v>2090558658.5079429</v>
      </c>
      <c r="AN93" s="38" t="b">
        <f t="shared" si="46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7"/>
        <v>20</v>
      </c>
      <c r="BA93" s="36">
        <f>IFERROR(INDEX('Level Multiplier'!$D:$D,MATCH(AZ93,'Level Multiplier'!$A:$A,0)),"")</f>
        <v>1.6739202933726098</v>
      </c>
      <c r="BB93" s="37">
        <f t="shared" si="48"/>
        <v>10</v>
      </c>
      <c r="BC93" s="37">
        <f t="shared" si="49"/>
        <v>10</v>
      </c>
      <c r="BD93" s="38">
        <f t="shared" si="50"/>
        <v>1984875844.4648688</v>
      </c>
      <c r="BE93" s="38">
        <f t="shared" si="51"/>
        <v>1987373328.7658234</v>
      </c>
      <c r="BF93" s="38" t="b">
        <f t="shared" si="52"/>
        <v>0</v>
      </c>
      <c r="BG93" s="37">
        <f t="array" ref="BG93:BQ93">IF(BF93,"",IVSolution($M93,$N93,$O93,BB93,BC93,BD93,BE93,$E93,$F93,$G93,$H93,$I93))</f>
        <v>1</v>
      </c>
      <c r="BH93" s="37">
        <v>38</v>
      </c>
      <c r="BI93" s="37">
        <v>38</v>
      </c>
      <c r="BJ93" s="39">
        <v>0.84444444444444444</v>
      </c>
      <c r="BK93" s="39">
        <v>0.84444444444444444</v>
      </c>
      <c r="BL93" s="37">
        <v>10</v>
      </c>
      <c r="BM93" s="37">
        <v>10</v>
      </c>
      <c r="BN93" s="37">
        <v>14</v>
      </c>
      <c r="BO93" s="37">
        <v>14</v>
      </c>
      <c r="BP93" s="37">
        <v>14</v>
      </c>
      <c r="BQ93" s="37">
        <v>14</v>
      </c>
      <c r="BR93" s="40">
        <f t="shared" si="53"/>
        <v>20.5</v>
      </c>
      <c r="BS93" s="36">
        <f>IFERROR(INDEX('Level Multiplier'!$D:$D,MATCH(BR93,'Level Multiplier'!$A:$A,0)),"")</f>
        <v>1.653387720177633</v>
      </c>
      <c r="BT93" s="37">
        <f t="shared" si="54"/>
        <v>7</v>
      </c>
      <c r="BU93" s="37">
        <f t="shared" si="55"/>
        <v>8</v>
      </c>
      <c r="BV93" s="38">
        <f t="shared" si="56"/>
        <v>1889265873.0487173</v>
      </c>
      <c r="BW93" s="38">
        <f t="shared" si="57"/>
        <v>1891643055.4157786</v>
      </c>
      <c r="BX93" s="38" t="b">
        <f t="shared" si="58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9"/>
        <v>20</v>
      </c>
      <c r="CK93" s="41">
        <f t="shared" si="60"/>
        <v>20</v>
      </c>
      <c r="CL93" s="39">
        <f t="shared" si="61"/>
        <v>0.84444444444444444</v>
      </c>
      <c r="CM93" s="39">
        <f t="shared" si="62"/>
        <v>0.84444444444444444</v>
      </c>
      <c r="CN93" s="42">
        <f t="shared" si="63"/>
        <v>10</v>
      </c>
      <c r="CO93" s="42">
        <f t="shared" si="64"/>
        <v>10</v>
      </c>
      <c r="CP93" s="42">
        <f t="shared" si="65"/>
        <v>14</v>
      </c>
      <c r="CQ93" s="42">
        <f t="shared" si="66"/>
        <v>14</v>
      </c>
      <c r="CR93" s="42">
        <f t="shared" si="67"/>
        <v>14</v>
      </c>
      <c r="CS93" s="42">
        <f t="shared" si="68"/>
        <v>14</v>
      </c>
      <c r="CT93" s="43">
        <f t="shared" si="69"/>
        <v>10</v>
      </c>
      <c r="CU93" s="43">
        <f t="shared" si="70"/>
        <v>14</v>
      </c>
      <c r="CV93" s="43">
        <f t="shared" si="71"/>
        <v>14</v>
      </c>
      <c r="CW93" s="13" t="s">
        <v>399</v>
      </c>
    </row>
    <row r="94" spans="1:101" x14ac:dyDescent="0.25">
      <c r="A94" s="31" t="s">
        <v>93</v>
      </c>
      <c r="B94" s="13">
        <v>549</v>
      </c>
      <c r="C94" s="13">
        <v>66</v>
      </c>
      <c r="D94" s="13">
        <v>50</v>
      </c>
      <c r="E94" s="32"/>
      <c r="F94" s="32"/>
      <c r="G94" s="32"/>
      <c r="H94" s="32"/>
      <c r="I94" s="32"/>
      <c r="J94" s="13"/>
      <c r="K94" s="33">
        <v>29</v>
      </c>
      <c r="L94" s="34">
        <f>IFERROR(INDEX('Pokemon Data'!A:A,MATCH($A94,'Pokemon Data'!$B:$B,0)),"")</f>
        <v>60</v>
      </c>
      <c r="M94" s="34">
        <f>IFERROR(INDEX('Pokemon Data'!I:I,MATCH($A94,'Pokemon Data'!$B:$B,0)),"")</f>
        <v>80</v>
      </c>
      <c r="N94" s="34">
        <f>IFERROR(INDEX('Pokemon Data'!J:J,MATCH($A94,'Pokemon Data'!$B:$B,0)),"")</f>
        <v>101</v>
      </c>
      <c r="O94" s="34">
        <f>IFERROR(INDEX('Pokemon Data'!K:K,MATCH($A94,'Pokemon Data'!$B:$B,0)),"")</f>
        <v>82</v>
      </c>
      <c r="P94" s="35">
        <f>IFERROR(INDEX('Level Multiplier'!$A:$A,MATCH($D94,'Level Multiplier'!$B:$B,0)),"")</f>
        <v>29</v>
      </c>
      <c r="Q94" s="36">
        <f>IFERROR(INDEX('Level Multiplier'!$D:$D,MATCH(P94,'Level Multiplier'!$A:$A,0)),"")</f>
        <v>1.3900490199396833</v>
      </c>
      <c r="R94" s="37">
        <f t="shared" si="36"/>
        <v>12</v>
      </c>
      <c r="S94" s="37">
        <f t="shared" si="37"/>
        <v>13</v>
      </c>
      <c r="T94" s="38">
        <f t="shared" si="38"/>
        <v>112529179.53985837</v>
      </c>
      <c r="U94" s="38">
        <f t="shared" si="39"/>
        <v>112939495.25982712</v>
      </c>
      <c r="V94" s="38" t="b">
        <f t="shared" si="40"/>
        <v>0</v>
      </c>
      <c r="W94" s="37">
        <f t="array" ref="W94:AG94">IF(V94,"",IVSolution($M94,$N94,$O94,R94,S94,T94,U94,$E94,$F94,$G94,$H94,$I94))</f>
        <v>4</v>
      </c>
      <c r="X94" s="37">
        <v>36</v>
      </c>
      <c r="Y94" s="37">
        <v>38</v>
      </c>
      <c r="Z94" s="39">
        <v>0.8</v>
      </c>
      <c r="AA94" s="39">
        <v>0.84444444444444444</v>
      </c>
      <c r="AB94" s="37">
        <v>12</v>
      </c>
      <c r="AC94" s="37">
        <v>13</v>
      </c>
      <c r="AD94" s="37">
        <v>12</v>
      </c>
      <c r="AE94" s="37">
        <v>15</v>
      </c>
      <c r="AF94" s="37">
        <v>8</v>
      </c>
      <c r="AG94" s="37">
        <v>14</v>
      </c>
      <c r="AH94" s="40">
        <f t="shared" si="41"/>
        <v>29.5</v>
      </c>
      <c r="AI94" s="36">
        <f>IFERROR(INDEX('Level Multiplier'!$D:$D,MATCH(AH94,'Level Multiplier'!$A:$A,0)),"")</f>
        <v>1.378223825401578</v>
      </c>
      <c r="AJ94" s="37">
        <f t="shared" si="42"/>
        <v>11</v>
      </c>
      <c r="AK94" s="37">
        <f t="shared" si="43"/>
        <v>12</v>
      </c>
      <c r="AL94" s="38">
        <f t="shared" si="44"/>
        <v>108748606.87466696</v>
      </c>
      <c r="AM94" s="38">
        <f t="shared" si="45"/>
        <v>109145137.47328892</v>
      </c>
      <c r="AN94" s="38" t="b">
        <f t="shared" si="46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7"/>
        <v>30</v>
      </c>
      <c r="BA94" s="36">
        <f>IFERROR(INDEX('Level Multiplier'!$D:$D,MATCH(AZ94,'Level Multiplier'!$A:$A,0)),"")</f>
        <v>1.3666803334700013</v>
      </c>
      <c r="BB94" s="37">
        <f t="shared" si="48"/>
        <v>11</v>
      </c>
      <c r="BC94" s="37">
        <f t="shared" si="49"/>
        <v>11</v>
      </c>
      <c r="BD94" s="38">
        <f t="shared" si="50"/>
        <v>105150772.77782105</v>
      </c>
      <c r="BE94" s="38">
        <f t="shared" si="51"/>
        <v>105534184.57566786</v>
      </c>
      <c r="BF94" s="38" t="b">
        <f t="shared" si="52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3"/>
        <v>30.5</v>
      </c>
      <c r="BS94" s="36">
        <f>IFERROR(INDEX('Level Multiplier'!$D:$D,MATCH(BR94,'Level Multiplier'!$A:$A,0)),"")</f>
        <v>1.3610237998842938</v>
      </c>
      <c r="BT94" s="37">
        <f t="shared" si="54"/>
        <v>10</v>
      </c>
      <c r="BU94" s="37">
        <f t="shared" si="55"/>
        <v>11</v>
      </c>
      <c r="BV94" s="38">
        <f t="shared" si="56"/>
        <v>103420722.53267142</v>
      </c>
      <c r="BW94" s="38">
        <f t="shared" si="57"/>
        <v>103797826.03950585</v>
      </c>
      <c r="BX94" s="38" t="b">
        <f t="shared" si="58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9"/>
        <v>29</v>
      </c>
      <c r="CK94" s="41">
        <f t="shared" si="60"/>
        <v>29</v>
      </c>
      <c r="CL94" s="39">
        <f t="shared" si="61"/>
        <v>0.8</v>
      </c>
      <c r="CM94" s="39">
        <f t="shared" si="62"/>
        <v>0.84444444444444444</v>
      </c>
      <c r="CN94" s="42">
        <f t="shared" si="63"/>
        <v>12</v>
      </c>
      <c r="CO94" s="42">
        <f t="shared" si="64"/>
        <v>13</v>
      </c>
      <c r="CP94" s="42">
        <f t="shared" si="65"/>
        <v>12</v>
      </c>
      <c r="CQ94" s="42">
        <f t="shared" si="66"/>
        <v>15</v>
      </c>
      <c r="CR94" s="42">
        <f t="shared" si="67"/>
        <v>8</v>
      </c>
      <c r="CS94" s="42">
        <f t="shared" si="68"/>
        <v>14</v>
      </c>
      <c r="CT94" s="43" t="str">
        <f t="shared" si="69"/>
        <v>12-13</v>
      </c>
      <c r="CU94" s="43" t="str">
        <f t="shared" si="70"/>
        <v>12-15</v>
      </c>
      <c r="CV94" s="43" t="str">
        <f t="shared" si="71"/>
        <v>8-14</v>
      </c>
      <c r="CW94" s="13" t="s">
        <v>397</v>
      </c>
    </row>
    <row r="95" spans="1:101" x14ac:dyDescent="0.25">
      <c r="A95" s="31" t="s">
        <v>93</v>
      </c>
      <c r="B95" s="13">
        <v>449</v>
      </c>
      <c r="C95" s="13">
        <v>60</v>
      </c>
      <c r="D95" s="13">
        <v>35</v>
      </c>
      <c r="E95" s="32"/>
      <c r="F95" s="32"/>
      <c r="G95" s="32"/>
      <c r="H95" s="32"/>
      <c r="I95" s="32"/>
      <c r="J95" s="13"/>
      <c r="K95" s="33">
        <v>24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Multiplier'!$A:$A,MATCH($D95,'Level Multiplier'!$B:$B,0)),"")</f>
        <v>23</v>
      </c>
      <c r="Q95" s="36">
        <f>IFERROR(INDEX('Level Multiplier'!$D:$D,MATCH(P95,'Level Multiplier'!$A:$A,0)),"")</f>
        <v>1.560907508503629</v>
      </c>
      <c r="R95" s="37">
        <f t="shared" si="36"/>
        <v>14</v>
      </c>
      <c r="S95" s="37">
        <f t="shared" si="37"/>
        <v>15</v>
      </c>
      <c r="T95" s="38">
        <f t="shared" si="38"/>
        <v>119674428.14454566</v>
      </c>
      <c r="U95" s="38">
        <f t="shared" si="39"/>
        <v>120208092.71417551</v>
      </c>
      <c r="V95" s="38" t="b">
        <f t="shared" si="40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1"/>
        <v>23.5</v>
      </c>
      <c r="AI95" s="36">
        <f>IFERROR(INDEX('Level Multiplier'!$D:$D,MATCH(AH95,'Level Multiplier'!$A:$A,0)),"")</f>
        <v>1.5442192764441367</v>
      </c>
      <c r="AJ95" s="37">
        <f t="shared" si="42"/>
        <v>13</v>
      </c>
      <c r="AK95" s="37">
        <f t="shared" si="43"/>
        <v>14</v>
      </c>
      <c r="AL95" s="38">
        <f t="shared" si="44"/>
        <v>114637989.20378478</v>
      </c>
      <c r="AM95" s="38">
        <f t="shared" si="45"/>
        <v>115149194.76474033</v>
      </c>
      <c r="AN95" s="38" t="b">
        <f t="shared" si="46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7"/>
        <v>24</v>
      </c>
      <c r="BA95" s="36">
        <f>IFERROR(INDEX('Level Multiplier'!$D:$D,MATCH(AZ95,'Level Multiplier'!$A:$A,0)),"")</f>
        <v>1.5280341628098701</v>
      </c>
      <c r="BB95" s="37">
        <f t="shared" si="48"/>
        <v>12</v>
      </c>
      <c r="BC95" s="37">
        <f t="shared" si="49"/>
        <v>13</v>
      </c>
      <c r="BD95" s="38">
        <f t="shared" si="50"/>
        <v>109906894.84945825</v>
      </c>
      <c r="BE95" s="38">
        <f t="shared" si="51"/>
        <v>110397003.0258545</v>
      </c>
      <c r="BF95" s="38" t="b">
        <f t="shared" si="52"/>
        <v>0</v>
      </c>
      <c r="BG95" s="37">
        <f t="array" ref="BG95:BQ95">IF(BF95,"",IVSolution($M95,$N95,$O95,BB95,BC95,BD95,BE95,$E95,$F95,$G95,$H95,$I95))</f>
        <v>6</v>
      </c>
      <c r="BH95" s="37">
        <v>34</v>
      </c>
      <c r="BI95" s="37">
        <v>37</v>
      </c>
      <c r="BJ95" s="39">
        <v>0.75555555555555554</v>
      </c>
      <c r="BK95" s="39">
        <v>0.82222222222222219</v>
      </c>
      <c r="BL95" s="37">
        <v>12</v>
      </c>
      <c r="BM95" s="37">
        <v>13</v>
      </c>
      <c r="BN95" s="37">
        <v>10</v>
      </c>
      <c r="BO95" s="37">
        <v>15</v>
      </c>
      <c r="BP95" s="37">
        <v>6</v>
      </c>
      <c r="BQ95" s="37">
        <v>15</v>
      </c>
      <c r="BR95" s="40">
        <f t="shared" si="53"/>
        <v>24.5</v>
      </c>
      <c r="BS95" s="36">
        <f>IFERROR(INDEX('Level Multiplier'!$D:$D,MATCH(BR95,'Level Multiplier'!$A:$A,0)),"")</f>
        <v>1.5123678280126109</v>
      </c>
      <c r="BT95" s="37">
        <f t="shared" si="54"/>
        <v>11</v>
      </c>
      <c r="BU95" s="37">
        <f t="shared" si="55"/>
        <v>12</v>
      </c>
      <c r="BV95" s="38">
        <f t="shared" si="56"/>
        <v>105468410.98890539</v>
      </c>
      <c r="BW95" s="38">
        <f t="shared" si="57"/>
        <v>105938726.61967619</v>
      </c>
      <c r="BX95" s="38" t="b">
        <f t="shared" si="58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9"/>
        <v>24</v>
      </c>
      <c r="CK95" s="41">
        <f t="shared" si="60"/>
        <v>24</v>
      </c>
      <c r="CL95" s="39">
        <f t="shared" si="61"/>
        <v>0.75555555555555554</v>
      </c>
      <c r="CM95" s="39">
        <f t="shared" si="62"/>
        <v>0.82222222222222219</v>
      </c>
      <c r="CN95" s="42">
        <f t="shared" si="63"/>
        <v>12</v>
      </c>
      <c r="CO95" s="42">
        <f t="shared" si="64"/>
        <v>13</v>
      </c>
      <c r="CP95" s="42">
        <f t="shared" si="65"/>
        <v>10</v>
      </c>
      <c r="CQ95" s="42">
        <f t="shared" si="66"/>
        <v>15</v>
      </c>
      <c r="CR95" s="42">
        <f t="shared" si="67"/>
        <v>6</v>
      </c>
      <c r="CS95" s="42">
        <f t="shared" si="68"/>
        <v>15</v>
      </c>
      <c r="CT95" s="43" t="str">
        <f t="shared" si="69"/>
        <v>12-13</v>
      </c>
      <c r="CU95" s="43" t="str">
        <f t="shared" si="70"/>
        <v>10-15</v>
      </c>
      <c r="CV95" s="43" t="str">
        <f t="shared" si="71"/>
        <v>6-15</v>
      </c>
      <c r="CW95" s="13" t="s">
        <v>396</v>
      </c>
    </row>
    <row r="96" spans="1:101" x14ac:dyDescent="0.25">
      <c r="A96" s="31" t="s">
        <v>93</v>
      </c>
      <c r="B96" s="13">
        <v>375</v>
      </c>
      <c r="C96" s="13">
        <v>56</v>
      </c>
      <c r="D96" s="13">
        <v>25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Multiplier'!$A:$A,MATCH($D96,'Level Multiplier'!$B:$B,0)),"")</f>
        <v>19</v>
      </c>
      <c r="Q96" s="36">
        <f>IFERROR(INDEX('Level Multiplier'!$D:$D,MATCH(P96,'Level Multiplier'!$A:$A,0)),"")</f>
        <v>1.7173900390793821</v>
      </c>
      <c r="R96" s="37">
        <f t="shared" si="36"/>
        <v>17</v>
      </c>
      <c r="S96" s="37">
        <f t="shared" si="37"/>
        <v>15</v>
      </c>
      <c r="T96" s="38">
        <f t="shared" si="38"/>
        <v>122331498.0454811</v>
      </c>
      <c r="U96" s="38">
        <f t="shared" si="39"/>
        <v>122984802.61459866</v>
      </c>
      <c r="V96" s="38" t="b">
        <f t="shared" si="40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1"/>
        <v>19.5</v>
      </c>
      <c r="AI96" s="36">
        <f>IFERROR(INDEX('Level Multiplier'!$D:$D,MATCH(AH96,'Level Multiplier'!$A:$A,0)),"")</f>
        <v>1.6952373004785586</v>
      </c>
      <c r="AJ96" s="37">
        <f t="shared" si="42"/>
        <v>15</v>
      </c>
      <c r="AK96" s="37">
        <f t="shared" si="43"/>
        <v>15</v>
      </c>
      <c r="AL96" s="38">
        <f t="shared" si="44"/>
        <v>116140725.32945946</v>
      </c>
      <c r="AM96" s="38">
        <f t="shared" si="45"/>
        <v>116760968.42081892</v>
      </c>
      <c r="AN96" s="38" t="b">
        <f t="shared" si="46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7"/>
        <v>20</v>
      </c>
      <c r="BA96" s="36">
        <f>IFERROR(INDEX('Level Multiplier'!$D:$D,MATCH(AZ96,'Level Multiplier'!$A:$A,0)),"")</f>
        <v>1.6739202933726098</v>
      </c>
      <c r="BB96" s="37">
        <f t="shared" si="48"/>
        <v>14</v>
      </c>
      <c r="BC96" s="37">
        <f t="shared" si="49"/>
        <v>15</v>
      </c>
      <c r="BD96" s="38">
        <f t="shared" si="50"/>
        <v>110408277.21524948</v>
      </c>
      <c r="BE96" s="38">
        <f t="shared" si="51"/>
        <v>110997906.48592433</v>
      </c>
      <c r="BF96" s="38" t="b">
        <f t="shared" si="52"/>
        <v>0</v>
      </c>
      <c r="BG96" s="37">
        <f t="array" ref="BG96:BQ96">IF(BF96,"",IVSolution($M96,$N96,$O96,BB96,BC96,BD96,BE96,$E96,$F96,$G96,$H96,$I96))</f>
        <v>5</v>
      </c>
      <c r="BH96" s="37">
        <v>35</v>
      </c>
      <c r="BI96" s="37">
        <v>37</v>
      </c>
      <c r="BJ96" s="39">
        <v>0.77777777777777779</v>
      </c>
      <c r="BK96" s="39">
        <v>0.82222222222222219</v>
      </c>
      <c r="BL96" s="37">
        <v>14</v>
      </c>
      <c r="BM96" s="37">
        <v>15</v>
      </c>
      <c r="BN96" s="37">
        <v>11</v>
      </c>
      <c r="BO96" s="37">
        <v>14</v>
      </c>
      <c r="BP96" s="37">
        <v>6</v>
      </c>
      <c r="BQ96" s="37">
        <v>12</v>
      </c>
      <c r="BR96" s="40">
        <f t="shared" si="53"/>
        <v>20.5</v>
      </c>
      <c r="BS96" s="36">
        <f>IFERROR(INDEX('Level Multiplier'!$D:$D,MATCH(BR96,'Level Multiplier'!$A:$A,0)),"")</f>
        <v>1.653387720177633</v>
      </c>
      <c r="BT96" s="37">
        <f t="shared" si="54"/>
        <v>13</v>
      </c>
      <c r="BU96" s="37">
        <f t="shared" si="55"/>
        <v>14</v>
      </c>
      <c r="BV96" s="38">
        <f t="shared" si="56"/>
        <v>105089993.82835957</v>
      </c>
      <c r="BW96" s="38">
        <f t="shared" si="57"/>
        <v>105651221.10206695</v>
      </c>
      <c r="BX96" s="38" t="b">
        <f t="shared" si="58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9"/>
        <v>20</v>
      </c>
      <c r="CK96" s="41">
        <f t="shared" si="60"/>
        <v>20</v>
      </c>
      <c r="CL96" s="39">
        <f t="shared" si="61"/>
        <v>0.77777777777777779</v>
      </c>
      <c r="CM96" s="39">
        <f t="shared" si="62"/>
        <v>0.82222222222222219</v>
      </c>
      <c r="CN96" s="42">
        <f t="shared" si="63"/>
        <v>14</v>
      </c>
      <c r="CO96" s="42">
        <f t="shared" si="64"/>
        <v>15</v>
      </c>
      <c r="CP96" s="42">
        <f t="shared" si="65"/>
        <v>11</v>
      </c>
      <c r="CQ96" s="42">
        <f t="shared" si="66"/>
        <v>14</v>
      </c>
      <c r="CR96" s="42">
        <f t="shared" si="67"/>
        <v>6</v>
      </c>
      <c r="CS96" s="42">
        <f t="shared" si="68"/>
        <v>12</v>
      </c>
      <c r="CT96" s="43" t="str">
        <f t="shared" si="69"/>
        <v>14-15</v>
      </c>
      <c r="CU96" s="43" t="str">
        <f t="shared" si="70"/>
        <v>11-14</v>
      </c>
      <c r="CV96" s="43" t="str">
        <f t="shared" si="71"/>
        <v>6-12</v>
      </c>
      <c r="CW96" s="13" t="s">
        <v>395</v>
      </c>
    </row>
    <row r="97" spans="1:101" x14ac:dyDescent="0.25">
      <c r="A97" s="31" t="s">
        <v>93</v>
      </c>
      <c r="B97" s="13">
        <v>374</v>
      </c>
      <c r="C97" s="13">
        <v>54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Multiplier'!$A:$A,MATCH($D97,'Level Multiplier'!$B:$B,0)),"")</f>
        <v>19</v>
      </c>
      <c r="Q97" s="36">
        <f>IFERROR(INDEX('Level Multiplier'!$D:$D,MATCH(P97,'Level Multiplier'!$A:$A,0)),"")</f>
        <v>1.7173900390793821</v>
      </c>
      <c r="R97" s="37">
        <f t="shared" si="36"/>
        <v>13</v>
      </c>
      <c r="S97" s="37">
        <f t="shared" si="37"/>
        <v>14</v>
      </c>
      <c r="T97" s="38">
        <f t="shared" si="38"/>
        <v>121679933.30211353</v>
      </c>
      <c r="U97" s="38">
        <f t="shared" si="39"/>
        <v>122331498.0454811</v>
      </c>
      <c r="V97" s="38" t="b">
        <f t="shared" si="40"/>
        <v>0</v>
      </c>
      <c r="W97" s="37">
        <f t="array" ref="W97:AG97">IF(V97,"",IVSolution($M97,$N97,$O97,R97,S97,T97,U97,$E97,$F97,$G97,$H97,$I97))</f>
        <v>0</v>
      </c>
      <c r="X97" s="37">
        <v>46</v>
      </c>
      <c r="Y97" s="37">
        <v>-1</v>
      </c>
      <c r="Z97" s="39">
        <v>1.0222222222222221</v>
      </c>
      <c r="AA97" s="39">
        <v>-2.2222222222222223E-2</v>
      </c>
      <c r="AB97" s="37">
        <v>16</v>
      </c>
      <c r="AC97" s="37">
        <v>-1</v>
      </c>
      <c r="AD97" s="37">
        <v>16</v>
      </c>
      <c r="AE97" s="37">
        <v>0</v>
      </c>
      <c r="AF97" s="37">
        <v>16</v>
      </c>
      <c r="AG97" s="37">
        <v>-1</v>
      </c>
      <c r="AH97" s="40">
        <f t="shared" si="41"/>
        <v>19.5</v>
      </c>
      <c r="AI97" s="36">
        <f>IFERROR(INDEX('Level Multiplier'!$D:$D,MATCH(AH97,'Level Multiplier'!$A:$A,0)),"")</f>
        <v>1.6952373004785586</v>
      </c>
      <c r="AJ97" s="37">
        <f t="shared" si="42"/>
        <v>12</v>
      </c>
      <c r="AK97" s="37">
        <f t="shared" si="43"/>
        <v>13</v>
      </c>
      <c r="AL97" s="38">
        <f t="shared" si="44"/>
        <v>115522134.01730469</v>
      </c>
      <c r="AM97" s="38">
        <f t="shared" si="45"/>
        <v>116140725.32945946</v>
      </c>
      <c r="AN97" s="38" t="b">
        <f t="shared" si="46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7"/>
        <v>20</v>
      </c>
      <c r="BA97" s="36">
        <f>IFERROR(INDEX('Level Multiplier'!$D:$D,MATCH(AZ97,'Level Multiplier'!$A:$A,0)),"")</f>
        <v>1.6739202933726098</v>
      </c>
      <c r="BB97" s="37">
        <f t="shared" si="48"/>
        <v>11</v>
      </c>
      <c r="BC97" s="37">
        <f t="shared" si="49"/>
        <v>12</v>
      </c>
      <c r="BD97" s="38">
        <f t="shared" si="50"/>
        <v>109820218.19562835</v>
      </c>
      <c r="BE97" s="38">
        <f t="shared" si="51"/>
        <v>110408277.21524948</v>
      </c>
      <c r="BF97" s="38" t="b">
        <f t="shared" si="52"/>
        <v>0</v>
      </c>
      <c r="BG97" s="37">
        <f t="array" ref="BG97:BQ97">IF(BF97,"",IVSolution($M97,$N97,$O97,BB97,BC97,BD97,BE97,$E97,$F97,$G97,$H97,$I97))</f>
        <v>6</v>
      </c>
      <c r="BH97" s="37">
        <v>34</v>
      </c>
      <c r="BI97" s="37">
        <v>37</v>
      </c>
      <c r="BJ97" s="39">
        <v>0.75555555555555554</v>
      </c>
      <c r="BK97" s="39">
        <v>0.82222222222222219</v>
      </c>
      <c r="BL97" s="37">
        <v>11</v>
      </c>
      <c r="BM97" s="37">
        <v>12</v>
      </c>
      <c r="BN97" s="37">
        <v>10</v>
      </c>
      <c r="BO97" s="37">
        <v>15</v>
      </c>
      <c r="BP97" s="37">
        <v>7</v>
      </c>
      <c r="BQ97" s="37">
        <v>15</v>
      </c>
      <c r="BR97" s="40">
        <f t="shared" si="53"/>
        <v>20.5</v>
      </c>
      <c r="BS97" s="36">
        <f>IFERROR(INDEX('Level Multiplier'!$D:$D,MATCH(BR97,'Level Multiplier'!$A:$A,0)),"")</f>
        <v>1.653387720177633</v>
      </c>
      <c r="BT97" s="37">
        <f t="shared" si="54"/>
        <v>10</v>
      </c>
      <c r="BU97" s="37">
        <f t="shared" si="55"/>
        <v>10</v>
      </c>
      <c r="BV97" s="38">
        <f t="shared" si="56"/>
        <v>104530261.16789778</v>
      </c>
      <c r="BW97" s="38">
        <f t="shared" si="57"/>
        <v>105089993.82835957</v>
      </c>
      <c r="BX97" s="38" t="b">
        <f t="shared" si="58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9"/>
        <v>20</v>
      </c>
      <c r="CK97" s="41">
        <f t="shared" si="60"/>
        <v>20</v>
      </c>
      <c r="CL97" s="39">
        <f t="shared" si="61"/>
        <v>0.75555555555555554</v>
      </c>
      <c r="CM97" s="39">
        <f t="shared" si="62"/>
        <v>0.82222222222222219</v>
      </c>
      <c r="CN97" s="42">
        <f t="shared" si="63"/>
        <v>11</v>
      </c>
      <c r="CO97" s="42">
        <f t="shared" si="64"/>
        <v>12</v>
      </c>
      <c r="CP97" s="42">
        <f t="shared" si="65"/>
        <v>10</v>
      </c>
      <c r="CQ97" s="42">
        <f t="shared" si="66"/>
        <v>15</v>
      </c>
      <c r="CR97" s="42">
        <f t="shared" si="67"/>
        <v>7</v>
      </c>
      <c r="CS97" s="42">
        <f t="shared" si="68"/>
        <v>15</v>
      </c>
      <c r="CT97" s="43" t="str">
        <f t="shared" si="69"/>
        <v>11-12</v>
      </c>
      <c r="CU97" s="43" t="str">
        <f t="shared" si="70"/>
        <v>10-15</v>
      </c>
      <c r="CV97" s="43" t="str">
        <f t="shared" si="71"/>
        <v>7-15</v>
      </c>
      <c r="CW97" s="13" t="s">
        <v>405</v>
      </c>
    </row>
    <row r="98" spans="1:101" x14ac:dyDescent="0.25">
      <c r="A98" s="31" t="s">
        <v>95</v>
      </c>
      <c r="B98" s="13">
        <v>1374</v>
      </c>
      <c r="C98" s="13">
        <v>116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62</v>
      </c>
      <c r="M98" s="34">
        <f>IFERROR(INDEX('Pokemon Data'!I:I,MATCH($A98,'Pokemon Data'!$B:$B,0)),"")</f>
        <v>180</v>
      </c>
      <c r="N98" s="34">
        <f>IFERROR(INDEX('Pokemon Data'!J:J,MATCH($A98,'Pokemon Data'!$B:$B,0)),"")</f>
        <v>182</v>
      </c>
      <c r="O98" s="34">
        <f>IFERROR(INDEX('Pokemon Data'!K:K,MATCH($A98,'Pokemon Data'!$B:$B,0)),"")</f>
        <v>187</v>
      </c>
      <c r="P98" s="35">
        <f>IFERROR(INDEX('Level Multiplier'!$A:$A,MATCH($D98,'Level Multiplier'!$B:$B,0)),"")</f>
        <v>19</v>
      </c>
      <c r="Q98" s="36">
        <f>IFERROR(INDEX('Level Multiplier'!$D:$D,MATCH(P98,'Level Multiplier'!$A:$A,0)),"")</f>
        <v>1.7173900390793821</v>
      </c>
      <c r="R98" s="37">
        <f t="shared" si="36"/>
        <v>20</v>
      </c>
      <c r="S98" s="37">
        <f t="shared" si="37"/>
        <v>15</v>
      </c>
      <c r="T98" s="38">
        <f t="shared" si="38"/>
        <v>1642287638.7847872</v>
      </c>
      <c r="U98" s="38">
        <f t="shared" si="39"/>
        <v>1644679029.2781348</v>
      </c>
      <c r="V98" s="38" t="b">
        <f t="shared" si="40"/>
        <v>1</v>
      </c>
      <c r="W98" s="37" t="str">
        <f t="array" ref="W98:AG98">IF(V98,"",IVSolution($M98,$N98,$O98,R98,S98,T98,U98,$E98,$F98,$G98,$H98,$I98))</f>
        <v/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1"/>
        <v>19.5</v>
      </c>
      <c r="AI98" s="36">
        <f>IFERROR(INDEX('Level Multiplier'!$D:$D,MATCH(AH98,'Level Multiplier'!$A:$A,0)),"")</f>
        <v>1.6952373004785586</v>
      </c>
      <c r="AJ98" s="37">
        <f t="shared" si="42"/>
        <v>17</v>
      </c>
      <c r="AK98" s="37">
        <f t="shared" si="43"/>
        <v>15</v>
      </c>
      <c r="AL98" s="38">
        <f t="shared" si="44"/>
        <v>1559177158.912559</v>
      </c>
      <c r="AM98" s="38">
        <f t="shared" si="45"/>
        <v>1561447529.4293995</v>
      </c>
      <c r="AN98" s="38" t="b">
        <f t="shared" si="46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7"/>
        <v>20</v>
      </c>
      <c r="BA98" s="36">
        <f>IFERROR(INDEX('Level Multiplier'!$D:$D,MATCH(AZ98,'Level Multiplier'!$A:$A,0)),"")</f>
        <v>1.6739202933726098</v>
      </c>
      <c r="BB98" s="37">
        <f t="shared" si="48"/>
        <v>15</v>
      </c>
      <c r="BC98" s="37">
        <f t="shared" si="49"/>
        <v>15</v>
      </c>
      <c r="BD98" s="38">
        <f t="shared" si="50"/>
        <v>1482219639.1538937</v>
      </c>
      <c r="BE98" s="38">
        <f t="shared" si="51"/>
        <v>1484377949.2272429</v>
      </c>
      <c r="BF98" s="38" t="b">
        <f t="shared" si="52"/>
        <v>0</v>
      </c>
      <c r="BG98" s="37">
        <f t="array" ref="BG98:BQ98">IF(BF98,"",IVSolution($M98,$N98,$O98,BB98,BC98,BD98,BE98,$E98,$F98,$G98,$H98,$I98))</f>
        <v>4</v>
      </c>
      <c r="BH98" s="37">
        <v>39</v>
      </c>
      <c r="BI98" s="37">
        <v>42</v>
      </c>
      <c r="BJ98" s="39">
        <v>0.8666666666666667</v>
      </c>
      <c r="BK98" s="39">
        <v>0.93333333333333335</v>
      </c>
      <c r="BL98" s="37">
        <v>15</v>
      </c>
      <c r="BM98" s="37">
        <v>15</v>
      </c>
      <c r="BN98" s="37">
        <v>12</v>
      </c>
      <c r="BO98" s="37">
        <v>15</v>
      </c>
      <c r="BP98" s="37">
        <v>9</v>
      </c>
      <c r="BQ98" s="37">
        <v>15</v>
      </c>
      <c r="BR98" s="40">
        <f t="shared" si="53"/>
        <v>20.5</v>
      </c>
      <c r="BS98" s="36">
        <f>IFERROR(INDEX('Level Multiplier'!$D:$D,MATCH(BR98,'Level Multiplier'!$A:$A,0)),"")</f>
        <v>1.653387720177633</v>
      </c>
      <c r="BT98" s="37">
        <f t="shared" si="54"/>
        <v>12</v>
      </c>
      <c r="BU98" s="37">
        <f t="shared" si="55"/>
        <v>13</v>
      </c>
      <c r="BV98" s="38">
        <f t="shared" si="56"/>
        <v>1410822237.7863691</v>
      </c>
      <c r="BW98" s="38">
        <f t="shared" si="57"/>
        <v>1412876583.69239</v>
      </c>
      <c r="BX98" s="38" t="b">
        <f t="shared" si="58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9"/>
        <v>20</v>
      </c>
      <c r="CK98" s="41">
        <f t="shared" si="60"/>
        <v>20</v>
      </c>
      <c r="CL98" s="39">
        <f t="shared" si="61"/>
        <v>0.8666666666666667</v>
      </c>
      <c r="CM98" s="39">
        <f t="shared" si="62"/>
        <v>0.93333333333333335</v>
      </c>
      <c r="CN98" s="42">
        <f t="shared" si="63"/>
        <v>15</v>
      </c>
      <c r="CO98" s="42">
        <f t="shared" si="64"/>
        <v>15</v>
      </c>
      <c r="CP98" s="42">
        <f t="shared" si="65"/>
        <v>12</v>
      </c>
      <c r="CQ98" s="42">
        <f t="shared" si="66"/>
        <v>15</v>
      </c>
      <c r="CR98" s="42">
        <f t="shared" si="67"/>
        <v>9</v>
      </c>
      <c r="CS98" s="42">
        <f t="shared" si="68"/>
        <v>15</v>
      </c>
      <c r="CT98" s="43">
        <f t="shared" si="69"/>
        <v>15</v>
      </c>
      <c r="CU98" s="43" t="str">
        <f t="shared" si="70"/>
        <v>12-15</v>
      </c>
      <c r="CV98" s="43" t="str">
        <f t="shared" si="71"/>
        <v>9-15</v>
      </c>
      <c r="CW98" s="13" t="s">
        <v>406</v>
      </c>
    </row>
    <row r="99" spans="1:101" x14ac:dyDescent="0.25">
      <c r="A99" s="31" t="s">
        <v>96</v>
      </c>
      <c r="B99" s="13">
        <v>622</v>
      </c>
      <c r="C99" s="13">
        <v>35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63</v>
      </c>
      <c r="M99" s="34">
        <f>IFERROR(INDEX('Pokemon Data'!I:I,MATCH($A99,'Pokemon Data'!$B:$B,0)),"")</f>
        <v>50</v>
      </c>
      <c r="N99" s="34">
        <f>IFERROR(INDEX('Pokemon Data'!J:J,MATCH($A99,'Pokemon Data'!$B:$B,0)),"")</f>
        <v>195</v>
      </c>
      <c r="O99" s="34">
        <f>IFERROR(INDEX('Pokemon Data'!K:K,MATCH($A99,'Pokemon Data'!$B:$B,0)),"")</f>
        <v>103</v>
      </c>
      <c r="P99" s="35">
        <f>IFERROR(INDEX('Level Multiplier'!$A:$A,MATCH($D99,'Level Multiplier'!$B:$B,0)),"")</f>
        <v>19</v>
      </c>
      <c r="Q99" s="36">
        <f>IFERROR(INDEX('Level Multiplier'!$D:$D,MATCH(P99,'Level Multiplier'!$A:$A,0)),"")</f>
        <v>1.7173900390793821</v>
      </c>
      <c r="R99" s="37">
        <f t="shared" si="36"/>
        <v>11</v>
      </c>
      <c r="S99" s="37">
        <f t="shared" si="37"/>
        <v>11</v>
      </c>
      <c r="T99" s="38">
        <f t="shared" si="38"/>
        <v>336555372.72766513</v>
      </c>
      <c r="U99" s="38">
        <f t="shared" si="39"/>
        <v>337638414.2570278</v>
      </c>
      <c r="V99" s="38" t="b">
        <f t="shared" si="40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1"/>
        <v>19.5</v>
      </c>
      <c r="AI99" s="36">
        <f>IFERROR(INDEX('Level Multiplier'!$D:$D,MATCH(AH99,'Level Multiplier'!$A:$A,0)),"")</f>
        <v>1.6952373004785586</v>
      </c>
      <c r="AJ99" s="37">
        <f t="shared" si="42"/>
        <v>10</v>
      </c>
      <c r="AK99" s="37">
        <f t="shared" si="43"/>
        <v>11</v>
      </c>
      <c r="AL99" s="38">
        <f t="shared" si="44"/>
        <v>319523472.91280067</v>
      </c>
      <c r="AM99" s="38">
        <f t="shared" si="45"/>
        <v>320551705.46771747</v>
      </c>
      <c r="AN99" s="38" t="b">
        <f t="shared" si="46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7"/>
        <v>20</v>
      </c>
      <c r="BA99" s="36">
        <f>IFERROR(INDEX('Level Multiplier'!$D:$D,MATCH(AZ99,'Level Multiplier'!$A:$A,0)),"")</f>
        <v>1.6739202933726098</v>
      </c>
      <c r="BB99" s="37">
        <f t="shared" si="48"/>
        <v>9</v>
      </c>
      <c r="BC99" s="37">
        <f t="shared" si="49"/>
        <v>10</v>
      </c>
      <c r="BD99" s="38">
        <f t="shared" si="50"/>
        <v>303752504.33525032</v>
      </c>
      <c r="BE99" s="38">
        <f t="shared" si="51"/>
        <v>304729985.61619598</v>
      </c>
      <c r="BF99" s="38" t="b">
        <f t="shared" si="52"/>
        <v>0</v>
      </c>
      <c r="BG99" s="37">
        <f t="array" ref="BG99:BQ99">IF(BF99,"",IVSolution($M99,$N99,$O99,BB99,BC99,BD99,BE99,$E99,$F99,$G99,$H99,$I99))</f>
        <v>4</v>
      </c>
      <c r="BH99" s="37">
        <v>37</v>
      </c>
      <c r="BI99" s="37">
        <v>38</v>
      </c>
      <c r="BJ99" s="39">
        <v>0.82222222222222219</v>
      </c>
      <c r="BK99" s="39">
        <v>0.84444444444444444</v>
      </c>
      <c r="BL99" s="37">
        <v>9</v>
      </c>
      <c r="BM99" s="37">
        <v>10</v>
      </c>
      <c r="BN99" s="37">
        <v>14</v>
      </c>
      <c r="BO99" s="37">
        <v>15</v>
      </c>
      <c r="BP99" s="37">
        <v>12</v>
      </c>
      <c r="BQ99" s="37">
        <v>15</v>
      </c>
      <c r="BR99" s="40">
        <f t="shared" si="53"/>
        <v>20.5</v>
      </c>
      <c r="BS99" s="36">
        <f>IFERROR(INDEX('Level Multiplier'!$D:$D,MATCH(BR99,'Level Multiplier'!$A:$A,0)),"")</f>
        <v>1.653387720177633</v>
      </c>
      <c r="BT99" s="37">
        <f t="shared" si="54"/>
        <v>8</v>
      </c>
      <c r="BU99" s="37">
        <f t="shared" si="55"/>
        <v>9</v>
      </c>
      <c r="BV99" s="38">
        <f t="shared" si="56"/>
        <v>289120975.44740313</v>
      </c>
      <c r="BW99" s="38">
        <f t="shared" si="57"/>
        <v>290051372.19276357</v>
      </c>
      <c r="BX99" s="38" t="b">
        <f t="shared" si="58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9"/>
        <v>20</v>
      </c>
      <c r="CK99" s="41">
        <f t="shared" si="60"/>
        <v>20</v>
      </c>
      <c r="CL99" s="39">
        <f t="shared" si="61"/>
        <v>0.82222222222222219</v>
      </c>
      <c r="CM99" s="39">
        <f t="shared" si="62"/>
        <v>0.84444444444444444</v>
      </c>
      <c r="CN99" s="42">
        <f t="shared" si="63"/>
        <v>9</v>
      </c>
      <c r="CO99" s="42">
        <f t="shared" si="64"/>
        <v>10</v>
      </c>
      <c r="CP99" s="42">
        <f t="shared" si="65"/>
        <v>14</v>
      </c>
      <c r="CQ99" s="42">
        <f t="shared" si="66"/>
        <v>15</v>
      </c>
      <c r="CR99" s="42">
        <f t="shared" si="67"/>
        <v>12</v>
      </c>
      <c r="CS99" s="42">
        <f t="shared" si="68"/>
        <v>15</v>
      </c>
      <c r="CT99" s="43" t="str">
        <f t="shared" si="69"/>
        <v>9-10</v>
      </c>
      <c r="CU99" s="43" t="str">
        <f t="shared" si="70"/>
        <v>14-15</v>
      </c>
      <c r="CV99" s="43" t="str">
        <f t="shared" si="71"/>
        <v>12-15</v>
      </c>
      <c r="CW99" s="13" t="s">
        <v>407</v>
      </c>
    </row>
    <row r="100" spans="1:101" x14ac:dyDescent="0.25">
      <c r="A100" s="31" t="s">
        <v>99</v>
      </c>
      <c r="B100" s="13">
        <v>1613</v>
      </c>
      <c r="C100" s="13">
        <v>72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65</v>
      </c>
      <c r="M100" s="34">
        <f>IFERROR(INDEX('Pokemon Data'!I:I,MATCH($A100,'Pokemon Data'!$B:$B,0)),"")</f>
        <v>110</v>
      </c>
      <c r="N100" s="34">
        <f>IFERROR(INDEX('Pokemon Data'!J:J,MATCH($A100,'Pokemon Data'!$B:$B,0)),"")</f>
        <v>271</v>
      </c>
      <c r="O100" s="34">
        <f>IFERROR(INDEX('Pokemon Data'!K:K,MATCH($A100,'Pokemon Data'!$B:$B,0)),"")</f>
        <v>194</v>
      </c>
      <c r="P100" s="35">
        <f>IFERROR(INDEX('Level Multiplier'!$A:$A,MATCH($D100,'Level Multiplier'!$B:$B,0)),"")</f>
        <v>19</v>
      </c>
      <c r="Q100" s="36">
        <f>IFERROR(INDEX('Level Multiplier'!$D:$D,MATCH(P100,'Level Multiplier'!$A:$A,0)),"")</f>
        <v>1.7173900390793821</v>
      </c>
      <c r="R100" s="37">
        <f t="shared" si="36"/>
        <v>14</v>
      </c>
      <c r="S100" s="37">
        <f t="shared" si="37"/>
        <v>15</v>
      </c>
      <c r="T100" s="38">
        <f t="shared" si="38"/>
        <v>2263312350.8500857</v>
      </c>
      <c r="U100" s="38">
        <f t="shared" si="39"/>
        <v>2266119559.697679</v>
      </c>
      <c r="V100" s="38" t="b">
        <f t="shared" si="40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1"/>
        <v>19.5</v>
      </c>
      <c r="AI100" s="36">
        <f>IFERROR(INDEX('Level Multiplier'!$D:$D,MATCH(AH100,'Level Multiplier'!$A:$A,0)),"")</f>
        <v>1.6952373004785586</v>
      </c>
      <c r="AJ100" s="37">
        <f t="shared" si="42"/>
        <v>13</v>
      </c>
      <c r="AK100" s="37">
        <f t="shared" si="43"/>
        <v>13</v>
      </c>
      <c r="AL100" s="38">
        <f t="shared" si="44"/>
        <v>2148773964.797884</v>
      </c>
      <c r="AM100" s="38">
        <f t="shared" si="45"/>
        <v>2151439110.5446444</v>
      </c>
      <c r="AN100" s="38" t="b">
        <f t="shared" si="46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7"/>
        <v>20</v>
      </c>
      <c r="BA100" s="36">
        <f>IFERROR(INDEX('Level Multiplier'!$D:$D,MATCH(AZ100,'Level Multiplier'!$A:$A,0)),"")</f>
        <v>1.6739202933726098</v>
      </c>
      <c r="BB100" s="37">
        <f t="shared" si="48"/>
        <v>11</v>
      </c>
      <c r="BC100" s="37">
        <f t="shared" si="49"/>
        <v>12</v>
      </c>
      <c r="BD100" s="38">
        <f t="shared" si="50"/>
        <v>2042715256.9034126</v>
      </c>
      <c r="BE100" s="38">
        <f t="shared" si="51"/>
        <v>2045248856.9786026</v>
      </c>
      <c r="BF100" s="38" t="b">
        <f t="shared" si="52"/>
        <v>0</v>
      </c>
      <c r="BG100" s="37">
        <f t="array" ref="BG100:BQ100">IF(BF100,"",IVSolution($M100,$N100,$O100,BB100,BC100,BD100,BE100,$E100,$F100,$G100,$H100,$I100))</f>
        <v>1</v>
      </c>
      <c r="BH100" s="37">
        <v>39</v>
      </c>
      <c r="BI100" s="37">
        <v>39</v>
      </c>
      <c r="BJ100" s="39">
        <v>0.8666666666666667</v>
      </c>
      <c r="BK100" s="39">
        <v>0.8666666666666667</v>
      </c>
      <c r="BL100" s="37">
        <v>11</v>
      </c>
      <c r="BM100" s="37">
        <v>11</v>
      </c>
      <c r="BN100" s="37">
        <v>14</v>
      </c>
      <c r="BO100" s="37">
        <v>14</v>
      </c>
      <c r="BP100" s="37">
        <v>14</v>
      </c>
      <c r="BQ100" s="37">
        <v>14</v>
      </c>
      <c r="BR100" s="40">
        <f t="shared" si="53"/>
        <v>20.5</v>
      </c>
      <c r="BS100" s="36">
        <f>IFERROR(INDEX('Level Multiplier'!$D:$D,MATCH(BR100,'Level Multiplier'!$A:$A,0)),"")</f>
        <v>1.653387720177633</v>
      </c>
      <c r="BT100" s="37">
        <f t="shared" si="54"/>
        <v>10</v>
      </c>
      <c r="BU100" s="37">
        <f t="shared" si="55"/>
        <v>10</v>
      </c>
      <c r="BV100" s="38">
        <f t="shared" si="56"/>
        <v>1944319204.6422563</v>
      </c>
      <c r="BW100" s="38">
        <f t="shared" si="57"/>
        <v>1946730763.1139655</v>
      </c>
      <c r="BX100" s="38" t="b">
        <f t="shared" si="58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9"/>
        <v>20</v>
      </c>
      <c r="CK100" s="41">
        <f t="shared" si="60"/>
        <v>20</v>
      </c>
      <c r="CL100" s="39">
        <f t="shared" si="61"/>
        <v>0.8666666666666667</v>
      </c>
      <c r="CM100" s="39">
        <f t="shared" si="62"/>
        <v>0.8666666666666667</v>
      </c>
      <c r="CN100" s="42">
        <f t="shared" si="63"/>
        <v>11</v>
      </c>
      <c r="CO100" s="42">
        <f t="shared" si="64"/>
        <v>11</v>
      </c>
      <c r="CP100" s="42">
        <f t="shared" si="65"/>
        <v>14</v>
      </c>
      <c r="CQ100" s="42">
        <f t="shared" si="66"/>
        <v>14</v>
      </c>
      <c r="CR100" s="42">
        <f t="shared" si="67"/>
        <v>14</v>
      </c>
      <c r="CS100" s="42">
        <f t="shared" si="68"/>
        <v>14</v>
      </c>
      <c r="CT100" s="43">
        <f t="shared" si="69"/>
        <v>11</v>
      </c>
      <c r="CU100" s="43">
        <f t="shared" si="70"/>
        <v>14</v>
      </c>
      <c r="CV100" s="43">
        <f t="shared" si="71"/>
        <v>14</v>
      </c>
      <c r="CW100" s="13" t="s">
        <v>398</v>
      </c>
    </row>
    <row r="101" spans="1:101" x14ac:dyDescent="0.25">
      <c r="A101" s="31" t="s">
        <v>100</v>
      </c>
      <c r="B101" s="13">
        <v>661</v>
      </c>
      <c r="C101" s="13">
        <v>91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66</v>
      </c>
      <c r="M101" s="34">
        <f>IFERROR(INDEX('Pokemon Data'!I:I,MATCH($A101,'Pokemon Data'!$B:$B,0)),"")</f>
        <v>140</v>
      </c>
      <c r="N101" s="34">
        <f>IFERROR(INDEX('Pokemon Data'!J:J,MATCH($A101,'Pokemon Data'!$B:$B,0)),"")</f>
        <v>137</v>
      </c>
      <c r="O101" s="34">
        <f>IFERROR(INDEX('Pokemon Data'!K:K,MATCH($A101,'Pokemon Data'!$B:$B,0)),"")</f>
        <v>88</v>
      </c>
      <c r="P101" s="35">
        <f>IFERROR(INDEX('Level Multiplier'!$A:$A,MATCH($D101,'Level Multiplier'!$B:$B,0)),"")</f>
        <v>19</v>
      </c>
      <c r="Q101" s="36">
        <f>IFERROR(INDEX('Level Multiplier'!$D:$D,MATCH(P101,'Level Multiplier'!$A:$A,0)),"")</f>
        <v>1.7173900390793821</v>
      </c>
      <c r="R101" s="37">
        <f t="shared" si="36"/>
        <v>17</v>
      </c>
      <c r="S101" s="37">
        <f t="shared" si="37"/>
        <v>15</v>
      </c>
      <c r="T101" s="38">
        <f t="shared" si="38"/>
        <v>380083203.25354415</v>
      </c>
      <c r="U101" s="38">
        <f t="shared" si="39"/>
        <v>381234097.98715603</v>
      </c>
      <c r="V101" s="38" t="b">
        <f t="shared" si="40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1"/>
        <v>19.5</v>
      </c>
      <c r="AI101" s="36">
        <f>IFERROR(INDEX('Level Multiplier'!$D:$D,MATCH(AH101,'Level Multiplier'!$A:$A,0)),"")</f>
        <v>1.6952373004785586</v>
      </c>
      <c r="AJ101" s="37">
        <f t="shared" si="42"/>
        <v>15</v>
      </c>
      <c r="AK101" s="37">
        <f t="shared" si="43"/>
        <v>15</v>
      </c>
      <c r="AL101" s="38">
        <f t="shared" si="44"/>
        <v>360848510.94522852</v>
      </c>
      <c r="AM101" s="38">
        <f t="shared" si="45"/>
        <v>361941162.88912803</v>
      </c>
      <c r="AN101" s="38" t="b">
        <f t="shared" si="46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7"/>
        <v>20</v>
      </c>
      <c r="BA101" s="36">
        <f>IFERROR(INDEX('Level Multiplier'!$D:$D,MATCH(AZ101,'Level Multiplier'!$A:$A,0)),"")</f>
        <v>1.6739202933726098</v>
      </c>
      <c r="BB101" s="37">
        <f t="shared" si="48"/>
        <v>13</v>
      </c>
      <c r="BC101" s="37">
        <f t="shared" si="49"/>
        <v>14</v>
      </c>
      <c r="BD101" s="38">
        <f t="shared" si="50"/>
        <v>343037830.3229441</v>
      </c>
      <c r="BE101" s="38">
        <f t="shared" si="51"/>
        <v>344076551.3949852</v>
      </c>
      <c r="BF101" s="38" t="b">
        <f t="shared" si="52"/>
        <v>0</v>
      </c>
      <c r="BG101" s="37">
        <f t="array" ref="BG101:BQ101">IF(BF101,"",IVSolution($M101,$N101,$O101,BB101,BC101,BD101,BE101,$E101,$F101,$G101,$H101,$I101))</f>
        <v>2</v>
      </c>
      <c r="BH101" s="37">
        <v>38</v>
      </c>
      <c r="BI101" s="37">
        <v>39</v>
      </c>
      <c r="BJ101" s="39">
        <v>0.84444444444444444</v>
      </c>
      <c r="BK101" s="39">
        <v>0.8666666666666667</v>
      </c>
      <c r="BL101" s="37">
        <v>13</v>
      </c>
      <c r="BM101" s="37">
        <v>14</v>
      </c>
      <c r="BN101" s="37">
        <v>11</v>
      </c>
      <c r="BO101" s="37">
        <v>12</v>
      </c>
      <c r="BP101" s="37">
        <v>13</v>
      </c>
      <c r="BQ101" s="37">
        <v>14</v>
      </c>
      <c r="BR101" s="40">
        <f t="shared" si="53"/>
        <v>20.5</v>
      </c>
      <c r="BS101" s="36">
        <f>IFERROR(INDEX('Level Multiplier'!$D:$D,MATCH(BR101,'Level Multiplier'!$A:$A,0)),"")</f>
        <v>1.653387720177633</v>
      </c>
      <c r="BT101" s="37">
        <f t="shared" si="54"/>
        <v>11</v>
      </c>
      <c r="BU101" s="37">
        <f t="shared" si="55"/>
        <v>12</v>
      </c>
      <c r="BV101" s="38">
        <f t="shared" si="56"/>
        <v>326513956.9314183</v>
      </c>
      <c r="BW101" s="38">
        <f t="shared" si="57"/>
        <v>327502643.59335548</v>
      </c>
      <c r="BX101" s="38" t="b">
        <f t="shared" si="58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9"/>
        <v>20</v>
      </c>
      <c r="CK101" s="41">
        <f t="shared" si="60"/>
        <v>20</v>
      </c>
      <c r="CL101" s="39">
        <f t="shared" si="61"/>
        <v>0.84444444444444444</v>
      </c>
      <c r="CM101" s="39">
        <f t="shared" si="62"/>
        <v>0.8666666666666667</v>
      </c>
      <c r="CN101" s="42">
        <f t="shared" si="63"/>
        <v>13</v>
      </c>
      <c r="CO101" s="42">
        <f t="shared" si="64"/>
        <v>14</v>
      </c>
      <c r="CP101" s="42">
        <f t="shared" si="65"/>
        <v>11</v>
      </c>
      <c r="CQ101" s="42">
        <f t="shared" si="66"/>
        <v>12</v>
      </c>
      <c r="CR101" s="42">
        <f t="shared" si="67"/>
        <v>13</v>
      </c>
      <c r="CS101" s="42">
        <f t="shared" si="68"/>
        <v>14</v>
      </c>
      <c r="CT101" s="43" t="str">
        <f t="shared" si="69"/>
        <v>13-14</v>
      </c>
      <c r="CU101" s="43" t="str">
        <f t="shared" si="70"/>
        <v>11-12</v>
      </c>
      <c r="CV101" s="43" t="str">
        <f t="shared" si="71"/>
        <v>13-14</v>
      </c>
      <c r="CW101" s="13" t="s">
        <v>395</v>
      </c>
    </row>
    <row r="102" spans="1:101" x14ac:dyDescent="0.25">
      <c r="A102" s="31" t="s">
        <v>100</v>
      </c>
      <c r="B102" s="13">
        <v>660</v>
      </c>
      <c r="C102" s="13">
        <v>86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Multiplier'!$A:$A,MATCH($D102,'Level Multiplier'!$B:$B,0)),"")</f>
        <v>19</v>
      </c>
      <c r="Q102" s="36">
        <f>IFERROR(INDEX('Level Multiplier'!$D:$D,MATCH(P102,'Level Multiplier'!$A:$A,0)),"")</f>
        <v>1.7173900390793821</v>
      </c>
      <c r="R102" s="37">
        <f t="shared" si="36"/>
        <v>8</v>
      </c>
      <c r="S102" s="37">
        <f t="shared" si="37"/>
        <v>9</v>
      </c>
      <c r="T102" s="38">
        <f t="shared" si="38"/>
        <v>378934048.34568226</v>
      </c>
      <c r="U102" s="38">
        <f t="shared" si="39"/>
        <v>380083203.25354415</v>
      </c>
      <c r="V102" s="38" t="b">
        <f t="shared" si="40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1"/>
        <v>19.5</v>
      </c>
      <c r="AI102" s="36">
        <f>IFERROR(INDEX('Level Multiplier'!$D:$D,MATCH(AH102,'Level Multiplier'!$A:$A,0)),"")</f>
        <v>1.6952373004785586</v>
      </c>
      <c r="AJ102" s="37">
        <f t="shared" si="42"/>
        <v>6</v>
      </c>
      <c r="AK102" s="37">
        <f t="shared" si="43"/>
        <v>7</v>
      </c>
      <c r="AL102" s="38">
        <f t="shared" si="44"/>
        <v>359757510.78053361</v>
      </c>
      <c r="AM102" s="38">
        <f t="shared" si="45"/>
        <v>360848510.94522852</v>
      </c>
      <c r="AN102" s="38" t="b">
        <f t="shared" si="46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7"/>
        <v>20</v>
      </c>
      <c r="BA102" s="36">
        <f>IFERROR(INDEX('Level Multiplier'!$D:$D,MATCH(AZ102,'Level Multiplier'!$A:$A,0)),"")</f>
        <v>1.6739202933726098</v>
      </c>
      <c r="BB102" s="37">
        <f t="shared" si="48"/>
        <v>4</v>
      </c>
      <c r="BC102" s="37">
        <f t="shared" si="49"/>
        <v>5</v>
      </c>
      <c r="BD102" s="38">
        <f t="shared" si="50"/>
        <v>342000679.50195676</v>
      </c>
      <c r="BE102" s="38">
        <f t="shared" si="51"/>
        <v>343037830.3229441</v>
      </c>
      <c r="BF102" s="38" t="b">
        <f t="shared" si="52"/>
        <v>0</v>
      </c>
      <c r="BG102" s="37">
        <f t="array" ref="BG102:BQ102">IF(BF102,"",IVSolution($M102,$N102,$O102,BB102,BC102,BD102,BE102,$E102,$F102,$G102,$H102,$I102))</f>
        <v>1</v>
      </c>
      <c r="BH102" s="37">
        <v>34</v>
      </c>
      <c r="BI102" s="37">
        <v>34</v>
      </c>
      <c r="BJ102" s="39">
        <v>0.75555555555555554</v>
      </c>
      <c r="BK102" s="39">
        <v>0.75555555555555554</v>
      </c>
      <c r="BL102" s="37">
        <v>4</v>
      </c>
      <c r="BM102" s="37">
        <v>4</v>
      </c>
      <c r="BN102" s="37">
        <v>15</v>
      </c>
      <c r="BO102" s="37">
        <v>15</v>
      </c>
      <c r="BP102" s="37">
        <v>15</v>
      </c>
      <c r="BQ102" s="37">
        <v>15</v>
      </c>
      <c r="BR102" s="40">
        <f t="shared" si="53"/>
        <v>20.5</v>
      </c>
      <c r="BS102" s="36">
        <f>IFERROR(INDEX('Level Multiplier'!$D:$D,MATCH(BR102,'Level Multiplier'!$A:$A,0)),"")</f>
        <v>1.653387720177633</v>
      </c>
      <c r="BT102" s="37">
        <f t="shared" si="54"/>
        <v>3</v>
      </c>
      <c r="BU102" s="37">
        <f t="shared" si="55"/>
        <v>3</v>
      </c>
      <c r="BV102" s="38">
        <f t="shared" si="56"/>
        <v>325526764.88272661</v>
      </c>
      <c r="BW102" s="38">
        <f t="shared" si="57"/>
        <v>326513956.9314183</v>
      </c>
      <c r="BX102" s="38" t="b">
        <f t="shared" si="58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9"/>
        <v>20</v>
      </c>
      <c r="CK102" s="41">
        <f t="shared" si="60"/>
        <v>20</v>
      </c>
      <c r="CL102" s="39">
        <f t="shared" si="61"/>
        <v>0.75555555555555554</v>
      </c>
      <c r="CM102" s="39">
        <f t="shared" si="62"/>
        <v>0.75555555555555554</v>
      </c>
      <c r="CN102" s="42">
        <f t="shared" si="63"/>
        <v>4</v>
      </c>
      <c r="CO102" s="42">
        <f t="shared" si="64"/>
        <v>4</v>
      </c>
      <c r="CP102" s="42">
        <f t="shared" si="65"/>
        <v>15</v>
      </c>
      <c r="CQ102" s="42">
        <f t="shared" si="66"/>
        <v>15</v>
      </c>
      <c r="CR102" s="42">
        <f t="shared" si="67"/>
        <v>15</v>
      </c>
      <c r="CS102" s="42">
        <f t="shared" si="68"/>
        <v>15</v>
      </c>
      <c r="CT102" s="43">
        <f t="shared" si="69"/>
        <v>4</v>
      </c>
      <c r="CU102" s="43">
        <f t="shared" si="70"/>
        <v>15</v>
      </c>
      <c r="CV102" s="43">
        <f t="shared" si="71"/>
        <v>15</v>
      </c>
      <c r="CW102" s="13" t="s">
        <v>396</v>
      </c>
    </row>
    <row r="103" spans="1:101" x14ac:dyDescent="0.25">
      <c r="A103" s="31" t="s">
        <v>100</v>
      </c>
      <c r="B103" s="13">
        <v>539</v>
      </c>
      <c r="C103" s="13">
        <v>82</v>
      </c>
      <c r="D103" s="13">
        <v>19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Multiplier'!$A:$A,MATCH($D103,'Level Multiplier'!$B:$B,0)),"")</f>
        <v>15</v>
      </c>
      <c r="Q103" s="36">
        <f>IFERROR(INDEX('Level Multiplier'!$D:$D,MATCH(P103,'Level Multiplier'!$A:$A,0)),"")</f>
        <v>1.9327632261645116</v>
      </c>
      <c r="R103" s="37">
        <f t="shared" si="36"/>
        <v>19</v>
      </c>
      <c r="S103" s="37">
        <f t="shared" si="37"/>
        <v>15</v>
      </c>
      <c r="T103" s="38">
        <f t="shared" si="38"/>
        <v>405407842.67724574</v>
      </c>
      <c r="U103" s="38">
        <f t="shared" si="39"/>
        <v>406913534.39057714</v>
      </c>
      <c r="V103" s="38" t="b">
        <f t="shared" si="40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1"/>
        <v>15.5</v>
      </c>
      <c r="AI103" s="36">
        <f>IFERROR(INDEX('Level Multiplier'!$D:$D,MATCH(AH103,'Level Multiplier'!$A:$A,0)),"")</f>
        <v>1.9013484916795402</v>
      </c>
      <c r="AJ103" s="37">
        <f t="shared" si="42"/>
        <v>16</v>
      </c>
      <c r="AK103" s="37">
        <f t="shared" si="43"/>
        <v>15</v>
      </c>
      <c r="AL103" s="38">
        <f t="shared" si="44"/>
        <v>379685864.10101068</v>
      </c>
      <c r="AM103" s="38">
        <f t="shared" si="45"/>
        <v>381096023.94269162</v>
      </c>
      <c r="AN103" s="38" t="b">
        <f t="shared" si="46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7"/>
        <v>16</v>
      </c>
      <c r="BA103" s="36">
        <f>IFERROR(INDEX('Level Multiplier'!$D:$D,MATCH(AZ103,'Level Multiplier'!$A:$A,0)),"")</f>
        <v>1.8714174169787303</v>
      </c>
      <c r="BB103" s="37">
        <f t="shared" si="48"/>
        <v>14</v>
      </c>
      <c r="BC103" s="37">
        <f t="shared" si="49"/>
        <v>15</v>
      </c>
      <c r="BD103" s="38">
        <f t="shared" si="50"/>
        <v>356336408.66319805</v>
      </c>
      <c r="BE103" s="38">
        <f t="shared" si="51"/>
        <v>357659848.22504586</v>
      </c>
      <c r="BF103" s="38" t="b">
        <f t="shared" si="52"/>
        <v>0</v>
      </c>
      <c r="BG103" s="37">
        <f t="array" ref="BG103:BQ103">IF(BF103,"",IVSolution($M103,$N103,$O103,BB103,BC103,BD103,BE103,$E103,$F103,$G103,$H103,$I103))</f>
        <v>2</v>
      </c>
      <c r="BH103" s="37">
        <v>42</v>
      </c>
      <c r="BI103" s="37">
        <v>42</v>
      </c>
      <c r="BJ103" s="39">
        <v>0.93333333333333335</v>
      </c>
      <c r="BK103" s="39">
        <v>0.93333333333333335</v>
      </c>
      <c r="BL103" s="37">
        <v>14</v>
      </c>
      <c r="BM103" s="37">
        <v>15</v>
      </c>
      <c r="BN103" s="37">
        <v>13</v>
      </c>
      <c r="BO103" s="37">
        <v>14</v>
      </c>
      <c r="BP103" s="37">
        <v>13</v>
      </c>
      <c r="BQ103" s="37">
        <v>15</v>
      </c>
      <c r="BR103" s="40">
        <f t="shared" si="53"/>
        <v>16.5</v>
      </c>
      <c r="BS103" s="36">
        <f>IFERROR(INDEX('Level Multiplier'!$D:$D,MATCH(BR103,'Level Multiplier'!$A:$A,0)),"")</f>
        <v>1.8428567757863994</v>
      </c>
      <c r="BT103" s="37">
        <f t="shared" si="54"/>
        <v>12</v>
      </c>
      <c r="BU103" s="37">
        <f t="shared" si="55"/>
        <v>12</v>
      </c>
      <c r="BV103" s="38">
        <f t="shared" si="56"/>
        <v>335076419.04017651</v>
      </c>
      <c r="BW103" s="38">
        <f t="shared" si="57"/>
        <v>336320898.63423121</v>
      </c>
      <c r="BX103" s="38" t="b">
        <f t="shared" si="58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9"/>
        <v>16</v>
      </c>
      <c r="CK103" s="41">
        <f t="shared" si="60"/>
        <v>16</v>
      </c>
      <c r="CL103" s="39">
        <f t="shared" si="61"/>
        <v>0.93333333333333335</v>
      </c>
      <c r="CM103" s="39">
        <f t="shared" si="62"/>
        <v>0.93333333333333335</v>
      </c>
      <c r="CN103" s="42">
        <f t="shared" si="63"/>
        <v>14</v>
      </c>
      <c r="CO103" s="42">
        <f t="shared" si="64"/>
        <v>15</v>
      </c>
      <c r="CP103" s="42">
        <f t="shared" si="65"/>
        <v>13</v>
      </c>
      <c r="CQ103" s="42">
        <f t="shared" si="66"/>
        <v>14</v>
      </c>
      <c r="CR103" s="42">
        <f t="shared" si="67"/>
        <v>13</v>
      </c>
      <c r="CS103" s="42">
        <f t="shared" si="68"/>
        <v>15</v>
      </c>
      <c r="CT103" s="43" t="str">
        <f t="shared" si="69"/>
        <v>14-15</v>
      </c>
      <c r="CU103" s="43" t="str">
        <f t="shared" si="70"/>
        <v>13-14</v>
      </c>
      <c r="CV103" s="43" t="str">
        <f t="shared" si="71"/>
        <v>13-15</v>
      </c>
      <c r="CW103" s="13" t="s">
        <v>397</v>
      </c>
    </row>
    <row r="104" spans="1:101" x14ac:dyDescent="0.25">
      <c r="A104" s="31" t="s">
        <v>102</v>
      </c>
      <c r="B104" s="13">
        <v>1050</v>
      </c>
      <c r="C104" s="13">
        <v>90</v>
      </c>
      <c r="D104" s="13">
        <v>16</v>
      </c>
      <c r="E104" s="32"/>
      <c r="F104" s="32"/>
      <c r="G104" s="32"/>
      <c r="H104" s="32"/>
      <c r="I104" s="32"/>
      <c r="J104" s="13"/>
      <c r="K104" s="33">
        <v>13</v>
      </c>
      <c r="L104" s="34">
        <f>IFERROR(INDEX('Pokemon Data'!A:A,MATCH($A104,'Pokemon Data'!$B:$B,0)),"")</f>
        <v>68</v>
      </c>
      <c r="M104" s="34">
        <f>IFERROR(INDEX('Pokemon Data'!I:I,MATCH($A104,'Pokemon Data'!$B:$B,0)),"")</f>
        <v>180</v>
      </c>
      <c r="N104" s="34">
        <f>IFERROR(INDEX('Pokemon Data'!J:J,MATCH($A104,'Pokemon Data'!$B:$B,0)),"")</f>
        <v>234</v>
      </c>
      <c r="O104" s="34">
        <f>IFERROR(INDEX('Pokemon Data'!K:K,MATCH($A104,'Pokemon Data'!$B:$B,0)),"")</f>
        <v>162</v>
      </c>
      <c r="P104" s="35">
        <f>IFERROR(INDEX('Level Multiplier'!$A:$A,MATCH($D104,'Level Multiplier'!$B:$B,0)),"")</f>
        <v>13</v>
      </c>
      <c r="Q104" s="36">
        <f>IFERROR(INDEX('Level Multiplier'!$D:$D,MATCH(P104,'Level Multiplier'!$A:$A,0)),"")</f>
        <v>2.0760457639376111</v>
      </c>
      <c r="R104" s="37">
        <f t="shared" si="36"/>
        <v>7</v>
      </c>
      <c r="S104" s="37">
        <f t="shared" si="37"/>
        <v>8</v>
      </c>
      <c r="T104" s="38">
        <f t="shared" si="38"/>
        <v>2047982726.3274355</v>
      </c>
      <c r="U104" s="38">
        <f t="shared" si="39"/>
        <v>2051885503.3868587</v>
      </c>
      <c r="V104" s="38" t="b">
        <f t="shared" si="40"/>
        <v>0</v>
      </c>
      <c r="W104" s="37">
        <f t="array" ref="W104:AG104">IF(V104,"",IVSolution($M104,$N104,$O104,R104,S104,T104,U104,$E104,$F104,$G104,$H104,$I104))</f>
        <v>1</v>
      </c>
      <c r="X104" s="37">
        <v>37</v>
      </c>
      <c r="Y104" s="37">
        <v>37</v>
      </c>
      <c r="Z104" s="39">
        <v>0.82222222222222219</v>
      </c>
      <c r="AA104" s="39">
        <v>0.82222222222222219</v>
      </c>
      <c r="AB104" s="37">
        <v>8</v>
      </c>
      <c r="AC104" s="37">
        <v>8</v>
      </c>
      <c r="AD104" s="37">
        <v>15</v>
      </c>
      <c r="AE104" s="37">
        <v>15</v>
      </c>
      <c r="AF104" s="37">
        <v>14</v>
      </c>
      <c r="AG104" s="37">
        <v>14</v>
      </c>
      <c r="AH104" s="40">
        <f t="shared" si="41"/>
        <v>13.5</v>
      </c>
      <c r="AI104" s="36">
        <f>IFERROR(INDEX('Level Multiplier'!$D:$D,MATCH(AH104,'Level Multiplier'!$A:$A,0)),"")</f>
        <v>2.0372581927319593</v>
      </c>
      <c r="AJ104" s="37">
        <f t="shared" si="42"/>
        <v>4</v>
      </c>
      <c r="AK104" s="37">
        <f t="shared" si="43"/>
        <v>5</v>
      </c>
      <c r="AL104" s="38">
        <f t="shared" si="44"/>
        <v>1899165839.7323399</v>
      </c>
      <c r="AM104" s="38">
        <f t="shared" si="45"/>
        <v>1902785021.0740883</v>
      </c>
      <c r="AN104" s="38" t="b">
        <f t="shared" si="46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7"/>
        <v>14</v>
      </c>
      <c r="BA104" s="36">
        <f>IFERROR(INDEX('Level Multiplier'!$D:$D,MATCH(AZ104,'Level Multiplier'!$A:$A,0)),"")</f>
        <v>2.0005664003592698</v>
      </c>
      <c r="BB104" s="37">
        <f t="shared" si="48"/>
        <v>1</v>
      </c>
      <c r="BC104" s="37">
        <f t="shared" si="49"/>
        <v>2</v>
      </c>
      <c r="BD104" s="38">
        <f t="shared" si="50"/>
        <v>1765999109.4893651</v>
      </c>
      <c r="BE104" s="38">
        <f t="shared" si="51"/>
        <v>1769364519.1302152</v>
      </c>
      <c r="BF104" s="38" t="b">
        <f t="shared" si="52"/>
        <v>1</v>
      </c>
      <c r="BG104" s="37" t="str">
        <f t="array" ref="BG104:BQ104">IF(BF104,"",IVSolution($M104,$N104,$O104,BB104,BC104,BD104,BE104,$E104,$F104,$G104,$H104,$I104))</f>
        <v/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3"/>
        <v>14.5</v>
      </c>
      <c r="BS104" s="36">
        <f>IFERROR(INDEX('Level Multiplier'!$D:$D,MATCH(BR104,'Level Multiplier'!$A:$A,0)),"")</f>
        <v>1.9657883435887038</v>
      </c>
      <c r="BT104" s="37">
        <f t="shared" si="54"/>
        <v>0</v>
      </c>
      <c r="BU104" s="37">
        <f t="shared" si="55"/>
        <v>-1</v>
      </c>
      <c r="BV104" s="38">
        <f t="shared" si="56"/>
        <v>1646363087.0903182</v>
      </c>
      <c r="BW104" s="38">
        <f t="shared" si="57"/>
        <v>1649500510.0798664</v>
      </c>
      <c r="BX104" s="38" t="b">
        <f t="shared" si="58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9"/>
        <v>13</v>
      </c>
      <c r="CK104" s="41">
        <f t="shared" si="60"/>
        <v>13</v>
      </c>
      <c r="CL104" s="39">
        <f t="shared" si="61"/>
        <v>0.82222222222222219</v>
      </c>
      <c r="CM104" s="39">
        <f t="shared" si="62"/>
        <v>0.82222222222222219</v>
      </c>
      <c r="CN104" s="42">
        <f t="shared" si="63"/>
        <v>8</v>
      </c>
      <c r="CO104" s="42">
        <f t="shared" si="64"/>
        <v>8</v>
      </c>
      <c r="CP104" s="42">
        <f t="shared" si="65"/>
        <v>15</v>
      </c>
      <c r="CQ104" s="42">
        <f t="shared" si="66"/>
        <v>15</v>
      </c>
      <c r="CR104" s="42">
        <f t="shared" si="67"/>
        <v>14</v>
      </c>
      <c r="CS104" s="42">
        <f t="shared" si="68"/>
        <v>14</v>
      </c>
      <c r="CT104" s="43">
        <f t="shared" si="69"/>
        <v>8</v>
      </c>
      <c r="CU104" s="43">
        <f t="shared" si="70"/>
        <v>15</v>
      </c>
      <c r="CV104" s="43">
        <f t="shared" si="71"/>
        <v>14</v>
      </c>
      <c r="CW104" s="13" t="s">
        <v>406</v>
      </c>
    </row>
    <row r="105" spans="1:101" x14ac:dyDescent="0.25">
      <c r="A105" s="31" t="s">
        <v>103</v>
      </c>
      <c r="B105" s="13">
        <v>507</v>
      </c>
      <c r="C105" s="13">
        <v>68</v>
      </c>
      <c r="D105" s="13">
        <v>25</v>
      </c>
      <c r="E105" s="32"/>
      <c r="F105" s="32"/>
      <c r="G105" s="32"/>
      <c r="H105" s="32"/>
      <c r="I105" s="32"/>
      <c r="J105" s="13"/>
      <c r="K105" s="33"/>
      <c r="L105" s="34">
        <f>IFERROR(INDEX('Pokemon Data'!A:A,MATCH($A105,'Pokemon Data'!$B:$B,0)),"")</f>
        <v>69</v>
      </c>
      <c r="M105" s="34">
        <f>IFERROR(INDEX('Pokemon Data'!I:I,MATCH($A105,'Pokemon Data'!$B:$B,0)),"")</f>
        <v>100</v>
      </c>
      <c r="N105" s="34">
        <f>IFERROR(INDEX('Pokemon Data'!J:J,MATCH($A105,'Pokemon Data'!$B:$B,0)),"")</f>
        <v>139</v>
      </c>
      <c r="O105" s="34">
        <f>IFERROR(INDEX('Pokemon Data'!K:K,MATCH($A105,'Pokemon Data'!$B:$B,0)),"")</f>
        <v>64</v>
      </c>
      <c r="P105" s="35">
        <f>IFERROR(INDEX('Level Multiplier'!$A:$A,MATCH($D105,'Level Multiplier'!$B:$B,0)),"")</f>
        <v>19</v>
      </c>
      <c r="Q105" s="36">
        <f>IFERROR(INDEX('Level Multiplier'!$D:$D,MATCH(P105,'Level Multiplier'!$A:$A,0)),"")</f>
        <v>1.7173900390793821</v>
      </c>
      <c r="R105" s="37">
        <f t="shared" si="36"/>
        <v>17</v>
      </c>
      <c r="S105" s="37">
        <f t="shared" si="37"/>
        <v>15</v>
      </c>
      <c r="T105" s="38">
        <f t="shared" si="38"/>
        <v>223610234.6033271</v>
      </c>
      <c r="U105" s="38">
        <f t="shared" si="39"/>
        <v>224493196.17144203</v>
      </c>
      <c r="V105" s="38" t="b">
        <f t="shared" si="40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1"/>
        <v>19.5</v>
      </c>
      <c r="AI105" s="36">
        <f>IFERROR(INDEX('Level Multiplier'!$D:$D,MATCH(AH105,'Level Multiplier'!$A:$A,0)),"")</f>
        <v>1.6952373004785586</v>
      </c>
      <c r="AJ105" s="37">
        <f t="shared" si="42"/>
        <v>16</v>
      </c>
      <c r="AK105" s="37">
        <f t="shared" si="43"/>
        <v>15</v>
      </c>
      <c r="AL105" s="38">
        <f t="shared" si="44"/>
        <v>212294096.39262027</v>
      </c>
      <c r="AM105" s="38">
        <f t="shared" si="45"/>
        <v>213132374.33899823</v>
      </c>
      <c r="AN105" s="38" t="b">
        <f t="shared" si="46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7"/>
        <v>20</v>
      </c>
      <c r="BA105" s="36">
        <f>IFERROR(INDEX('Level Multiplier'!$D:$D,MATCH(AZ105,'Level Multiplier'!$A:$A,0)),"")</f>
        <v>1.6739202933726098</v>
      </c>
      <c r="BB105" s="37">
        <f t="shared" si="48"/>
        <v>14</v>
      </c>
      <c r="BC105" s="37">
        <f t="shared" si="49"/>
        <v>15</v>
      </c>
      <c r="BD105" s="38">
        <f t="shared" si="50"/>
        <v>201815731.55486336</v>
      </c>
      <c r="BE105" s="38">
        <f t="shared" si="51"/>
        <v>202612633.96463034</v>
      </c>
      <c r="BF105" s="38" t="b">
        <f t="shared" si="52"/>
        <v>0</v>
      </c>
      <c r="BG105" s="37">
        <f t="array" ref="BG105:BQ105">IF(BF105,"",IVSolution($M105,$N105,$O105,BB105,BC105,BD105,BE105,$E105,$F105,$G105,$H105,$I105))</f>
        <v>5</v>
      </c>
      <c r="BH105" s="37">
        <v>40</v>
      </c>
      <c r="BI105" s="37">
        <v>40</v>
      </c>
      <c r="BJ105" s="39">
        <v>0.88888888888888884</v>
      </c>
      <c r="BK105" s="39">
        <v>0.88888888888888884</v>
      </c>
      <c r="BL105" s="37">
        <v>15</v>
      </c>
      <c r="BM105" s="37">
        <v>15</v>
      </c>
      <c r="BN105" s="37">
        <v>11</v>
      </c>
      <c r="BO105" s="37">
        <v>15</v>
      </c>
      <c r="BP105" s="37">
        <v>10</v>
      </c>
      <c r="BQ105" s="37">
        <v>14</v>
      </c>
      <c r="BR105" s="40">
        <f t="shared" si="53"/>
        <v>20.5</v>
      </c>
      <c r="BS105" s="36">
        <f>IFERROR(INDEX('Level Multiplier'!$D:$D,MATCH(BR105,'Level Multiplier'!$A:$A,0)),"")</f>
        <v>1.653387720177633</v>
      </c>
      <c r="BT105" s="37">
        <f t="shared" si="54"/>
        <v>13</v>
      </c>
      <c r="BU105" s="37">
        <f t="shared" si="55"/>
        <v>14</v>
      </c>
      <c r="BV105" s="38">
        <f t="shared" si="56"/>
        <v>192094420.07883379</v>
      </c>
      <c r="BW105" s="38">
        <f t="shared" si="57"/>
        <v>192852936.30095494</v>
      </c>
      <c r="BX105" s="38" t="b">
        <f t="shared" si="58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9"/>
        <v>20</v>
      </c>
      <c r="CK105" s="41">
        <f t="shared" si="60"/>
        <v>20</v>
      </c>
      <c r="CL105" s="39">
        <f t="shared" si="61"/>
        <v>0.88888888888888884</v>
      </c>
      <c r="CM105" s="39">
        <f t="shared" si="62"/>
        <v>0.88888888888888884</v>
      </c>
      <c r="CN105" s="42">
        <f t="shared" si="63"/>
        <v>15</v>
      </c>
      <c r="CO105" s="42">
        <f t="shared" si="64"/>
        <v>15</v>
      </c>
      <c r="CP105" s="42">
        <f t="shared" si="65"/>
        <v>11</v>
      </c>
      <c r="CQ105" s="42">
        <f t="shared" si="66"/>
        <v>15</v>
      </c>
      <c r="CR105" s="42">
        <f t="shared" si="67"/>
        <v>10</v>
      </c>
      <c r="CS105" s="42">
        <f t="shared" si="68"/>
        <v>14</v>
      </c>
      <c r="CT105" s="43">
        <f t="shared" si="69"/>
        <v>15</v>
      </c>
      <c r="CU105" s="43" t="str">
        <f t="shared" si="70"/>
        <v>11-15</v>
      </c>
      <c r="CV105" s="43" t="str">
        <f t="shared" si="71"/>
        <v>10-14</v>
      </c>
      <c r="CW105" s="13" t="s">
        <v>397</v>
      </c>
    </row>
    <row r="106" spans="1:101" x14ac:dyDescent="0.25">
      <c r="A106" s="31" t="s">
        <v>103</v>
      </c>
      <c r="B106" s="13">
        <v>498</v>
      </c>
      <c r="C106" s="13">
        <v>66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Multiplier'!$A:$A,MATCH($D106,'Level Multiplier'!$B:$B,0)),"")</f>
        <v>19</v>
      </c>
      <c r="Q106" s="36">
        <f>IFERROR(INDEX('Level Multiplier'!$D:$D,MATCH(P106,'Level Multiplier'!$A:$A,0)),"")</f>
        <v>1.7173900390793821</v>
      </c>
      <c r="R106" s="37">
        <f t="shared" si="36"/>
        <v>14</v>
      </c>
      <c r="S106" s="37">
        <f t="shared" si="37"/>
        <v>15</v>
      </c>
      <c r="T106" s="38">
        <f t="shared" si="38"/>
        <v>215741872.64904174</v>
      </c>
      <c r="U106" s="38">
        <f t="shared" si="39"/>
        <v>216609175.78540686</v>
      </c>
      <c r="V106" s="38" t="b">
        <f t="shared" si="40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1"/>
        <v>19.5</v>
      </c>
      <c r="AI106" s="36">
        <f>IFERROR(INDEX('Level Multiplier'!$D:$D,MATCH(AH106,'Level Multiplier'!$A:$A,0)),"")</f>
        <v>1.6952373004785586</v>
      </c>
      <c r="AJ106" s="37">
        <f t="shared" si="42"/>
        <v>12</v>
      </c>
      <c r="AK106" s="37">
        <f t="shared" si="43"/>
        <v>13</v>
      </c>
      <c r="AL106" s="38">
        <f t="shared" si="44"/>
        <v>204823924.93942943</v>
      </c>
      <c r="AM106" s="38">
        <f t="shared" si="45"/>
        <v>205647336.87296525</v>
      </c>
      <c r="AN106" s="38" t="b">
        <f t="shared" si="46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7"/>
        <v>20</v>
      </c>
      <c r="BA106" s="36">
        <f>IFERROR(INDEX('Level Multiplier'!$D:$D,MATCH(AZ106,'Level Multiplier'!$A:$A,0)),"")</f>
        <v>1.6739202933726098</v>
      </c>
      <c r="BB106" s="37">
        <f t="shared" si="48"/>
        <v>11</v>
      </c>
      <c r="BC106" s="37">
        <f t="shared" si="49"/>
        <v>12</v>
      </c>
      <c r="BD106" s="38">
        <f t="shared" si="50"/>
        <v>194714271.16437852</v>
      </c>
      <c r="BE106" s="38">
        <f t="shared" si="51"/>
        <v>195497041.31466192</v>
      </c>
      <c r="BF106" s="38" t="b">
        <f t="shared" si="52"/>
        <v>0</v>
      </c>
      <c r="BG106" s="37">
        <f t="array" ref="BG106:BQ106">IF(BF106,"",IVSolution($M106,$N106,$O106,BB106,BC106,BD106,BE106,$E106,$F106,$G106,$H106,$I106))</f>
        <v>5</v>
      </c>
      <c r="BH106" s="37">
        <v>36</v>
      </c>
      <c r="BI106" s="37">
        <v>36</v>
      </c>
      <c r="BJ106" s="39">
        <v>0.8</v>
      </c>
      <c r="BK106" s="39">
        <v>0.8</v>
      </c>
      <c r="BL106" s="37">
        <v>11</v>
      </c>
      <c r="BM106" s="37">
        <v>11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53"/>
        <v>20.5</v>
      </c>
      <c r="BS106" s="36">
        <f>IFERROR(INDEX('Level Multiplier'!$D:$D,MATCH(BR106,'Level Multiplier'!$A:$A,0)),"")</f>
        <v>1.653387720177633</v>
      </c>
      <c r="BT106" s="37">
        <f t="shared" si="54"/>
        <v>10</v>
      </c>
      <c r="BU106" s="37">
        <f t="shared" si="55"/>
        <v>10</v>
      </c>
      <c r="BV106" s="38">
        <f t="shared" si="56"/>
        <v>185335031.67579371</v>
      </c>
      <c r="BW106" s="38">
        <f t="shared" si="57"/>
        <v>186080096.37870482</v>
      </c>
      <c r="BX106" s="38" t="b">
        <f t="shared" si="58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9"/>
        <v>20</v>
      </c>
      <c r="CK106" s="41">
        <f t="shared" si="60"/>
        <v>20</v>
      </c>
      <c r="CL106" s="39">
        <f t="shared" si="61"/>
        <v>0.8</v>
      </c>
      <c r="CM106" s="39">
        <f t="shared" si="62"/>
        <v>0.8</v>
      </c>
      <c r="CN106" s="42">
        <f t="shared" si="63"/>
        <v>11</v>
      </c>
      <c r="CO106" s="42">
        <f t="shared" si="64"/>
        <v>11</v>
      </c>
      <c r="CP106" s="42">
        <f t="shared" si="65"/>
        <v>11</v>
      </c>
      <c r="CQ106" s="42">
        <f t="shared" si="66"/>
        <v>15</v>
      </c>
      <c r="CR106" s="42">
        <f t="shared" si="67"/>
        <v>10</v>
      </c>
      <c r="CS106" s="42">
        <f t="shared" si="68"/>
        <v>14</v>
      </c>
      <c r="CT106" s="43">
        <f t="shared" si="69"/>
        <v>11</v>
      </c>
      <c r="CU106" s="43" t="str">
        <f t="shared" si="70"/>
        <v>11-15</v>
      </c>
      <c r="CV106" s="43" t="str">
        <f t="shared" si="71"/>
        <v>10-14</v>
      </c>
      <c r="CW106" s="13" t="s">
        <v>395</v>
      </c>
    </row>
    <row r="107" spans="1:101" x14ac:dyDescent="0.25">
      <c r="A107" s="31" t="s">
        <v>105</v>
      </c>
      <c r="B107" s="13">
        <v>1282</v>
      </c>
      <c r="C107" s="13">
        <v>103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71</v>
      </c>
      <c r="M107" s="34">
        <f>IFERROR(INDEX('Pokemon Data'!I:I,MATCH($A107,'Pokemon Data'!$B:$B,0)),"")</f>
        <v>160</v>
      </c>
      <c r="N107" s="34">
        <f>IFERROR(INDEX('Pokemon Data'!J:J,MATCH($A107,'Pokemon Data'!$B:$B,0)),"")</f>
        <v>207</v>
      </c>
      <c r="O107" s="34">
        <f>IFERROR(INDEX('Pokemon Data'!K:K,MATCH($A107,'Pokemon Data'!$B:$B,0)),"")</f>
        <v>138</v>
      </c>
      <c r="P107" s="35">
        <f>IFERROR(INDEX('Level Multiplier'!$A:$A,MATCH($D107,'Level Multiplier'!$B:$B,0)),"")</f>
        <v>19</v>
      </c>
      <c r="Q107" s="36">
        <f>IFERROR(INDEX('Level Multiplier'!$D:$D,MATCH(P107,'Level Multiplier'!$A:$A,0)),"")</f>
        <v>1.7173900390793821</v>
      </c>
      <c r="R107" s="37">
        <f t="shared" si="36"/>
        <v>17</v>
      </c>
      <c r="S107" s="37">
        <f t="shared" si="37"/>
        <v>15</v>
      </c>
      <c r="T107" s="38">
        <f t="shared" si="38"/>
        <v>1429722687.9552093</v>
      </c>
      <c r="U107" s="38">
        <f t="shared" si="39"/>
        <v>1431954014.4795587</v>
      </c>
      <c r="V107" s="38" t="b">
        <f t="shared" si="40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1"/>
        <v>19.5</v>
      </c>
      <c r="AI107" s="36">
        <f>IFERROR(INDEX('Level Multiplier'!$D:$D,MATCH(AH107,'Level Multiplier'!$A:$A,0)),"")</f>
        <v>1.6952373004785586</v>
      </c>
      <c r="AJ107" s="37">
        <f t="shared" si="42"/>
        <v>15</v>
      </c>
      <c r="AK107" s="37">
        <f t="shared" si="43"/>
        <v>15</v>
      </c>
      <c r="AL107" s="38">
        <f t="shared" si="44"/>
        <v>1357369382.8008857</v>
      </c>
      <c r="AM107" s="38">
        <f t="shared" si="45"/>
        <v>1359487789.6308949</v>
      </c>
      <c r="AN107" s="38" t="b">
        <f t="shared" si="46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7"/>
        <v>20</v>
      </c>
      <c r="BA107" s="36">
        <f>IFERROR(INDEX('Level Multiplier'!$D:$D,MATCH(AZ107,'Level Multiplier'!$A:$A,0)),"")</f>
        <v>1.6739202933726098</v>
      </c>
      <c r="BB107" s="37">
        <f t="shared" si="48"/>
        <v>13</v>
      </c>
      <c r="BC107" s="37">
        <f t="shared" si="49"/>
        <v>14</v>
      </c>
      <c r="BD107" s="38">
        <f t="shared" si="50"/>
        <v>1290372646.4136226</v>
      </c>
      <c r="BE107" s="38">
        <f t="shared" si="51"/>
        <v>1292386493.3900287</v>
      </c>
      <c r="BF107" s="38" t="b">
        <f t="shared" si="52"/>
        <v>0</v>
      </c>
      <c r="BG107" s="37">
        <f t="array" ref="BG107:BQ107">IF(BF107,"",IVSolution($M107,$N107,$O107,BB107,BC107,BD107,BE107,$E107,$F107,$G107,$H107,$I107))</f>
        <v>1</v>
      </c>
      <c r="BH107" s="37">
        <v>42</v>
      </c>
      <c r="BI107" s="37">
        <v>42</v>
      </c>
      <c r="BJ107" s="39">
        <v>0.93333333333333335</v>
      </c>
      <c r="BK107" s="39">
        <v>0.93333333333333335</v>
      </c>
      <c r="BL107" s="37">
        <v>14</v>
      </c>
      <c r="BM107" s="37">
        <v>14</v>
      </c>
      <c r="BN107" s="37">
        <v>14</v>
      </c>
      <c r="BO107" s="37">
        <v>14</v>
      </c>
      <c r="BP107" s="37">
        <v>14</v>
      </c>
      <c r="BQ107" s="37">
        <v>14</v>
      </c>
      <c r="BR107" s="40">
        <f t="shared" si="53"/>
        <v>20.5</v>
      </c>
      <c r="BS107" s="36">
        <f>IFERROR(INDEX('Level Multiplier'!$D:$D,MATCH(BR107,'Level Multiplier'!$A:$A,0)),"")</f>
        <v>1.653387720177633</v>
      </c>
      <c r="BT107" s="37">
        <f t="shared" si="54"/>
        <v>11</v>
      </c>
      <c r="BU107" s="37">
        <f t="shared" si="55"/>
        <v>11</v>
      </c>
      <c r="BV107" s="38">
        <f t="shared" si="56"/>
        <v>1228216369.896966</v>
      </c>
      <c r="BW107" s="38">
        <f t="shared" si="57"/>
        <v>1230133211.3843954</v>
      </c>
      <c r="BX107" s="38" t="b">
        <f t="shared" si="58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9"/>
        <v>20</v>
      </c>
      <c r="CK107" s="41">
        <f t="shared" si="60"/>
        <v>20</v>
      </c>
      <c r="CL107" s="39">
        <f t="shared" si="61"/>
        <v>0.93333333333333335</v>
      </c>
      <c r="CM107" s="39">
        <f t="shared" si="62"/>
        <v>0.93333333333333335</v>
      </c>
      <c r="CN107" s="42">
        <f t="shared" si="63"/>
        <v>14</v>
      </c>
      <c r="CO107" s="42">
        <f t="shared" si="64"/>
        <v>14</v>
      </c>
      <c r="CP107" s="42">
        <f t="shared" si="65"/>
        <v>14</v>
      </c>
      <c r="CQ107" s="42">
        <f t="shared" si="66"/>
        <v>14</v>
      </c>
      <c r="CR107" s="42">
        <f t="shared" si="67"/>
        <v>14</v>
      </c>
      <c r="CS107" s="42">
        <f t="shared" si="68"/>
        <v>14</v>
      </c>
      <c r="CT107" s="43">
        <f t="shared" si="69"/>
        <v>14</v>
      </c>
      <c r="CU107" s="43">
        <f t="shared" si="70"/>
        <v>14</v>
      </c>
      <c r="CV107" s="43">
        <f t="shared" si="71"/>
        <v>14</v>
      </c>
      <c r="CW107" s="13" t="s">
        <v>403</v>
      </c>
    </row>
    <row r="108" spans="1:101" x14ac:dyDescent="0.25">
      <c r="A108" s="31" t="s">
        <v>107</v>
      </c>
      <c r="B108" s="13">
        <v>1330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73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166</v>
      </c>
      <c r="O108" s="34">
        <f>IFERROR(INDEX('Pokemon Data'!K:K,MATCH($A108,'Pokemon Data'!$B:$B,0)),"")</f>
        <v>237</v>
      </c>
      <c r="P108" s="35">
        <f>IFERROR(INDEX('Level Multiplier'!$A:$A,MATCH($D108,'Level Multiplier'!$B:$B,0)),"")</f>
        <v>19</v>
      </c>
      <c r="Q108" s="36">
        <f>IFERROR(INDEX('Level Multiplier'!$D:$D,MATCH(P108,'Level Multiplier'!$A:$A,0)),"")</f>
        <v>1.7173900390793821</v>
      </c>
      <c r="R108" s="37">
        <f t="shared" si="36"/>
        <v>17</v>
      </c>
      <c r="S108" s="37">
        <f t="shared" si="37"/>
        <v>15</v>
      </c>
      <c r="T108" s="38">
        <f t="shared" si="38"/>
        <v>1538788884.5699663</v>
      </c>
      <c r="U108" s="38">
        <f t="shared" si="39"/>
        <v>1541103722.730315</v>
      </c>
      <c r="V108" s="38" t="b">
        <f t="shared" si="40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1"/>
        <v>19.5</v>
      </c>
      <c r="AI108" s="36">
        <f>IFERROR(INDEX('Level Multiplier'!$D:$D,MATCH(AH108,'Level Multiplier'!$A:$A,0)),"")</f>
        <v>1.6952373004785586</v>
      </c>
      <c r="AJ108" s="37">
        <f t="shared" si="42"/>
        <v>15</v>
      </c>
      <c r="AK108" s="37">
        <f t="shared" si="43"/>
        <v>15</v>
      </c>
      <c r="AL108" s="38">
        <f t="shared" si="44"/>
        <v>1460916117.5842195</v>
      </c>
      <c r="AM108" s="38">
        <f t="shared" si="45"/>
        <v>1463113809.8160536</v>
      </c>
      <c r="AN108" s="38" t="b">
        <f t="shared" si="46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7"/>
        <v>20</v>
      </c>
      <c r="BA108" s="36">
        <f>IFERROR(INDEX('Level Multiplier'!$D:$D,MATCH(AZ108,'Level Multiplier'!$A:$A,0)),"")</f>
        <v>1.6739202933726098</v>
      </c>
      <c r="BB108" s="37">
        <f t="shared" si="48"/>
        <v>13</v>
      </c>
      <c r="BC108" s="37">
        <f t="shared" si="49"/>
        <v>14</v>
      </c>
      <c r="BD108" s="38">
        <f t="shared" si="50"/>
        <v>1388808544.469723</v>
      </c>
      <c r="BE108" s="38">
        <f t="shared" si="51"/>
        <v>1390897763.4967082</v>
      </c>
      <c r="BF108" s="38" t="b">
        <f t="shared" si="52"/>
        <v>0</v>
      </c>
      <c r="BG108" s="37">
        <f t="array" ref="BG108:BQ108">IF(BF108,"",IVSolution($M108,$N108,$O108,BB108,BC108,BD108,BE108,$E108,$F108,$G108,$H108,$I108))</f>
        <v>2</v>
      </c>
      <c r="BH108" s="37">
        <v>38</v>
      </c>
      <c r="BI108" s="37">
        <v>41</v>
      </c>
      <c r="BJ108" s="39">
        <v>0.84444444444444444</v>
      </c>
      <c r="BK108" s="39">
        <v>0.91111111111111109</v>
      </c>
      <c r="BL108" s="37">
        <v>13</v>
      </c>
      <c r="BM108" s="37">
        <v>14</v>
      </c>
      <c r="BN108" s="37">
        <v>12</v>
      </c>
      <c r="BO108" s="37">
        <v>14</v>
      </c>
      <c r="BP108" s="37">
        <v>11</v>
      </c>
      <c r="BQ108" s="37">
        <v>15</v>
      </c>
      <c r="BR108" s="40">
        <f t="shared" si="53"/>
        <v>20.5</v>
      </c>
      <c r="BS108" s="36">
        <f>IFERROR(INDEX('Level Multiplier'!$D:$D,MATCH(BR108,'Level Multiplier'!$A:$A,0)),"")</f>
        <v>1.653387720177633</v>
      </c>
      <c r="BT108" s="37">
        <f t="shared" si="54"/>
        <v>11</v>
      </c>
      <c r="BU108" s="37">
        <f t="shared" si="55"/>
        <v>11</v>
      </c>
      <c r="BV108" s="38">
        <f t="shared" si="56"/>
        <v>1321910685.0345619</v>
      </c>
      <c r="BW108" s="38">
        <f t="shared" si="57"/>
        <v>1323899267.957778</v>
      </c>
      <c r="BX108" s="38" t="b">
        <f t="shared" si="58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9"/>
        <v>20</v>
      </c>
      <c r="CK108" s="41">
        <f t="shared" si="60"/>
        <v>20</v>
      </c>
      <c r="CL108" s="39">
        <f t="shared" si="61"/>
        <v>0.84444444444444444</v>
      </c>
      <c r="CM108" s="39">
        <f t="shared" si="62"/>
        <v>0.91111111111111109</v>
      </c>
      <c r="CN108" s="42">
        <f t="shared" si="63"/>
        <v>13</v>
      </c>
      <c r="CO108" s="42">
        <f t="shared" si="64"/>
        <v>14</v>
      </c>
      <c r="CP108" s="42">
        <f t="shared" si="65"/>
        <v>12</v>
      </c>
      <c r="CQ108" s="42">
        <f t="shared" si="66"/>
        <v>14</v>
      </c>
      <c r="CR108" s="42">
        <f t="shared" si="67"/>
        <v>11</v>
      </c>
      <c r="CS108" s="42">
        <f t="shared" si="68"/>
        <v>15</v>
      </c>
      <c r="CT108" s="43" t="str">
        <f t="shared" si="69"/>
        <v>13-14</v>
      </c>
      <c r="CU108" s="43" t="str">
        <f t="shared" si="70"/>
        <v>12-14</v>
      </c>
      <c r="CV108" s="43" t="str">
        <f t="shared" si="71"/>
        <v>11-15</v>
      </c>
      <c r="CW108" s="13" t="s">
        <v>399</v>
      </c>
    </row>
    <row r="109" spans="1:101" x14ac:dyDescent="0.25">
      <c r="A109" s="31" t="s">
        <v>108</v>
      </c>
      <c r="B109" s="13">
        <v>669</v>
      </c>
      <c r="C109" s="13">
        <v>56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74</v>
      </c>
      <c r="M109" s="34">
        <f>IFERROR(INDEX('Pokemon Data'!I:I,MATCH($A109,'Pokemon Data'!$B:$B,0)),"")</f>
        <v>80</v>
      </c>
      <c r="N109" s="34">
        <f>IFERROR(INDEX('Pokemon Data'!J:J,MATCH($A109,'Pokemon Data'!$B:$B,0)),"")</f>
        <v>132</v>
      </c>
      <c r="O109" s="34">
        <f>IFERROR(INDEX('Pokemon Data'!K:K,MATCH($A109,'Pokemon Data'!$B:$B,0)),"")</f>
        <v>163</v>
      </c>
      <c r="P109" s="35">
        <f>IFERROR(INDEX('Level Multiplier'!$A:$A,MATCH($D109,'Level Multiplier'!$B:$B,0)),"")</f>
        <v>19</v>
      </c>
      <c r="Q109" s="36">
        <f>IFERROR(INDEX('Level Multiplier'!$D:$D,MATCH(P109,'Level Multiplier'!$A:$A,0)),"")</f>
        <v>1.7173900390793821</v>
      </c>
      <c r="R109" s="37">
        <f t="shared" si="36"/>
        <v>17</v>
      </c>
      <c r="S109" s="37">
        <f t="shared" si="37"/>
        <v>15</v>
      </c>
      <c r="T109" s="38">
        <f t="shared" si="38"/>
        <v>389339076.24343872</v>
      </c>
      <c r="U109" s="38">
        <f t="shared" si="39"/>
        <v>390503889.58305043</v>
      </c>
      <c r="V109" s="38" t="b">
        <f t="shared" si="40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1"/>
        <v>19.5</v>
      </c>
      <c r="AI109" s="36">
        <f>IFERROR(INDEX('Level Multiplier'!$D:$D,MATCH(AH109,'Level Multiplier'!$A:$A,0)),"")</f>
        <v>1.6952373004785586</v>
      </c>
      <c r="AJ109" s="37">
        <f t="shared" si="42"/>
        <v>15</v>
      </c>
      <c r="AK109" s="37">
        <f t="shared" si="43"/>
        <v>15</v>
      </c>
      <c r="AL109" s="38">
        <f t="shared" si="44"/>
        <v>369635976.31415612</v>
      </c>
      <c r="AM109" s="38">
        <f t="shared" si="45"/>
        <v>370741842.4916932</v>
      </c>
      <c r="AN109" s="38" t="b">
        <f t="shared" si="46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7"/>
        <v>20</v>
      </c>
      <c r="BA109" s="36">
        <f>IFERROR(INDEX('Level Multiplier'!$D:$D,MATCH(AZ109,'Level Multiplier'!$A:$A,0)),"")</f>
        <v>1.6739202933726098</v>
      </c>
      <c r="BB109" s="37">
        <f t="shared" si="48"/>
        <v>14</v>
      </c>
      <c r="BC109" s="37">
        <f t="shared" si="49"/>
        <v>15</v>
      </c>
      <c r="BD109" s="38">
        <f t="shared" si="50"/>
        <v>351391565.92877704</v>
      </c>
      <c r="BE109" s="38">
        <f t="shared" si="51"/>
        <v>352442849.0092479</v>
      </c>
      <c r="BF109" s="38" t="b">
        <f t="shared" si="52"/>
        <v>0</v>
      </c>
      <c r="BG109" s="37">
        <f t="array" ref="BG109:BQ109">IF(BF109,"",IVSolution($M109,$N109,$O109,BB109,BC109,BD109,BE109,$E109,$F109,$G109,$H109,$I109))</f>
        <v>4</v>
      </c>
      <c r="BH109" s="37">
        <v>39</v>
      </c>
      <c r="BI109" s="37">
        <v>42</v>
      </c>
      <c r="BJ109" s="39">
        <v>0.8666666666666667</v>
      </c>
      <c r="BK109" s="39">
        <v>0.93333333333333335</v>
      </c>
      <c r="BL109" s="37">
        <v>14</v>
      </c>
      <c r="BM109" s="37">
        <v>15</v>
      </c>
      <c r="BN109" s="37">
        <v>13</v>
      </c>
      <c r="BO109" s="37">
        <v>15</v>
      </c>
      <c r="BP109" s="37">
        <v>10</v>
      </c>
      <c r="BQ109" s="37">
        <v>15</v>
      </c>
      <c r="BR109" s="40">
        <f t="shared" si="53"/>
        <v>20.5</v>
      </c>
      <c r="BS109" s="36">
        <f>IFERROR(INDEX('Level Multiplier'!$D:$D,MATCH(BR109,'Level Multiplier'!$A:$A,0)),"")</f>
        <v>1.653387720177633</v>
      </c>
      <c r="BT109" s="37">
        <f t="shared" si="54"/>
        <v>13</v>
      </c>
      <c r="BU109" s="37">
        <f t="shared" si="55"/>
        <v>14</v>
      </c>
      <c r="BV109" s="38">
        <f t="shared" si="56"/>
        <v>334465299.39779156</v>
      </c>
      <c r="BW109" s="38">
        <f t="shared" si="57"/>
        <v>335465942.96569324</v>
      </c>
      <c r="BX109" s="38" t="b">
        <f t="shared" si="58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9"/>
        <v>20</v>
      </c>
      <c r="CK109" s="41">
        <f t="shared" si="60"/>
        <v>20</v>
      </c>
      <c r="CL109" s="39">
        <f t="shared" si="61"/>
        <v>0.8666666666666667</v>
      </c>
      <c r="CM109" s="39">
        <f t="shared" si="62"/>
        <v>0.93333333333333335</v>
      </c>
      <c r="CN109" s="42">
        <f t="shared" si="63"/>
        <v>14</v>
      </c>
      <c r="CO109" s="42">
        <f t="shared" si="64"/>
        <v>15</v>
      </c>
      <c r="CP109" s="42">
        <f t="shared" si="65"/>
        <v>13</v>
      </c>
      <c r="CQ109" s="42">
        <f t="shared" si="66"/>
        <v>15</v>
      </c>
      <c r="CR109" s="42">
        <f t="shared" si="67"/>
        <v>10</v>
      </c>
      <c r="CS109" s="42">
        <f t="shared" si="68"/>
        <v>15</v>
      </c>
      <c r="CT109" s="43" t="str">
        <f t="shared" si="69"/>
        <v>14-15</v>
      </c>
      <c r="CU109" s="43" t="str">
        <f t="shared" si="70"/>
        <v>13-15</v>
      </c>
      <c r="CV109" s="43" t="str">
        <f t="shared" si="71"/>
        <v>10-15</v>
      </c>
      <c r="CW109" s="13" t="s">
        <v>397</v>
      </c>
    </row>
    <row r="110" spans="1:101" x14ac:dyDescent="0.25">
      <c r="A110" s="31" t="s">
        <v>108</v>
      </c>
      <c r="B110" s="13">
        <v>668</v>
      </c>
      <c r="C110" s="13">
        <v>55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Multiplier'!$A:$A,MATCH($D110,'Level Multiplier'!$B:$B,0)),"")</f>
        <v>19</v>
      </c>
      <c r="Q110" s="36">
        <f>IFERROR(INDEX('Level Multiplier'!$D:$D,MATCH(P110,'Level Multiplier'!$A:$A,0)),"")</f>
        <v>1.7173900390793821</v>
      </c>
      <c r="R110" s="37">
        <f t="shared" si="36"/>
        <v>15</v>
      </c>
      <c r="S110" s="37">
        <f t="shared" si="37"/>
        <v>15</v>
      </c>
      <c r="T110" s="38">
        <f t="shared" si="38"/>
        <v>388176002.72957695</v>
      </c>
      <c r="U110" s="38">
        <f t="shared" si="39"/>
        <v>389339076.24343872</v>
      </c>
      <c r="V110" s="38" t="b">
        <f t="shared" si="40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1"/>
        <v>19.5</v>
      </c>
      <c r="AI110" s="36">
        <f>IFERROR(INDEX('Level Multiplier'!$D:$D,MATCH(AH110,'Level Multiplier'!$A:$A,0)),"")</f>
        <v>1.6952373004785586</v>
      </c>
      <c r="AJ110" s="37">
        <f t="shared" si="42"/>
        <v>14</v>
      </c>
      <c r="AK110" s="37">
        <f t="shared" si="43"/>
        <v>14</v>
      </c>
      <c r="AL110" s="38">
        <f t="shared" si="44"/>
        <v>368531761.91582376</v>
      </c>
      <c r="AM110" s="38">
        <f t="shared" si="45"/>
        <v>369635976.31415612</v>
      </c>
      <c r="AN110" s="38" t="b">
        <f t="shared" si="46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7"/>
        <v>20</v>
      </c>
      <c r="BA110" s="36">
        <f>IFERROR(INDEX('Level Multiplier'!$D:$D,MATCH(AZ110,'Level Multiplier'!$A:$A,0)),"")</f>
        <v>1.6739202933726098</v>
      </c>
      <c r="BB110" s="37">
        <f t="shared" si="48"/>
        <v>13</v>
      </c>
      <c r="BC110" s="37">
        <f t="shared" si="49"/>
        <v>13</v>
      </c>
      <c r="BD110" s="38">
        <f t="shared" si="50"/>
        <v>350341853.09935987</v>
      </c>
      <c r="BE110" s="38">
        <f t="shared" si="51"/>
        <v>351391565.92877704</v>
      </c>
      <c r="BF110" s="38" t="b">
        <f t="shared" si="52"/>
        <v>0</v>
      </c>
      <c r="BG110" s="37">
        <f t="array" ref="BG110:BQ110">IF(BF110,"",IVSolution($M110,$N110,$O110,BB110,BC110,BD110,BE110,$E110,$F110,$G110,$H110,$I110))</f>
        <v>1</v>
      </c>
      <c r="BH110" s="37">
        <v>41</v>
      </c>
      <c r="BI110" s="37">
        <v>41</v>
      </c>
      <c r="BJ110" s="39">
        <v>0.91111111111111109</v>
      </c>
      <c r="BK110" s="39">
        <v>0.91111111111111109</v>
      </c>
      <c r="BL110" s="37">
        <v>13</v>
      </c>
      <c r="BM110" s="37">
        <v>13</v>
      </c>
      <c r="BN110" s="37">
        <v>14</v>
      </c>
      <c r="BO110" s="37">
        <v>14</v>
      </c>
      <c r="BP110" s="37">
        <v>14</v>
      </c>
      <c r="BQ110" s="37">
        <v>14</v>
      </c>
      <c r="BR110" s="40">
        <f t="shared" si="53"/>
        <v>20.5</v>
      </c>
      <c r="BS110" s="36">
        <f>IFERROR(INDEX('Level Multiplier'!$D:$D,MATCH(BR110,'Level Multiplier'!$A:$A,0)),"")</f>
        <v>1.653387720177633</v>
      </c>
      <c r="BT110" s="37">
        <f t="shared" si="54"/>
        <v>11</v>
      </c>
      <c r="BU110" s="37">
        <f t="shared" si="55"/>
        <v>12</v>
      </c>
      <c r="BV110" s="38">
        <f t="shared" si="56"/>
        <v>333466150.44313544</v>
      </c>
      <c r="BW110" s="38">
        <f t="shared" si="57"/>
        <v>334465299.39779156</v>
      </c>
      <c r="BX110" s="38" t="b">
        <f t="shared" si="58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9"/>
        <v>20</v>
      </c>
      <c r="CK110" s="41">
        <f t="shared" si="60"/>
        <v>20</v>
      </c>
      <c r="CL110" s="39">
        <f t="shared" si="61"/>
        <v>0.91111111111111109</v>
      </c>
      <c r="CM110" s="39">
        <f t="shared" si="62"/>
        <v>0.91111111111111109</v>
      </c>
      <c r="CN110" s="42">
        <f t="shared" si="63"/>
        <v>13</v>
      </c>
      <c r="CO110" s="42">
        <f t="shared" si="64"/>
        <v>13</v>
      </c>
      <c r="CP110" s="42">
        <f t="shared" si="65"/>
        <v>14</v>
      </c>
      <c r="CQ110" s="42">
        <f t="shared" si="66"/>
        <v>14</v>
      </c>
      <c r="CR110" s="42">
        <f t="shared" si="67"/>
        <v>14</v>
      </c>
      <c r="CS110" s="42">
        <f t="shared" si="68"/>
        <v>14</v>
      </c>
      <c r="CT110" s="43">
        <f t="shared" si="69"/>
        <v>13</v>
      </c>
      <c r="CU110" s="43">
        <f t="shared" si="70"/>
        <v>14</v>
      </c>
      <c r="CV110" s="43">
        <f t="shared" si="71"/>
        <v>14</v>
      </c>
      <c r="CW110" s="13" t="s">
        <v>395</v>
      </c>
    </row>
    <row r="111" spans="1:101" x14ac:dyDescent="0.25">
      <c r="A111" s="31" t="s">
        <v>108</v>
      </c>
      <c r="B111" s="13">
        <v>667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Multiplier'!$A:$A,MATCH($D111,'Level Multiplier'!$B:$B,0)),"")</f>
        <v>19</v>
      </c>
      <c r="Q111" s="36">
        <f>IFERROR(INDEX('Level Multiplier'!$D:$D,MATCH(P111,'Level Multiplier'!$A:$A,0)),"")</f>
        <v>1.7173900390793821</v>
      </c>
      <c r="R111" s="37">
        <f t="shared" si="36"/>
        <v>15</v>
      </c>
      <c r="S111" s="37">
        <f t="shared" si="37"/>
        <v>15</v>
      </c>
      <c r="T111" s="38">
        <f t="shared" si="38"/>
        <v>387014669.04146522</v>
      </c>
      <c r="U111" s="38">
        <f t="shared" si="39"/>
        <v>388176002.72957695</v>
      </c>
      <c r="V111" s="38" t="b">
        <f t="shared" si="40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1"/>
        <v>19.5</v>
      </c>
      <c r="AI111" s="36">
        <f>IFERROR(INDEX('Level Multiplier'!$D:$D,MATCH(AH111,'Level Multiplier'!$A:$A,0)),"")</f>
        <v>1.6952373004785586</v>
      </c>
      <c r="AJ111" s="37">
        <f t="shared" si="42"/>
        <v>14</v>
      </c>
      <c r="AK111" s="37">
        <f t="shared" si="43"/>
        <v>14</v>
      </c>
      <c r="AL111" s="38">
        <f t="shared" si="44"/>
        <v>367429199.29669613</v>
      </c>
      <c r="AM111" s="38">
        <f t="shared" si="45"/>
        <v>368531761.91582376</v>
      </c>
      <c r="AN111" s="38" t="b">
        <f t="shared" si="46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7"/>
        <v>20</v>
      </c>
      <c r="BA111" s="36">
        <f>IFERROR(INDEX('Level Multiplier'!$D:$D,MATCH(AZ111,'Level Multiplier'!$A:$A,0)),"")</f>
        <v>1.6739202933726098</v>
      </c>
      <c r="BB111" s="37">
        <f t="shared" si="48"/>
        <v>13</v>
      </c>
      <c r="BC111" s="37">
        <f t="shared" si="49"/>
        <v>13</v>
      </c>
      <c r="BD111" s="38">
        <f t="shared" si="50"/>
        <v>349293710.52099645</v>
      </c>
      <c r="BE111" s="38">
        <f t="shared" si="51"/>
        <v>350341853.09935987</v>
      </c>
      <c r="BF111" s="38" t="b">
        <f t="shared" si="52"/>
        <v>0</v>
      </c>
      <c r="BG111" s="37">
        <f t="array" ref="BG111:BQ111">IF(BF111,"",IVSolution($M111,$N111,$O111,BB111,BC111,BD111,BE111,$E111,$F111,$G111,$H111,$I111))</f>
        <v>1</v>
      </c>
      <c r="BH111" s="37">
        <v>39</v>
      </c>
      <c r="BI111" s="37">
        <v>39</v>
      </c>
      <c r="BJ111" s="39">
        <v>0.8666666666666667</v>
      </c>
      <c r="BK111" s="39">
        <v>0.8666666666666667</v>
      </c>
      <c r="BL111" s="37">
        <v>13</v>
      </c>
      <c r="BM111" s="37">
        <v>13</v>
      </c>
      <c r="BN111" s="37">
        <v>15</v>
      </c>
      <c r="BO111" s="37">
        <v>15</v>
      </c>
      <c r="BP111" s="37">
        <v>11</v>
      </c>
      <c r="BQ111" s="37">
        <v>11</v>
      </c>
      <c r="BR111" s="40">
        <f t="shared" si="53"/>
        <v>20.5</v>
      </c>
      <c r="BS111" s="36">
        <f>IFERROR(INDEX('Level Multiplier'!$D:$D,MATCH(BR111,'Level Multiplier'!$A:$A,0)),"")</f>
        <v>1.653387720177633</v>
      </c>
      <c r="BT111" s="37">
        <f t="shared" si="54"/>
        <v>11</v>
      </c>
      <c r="BU111" s="37">
        <f t="shared" si="55"/>
        <v>12</v>
      </c>
      <c r="BV111" s="38">
        <f t="shared" si="56"/>
        <v>332468496.10172492</v>
      </c>
      <c r="BW111" s="38">
        <f t="shared" si="57"/>
        <v>333466150.44313544</v>
      </c>
      <c r="BX111" s="38" t="b">
        <f t="shared" si="58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9"/>
        <v>20</v>
      </c>
      <c r="CK111" s="41">
        <f t="shared" si="60"/>
        <v>20</v>
      </c>
      <c r="CL111" s="39">
        <f t="shared" si="61"/>
        <v>0.8666666666666667</v>
      </c>
      <c r="CM111" s="39">
        <f t="shared" si="62"/>
        <v>0.8666666666666667</v>
      </c>
      <c r="CN111" s="42">
        <f t="shared" si="63"/>
        <v>13</v>
      </c>
      <c r="CO111" s="42">
        <f t="shared" si="64"/>
        <v>13</v>
      </c>
      <c r="CP111" s="42">
        <f t="shared" si="65"/>
        <v>15</v>
      </c>
      <c r="CQ111" s="42">
        <f t="shared" si="66"/>
        <v>15</v>
      </c>
      <c r="CR111" s="42">
        <f t="shared" si="67"/>
        <v>11</v>
      </c>
      <c r="CS111" s="42">
        <f t="shared" si="68"/>
        <v>11</v>
      </c>
      <c r="CT111" s="43">
        <f t="shared" si="69"/>
        <v>13</v>
      </c>
      <c r="CU111" s="43">
        <f t="shared" si="70"/>
        <v>15</v>
      </c>
      <c r="CV111" s="43">
        <f t="shared" si="71"/>
        <v>11</v>
      </c>
      <c r="CW111" s="13" t="s">
        <v>396</v>
      </c>
    </row>
    <row r="112" spans="1:101" x14ac:dyDescent="0.25">
      <c r="A112" s="31" t="s">
        <v>111</v>
      </c>
      <c r="B112" s="13">
        <v>1651</v>
      </c>
      <c r="C112" s="13">
        <v>104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76</v>
      </c>
      <c r="M112" s="34">
        <f>IFERROR(INDEX('Pokemon Data'!I:I,MATCH($A112,'Pokemon Data'!$B:$B,0)),"")</f>
        <v>160</v>
      </c>
      <c r="N112" s="34">
        <f>IFERROR(INDEX('Pokemon Data'!J:J,MATCH($A112,'Pokemon Data'!$B:$B,0)),"")</f>
        <v>211</v>
      </c>
      <c r="O112" s="34">
        <f>IFERROR(INDEX('Pokemon Data'!K:K,MATCH($A112,'Pokemon Data'!$B:$B,0)),"")</f>
        <v>229</v>
      </c>
      <c r="P112" s="35">
        <f>IFERROR(INDEX('Level Multiplier'!$A:$A,MATCH($D112,'Level Multiplier'!$B:$B,0)),"")</f>
        <v>19</v>
      </c>
      <c r="Q112" s="36">
        <f>IFERROR(INDEX('Level Multiplier'!$D:$D,MATCH(P112,'Level Multiplier'!$A:$A,0)),"")</f>
        <v>1.7173900390793821</v>
      </c>
      <c r="R112" s="37">
        <f t="shared" si="36"/>
        <v>19</v>
      </c>
      <c r="S112" s="37">
        <f t="shared" si="37"/>
        <v>15</v>
      </c>
      <c r="T112" s="38">
        <f t="shared" si="38"/>
        <v>2371209384.5608563</v>
      </c>
      <c r="U112" s="38">
        <f t="shared" si="39"/>
        <v>2374082706.7869487</v>
      </c>
      <c r="V112" s="38" t="b">
        <f t="shared" si="40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1"/>
        <v>19.5</v>
      </c>
      <c r="AI112" s="36">
        <f>IFERROR(INDEX('Level Multiplier'!$D:$D,MATCH(AH112,'Level Multiplier'!$A:$A,0)),"")</f>
        <v>1.6952373004785586</v>
      </c>
      <c r="AJ112" s="37">
        <f t="shared" si="42"/>
        <v>17</v>
      </c>
      <c r="AK112" s="37">
        <f t="shared" si="43"/>
        <v>15</v>
      </c>
      <c r="AL112" s="38">
        <f t="shared" si="44"/>
        <v>2251210703.9556689</v>
      </c>
      <c r="AM112" s="38">
        <f t="shared" si="45"/>
        <v>2253938617.3122072</v>
      </c>
      <c r="AN112" s="38" t="b">
        <f t="shared" si="46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7"/>
        <v>20</v>
      </c>
      <c r="BA112" s="36">
        <f>IFERROR(INDEX('Level Multiplier'!$D:$D,MATCH(AZ112,'Level Multiplier'!$A:$A,0)),"")</f>
        <v>1.6739202933726098</v>
      </c>
      <c r="BB112" s="37">
        <f t="shared" si="48"/>
        <v>15</v>
      </c>
      <c r="BC112" s="37">
        <f t="shared" si="49"/>
        <v>15</v>
      </c>
      <c r="BD112" s="38">
        <f t="shared" si="50"/>
        <v>2140095946.2514079</v>
      </c>
      <c r="BE112" s="38">
        <f t="shared" si="51"/>
        <v>2142689215.8666396</v>
      </c>
      <c r="BF112" s="38" t="b">
        <f t="shared" si="52"/>
        <v>0</v>
      </c>
      <c r="BG112" s="37">
        <f t="array" ref="BG112:BQ112">IF(BF112,"",IVSolution($M112,$N112,$O112,BB112,BC112,BD112,BE112,$E112,$F112,$G112,$H112,$I112))</f>
        <v>1</v>
      </c>
      <c r="BH112" s="37">
        <v>43</v>
      </c>
      <c r="BI112" s="37">
        <v>43</v>
      </c>
      <c r="BJ112" s="39">
        <v>0.9555555555555556</v>
      </c>
      <c r="BK112" s="39">
        <v>0.9555555555555556</v>
      </c>
      <c r="BL112" s="37">
        <v>15</v>
      </c>
      <c r="BM112" s="37">
        <v>15</v>
      </c>
      <c r="BN112" s="37">
        <v>13</v>
      </c>
      <c r="BO112" s="37">
        <v>13</v>
      </c>
      <c r="BP112" s="37">
        <v>15</v>
      </c>
      <c r="BQ112" s="37">
        <v>15</v>
      </c>
      <c r="BR112" s="40">
        <f t="shared" si="53"/>
        <v>20.5</v>
      </c>
      <c r="BS112" s="36">
        <f>IFERROR(INDEX('Level Multiplier'!$D:$D,MATCH(BR112,'Level Multiplier'!$A:$A,0)),"")</f>
        <v>1.653387720177633</v>
      </c>
      <c r="BT112" s="37">
        <f t="shared" si="54"/>
        <v>12</v>
      </c>
      <c r="BU112" s="37">
        <f t="shared" si="55"/>
        <v>13</v>
      </c>
      <c r="BV112" s="38">
        <f t="shared" si="56"/>
        <v>2037009139.6788363</v>
      </c>
      <c r="BW112" s="38">
        <f t="shared" si="57"/>
        <v>2039477493.453877</v>
      </c>
      <c r="BX112" s="38" t="b">
        <f t="shared" si="58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9"/>
        <v>20</v>
      </c>
      <c r="CK112" s="41">
        <f t="shared" si="60"/>
        <v>20</v>
      </c>
      <c r="CL112" s="39">
        <f t="shared" si="61"/>
        <v>0.9555555555555556</v>
      </c>
      <c r="CM112" s="39">
        <f t="shared" si="62"/>
        <v>0.9555555555555556</v>
      </c>
      <c r="CN112" s="42">
        <f t="shared" si="63"/>
        <v>15</v>
      </c>
      <c r="CO112" s="42">
        <f t="shared" si="64"/>
        <v>15</v>
      </c>
      <c r="CP112" s="42">
        <f t="shared" si="65"/>
        <v>13</v>
      </c>
      <c r="CQ112" s="42">
        <f t="shared" si="66"/>
        <v>13</v>
      </c>
      <c r="CR112" s="42">
        <f t="shared" si="67"/>
        <v>15</v>
      </c>
      <c r="CS112" s="42">
        <f t="shared" si="68"/>
        <v>15</v>
      </c>
      <c r="CT112" s="43">
        <f t="shared" si="69"/>
        <v>15</v>
      </c>
      <c r="CU112" s="43">
        <f t="shared" si="70"/>
        <v>13</v>
      </c>
      <c r="CV112" s="43">
        <f t="shared" si="71"/>
        <v>15</v>
      </c>
      <c r="CW112" s="13" t="s">
        <v>406</v>
      </c>
    </row>
    <row r="113" spans="1:101" x14ac:dyDescent="0.25">
      <c r="A113" s="31" t="s">
        <v>112</v>
      </c>
      <c r="B113" s="13">
        <v>830</v>
      </c>
      <c r="C113" s="13">
        <v>68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77</v>
      </c>
      <c r="M113" s="34">
        <f>IFERROR(INDEX('Pokemon Data'!I:I,MATCH($A113,'Pokemon Data'!$B:$B,0)),"")</f>
        <v>100</v>
      </c>
      <c r="N113" s="34">
        <f>IFERROR(INDEX('Pokemon Data'!J:J,MATCH($A113,'Pokemon Data'!$B:$B,0)),"")</f>
        <v>170</v>
      </c>
      <c r="O113" s="34">
        <f>IFERROR(INDEX('Pokemon Data'!K:K,MATCH($A113,'Pokemon Data'!$B:$B,0)),"")</f>
        <v>132</v>
      </c>
      <c r="P113" s="35">
        <f>IFERROR(INDEX('Level Multiplier'!$A:$A,MATCH($D113,'Level Multiplier'!$B:$B,0)),"")</f>
        <v>19</v>
      </c>
      <c r="Q113" s="36">
        <f>IFERROR(INDEX('Level Multiplier'!$D:$D,MATCH(P113,'Level Multiplier'!$A:$A,0)),"")</f>
        <v>1.7173900390793821</v>
      </c>
      <c r="R113" s="37">
        <f t="shared" si="36"/>
        <v>17</v>
      </c>
      <c r="S113" s="37">
        <f t="shared" si="37"/>
        <v>15</v>
      </c>
      <c r="T113" s="38">
        <f t="shared" si="38"/>
        <v>599282979.58067155</v>
      </c>
      <c r="U113" s="38">
        <f t="shared" si="39"/>
        <v>600727904.8660301</v>
      </c>
      <c r="V113" s="38" t="b">
        <f t="shared" si="40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1"/>
        <v>19.5</v>
      </c>
      <c r="AI113" s="36">
        <f>IFERROR(INDEX('Level Multiplier'!$D:$D,MATCH(AH113,'Level Multiplier'!$A:$A,0)),"")</f>
        <v>1.6952373004785586</v>
      </c>
      <c r="AJ113" s="37">
        <f t="shared" si="42"/>
        <v>16</v>
      </c>
      <c r="AK113" s="37">
        <f t="shared" si="43"/>
        <v>15</v>
      </c>
      <c r="AL113" s="38">
        <f t="shared" si="44"/>
        <v>568955347.05397069</v>
      </c>
      <c r="AM113" s="38">
        <f t="shared" si="45"/>
        <v>570327149.68346214</v>
      </c>
      <c r="AN113" s="38" t="b">
        <f t="shared" si="46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7"/>
        <v>20</v>
      </c>
      <c r="BA113" s="36">
        <f>IFERROR(INDEX('Level Multiplier'!$D:$D,MATCH(AZ113,'Level Multiplier'!$A:$A,0)),"")</f>
        <v>1.6739202933726098</v>
      </c>
      <c r="BB113" s="37">
        <f t="shared" si="48"/>
        <v>14</v>
      </c>
      <c r="BC113" s="37">
        <f t="shared" si="49"/>
        <v>15</v>
      </c>
      <c r="BD113" s="38">
        <f t="shared" si="50"/>
        <v>540872975.45660698</v>
      </c>
      <c r="BE113" s="38">
        <f t="shared" si="51"/>
        <v>542177068.9567281</v>
      </c>
      <c r="BF113" s="38" t="b">
        <f t="shared" si="52"/>
        <v>0</v>
      </c>
      <c r="BG113" s="37">
        <f t="array" ref="BG113:BQ113">IF(BF113,"",IVSolution($M113,$N113,$O113,BB113,BC113,BD113,BE113,$E113,$F113,$G113,$H113,$I113))</f>
        <v>5</v>
      </c>
      <c r="BH113" s="37">
        <v>36</v>
      </c>
      <c r="BI113" s="37">
        <v>39</v>
      </c>
      <c r="BJ113" s="39">
        <v>0.8</v>
      </c>
      <c r="BK113" s="39">
        <v>0.8666666666666667</v>
      </c>
      <c r="BL113" s="37">
        <v>14</v>
      </c>
      <c r="BM113" s="37">
        <v>15</v>
      </c>
      <c r="BN113" s="37">
        <v>9</v>
      </c>
      <c r="BO113" s="37">
        <v>14</v>
      </c>
      <c r="BP113" s="37">
        <v>7</v>
      </c>
      <c r="BQ113" s="37">
        <v>15</v>
      </c>
      <c r="BR113" s="40">
        <f t="shared" si="53"/>
        <v>20.5</v>
      </c>
      <c r="BS113" s="36">
        <f>IFERROR(INDEX('Level Multiplier'!$D:$D,MATCH(BR113,'Level Multiplier'!$A:$A,0)),"")</f>
        <v>1.653387720177633</v>
      </c>
      <c r="BT113" s="37">
        <f t="shared" si="54"/>
        <v>13</v>
      </c>
      <c r="BU113" s="37">
        <f t="shared" si="55"/>
        <v>14</v>
      </c>
      <c r="BV113" s="38">
        <f t="shared" si="56"/>
        <v>514819532.4327603</v>
      </c>
      <c r="BW113" s="38">
        <f t="shared" si="57"/>
        <v>516060808.73319691</v>
      </c>
      <c r="BX113" s="38" t="b">
        <f t="shared" si="58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9"/>
        <v>20</v>
      </c>
      <c r="CK113" s="41">
        <f t="shared" si="60"/>
        <v>20</v>
      </c>
      <c r="CL113" s="39">
        <f t="shared" si="61"/>
        <v>0.8</v>
      </c>
      <c r="CM113" s="39">
        <f t="shared" si="62"/>
        <v>0.8666666666666667</v>
      </c>
      <c r="CN113" s="42">
        <f t="shared" si="63"/>
        <v>14</v>
      </c>
      <c r="CO113" s="42">
        <f t="shared" si="64"/>
        <v>15</v>
      </c>
      <c r="CP113" s="42">
        <f t="shared" si="65"/>
        <v>9</v>
      </c>
      <c r="CQ113" s="42">
        <f t="shared" si="66"/>
        <v>14</v>
      </c>
      <c r="CR113" s="42">
        <f t="shared" si="67"/>
        <v>7</v>
      </c>
      <c r="CS113" s="42">
        <f t="shared" si="68"/>
        <v>15</v>
      </c>
      <c r="CT113" s="43" t="str">
        <f t="shared" si="69"/>
        <v>14-15</v>
      </c>
      <c r="CU113" s="43" t="str">
        <f t="shared" si="70"/>
        <v>9-14</v>
      </c>
      <c r="CV113" s="43" t="str">
        <f t="shared" si="71"/>
        <v>7-15</v>
      </c>
      <c r="CW113" s="13"/>
    </row>
    <row r="114" spans="1:101" x14ac:dyDescent="0.25">
      <c r="A114" s="31" t="s">
        <v>112</v>
      </c>
      <c r="B114" s="13">
        <v>826</v>
      </c>
      <c r="C114" s="13">
        <v>67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Multiplier'!$A:$A,MATCH($D114,'Level Multiplier'!$B:$B,0)),"")</f>
        <v>19</v>
      </c>
      <c r="Q114" s="36">
        <f>IFERROR(INDEX('Level Multiplier'!$D:$D,MATCH(P114,'Level Multiplier'!$A:$A,0)),"")</f>
        <v>1.7173900390793821</v>
      </c>
      <c r="R114" s="37">
        <f t="shared" si="36"/>
        <v>16</v>
      </c>
      <c r="S114" s="37">
        <f t="shared" si="37"/>
        <v>15</v>
      </c>
      <c r="T114" s="38">
        <f t="shared" si="38"/>
        <v>593520676.69673717</v>
      </c>
      <c r="U114" s="38">
        <f t="shared" si="39"/>
        <v>594958642.67909575</v>
      </c>
      <c r="V114" s="38" t="b">
        <f t="shared" si="40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1"/>
        <v>19.5</v>
      </c>
      <c r="AI114" s="36">
        <f>IFERROR(INDEX('Level Multiplier'!$D:$D,MATCH(AH114,'Level Multiplier'!$A:$A,0)),"")</f>
        <v>1.6952373004785586</v>
      </c>
      <c r="AJ114" s="37">
        <f t="shared" si="42"/>
        <v>14</v>
      </c>
      <c r="AK114" s="37">
        <f t="shared" si="43"/>
        <v>15</v>
      </c>
      <c r="AL114" s="38">
        <f t="shared" si="44"/>
        <v>563484654.32805181</v>
      </c>
      <c r="AM114" s="38">
        <f t="shared" si="45"/>
        <v>564849849.84072447</v>
      </c>
      <c r="AN114" s="38" t="b">
        <f t="shared" si="46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7"/>
        <v>20</v>
      </c>
      <c r="BA114" s="36">
        <f>IFERROR(INDEX('Level Multiplier'!$D:$D,MATCH(AZ114,'Level Multiplier'!$A:$A,0)),"")</f>
        <v>1.6739202933726098</v>
      </c>
      <c r="BB114" s="37">
        <f t="shared" si="48"/>
        <v>13</v>
      </c>
      <c r="BC114" s="37">
        <f t="shared" si="49"/>
        <v>13</v>
      </c>
      <c r="BD114" s="38">
        <f t="shared" si="50"/>
        <v>535672303.9666599</v>
      </c>
      <c r="BE114" s="38">
        <f t="shared" si="51"/>
        <v>536970116.46256614</v>
      </c>
      <c r="BF114" s="38" t="b">
        <f t="shared" si="52"/>
        <v>0</v>
      </c>
      <c r="BG114" s="37">
        <f t="array" ref="BG114:BQ114">IF(BF114,"",IVSolution($M114,$N114,$O114,BB114,BC114,BD114,BE114,$E114,$F114,$G114,$H114,$I114))</f>
        <v>1</v>
      </c>
      <c r="BH114" s="37">
        <v>37</v>
      </c>
      <c r="BI114" s="37">
        <v>37</v>
      </c>
      <c r="BJ114" s="39">
        <v>0.82222222222222219</v>
      </c>
      <c r="BK114" s="39">
        <v>0.82222222222222219</v>
      </c>
      <c r="BL114" s="37">
        <v>13</v>
      </c>
      <c r="BM114" s="37">
        <v>13</v>
      </c>
      <c r="BN114" s="37">
        <v>11</v>
      </c>
      <c r="BO114" s="37">
        <v>11</v>
      </c>
      <c r="BP114" s="37">
        <v>13</v>
      </c>
      <c r="BQ114" s="37">
        <v>13</v>
      </c>
      <c r="BR114" s="40">
        <f t="shared" si="53"/>
        <v>20.5</v>
      </c>
      <c r="BS114" s="36">
        <f>IFERROR(INDEX('Level Multiplier'!$D:$D,MATCH(BR114,'Level Multiplier'!$A:$A,0)),"")</f>
        <v>1.653387720177633</v>
      </c>
      <c r="BT114" s="37">
        <f t="shared" si="54"/>
        <v>11</v>
      </c>
      <c r="BU114" s="37">
        <f t="shared" si="55"/>
        <v>12</v>
      </c>
      <c r="BV114" s="38">
        <f t="shared" si="56"/>
        <v>509869373.36346924</v>
      </c>
      <c r="BW114" s="38">
        <f t="shared" si="57"/>
        <v>511104671.21092367</v>
      </c>
      <c r="BX114" s="38" t="b">
        <f t="shared" si="58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9"/>
        <v>20</v>
      </c>
      <c r="CK114" s="41">
        <f t="shared" si="60"/>
        <v>20</v>
      </c>
      <c r="CL114" s="39">
        <f t="shared" si="61"/>
        <v>0.82222222222222219</v>
      </c>
      <c r="CM114" s="39">
        <f t="shared" si="62"/>
        <v>0.82222222222222219</v>
      </c>
      <c r="CN114" s="42">
        <f t="shared" si="63"/>
        <v>13</v>
      </c>
      <c r="CO114" s="42">
        <f t="shared" si="64"/>
        <v>13</v>
      </c>
      <c r="CP114" s="42">
        <f t="shared" si="65"/>
        <v>11</v>
      </c>
      <c r="CQ114" s="42">
        <f t="shared" si="66"/>
        <v>11</v>
      </c>
      <c r="CR114" s="42">
        <f t="shared" si="67"/>
        <v>13</v>
      </c>
      <c r="CS114" s="42">
        <f t="shared" si="68"/>
        <v>13</v>
      </c>
      <c r="CT114" s="43">
        <f t="shared" si="69"/>
        <v>13</v>
      </c>
      <c r="CU114" s="43">
        <f t="shared" si="70"/>
        <v>11</v>
      </c>
      <c r="CV114" s="43">
        <f t="shared" si="71"/>
        <v>13</v>
      </c>
      <c r="CW114" s="13"/>
    </row>
    <row r="115" spans="1:101" x14ac:dyDescent="0.25">
      <c r="A115" s="31" t="s">
        <v>113</v>
      </c>
      <c r="B115" s="13">
        <v>1271</v>
      </c>
      <c r="C115" s="13">
        <v>86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78</v>
      </c>
      <c r="M115" s="34">
        <f>IFERROR(INDEX('Pokemon Data'!I:I,MATCH($A115,'Pokemon Data'!$B:$B,0)),"")</f>
        <v>130</v>
      </c>
      <c r="N115" s="34">
        <f>IFERROR(INDEX('Pokemon Data'!J:J,MATCH($A115,'Pokemon Data'!$B:$B,0)),"")</f>
        <v>207</v>
      </c>
      <c r="O115" s="34">
        <f>IFERROR(INDEX('Pokemon Data'!K:K,MATCH($A115,'Pokemon Data'!$B:$B,0)),"")</f>
        <v>167</v>
      </c>
      <c r="P115" s="35">
        <f>IFERROR(INDEX('Level Multiplier'!$A:$A,MATCH($D115,'Level Multiplier'!$B:$B,0)),"")</f>
        <v>19</v>
      </c>
      <c r="Q115" s="36">
        <f>IFERROR(INDEX('Level Multiplier'!$D:$D,MATCH(P115,'Level Multiplier'!$A:$A,0)),"")</f>
        <v>1.7173900390793821</v>
      </c>
      <c r="R115" s="37">
        <f t="shared" si="36"/>
        <v>18</v>
      </c>
      <c r="S115" s="37">
        <f t="shared" si="37"/>
        <v>15</v>
      </c>
      <c r="T115" s="38">
        <f t="shared" si="38"/>
        <v>1405292924.6868625</v>
      </c>
      <c r="U115" s="38">
        <f t="shared" si="39"/>
        <v>1407505113.1279624</v>
      </c>
      <c r="V115" s="38" t="b">
        <f t="shared" si="40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1"/>
        <v>19.5</v>
      </c>
      <c r="AI115" s="36">
        <f>IFERROR(INDEX('Level Multiplier'!$D:$D,MATCH(AH115,'Level Multiplier'!$A:$A,0)),"")</f>
        <v>1.6952373004785586</v>
      </c>
      <c r="AJ115" s="37">
        <f t="shared" si="42"/>
        <v>16</v>
      </c>
      <c r="AK115" s="37">
        <f t="shared" si="43"/>
        <v>15</v>
      </c>
      <c r="AL115" s="38">
        <f t="shared" si="44"/>
        <v>1334175925.0982921</v>
      </c>
      <c r="AM115" s="38">
        <f t="shared" si="45"/>
        <v>1336276162.3570499</v>
      </c>
      <c r="AN115" s="38" t="b">
        <f t="shared" si="46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7"/>
        <v>20</v>
      </c>
      <c r="BA115" s="36">
        <f>IFERROR(INDEX('Level Multiplier'!$D:$D,MATCH(AZ115,'Level Multiplier'!$A:$A,0)),"")</f>
        <v>1.6739202933726098</v>
      </c>
      <c r="BB115" s="37">
        <f t="shared" si="48"/>
        <v>14</v>
      </c>
      <c r="BC115" s="37">
        <f t="shared" si="49"/>
        <v>15</v>
      </c>
      <c r="BD115" s="38">
        <f t="shared" si="50"/>
        <v>1268323966.2427011</v>
      </c>
      <c r="BE115" s="38">
        <f t="shared" si="51"/>
        <v>1270320540.4575162</v>
      </c>
      <c r="BF115" s="38" t="b">
        <f t="shared" si="52"/>
        <v>0</v>
      </c>
      <c r="BG115" s="37">
        <f t="array" ref="BG115:BQ115">IF(BF115,"",IVSolution($M115,$N115,$O115,BB115,BC115,BD115,BE115,$E115,$F115,$G115,$H115,$I115))</f>
        <v>2</v>
      </c>
      <c r="BH115" s="37">
        <v>42</v>
      </c>
      <c r="BI115" s="37">
        <v>42</v>
      </c>
      <c r="BJ115" s="39">
        <v>0.93333333333333335</v>
      </c>
      <c r="BK115" s="39">
        <v>0.93333333333333335</v>
      </c>
      <c r="BL115" s="37">
        <v>14</v>
      </c>
      <c r="BM115" s="37">
        <v>15</v>
      </c>
      <c r="BN115" s="37">
        <v>13</v>
      </c>
      <c r="BO115" s="37">
        <v>13</v>
      </c>
      <c r="BP115" s="37">
        <v>14</v>
      </c>
      <c r="BQ115" s="37">
        <v>15</v>
      </c>
      <c r="BR115" s="40">
        <f t="shared" si="53"/>
        <v>20.5</v>
      </c>
      <c r="BS115" s="36">
        <f>IFERROR(INDEX('Level Multiplier'!$D:$D,MATCH(BR115,'Level Multiplier'!$A:$A,0)),"")</f>
        <v>1.653387720177633</v>
      </c>
      <c r="BT115" s="37">
        <f t="shared" si="54"/>
        <v>13</v>
      </c>
      <c r="BU115" s="37">
        <f t="shared" si="55"/>
        <v>13</v>
      </c>
      <c r="BV115" s="38">
        <f t="shared" si="56"/>
        <v>1207229758.0094509</v>
      </c>
      <c r="BW115" s="38">
        <f t="shared" si="57"/>
        <v>1209130158.751179</v>
      </c>
      <c r="BX115" s="38" t="b">
        <f t="shared" si="58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9"/>
        <v>20</v>
      </c>
      <c r="CK115" s="41">
        <f t="shared" si="60"/>
        <v>20</v>
      </c>
      <c r="CL115" s="39">
        <f t="shared" si="61"/>
        <v>0.93333333333333335</v>
      </c>
      <c r="CM115" s="39">
        <f t="shared" si="62"/>
        <v>0.93333333333333335</v>
      </c>
      <c r="CN115" s="42">
        <f t="shared" si="63"/>
        <v>14</v>
      </c>
      <c r="CO115" s="42">
        <f t="shared" si="64"/>
        <v>15</v>
      </c>
      <c r="CP115" s="42">
        <f t="shared" si="65"/>
        <v>13</v>
      </c>
      <c r="CQ115" s="42">
        <f t="shared" si="66"/>
        <v>13</v>
      </c>
      <c r="CR115" s="42">
        <f t="shared" si="67"/>
        <v>14</v>
      </c>
      <c r="CS115" s="42">
        <f t="shared" si="68"/>
        <v>15</v>
      </c>
      <c r="CT115" s="43" t="str">
        <f t="shared" si="69"/>
        <v>14-15</v>
      </c>
      <c r="CU115" s="43">
        <f t="shared" si="70"/>
        <v>13</v>
      </c>
      <c r="CV115" s="43" t="str">
        <f t="shared" si="71"/>
        <v>14-15</v>
      </c>
      <c r="CW115" s="13" t="s">
        <v>398</v>
      </c>
    </row>
    <row r="116" spans="1:101" x14ac:dyDescent="0.25">
      <c r="A116" s="31" t="s">
        <v>114</v>
      </c>
      <c r="B116" s="13">
        <v>381</v>
      </c>
      <c r="C116" s="13">
        <v>87</v>
      </c>
      <c r="D116" s="13">
        <v>13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79</v>
      </c>
      <c r="M116" s="34">
        <f>IFERROR(INDEX('Pokemon Data'!I:I,MATCH($A116,'Pokemon Data'!$B:$B,0)),"")</f>
        <v>180</v>
      </c>
      <c r="N116" s="34">
        <f>IFERROR(INDEX('Pokemon Data'!J:J,MATCH($A116,'Pokemon Data'!$B:$B,0)),"")</f>
        <v>109</v>
      </c>
      <c r="O116" s="34">
        <f>IFERROR(INDEX('Pokemon Data'!K:K,MATCH($A116,'Pokemon Data'!$B:$B,0)),"")</f>
        <v>109</v>
      </c>
      <c r="P116" s="35">
        <f>IFERROR(INDEX('Level Multiplier'!$A:$A,MATCH($D116,'Level Multiplier'!$B:$B,0)),"")</f>
        <v>11</v>
      </c>
      <c r="Q116" s="36">
        <f>IFERROR(INDEX('Level Multiplier'!$D:$D,MATCH(P116,'Level Multiplier'!$A:$A,0)),"")</f>
        <v>2.2567884478610214</v>
      </c>
      <c r="R116" s="37">
        <f t="shared" si="36"/>
        <v>17</v>
      </c>
      <c r="S116" s="37">
        <f t="shared" si="37"/>
        <v>15</v>
      </c>
      <c r="T116" s="38">
        <f t="shared" si="38"/>
        <v>376541936.36029309</v>
      </c>
      <c r="U116" s="38">
        <f t="shared" si="39"/>
        <v>378521128.41217273</v>
      </c>
      <c r="V116" s="38" t="b">
        <f t="shared" si="40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1"/>
        <v>11.5</v>
      </c>
      <c r="AI116" s="36">
        <f>IFERROR(INDEX('Level Multiplier'!$D:$D,MATCH(AH116,'Level Multiplier'!$A:$A,0)),"")</f>
        <v>2.2072133782377708</v>
      </c>
      <c r="AJ116" s="37">
        <f t="shared" si="42"/>
        <v>13</v>
      </c>
      <c r="AK116" s="37">
        <f t="shared" si="43"/>
        <v>14</v>
      </c>
      <c r="AL116" s="38">
        <f t="shared" si="44"/>
        <v>344530147.87884909</v>
      </c>
      <c r="AM116" s="38">
        <f t="shared" si="45"/>
        <v>346341078.5202167</v>
      </c>
      <c r="AN116" s="38" t="b">
        <f t="shared" si="46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7"/>
        <v>12</v>
      </c>
      <c r="BA116" s="36">
        <f>IFERROR(INDEX('Level Multiplier'!$D:$D,MATCH(AZ116,'Level Multiplier'!$A:$A,0)),"")</f>
        <v>2.1607681046600011</v>
      </c>
      <c r="BB116" s="37">
        <f t="shared" si="48"/>
        <v>8</v>
      </c>
      <c r="BC116" s="37">
        <f t="shared" si="49"/>
        <v>10</v>
      </c>
      <c r="BD116" s="38">
        <f t="shared" si="50"/>
        <v>316433601.04567492</v>
      </c>
      <c r="BE116" s="38">
        <f t="shared" si="51"/>
        <v>318096849.69784635</v>
      </c>
      <c r="BF116" s="38" t="b">
        <f t="shared" si="52"/>
        <v>0</v>
      </c>
      <c r="BG116" s="37">
        <f t="array" ref="BG116:BQ116">IF(BF116,"",IVSolution($M116,$N116,$O116,BB116,BC116,BD116,BE116,$E116,$F116,$G116,$H116,$I116))</f>
        <v>16</v>
      </c>
      <c r="BH116" s="37">
        <v>24</v>
      </c>
      <c r="BI116" s="37">
        <v>32</v>
      </c>
      <c r="BJ116" s="39">
        <v>0.53333333333333333</v>
      </c>
      <c r="BK116" s="39">
        <v>0.71111111111111114</v>
      </c>
      <c r="BL116" s="37">
        <v>8</v>
      </c>
      <c r="BM116" s="37">
        <v>10</v>
      </c>
      <c r="BN116" s="37">
        <v>7</v>
      </c>
      <c r="BO116" s="37">
        <v>15</v>
      </c>
      <c r="BP116" s="37">
        <v>0</v>
      </c>
      <c r="BQ116" s="37">
        <v>15</v>
      </c>
      <c r="BR116" s="40">
        <f t="shared" si="53"/>
        <v>12.5</v>
      </c>
      <c r="BS116" s="36">
        <f>IFERROR(INDEX('Level Multiplier'!$D:$D,MATCH(BR116,'Level Multiplier'!$A:$A,0)),"")</f>
        <v>2.1171365813269869</v>
      </c>
      <c r="BT116" s="37">
        <f t="shared" si="54"/>
        <v>5</v>
      </c>
      <c r="BU116" s="37">
        <f t="shared" si="55"/>
        <v>6</v>
      </c>
      <c r="BV116" s="38">
        <f t="shared" si="56"/>
        <v>291638903.26940715</v>
      </c>
      <c r="BW116" s="38">
        <f t="shared" si="57"/>
        <v>293171825.21948022</v>
      </c>
      <c r="BX116" s="38" t="b">
        <f t="shared" si="58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9"/>
        <v>12</v>
      </c>
      <c r="CK116" s="41">
        <f t="shared" si="60"/>
        <v>12</v>
      </c>
      <c r="CL116" s="39">
        <f t="shared" si="61"/>
        <v>0.53333333333333333</v>
      </c>
      <c r="CM116" s="39">
        <f t="shared" si="62"/>
        <v>0.71111111111111114</v>
      </c>
      <c r="CN116" s="42">
        <f t="shared" si="63"/>
        <v>8</v>
      </c>
      <c r="CO116" s="42">
        <f t="shared" si="64"/>
        <v>10</v>
      </c>
      <c r="CP116" s="42">
        <f t="shared" si="65"/>
        <v>7</v>
      </c>
      <c r="CQ116" s="42">
        <f t="shared" si="66"/>
        <v>15</v>
      </c>
      <c r="CR116" s="42">
        <f t="shared" si="67"/>
        <v>0</v>
      </c>
      <c r="CS116" s="42">
        <f t="shared" si="68"/>
        <v>15</v>
      </c>
      <c r="CT116" s="43" t="str">
        <f t="shared" si="69"/>
        <v>8-10</v>
      </c>
      <c r="CU116" s="43" t="str">
        <f t="shared" si="70"/>
        <v>7-15</v>
      </c>
      <c r="CV116" s="43" t="str">
        <f t="shared" si="71"/>
        <v>0-15</v>
      </c>
      <c r="CW116" s="13"/>
    </row>
    <row r="117" spans="1:101" x14ac:dyDescent="0.25">
      <c r="A117" s="31" t="s">
        <v>115</v>
      </c>
      <c r="B117" s="13">
        <v>1452</v>
      </c>
      <c r="C117" s="13">
        <v>121</v>
      </c>
      <c r="D117" s="13">
        <v>30</v>
      </c>
      <c r="E117" s="32"/>
      <c r="F117" s="32"/>
      <c r="G117" s="32"/>
      <c r="H117" s="32"/>
      <c r="I117" s="32"/>
      <c r="J117" s="13"/>
      <c r="K117" s="33">
        <v>21</v>
      </c>
      <c r="L117" s="34">
        <f>IFERROR(INDEX('Pokemon Data'!A:A,MATCH($A117,'Pokemon Data'!$B:$B,0)),"")</f>
        <v>80</v>
      </c>
      <c r="M117" s="34">
        <f>IFERROR(INDEX('Pokemon Data'!I:I,MATCH($A117,'Pokemon Data'!$B:$B,0)),"")</f>
        <v>190</v>
      </c>
      <c r="N117" s="34">
        <f>IFERROR(INDEX('Pokemon Data'!J:J,MATCH($A117,'Pokemon Data'!$B:$B,0)),"")</f>
        <v>177</v>
      </c>
      <c r="O117" s="34">
        <f>IFERROR(INDEX('Pokemon Data'!K:K,MATCH($A117,'Pokemon Data'!$B:$B,0)),"")</f>
        <v>194</v>
      </c>
      <c r="P117" s="35">
        <f>IFERROR(INDEX('Level Multiplier'!$A:$A,MATCH($D117,'Level Multiplier'!$B:$B,0)),"")</f>
        <v>21</v>
      </c>
      <c r="Q117" s="36">
        <f>IFERROR(INDEX('Level Multiplier'!$D:$D,MATCH(P117,'Level Multiplier'!$A:$A,0)),"")</f>
        <v>1.6335670853482771</v>
      </c>
      <c r="R117" s="37">
        <f t="shared" si="36"/>
        <v>8</v>
      </c>
      <c r="S117" s="37">
        <f t="shared" si="37"/>
        <v>9</v>
      </c>
      <c r="T117" s="38">
        <f t="shared" si="38"/>
        <v>1501347170.2719505</v>
      </c>
      <c r="U117" s="38">
        <f t="shared" si="39"/>
        <v>1503415853.6921973</v>
      </c>
      <c r="V117" s="38" t="b">
        <f t="shared" si="40"/>
        <v>0</v>
      </c>
      <c r="W117" s="37">
        <f t="array" ref="W117:AG117">IF(V117,"",IVSolution($M117,$N117,$O117,R117,S117,T117,U117,$E117,$F117,$G117,$H117,$I117))</f>
        <v>3</v>
      </c>
      <c r="X117" s="37">
        <v>36</v>
      </c>
      <c r="Y117" s="37">
        <v>37</v>
      </c>
      <c r="Z117" s="39">
        <v>0.8</v>
      </c>
      <c r="AA117" s="39">
        <v>0.82222222222222219</v>
      </c>
      <c r="AB117" s="37">
        <v>8</v>
      </c>
      <c r="AC117" s="37">
        <v>9</v>
      </c>
      <c r="AD117" s="37">
        <v>13</v>
      </c>
      <c r="AE117" s="37">
        <v>14</v>
      </c>
      <c r="AF117" s="37">
        <v>13</v>
      </c>
      <c r="AG117" s="37">
        <v>15</v>
      </c>
      <c r="AH117" s="40">
        <f t="shared" si="41"/>
        <v>21.5</v>
      </c>
      <c r="AI117" s="36">
        <f>IFERROR(INDEX('Level Multiplier'!$D:$D,MATCH(AH117,'Level Multiplier'!$A:$A,0)),"")</f>
        <v>1.6144672670111633</v>
      </c>
      <c r="AJ117" s="37">
        <f t="shared" si="42"/>
        <v>6</v>
      </c>
      <c r="AK117" s="37">
        <f t="shared" si="43"/>
        <v>6</v>
      </c>
      <c r="AL117" s="38">
        <f t="shared" si="44"/>
        <v>1432353486.6963205</v>
      </c>
      <c r="AM117" s="38">
        <f t="shared" si="45"/>
        <v>1434327104.7698302</v>
      </c>
      <c r="AN117" s="38" t="b">
        <f t="shared" si="46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7"/>
        <v>22</v>
      </c>
      <c r="BA117" s="36">
        <f>IFERROR(INDEX('Level Multiplier'!$D:$D,MATCH(AZ117,'Level Multiplier'!$A:$A,0)),"")</f>
        <v>1.5959981813919923</v>
      </c>
      <c r="BB117" s="37">
        <f t="shared" si="48"/>
        <v>4</v>
      </c>
      <c r="BC117" s="37">
        <f t="shared" si="49"/>
        <v>4</v>
      </c>
      <c r="BD117" s="38">
        <f t="shared" si="50"/>
        <v>1367926620.8117847</v>
      </c>
      <c r="BE117" s="38">
        <f t="shared" si="51"/>
        <v>1369811466.0871615</v>
      </c>
      <c r="BF117" s="38" t="b">
        <f t="shared" si="52"/>
        <v>1</v>
      </c>
      <c r="BG117" s="37" t="str">
        <f t="array" ref="BG117:BQ117">IF(BF117,"",IVSolution($M117,$N117,$O117,BB117,BC117,BD117,BE117,$E117,$F117,$G117,$H117,$I117))</f>
        <v/>
      </c>
      <c r="BH117" s="37" t="str">
        <v/>
      </c>
      <c r="BI117" s="37" t="str">
        <v/>
      </c>
      <c r="BJ117" s="39" t="str">
        <v/>
      </c>
      <c r="BK117" s="39" t="str">
        <v/>
      </c>
      <c r="BL117" s="37" t="str">
        <v/>
      </c>
      <c r="BM117" s="37" t="str">
        <v/>
      </c>
      <c r="BN117" s="37" t="str">
        <v/>
      </c>
      <c r="BO117" s="37" t="str">
        <v/>
      </c>
      <c r="BP117" s="37" t="str">
        <v/>
      </c>
      <c r="BQ117" s="37" t="str">
        <v/>
      </c>
      <c r="BR117" s="40">
        <f t="shared" si="53"/>
        <v>22.5</v>
      </c>
      <c r="BS117" s="36">
        <f>IFERROR(INDEX('Level Multiplier'!$D:$D,MATCH(BR117,'Level Multiplier'!$A:$A,0)),"")</f>
        <v>1.5781719054143564</v>
      </c>
      <c r="BT117" s="37">
        <f t="shared" si="54"/>
        <v>1</v>
      </c>
      <c r="BU117" s="37">
        <f t="shared" si="55"/>
        <v>2</v>
      </c>
      <c r="BV117" s="38">
        <f t="shared" si="56"/>
        <v>1307827496.5182149</v>
      </c>
      <c r="BW117" s="38">
        <f t="shared" si="57"/>
        <v>1309629532.124743</v>
      </c>
      <c r="BX117" s="38" t="b">
        <f t="shared" si="58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9"/>
        <v>21</v>
      </c>
      <c r="CK117" s="41">
        <f t="shared" si="60"/>
        <v>21</v>
      </c>
      <c r="CL117" s="39">
        <f t="shared" si="61"/>
        <v>0.8</v>
      </c>
      <c r="CM117" s="39">
        <f t="shared" si="62"/>
        <v>0.82222222222222219</v>
      </c>
      <c r="CN117" s="42">
        <f t="shared" si="63"/>
        <v>8</v>
      </c>
      <c r="CO117" s="42">
        <f t="shared" si="64"/>
        <v>9</v>
      </c>
      <c r="CP117" s="42">
        <f t="shared" si="65"/>
        <v>13</v>
      </c>
      <c r="CQ117" s="42">
        <f t="shared" si="66"/>
        <v>14</v>
      </c>
      <c r="CR117" s="42">
        <f t="shared" si="67"/>
        <v>13</v>
      </c>
      <c r="CS117" s="42">
        <f t="shared" si="68"/>
        <v>15</v>
      </c>
      <c r="CT117" s="43" t="str">
        <f t="shared" si="69"/>
        <v>8-9</v>
      </c>
      <c r="CU117" s="43" t="str">
        <f t="shared" si="70"/>
        <v>13-14</v>
      </c>
      <c r="CV117" s="43" t="str">
        <f t="shared" si="71"/>
        <v>13-15</v>
      </c>
      <c r="CW117" s="13" t="s">
        <v>399</v>
      </c>
    </row>
    <row r="118" spans="1:101" x14ac:dyDescent="0.25">
      <c r="A118" s="31" t="s">
        <v>117</v>
      </c>
      <c r="B118" s="13">
        <v>1549</v>
      </c>
      <c r="C118" s="13">
        <v>76</v>
      </c>
      <c r="D118" s="13">
        <v>40</v>
      </c>
      <c r="E118" s="32"/>
      <c r="F118" s="32"/>
      <c r="G118" s="32"/>
      <c r="H118" s="32"/>
      <c r="I118" s="32"/>
      <c r="J118" s="13"/>
      <c r="K118" s="33">
        <v>25</v>
      </c>
      <c r="L118" s="34">
        <f>IFERROR(INDEX('Pokemon Data'!A:A,MATCH($A118,'Pokemon Data'!$B:$B,0)),"")</f>
        <v>82</v>
      </c>
      <c r="M118" s="34">
        <f>IFERROR(INDEX('Pokemon Data'!I:I,MATCH($A118,'Pokemon Data'!$B:$B,0)),"")</f>
        <v>100</v>
      </c>
      <c r="N118" s="34">
        <f>IFERROR(INDEX('Pokemon Data'!J:J,MATCH($A118,'Pokemon Data'!$B:$B,0)),"")</f>
        <v>223</v>
      </c>
      <c r="O118" s="34">
        <f>IFERROR(INDEX('Pokemon Data'!K:K,MATCH($A118,'Pokemon Data'!$B:$B,0)),"")</f>
        <v>182</v>
      </c>
      <c r="P118" s="35">
        <f>IFERROR(INDEX('Level Multiplier'!$A:$A,MATCH($D118,'Level Multiplier'!$B:$B,0)),"")</f>
        <v>25</v>
      </c>
      <c r="Q118" s="36">
        <f>IFERROR(INDEX('Level Multiplier'!$D:$D,MATCH(P118,'Level Multiplier'!$A:$A,0)),"")</f>
        <v>1.4971539104162985</v>
      </c>
      <c r="R118" s="37">
        <f t="shared" si="36"/>
        <v>14</v>
      </c>
      <c r="S118" s="37">
        <f t="shared" si="37"/>
        <v>15</v>
      </c>
      <c r="T118" s="38">
        <f t="shared" si="38"/>
        <v>1205503932.497191</v>
      </c>
      <c r="U118" s="38">
        <f t="shared" si="39"/>
        <v>1207060928.050168</v>
      </c>
      <c r="V118" s="38" t="b">
        <f t="shared" si="40"/>
        <v>0</v>
      </c>
      <c r="W118" s="37">
        <f t="array" ref="W118:AG118">IF(V118,"",IVSolution($M118,$N118,$O118,R118,S118,T118,U118,$E118,$F118,$G118,$H118,$I118))</f>
        <v>4</v>
      </c>
      <c r="X118" s="37">
        <v>35</v>
      </c>
      <c r="Y118" s="37">
        <v>37</v>
      </c>
      <c r="Z118" s="39">
        <v>0.77777777777777779</v>
      </c>
      <c r="AA118" s="39">
        <v>0.82222222222222219</v>
      </c>
      <c r="AB118" s="37">
        <v>14</v>
      </c>
      <c r="AC118" s="37">
        <v>15</v>
      </c>
      <c r="AD118" s="37">
        <v>9</v>
      </c>
      <c r="AE118" s="37">
        <v>13</v>
      </c>
      <c r="AF118" s="37">
        <v>8</v>
      </c>
      <c r="AG118" s="37">
        <v>13</v>
      </c>
      <c r="AH118" s="40">
        <f t="shared" si="41"/>
        <v>25.5</v>
      </c>
      <c r="AI118" s="36">
        <f>IFERROR(INDEX('Level Multiplier'!$D:$D,MATCH(AH118,'Level Multiplier'!$A:$A,0)),"")</f>
        <v>1.4824092786238152</v>
      </c>
      <c r="AJ118" s="37">
        <f t="shared" si="42"/>
        <v>13</v>
      </c>
      <c r="AK118" s="37">
        <f t="shared" si="43"/>
        <v>14</v>
      </c>
      <c r="AL118" s="38">
        <f t="shared" si="44"/>
        <v>1158711544.7577143</v>
      </c>
      <c r="AM118" s="38">
        <f t="shared" si="45"/>
        <v>1160208104.5562658</v>
      </c>
      <c r="AN118" s="38" t="b">
        <f t="shared" si="46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7"/>
        <v>26</v>
      </c>
      <c r="BA118" s="36">
        <f>IFERROR(INDEX('Level Multiplier'!$D:$D,MATCH(AZ118,'Level Multiplier'!$A:$A,0)),"")</f>
        <v>1.4680732530970622</v>
      </c>
      <c r="BB118" s="37">
        <f t="shared" si="48"/>
        <v>12</v>
      </c>
      <c r="BC118" s="37">
        <f t="shared" si="49"/>
        <v>13</v>
      </c>
      <c r="BD118" s="38">
        <f t="shared" si="50"/>
        <v>1114535075.5839386</v>
      </c>
      <c r="BE118" s="38">
        <f t="shared" si="51"/>
        <v>1115974578.2761667</v>
      </c>
      <c r="BF118" s="38" t="b">
        <f t="shared" si="52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3"/>
        <v>26.5</v>
      </c>
      <c r="BS118" s="36">
        <f>IFERROR(INDEX('Level Multiplier'!$D:$D,MATCH(BR118,'Level Multiplier'!$A:$A,0)),"")</f>
        <v>1.4541633575240582</v>
      </c>
      <c r="BT118" s="37">
        <f t="shared" si="54"/>
        <v>11</v>
      </c>
      <c r="BU118" s="37">
        <f t="shared" si="55"/>
        <v>11</v>
      </c>
      <c r="BV118" s="38">
        <f t="shared" si="56"/>
        <v>1072891052.1946741</v>
      </c>
      <c r="BW118" s="38">
        <f t="shared" si="57"/>
        <v>1074276768.6175444</v>
      </c>
      <c r="BX118" s="38" t="b">
        <f t="shared" si="58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9"/>
        <v>25</v>
      </c>
      <c r="CK118" s="41">
        <f t="shared" si="60"/>
        <v>25</v>
      </c>
      <c r="CL118" s="39">
        <f t="shared" si="61"/>
        <v>0.77777777777777779</v>
      </c>
      <c r="CM118" s="39">
        <f t="shared" si="62"/>
        <v>0.82222222222222219</v>
      </c>
      <c r="CN118" s="42">
        <f t="shared" si="63"/>
        <v>14</v>
      </c>
      <c r="CO118" s="42">
        <f t="shared" si="64"/>
        <v>15</v>
      </c>
      <c r="CP118" s="42">
        <f t="shared" si="65"/>
        <v>9</v>
      </c>
      <c r="CQ118" s="42">
        <f t="shared" si="66"/>
        <v>13</v>
      </c>
      <c r="CR118" s="42">
        <f t="shared" si="67"/>
        <v>8</v>
      </c>
      <c r="CS118" s="42">
        <f t="shared" si="68"/>
        <v>13</v>
      </c>
      <c r="CT118" s="43" t="str">
        <f t="shared" si="69"/>
        <v>14-15</v>
      </c>
      <c r="CU118" s="43" t="str">
        <f t="shared" si="70"/>
        <v>9-13</v>
      </c>
      <c r="CV118" s="43" t="str">
        <f t="shared" si="71"/>
        <v>8-13</v>
      </c>
      <c r="CW118" s="13" t="s">
        <v>399</v>
      </c>
    </row>
    <row r="119" spans="1:101" x14ac:dyDescent="0.25">
      <c r="A119" s="31" t="s">
        <v>117</v>
      </c>
      <c r="B119" s="13">
        <v>1262</v>
      </c>
      <c r="C119" s="13">
        <v>68</v>
      </c>
      <c r="D119" s="13">
        <v>25</v>
      </c>
      <c r="E119" s="32"/>
      <c r="F119" s="32"/>
      <c r="G119" s="32"/>
      <c r="H119" s="32"/>
      <c r="I119" s="32"/>
      <c r="J119" s="13"/>
      <c r="K119" s="33"/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Multiplier'!$A:$A,MATCH($D119,'Level Multiplier'!$B:$B,0)),"")</f>
        <v>19</v>
      </c>
      <c r="Q119" s="36">
        <f>IFERROR(INDEX('Level Multiplier'!$D:$D,MATCH(P119,'Level Multiplier'!$A:$A,0)),"")</f>
        <v>1.7173900390793821</v>
      </c>
      <c r="R119" s="37">
        <f t="shared" si="36"/>
        <v>17</v>
      </c>
      <c r="S119" s="37">
        <f t="shared" si="37"/>
        <v>15</v>
      </c>
      <c r="T119" s="38">
        <f t="shared" si="38"/>
        <v>1385461520.8757136</v>
      </c>
      <c r="U119" s="38">
        <f t="shared" si="39"/>
        <v>1387658050.8850634</v>
      </c>
      <c r="V119" s="38" t="b">
        <f t="shared" si="40"/>
        <v>1</v>
      </c>
      <c r="W119" s="37" t="str">
        <f t="array" ref="W119:AG119">IF(V119,"",IVSolution($M119,$N119,$O119,R119,S119,T119,U119,$E119,$F119,$G119,$H119,$I119))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40">
        <f t="shared" si="41"/>
        <v>19.5</v>
      </c>
      <c r="AI119" s="36">
        <f>IFERROR(INDEX('Level Multiplier'!$D:$D,MATCH(AH119,'Level Multiplier'!$A:$A,0)),"")</f>
        <v>1.6952373004785586</v>
      </c>
      <c r="AJ119" s="37">
        <f t="shared" si="42"/>
        <v>16</v>
      </c>
      <c r="AK119" s="37">
        <f t="shared" si="43"/>
        <v>15</v>
      </c>
      <c r="AL119" s="38">
        <f t="shared" si="44"/>
        <v>1315348119.8336828</v>
      </c>
      <c r="AM119" s="38">
        <f t="shared" si="45"/>
        <v>1317433491.0795984</v>
      </c>
      <c r="AN119" s="38" t="b">
        <f t="shared" si="46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7"/>
        <v>20</v>
      </c>
      <c r="BA119" s="36">
        <f>IFERROR(INDEX('Level Multiplier'!$D:$D,MATCH(AZ119,'Level Multiplier'!$A:$A,0)),"")</f>
        <v>1.6739202933726098</v>
      </c>
      <c r="BB119" s="37">
        <f t="shared" si="48"/>
        <v>14</v>
      </c>
      <c r="BC119" s="37">
        <f t="shared" si="49"/>
        <v>15</v>
      </c>
      <c r="BD119" s="38">
        <f t="shared" si="50"/>
        <v>1250425459.6067824</v>
      </c>
      <c r="BE119" s="38">
        <f t="shared" si="51"/>
        <v>1252407901.562114</v>
      </c>
      <c r="BF119" s="38" t="b">
        <f t="shared" si="52"/>
        <v>0</v>
      </c>
      <c r="BG119" s="37">
        <f t="array" ref="BG119:BQ119">IF(BF119,"",IVSolution($M119,$N119,$O119,BB119,BC119,BD119,BE119,$E119,$F119,$G119,$H119,$I119))</f>
        <v>3</v>
      </c>
      <c r="BH119" s="37">
        <v>40</v>
      </c>
      <c r="BI119" s="37">
        <v>42</v>
      </c>
      <c r="BJ119" s="39">
        <v>0.88888888888888884</v>
      </c>
      <c r="BK119" s="39">
        <v>0.93333333333333335</v>
      </c>
      <c r="BL119" s="37">
        <v>14</v>
      </c>
      <c r="BM119" s="37">
        <v>15</v>
      </c>
      <c r="BN119" s="37">
        <v>12</v>
      </c>
      <c r="BO119" s="37">
        <v>15</v>
      </c>
      <c r="BP119" s="37">
        <v>10</v>
      </c>
      <c r="BQ119" s="37">
        <v>15</v>
      </c>
      <c r="BR119" s="40">
        <f t="shared" si="53"/>
        <v>20.5</v>
      </c>
      <c r="BS119" s="36">
        <f>IFERROR(INDEX('Level Multiplier'!$D:$D,MATCH(BR119,'Level Multiplier'!$A:$A,0)),"")</f>
        <v>1.653387720177633</v>
      </c>
      <c r="BT119" s="37">
        <f t="shared" si="54"/>
        <v>13</v>
      </c>
      <c r="BU119" s="37">
        <f t="shared" si="55"/>
        <v>14</v>
      </c>
      <c r="BV119" s="38">
        <f t="shared" si="56"/>
        <v>1190193408.9299479</v>
      </c>
      <c r="BW119" s="38">
        <f t="shared" si="57"/>
        <v>1192080358.1524658</v>
      </c>
      <c r="BX119" s="38" t="b">
        <f t="shared" si="58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9"/>
        <v>20</v>
      </c>
      <c r="CK119" s="41">
        <f t="shared" si="60"/>
        <v>20</v>
      </c>
      <c r="CL119" s="39">
        <f t="shared" si="61"/>
        <v>0.88888888888888884</v>
      </c>
      <c r="CM119" s="39">
        <f t="shared" si="62"/>
        <v>0.93333333333333335</v>
      </c>
      <c r="CN119" s="42">
        <f t="shared" si="63"/>
        <v>14</v>
      </c>
      <c r="CO119" s="42">
        <f t="shared" si="64"/>
        <v>15</v>
      </c>
      <c r="CP119" s="42">
        <f t="shared" si="65"/>
        <v>12</v>
      </c>
      <c r="CQ119" s="42">
        <f t="shared" si="66"/>
        <v>15</v>
      </c>
      <c r="CR119" s="42">
        <f t="shared" si="67"/>
        <v>10</v>
      </c>
      <c r="CS119" s="42">
        <f t="shared" si="68"/>
        <v>15</v>
      </c>
      <c r="CT119" s="43" t="str">
        <f t="shared" si="69"/>
        <v>14-15</v>
      </c>
      <c r="CU119" s="43" t="str">
        <f t="shared" si="70"/>
        <v>12-15</v>
      </c>
      <c r="CV119" s="43" t="str">
        <f t="shared" si="71"/>
        <v>10-15</v>
      </c>
      <c r="CW119" s="13" t="s">
        <v>399</v>
      </c>
    </row>
    <row r="120" spans="1:101" x14ac:dyDescent="0.25">
      <c r="A120" s="31" t="s">
        <v>117</v>
      </c>
      <c r="B120" s="13">
        <v>433</v>
      </c>
      <c r="C120" s="13">
        <v>39</v>
      </c>
      <c r="D120" s="13">
        <v>8</v>
      </c>
      <c r="E120" s="32"/>
      <c r="F120" s="32"/>
      <c r="G120" s="32"/>
      <c r="H120" s="32"/>
      <c r="I120" s="32"/>
      <c r="J120" s="13"/>
      <c r="K120" s="33">
        <v>7</v>
      </c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Multiplier'!$A:$A,MATCH($D120,'Level Multiplier'!$B:$B,0)),"")</f>
        <v>7</v>
      </c>
      <c r="Q120" s="36">
        <f>IFERROR(INDEX('Level Multiplier'!$D:$D,MATCH(P120,'Level Multiplier'!$A:$A,0)),"")</f>
        <v>2.8635844494535538</v>
      </c>
      <c r="R120" s="37">
        <f t="shared" si="36"/>
        <v>12</v>
      </c>
      <c r="S120" s="37">
        <f t="shared" si="37"/>
        <v>14</v>
      </c>
      <c r="T120" s="38">
        <f t="shared" si="38"/>
        <v>1260711673.1503315</v>
      </c>
      <c r="U120" s="38">
        <f t="shared" si="39"/>
        <v>1266541545.9461827</v>
      </c>
      <c r="V120" s="38" t="b">
        <f t="shared" si="40"/>
        <v>0</v>
      </c>
      <c r="W120" s="37">
        <f t="array" ref="W120:AG120">IF(V120,"",IVSolution($M120,$N120,$O120,R120,S120,T120,U120,$E120,$F120,$G120,$H120,$I120))</f>
        <v>3</v>
      </c>
      <c r="X120" s="37">
        <v>43</v>
      </c>
      <c r="Y120" s="37">
        <v>43</v>
      </c>
      <c r="Z120" s="39">
        <v>0.9555555555555556</v>
      </c>
      <c r="AA120" s="39">
        <v>0.9555555555555556</v>
      </c>
      <c r="AB120" s="37">
        <v>13</v>
      </c>
      <c r="AC120" s="37">
        <v>14</v>
      </c>
      <c r="AD120" s="37">
        <v>14</v>
      </c>
      <c r="AE120" s="37">
        <v>15</v>
      </c>
      <c r="AF120" s="37">
        <v>14</v>
      </c>
      <c r="AG120" s="37">
        <v>15</v>
      </c>
      <c r="AH120" s="40">
        <f t="shared" si="41"/>
        <v>7.5</v>
      </c>
      <c r="AI120" s="36">
        <f>IFERROR(INDEX('Level Multiplier'!$D:$D,MATCH(AH120,'Level Multiplier'!$A:$A,0)),"")</f>
        <v>2.7589422415193434</v>
      </c>
      <c r="AJ120" s="37">
        <f t="shared" si="42"/>
        <v>8</v>
      </c>
      <c r="AK120" s="37">
        <f t="shared" si="43"/>
        <v>10</v>
      </c>
      <c r="AL120" s="38">
        <f t="shared" si="44"/>
        <v>1086291114.5045154</v>
      </c>
      <c r="AM120" s="38">
        <f t="shared" si="45"/>
        <v>1091314419.3185334</v>
      </c>
      <c r="AN120" s="38" t="b">
        <f t="shared" si="46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7"/>
        <v>8</v>
      </c>
      <c r="BA120" s="36">
        <f>IFERROR(INDEX('Level Multiplier'!$D:$D,MATCH(AZ120,'Level Multiplier'!$A:$A,0)),"")</f>
        <v>2.6649924118338562</v>
      </c>
      <c r="BB120" s="37">
        <f t="shared" si="48"/>
        <v>4</v>
      </c>
      <c r="BC120" s="37">
        <f t="shared" si="49"/>
        <v>6</v>
      </c>
      <c r="BD120" s="38">
        <f t="shared" si="50"/>
        <v>945713742.15617442</v>
      </c>
      <c r="BE120" s="38">
        <f t="shared" si="51"/>
        <v>950086979.06313646</v>
      </c>
      <c r="BF120" s="38" t="b">
        <f t="shared" si="52"/>
        <v>1</v>
      </c>
      <c r="BG120" s="37" t="str">
        <f t="array" ref="BG120:BQ120">IF(BF120,"",IVSolution($M120,$N120,$O120,BB120,BC120,BD120,BE120,$E120,$F120,$G120,$H120,$I120))</f>
        <v/>
      </c>
      <c r="BH120" s="37" t="str">
        <v/>
      </c>
      <c r="BI120" s="37" t="str">
        <v/>
      </c>
      <c r="BJ120" s="39" t="str">
        <v/>
      </c>
      <c r="BK120" s="39" t="str">
        <v/>
      </c>
      <c r="BL120" s="37" t="str">
        <v/>
      </c>
      <c r="BM120" s="37" t="str">
        <v/>
      </c>
      <c r="BN120" s="37" t="str">
        <v/>
      </c>
      <c r="BO120" s="37" t="str">
        <v/>
      </c>
      <c r="BP120" s="37" t="str">
        <v/>
      </c>
      <c r="BQ120" s="37" t="str">
        <v/>
      </c>
      <c r="BR120" s="40">
        <f t="shared" si="53"/>
        <v>8.5</v>
      </c>
      <c r="BS120" s="36">
        <f>IFERROR(INDEX('Level Multiplier'!$D:$D,MATCH(BR120,'Level Multiplier'!$A:$A,0)),"")</f>
        <v>2.5800299090483212</v>
      </c>
      <c r="BT120" s="37">
        <f t="shared" si="54"/>
        <v>1</v>
      </c>
      <c r="BU120" s="37">
        <f t="shared" si="55"/>
        <v>3</v>
      </c>
      <c r="BV120" s="38">
        <f t="shared" si="56"/>
        <v>830758426.23777795</v>
      </c>
      <c r="BW120" s="38">
        <f t="shared" si="57"/>
        <v>834600078.57763875</v>
      </c>
      <c r="BX120" s="38" t="b">
        <f t="shared" si="58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9"/>
        <v>7</v>
      </c>
      <c r="CK120" s="41">
        <f t="shared" si="60"/>
        <v>7</v>
      </c>
      <c r="CL120" s="39">
        <f t="shared" si="61"/>
        <v>0.9555555555555556</v>
      </c>
      <c r="CM120" s="39">
        <f t="shared" si="62"/>
        <v>0.9555555555555556</v>
      </c>
      <c r="CN120" s="42">
        <f t="shared" si="63"/>
        <v>13</v>
      </c>
      <c r="CO120" s="42">
        <f t="shared" si="64"/>
        <v>14</v>
      </c>
      <c r="CP120" s="42">
        <f t="shared" si="65"/>
        <v>14</v>
      </c>
      <c r="CQ120" s="42">
        <f t="shared" si="66"/>
        <v>15</v>
      </c>
      <c r="CR120" s="42">
        <f t="shared" si="67"/>
        <v>14</v>
      </c>
      <c r="CS120" s="42">
        <f t="shared" si="68"/>
        <v>15</v>
      </c>
      <c r="CT120" s="43" t="str">
        <f t="shared" si="69"/>
        <v>13-14</v>
      </c>
      <c r="CU120" s="43" t="str">
        <f t="shared" si="70"/>
        <v>14-15</v>
      </c>
      <c r="CV120" s="43" t="str">
        <f t="shared" si="71"/>
        <v>14-15</v>
      </c>
      <c r="CW120" s="13" t="s">
        <v>399</v>
      </c>
    </row>
    <row r="121" spans="1:101" x14ac:dyDescent="0.25">
      <c r="A121" s="31" t="s">
        <v>122</v>
      </c>
      <c r="B121" s="13">
        <v>114</v>
      </c>
      <c r="C121" s="13">
        <v>40</v>
      </c>
      <c r="D121" s="13">
        <v>6</v>
      </c>
      <c r="E121" s="32"/>
      <c r="F121" s="32"/>
      <c r="G121" s="32"/>
      <c r="H121" s="32"/>
      <c r="I121" s="32"/>
      <c r="J121" s="13"/>
      <c r="K121" s="33"/>
      <c r="L121" s="34">
        <f>IFERROR(INDEX('Pokemon Data'!A:A,MATCH($A121,'Pokemon Data'!$B:$B,0)),"")</f>
        <v>86</v>
      </c>
      <c r="M121" s="34">
        <f>IFERROR(INDEX('Pokemon Data'!I:I,MATCH($A121,'Pokemon Data'!$B:$B,0)),"")</f>
        <v>130</v>
      </c>
      <c r="N121" s="34">
        <f>IFERROR(INDEX('Pokemon Data'!J:J,MATCH($A121,'Pokemon Data'!$B:$B,0)),"")</f>
        <v>85</v>
      </c>
      <c r="O121" s="34">
        <f>IFERROR(INDEX('Pokemon Data'!K:K,MATCH($A121,'Pokemon Data'!$B:$B,0)),"")</f>
        <v>128</v>
      </c>
      <c r="P121" s="35">
        <f>IFERROR(INDEX('Level Multiplier'!$A:$A,MATCH($D121,'Level Multiplier'!$B:$B,0)),"")</f>
        <v>5</v>
      </c>
      <c r="Q121" s="36">
        <f>IFERROR(INDEX('Level Multiplier'!$D:$D,MATCH(P121,'Level Multiplier'!$A:$A,0)),"")</f>
        <v>3.4453071953035774</v>
      </c>
      <c r="R121" s="37">
        <f t="shared" si="36"/>
        <v>8</v>
      </c>
      <c r="S121" s="37">
        <f t="shared" si="37"/>
        <v>11</v>
      </c>
      <c r="T121" s="38">
        <f t="shared" si="38"/>
        <v>183113982.14065233</v>
      </c>
      <c r="U121" s="38">
        <f t="shared" si="39"/>
        <v>186340598.16944653</v>
      </c>
      <c r="V121" s="38" t="b">
        <f t="shared" si="40"/>
        <v>0</v>
      </c>
      <c r="W121" s="37">
        <f t="array" ref="W121:AG121">IF(V121,"",IVSolution($M121,$N121,$O121,R121,S121,T121,U121,$E121,$F121,$G121,$H121,$I121))</f>
        <v>42</v>
      </c>
      <c r="X121" s="37">
        <v>28</v>
      </c>
      <c r="Y121" s="37">
        <v>37</v>
      </c>
      <c r="Z121" s="39">
        <v>0.62222222222222223</v>
      </c>
      <c r="AA121" s="39">
        <v>0.82222222222222219</v>
      </c>
      <c r="AB121" s="37">
        <v>8</v>
      </c>
      <c r="AC121" s="37">
        <v>11</v>
      </c>
      <c r="AD121" s="37">
        <v>11</v>
      </c>
      <c r="AE121" s="37">
        <v>15</v>
      </c>
      <c r="AF121" s="37">
        <v>2</v>
      </c>
      <c r="AG121" s="37">
        <v>15</v>
      </c>
      <c r="AH121" s="40">
        <f t="shared" si="41"/>
        <v>5.5</v>
      </c>
      <c r="AI121" s="36">
        <f>IFERROR(INDEX('Level Multiplier'!$D:$D,MATCH(AH121,'Level Multiplier'!$A:$A,0)),"")</f>
        <v>3.2673612046279805</v>
      </c>
      <c r="AJ121" s="37">
        <f t="shared" si="42"/>
        <v>1</v>
      </c>
      <c r="AK121" s="37">
        <f t="shared" si="43"/>
        <v>3</v>
      </c>
      <c r="AL121" s="38">
        <f t="shared" si="44"/>
        <v>148114744.9513326</v>
      </c>
      <c r="AM121" s="38">
        <f t="shared" si="45"/>
        <v>150724646.19739717</v>
      </c>
      <c r="AN121" s="38" t="b">
        <f t="shared" si="46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7"/>
        <v>6</v>
      </c>
      <c r="BA121" s="36">
        <f>IFERROR(INDEX('Level Multiplier'!$D:$D,MATCH(AZ121,'Level Multiplier'!$A:$A,0)),"")</f>
        <v>3.1144148824183806</v>
      </c>
      <c r="BB121" s="37">
        <f t="shared" si="48"/>
        <v>0</v>
      </c>
      <c r="BC121" s="37">
        <f t="shared" si="49"/>
        <v>-2</v>
      </c>
      <c r="BD121" s="38">
        <f t="shared" si="50"/>
        <v>122268776.59680966</v>
      </c>
      <c r="BE121" s="38">
        <f t="shared" si="51"/>
        <v>124423251.03822774</v>
      </c>
      <c r="BF121" s="38" t="b">
        <f t="shared" si="52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3"/>
        <v>6.5</v>
      </c>
      <c r="BS121" s="36">
        <f>IFERROR(INDEX('Level Multiplier'!$D:$D,MATCH(BR121,'Level Multiplier'!$A:$A,0)),"")</f>
        <v>2.9811143188298668</v>
      </c>
      <c r="BT121" s="37">
        <f t="shared" si="54"/>
        <v>0</v>
      </c>
      <c r="BU121" s="37">
        <f t="shared" si="55"/>
        <v>-7</v>
      </c>
      <c r="BV121" s="38">
        <f t="shared" si="56"/>
        <v>102641791.79866378</v>
      </c>
      <c r="BW121" s="38">
        <f t="shared" si="57"/>
        <v>104450422.94069932</v>
      </c>
      <c r="BX121" s="38" t="b">
        <f t="shared" si="58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9"/>
        <v>5</v>
      </c>
      <c r="CK121" s="41">
        <f t="shared" si="60"/>
        <v>5</v>
      </c>
      <c r="CL121" s="39">
        <f t="shared" si="61"/>
        <v>0.62222222222222223</v>
      </c>
      <c r="CM121" s="39">
        <f t="shared" si="62"/>
        <v>0.82222222222222219</v>
      </c>
      <c r="CN121" s="42">
        <f t="shared" si="63"/>
        <v>8</v>
      </c>
      <c r="CO121" s="42">
        <f t="shared" si="64"/>
        <v>11</v>
      </c>
      <c r="CP121" s="42">
        <f t="shared" si="65"/>
        <v>11</v>
      </c>
      <c r="CQ121" s="42">
        <f t="shared" si="66"/>
        <v>15</v>
      </c>
      <c r="CR121" s="42">
        <f t="shared" si="67"/>
        <v>2</v>
      </c>
      <c r="CS121" s="42">
        <f t="shared" si="68"/>
        <v>15</v>
      </c>
      <c r="CT121" s="43" t="str">
        <f t="shared" si="69"/>
        <v>8-11</v>
      </c>
      <c r="CU121" s="43" t="str">
        <f t="shared" si="70"/>
        <v>11-15</v>
      </c>
      <c r="CV121" s="43" t="str">
        <f t="shared" si="71"/>
        <v>2-15</v>
      </c>
      <c r="CW121" s="13"/>
    </row>
    <row r="122" spans="1:101" x14ac:dyDescent="0.25">
      <c r="A122" s="31" t="s">
        <v>123</v>
      </c>
      <c r="B122" s="13">
        <v>1315</v>
      </c>
      <c r="C122" s="13">
        <v>127</v>
      </c>
      <c r="D122" s="13">
        <v>40</v>
      </c>
      <c r="E122" s="32"/>
      <c r="F122" s="32"/>
      <c r="G122" s="32"/>
      <c r="H122" s="32"/>
      <c r="I122" s="32"/>
      <c r="J122" s="13"/>
      <c r="K122" s="33">
        <v>25</v>
      </c>
      <c r="L122" s="34">
        <f>IFERROR(INDEX('Pokemon Data'!A:A,MATCH($A122,'Pokemon Data'!$B:$B,0)),"")</f>
        <v>87</v>
      </c>
      <c r="M122" s="34">
        <f>IFERROR(INDEX('Pokemon Data'!I:I,MATCH($A122,'Pokemon Data'!$B:$B,0)),"")</f>
        <v>180</v>
      </c>
      <c r="N122" s="34">
        <f>IFERROR(INDEX('Pokemon Data'!J:J,MATCH($A122,'Pokemon Data'!$B:$B,0)),"")</f>
        <v>139</v>
      </c>
      <c r="O122" s="34">
        <f>IFERROR(INDEX('Pokemon Data'!K:K,MATCH($A122,'Pokemon Data'!$B:$B,0)),"")</f>
        <v>184</v>
      </c>
      <c r="P122" s="35">
        <f>IFERROR(INDEX('Level Multiplier'!$A:$A,MATCH($D122,'Level Multiplier'!$B:$B,0)),"")</f>
        <v>25</v>
      </c>
      <c r="Q122" s="36">
        <f>IFERROR(INDEX('Level Multiplier'!$D:$D,MATCH(P122,'Level Multiplier'!$A:$A,0)),"")</f>
        <v>1.4971539104162985</v>
      </c>
      <c r="R122" s="37">
        <f t="shared" si="36"/>
        <v>11</v>
      </c>
      <c r="S122" s="37">
        <f t="shared" si="37"/>
        <v>11</v>
      </c>
      <c r="T122" s="38">
        <f t="shared" si="38"/>
        <v>868794977.4433099</v>
      </c>
      <c r="U122" s="38">
        <f t="shared" si="39"/>
        <v>870116841.04443371</v>
      </c>
      <c r="V122" s="38" t="b">
        <f t="shared" si="40"/>
        <v>0</v>
      </c>
      <c r="W122" s="37">
        <f t="array" ref="W122:AG122">IF(V122,"",IVSolution($M122,$N122,$O122,R122,S122,T122,U122,$E122,$F122,$G122,$H122,$I122))</f>
        <v>2</v>
      </c>
      <c r="X122" s="37">
        <v>34</v>
      </c>
      <c r="Y122" s="37">
        <v>37</v>
      </c>
      <c r="Z122" s="39">
        <v>0.75555555555555554</v>
      </c>
      <c r="AA122" s="39">
        <v>0.82222222222222219</v>
      </c>
      <c r="AB122" s="37">
        <v>11</v>
      </c>
      <c r="AC122" s="37">
        <v>11</v>
      </c>
      <c r="AD122" s="37">
        <v>13</v>
      </c>
      <c r="AE122" s="37">
        <v>15</v>
      </c>
      <c r="AF122" s="37">
        <v>8</v>
      </c>
      <c r="AG122" s="37">
        <v>13</v>
      </c>
      <c r="AH122" s="40">
        <f t="shared" si="41"/>
        <v>25.5</v>
      </c>
      <c r="AI122" s="36">
        <f>IFERROR(INDEX('Level Multiplier'!$D:$D,MATCH(AH122,'Level Multiplier'!$A:$A,0)),"")</f>
        <v>1.4824092786238152</v>
      </c>
      <c r="AJ122" s="37">
        <f t="shared" si="42"/>
        <v>9</v>
      </c>
      <c r="AK122" s="37">
        <f t="shared" si="43"/>
        <v>9</v>
      </c>
      <c r="AL122" s="38">
        <f t="shared" si="44"/>
        <v>835072158.00262582</v>
      </c>
      <c r="AM122" s="38">
        <f t="shared" si="45"/>
        <v>836342712.64282882</v>
      </c>
      <c r="AN122" s="38" t="b">
        <f t="shared" si="46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7"/>
        <v>26</v>
      </c>
      <c r="BA122" s="36">
        <f>IFERROR(INDEX('Level Multiplier'!$D:$D,MATCH(AZ122,'Level Multiplier'!$A:$A,0)),"")</f>
        <v>1.4680732530970622</v>
      </c>
      <c r="BB122" s="37">
        <f t="shared" si="48"/>
        <v>7</v>
      </c>
      <c r="BC122" s="37">
        <f t="shared" si="49"/>
        <v>7</v>
      </c>
      <c r="BD122" s="38">
        <f t="shared" si="50"/>
        <v>803234605.66893005</v>
      </c>
      <c r="BE122" s="38">
        <f t="shared" si="51"/>
        <v>804456719.76484871</v>
      </c>
      <c r="BF122" s="38" t="b">
        <f t="shared" si="52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3"/>
        <v>26.5</v>
      </c>
      <c r="BS122" s="36">
        <f>IFERROR(INDEX('Level Multiplier'!$D:$D,MATCH(BR122,'Level Multiplier'!$A:$A,0)),"")</f>
        <v>1.4541633575240582</v>
      </c>
      <c r="BT122" s="37">
        <f t="shared" si="54"/>
        <v>5</v>
      </c>
      <c r="BU122" s="37">
        <f t="shared" si="55"/>
        <v>6</v>
      </c>
      <c r="BV122" s="38">
        <f t="shared" si="56"/>
        <v>773222162.41942692</v>
      </c>
      <c r="BW122" s="38">
        <f t="shared" si="57"/>
        <v>774398612.85781717</v>
      </c>
      <c r="BX122" s="38" t="b">
        <f t="shared" si="58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9"/>
        <v>25</v>
      </c>
      <c r="CK122" s="41">
        <f t="shared" si="60"/>
        <v>25</v>
      </c>
      <c r="CL122" s="39">
        <f t="shared" si="61"/>
        <v>0.75555555555555554</v>
      </c>
      <c r="CM122" s="39">
        <f t="shared" si="62"/>
        <v>0.82222222222222219</v>
      </c>
      <c r="CN122" s="42">
        <f t="shared" si="63"/>
        <v>11</v>
      </c>
      <c r="CO122" s="42">
        <f t="shared" si="64"/>
        <v>11</v>
      </c>
      <c r="CP122" s="42">
        <f t="shared" si="65"/>
        <v>13</v>
      </c>
      <c r="CQ122" s="42">
        <f t="shared" si="66"/>
        <v>15</v>
      </c>
      <c r="CR122" s="42">
        <f t="shared" si="67"/>
        <v>8</v>
      </c>
      <c r="CS122" s="42">
        <f t="shared" si="68"/>
        <v>13</v>
      </c>
      <c r="CT122" s="43">
        <f t="shared" si="69"/>
        <v>11</v>
      </c>
      <c r="CU122" s="43" t="str">
        <f t="shared" si="70"/>
        <v>13-15</v>
      </c>
      <c r="CV122" s="43" t="str">
        <f t="shared" si="71"/>
        <v>8-13</v>
      </c>
      <c r="CW122" s="13" t="s">
        <v>398</v>
      </c>
    </row>
    <row r="123" spans="1:101" x14ac:dyDescent="0.25">
      <c r="A123" s="31" t="s">
        <v>125</v>
      </c>
      <c r="B123" s="13">
        <v>701</v>
      </c>
      <c r="C123" s="13">
        <v>102</v>
      </c>
      <c r="D123" s="13">
        <v>25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88</v>
      </c>
      <c r="M123" s="34">
        <f>IFERROR(INDEX('Pokemon Data'!I:I,MATCH($A123,'Pokemon Data'!$B:$B,0)),"")</f>
        <v>160</v>
      </c>
      <c r="N123" s="34">
        <f>IFERROR(INDEX('Pokemon Data'!J:J,MATCH($A123,'Pokemon Data'!$B:$B,0)),"")</f>
        <v>135</v>
      </c>
      <c r="O123" s="34">
        <f>IFERROR(INDEX('Pokemon Data'!K:K,MATCH($A123,'Pokemon Data'!$B:$B,0)),"")</f>
        <v>90</v>
      </c>
      <c r="P123" s="35">
        <f>IFERROR(INDEX('Level Multiplier'!$A:$A,MATCH($D123,'Level Multiplier'!$B:$B,0)),"")</f>
        <v>19</v>
      </c>
      <c r="Q123" s="36">
        <f>IFERROR(INDEX('Level Multiplier'!$D:$D,MATCH(P123,'Level Multiplier'!$A:$A,0)),"")</f>
        <v>1.7173900390793821</v>
      </c>
      <c r="R123" s="37">
        <f t="shared" si="36"/>
        <v>16</v>
      </c>
      <c r="S123" s="37">
        <f t="shared" si="37"/>
        <v>15</v>
      </c>
      <c r="T123" s="38">
        <f t="shared" si="38"/>
        <v>427476056.68300414</v>
      </c>
      <c r="U123" s="38">
        <f t="shared" si="39"/>
        <v>428696544.44661528</v>
      </c>
      <c r="V123" s="38" t="b">
        <f t="shared" si="40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1"/>
        <v>19.5</v>
      </c>
      <c r="AI123" s="36">
        <f>IFERROR(INDEX('Level Multiplier'!$D:$D,MATCH(AH123,'Level Multiplier'!$A:$A,0)),"")</f>
        <v>1.6952373004785586</v>
      </c>
      <c r="AJ123" s="37">
        <f t="shared" si="42"/>
        <v>13</v>
      </c>
      <c r="AK123" s="37">
        <f t="shared" si="43"/>
        <v>14</v>
      </c>
      <c r="AL123" s="38">
        <f t="shared" si="44"/>
        <v>405842976.48086548</v>
      </c>
      <c r="AM123" s="38">
        <f t="shared" si="45"/>
        <v>407001699.59295249</v>
      </c>
      <c r="AN123" s="38" t="b">
        <f t="shared" si="46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7"/>
        <v>20</v>
      </c>
      <c r="BA123" s="36">
        <f>IFERROR(INDEX('Level Multiplier'!$D:$D,MATCH(AZ123,'Level Multiplier'!$A:$A,0)),"")</f>
        <v>1.6739202933726098</v>
      </c>
      <c r="BB123" s="37">
        <f t="shared" si="48"/>
        <v>11</v>
      </c>
      <c r="BC123" s="37">
        <f t="shared" si="49"/>
        <v>12</v>
      </c>
      <c r="BD123" s="38">
        <f t="shared" si="50"/>
        <v>385811469.02649462</v>
      </c>
      <c r="BE123" s="38">
        <f t="shared" si="51"/>
        <v>386913000.14068478</v>
      </c>
      <c r="BF123" s="38" t="b">
        <f t="shared" si="52"/>
        <v>0</v>
      </c>
      <c r="BG123" s="37">
        <f t="array" ref="BG123:BQ123">IF(BF123,"",IVSolution($M123,$N123,$O123,BB123,BC123,BD123,BE123,$E123,$F123,$G123,$H123,$I123))</f>
        <v>1</v>
      </c>
      <c r="BH123" s="37">
        <v>38</v>
      </c>
      <c r="BI123" s="37">
        <v>38</v>
      </c>
      <c r="BJ123" s="39">
        <v>0.84444444444444444</v>
      </c>
      <c r="BK123" s="39">
        <v>0.84444444444444444</v>
      </c>
      <c r="BL123" s="37">
        <v>12</v>
      </c>
      <c r="BM123" s="37">
        <v>12</v>
      </c>
      <c r="BN123" s="37">
        <v>12</v>
      </c>
      <c r="BO123" s="37">
        <v>12</v>
      </c>
      <c r="BP123" s="37">
        <v>14</v>
      </c>
      <c r="BQ123" s="37">
        <v>14</v>
      </c>
      <c r="BR123" s="40">
        <f t="shared" si="53"/>
        <v>20.5</v>
      </c>
      <c r="BS123" s="36">
        <f>IFERROR(INDEX('Level Multiplier'!$D:$D,MATCH(BR123,'Level Multiplier'!$A:$A,0)),"")</f>
        <v>1.653387720177633</v>
      </c>
      <c r="BT123" s="37">
        <f t="shared" si="54"/>
        <v>9</v>
      </c>
      <c r="BU123" s="37">
        <f t="shared" si="55"/>
        <v>10</v>
      </c>
      <c r="BV123" s="38">
        <f t="shared" si="56"/>
        <v>367227221.74044251</v>
      </c>
      <c r="BW123" s="38">
        <f t="shared" si="57"/>
        <v>368275692.93220204</v>
      </c>
      <c r="BX123" s="38" t="b">
        <f t="shared" si="58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9"/>
        <v>20</v>
      </c>
      <c r="CK123" s="41">
        <f t="shared" si="60"/>
        <v>20</v>
      </c>
      <c r="CL123" s="39">
        <f t="shared" si="61"/>
        <v>0.84444444444444444</v>
      </c>
      <c r="CM123" s="39">
        <f t="shared" si="62"/>
        <v>0.84444444444444444</v>
      </c>
      <c r="CN123" s="42">
        <f t="shared" si="63"/>
        <v>12</v>
      </c>
      <c r="CO123" s="42">
        <f t="shared" si="64"/>
        <v>12</v>
      </c>
      <c r="CP123" s="42">
        <f t="shared" si="65"/>
        <v>12</v>
      </c>
      <c r="CQ123" s="42">
        <f t="shared" si="66"/>
        <v>12</v>
      </c>
      <c r="CR123" s="42">
        <f t="shared" si="67"/>
        <v>14</v>
      </c>
      <c r="CS123" s="42">
        <f t="shared" si="68"/>
        <v>14</v>
      </c>
      <c r="CT123" s="43">
        <f t="shared" si="69"/>
        <v>12</v>
      </c>
      <c r="CU123" s="43">
        <f t="shared" si="70"/>
        <v>12</v>
      </c>
      <c r="CV123" s="43">
        <f t="shared" si="71"/>
        <v>14</v>
      </c>
      <c r="CW123" s="13"/>
    </row>
    <row r="124" spans="1:101" x14ac:dyDescent="0.25">
      <c r="A124" s="31" t="s">
        <v>126</v>
      </c>
      <c r="B124" s="13">
        <v>1503</v>
      </c>
      <c r="C124" s="13">
        <v>132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89</v>
      </c>
      <c r="M124" s="34">
        <f>IFERROR(INDEX('Pokemon Data'!I:I,MATCH($A124,'Pokemon Data'!$B:$B,0)),"")</f>
        <v>210</v>
      </c>
      <c r="N124" s="34">
        <f>IFERROR(INDEX('Pokemon Data'!J:J,MATCH($A124,'Pokemon Data'!$B:$B,0)),"")</f>
        <v>190</v>
      </c>
      <c r="O124" s="34">
        <f>IFERROR(INDEX('Pokemon Data'!K:K,MATCH($A124,'Pokemon Data'!$B:$B,0)),"")</f>
        <v>184</v>
      </c>
      <c r="P124" s="35">
        <f>IFERROR(INDEX('Level Multiplier'!$A:$A,MATCH($D124,'Level Multiplier'!$B:$B,0)),"")</f>
        <v>19</v>
      </c>
      <c r="Q124" s="36">
        <f>IFERROR(INDEX('Level Multiplier'!$D:$D,MATCH(P124,'Level Multiplier'!$A:$A,0)),"")</f>
        <v>1.7173900390793821</v>
      </c>
      <c r="R124" s="37">
        <f t="shared" si="36"/>
        <v>17</v>
      </c>
      <c r="S124" s="37">
        <f t="shared" si="37"/>
        <v>15</v>
      </c>
      <c r="T124" s="38">
        <f t="shared" si="38"/>
        <v>1965141013.8184834</v>
      </c>
      <c r="U124" s="38">
        <f t="shared" si="39"/>
        <v>1967756841.8335786</v>
      </c>
      <c r="V124" s="38" t="b">
        <f t="shared" si="40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1"/>
        <v>19.5</v>
      </c>
      <c r="AI124" s="36">
        <f>IFERROR(INDEX('Level Multiplier'!$D:$D,MATCH(AH124,'Level Multiplier'!$A:$A,0)),"")</f>
        <v>1.6952373004785586</v>
      </c>
      <c r="AJ124" s="37">
        <f t="shared" si="42"/>
        <v>14</v>
      </c>
      <c r="AK124" s="37">
        <f t="shared" si="43"/>
        <v>15</v>
      </c>
      <c r="AL124" s="38">
        <f t="shared" si="44"/>
        <v>1865692044.698858</v>
      </c>
      <c r="AM124" s="38">
        <f t="shared" si="45"/>
        <v>1868175494.7331028</v>
      </c>
      <c r="AN124" s="38" t="b">
        <f t="shared" si="46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7"/>
        <v>20</v>
      </c>
      <c r="BA124" s="36">
        <f>IFERROR(INDEX('Level Multiplier'!$D:$D,MATCH(AZ124,'Level Multiplier'!$A:$A,0)),"")</f>
        <v>1.6739202933726098</v>
      </c>
      <c r="BB124" s="37">
        <f t="shared" si="48"/>
        <v>11</v>
      </c>
      <c r="BC124" s="37">
        <f t="shared" si="49"/>
        <v>12</v>
      </c>
      <c r="BD124" s="38">
        <f t="shared" si="50"/>
        <v>1773605631.3155093</v>
      </c>
      <c r="BE124" s="38">
        <f t="shared" si="51"/>
        <v>1775966503.7747893</v>
      </c>
      <c r="BF124" s="38" t="b">
        <f t="shared" si="52"/>
        <v>0</v>
      </c>
      <c r="BG124" s="37">
        <f t="array" ref="BG124:BQ124">IF(BF124,"",IVSolution($M124,$N124,$O124,BB124,BC124,BD124,BE124,$E124,$F124,$G124,$H124,$I124))</f>
        <v>7</v>
      </c>
      <c r="BH124" s="37">
        <v>33</v>
      </c>
      <c r="BI124" s="37">
        <v>37</v>
      </c>
      <c r="BJ124" s="39">
        <v>0.73333333333333328</v>
      </c>
      <c r="BK124" s="39">
        <v>0.82222222222222219</v>
      </c>
      <c r="BL124" s="37">
        <v>11</v>
      </c>
      <c r="BM124" s="37">
        <v>12</v>
      </c>
      <c r="BN124" s="37">
        <v>11</v>
      </c>
      <c r="BO124" s="37">
        <v>15</v>
      </c>
      <c r="BP124" s="37">
        <v>7</v>
      </c>
      <c r="BQ124" s="37">
        <v>14</v>
      </c>
      <c r="BR124" s="40">
        <f t="shared" si="53"/>
        <v>20.5</v>
      </c>
      <c r="BS124" s="36">
        <f>IFERROR(INDEX('Level Multiplier'!$D:$D,MATCH(BR124,'Level Multiplier'!$A:$A,0)),"")</f>
        <v>1.653387720177633</v>
      </c>
      <c r="BT124" s="37">
        <f t="shared" si="54"/>
        <v>9</v>
      </c>
      <c r="BU124" s="37">
        <f t="shared" si="55"/>
        <v>9</v>
      </c>
      <c r="BV124" s="38">
        <f t="shared" si="56"/>
        <v>1688172386.6183734</v>
      </c>
      <c r="BW124" s="38">
        <f t="shared" si="57"/>
        <v>1690419537.6330712</v>
      </c>
      <c r="BX124" s="38" t="b">
        <f t="shared" si="58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9"/>
        <v>20</v>
      </c>
      <c r="CK124" s="41">
        <f t="shared" si="60"/>
        <v>20</v>
      </c>
      <c r="CL124" s="39">
        <f t="shared" si="61"/>
        <v>0.73333333333333328</v>
      </c>
      <c r="CM124" s="39">
        <f t="shared" si="62"/>
        <v>0.82222222222222219</v>
      </c>
      <c r="CN124" s="42">
        <f t="shared" si="63"/>
        <v>11</v>
      </c>
      <c r="CO124" s="42">
        <f t="shared" si="64"/>
        <v>12</v>
      </c>
      <c r="CP124" s="42">
        <f t="shared" si="65"/>
        <v>11</v>
      </c>
      <c r="CQ124" s="42">
        <f t="shared" si="66"/>
        <v>15</v>
      </c>
      <c r="CR124" s="42">
        <f t="shared" si="67"/>
        <v>7</v>
      </c>
      <c r="CS124" s="42">
        <f t="shared" si="68"/>
        <v>14</v>
      </c>
      <c r="CT124" s="43" t="str">
        <f t="shared" si="69"/>
        <v>11-12</v>
      </c>
      <c r="CU124" s="43" t="str">
        <f t="shared" si="70"/>
        <v>11-15</v>
      </c>
      <c r="CV124" s="43" t="str">
        <f t="shared" si="71"/>
        <v>7-14</v>
      </c>
      <c r="CW124" s="13" t="s">
        <v>403</v>
      </c>
    </row>
    <row r="125" spans="1:101" x14ac:dyDescent="0.25">
      <c r="A125" s="31" t="s">
        <v>127</v>
      </c>
      <c r="B125" s="13">
        <v>95</v>
      </c>
      <c r="C125" s="13">
        <v>18</v>
      </c>
      <c r="D125" s="13">
        <v>4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90</v>
      </c>
      <c r="M125" s="34">
        <f>IFERROR(INDEX('Pokemon Data'!I:I,MATCH($A125,'Pokemon Data'!$B:$B,0)),"")</f>
        <v>60</v>
      </c>
      <c r="N125" s="34">
        <f>IFERROR(INDEX('Pokemon Data'!J:J,MATCH($A125,'Pokemon Data'!$B:$B,0)),"")</f>
        <v>116</v>
      </c>
      <c r="O125" s="34">
        <f>IFERROR(INDEX('Pokemon Data'!K:K,MATCH($A125,'Pokemon Data'!$B:$B,0)),"")</f>
        <v>168</v>
      </c>
      <c r="P125" s="35">
        <f>IFERROR(INDEX('Level Multiplier'!$A:$A,MATCH($D125,'Level Multiplier'!$B:$B,0)),"")</f>
        <v>3</v>
      </c>
      <c r="Q125" s="36">
        <f>IFERROR(INDEX('Level Multiplier'!$D:$D,MATCH(P125,'Level Multiplier'!$A:$A,0)),"")</f>
        <v>4.6353708368517728</v>
      </c>
      <c r="R125" s="37">
        <f t="shared" si="36"/>
        <v>24</v>
      </c>
      <c r="S125" s="37">
        <f t="shared" si="37"/>
        <v>15</v>
      </c>
      <c r="T125" s="38">
        <f t="shared" si="38"/>
        <v>416663201.95986933</v>
      </c>
      <c r="U125" s="38">
        <f t="shared" si="39"/>
        <v>425481226.51104224</v>
      </c>
      <c r="V125" s="38" t="b">
        <f t="shared" si="40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1"/>
        <v>3.5</v>
      </c>
      <c r="AI125" s="36">
        <f>IFERROR(INDEX('Level Multiplier'!$D:$D,MATCH(AH125,'Level Multiplier'!$A:$A,0)),"")</f>
        <v>4.2270311192044296</v>
      </c>
      <c r="AJ125" s="37">
        <f t="shared" si="42"/>
        <v>17</v>
      </c>
      <c r="AK125" s="37">
        <f t="shared" si="43"/>
        <v>15</v>
      </c>
      <c r="AL125" s="38">
        <f t="shared" si="44"/>
        <v>288130339.50504416</v>
      </c>
      <c r="AM125" s="38">
        <f t="shared" si="45"/>
        <v>294228167.18875206</v>
      </c>
      <c r="AN125" s="38" t="b">
        <f t="shared" si="46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7"/>
        <v>4</v>
      </c>
      <c r="BA125" s="36">
        <f>IFERROR(INDEX('Level Multiplier'!$D:$D,MATCH(AZ125,'Level Multiplier'!$A:$A,0)),"")</f>
        <v>3.9105263744473695</v>
      </c>
      <c r="BB125" s="37">
        <f t="shared" si="48"/>
        <v>11</v>
      </c>
      <c r="BC125" s="37">
        <f t="shared" si="49"/>
        <v>14</v>
      </c>
      <c r="BD125" s="38">
        <f t="shared" si="50"/>
        <v>211051327.34521234</v>
      </c>
      <c r="BE125" s="38">
        <f t="shared" si="51"/>
        <v>215517898.37268442</v>
      </c>
      <c r="BF125" s="38" t="b">
        <f t="shared" si="52"/>
        <v>0</v>
      </c>
      <c r="BG125" s="37">
        <f t="array" ref="BG125:BQ125">IF(BF125,"",IVSolution($M125,$N125,$O125,BB125,BC125,BD125,BE125,$E125,$F125,$G125,$H125,$I125))</f>
        <v>72</v>
      </c>
      <c r="BH125" s="37">
        <v>29</v>
      </c>
      <c r="BI125" s="37">
        <v>39</v>
      </c>
      <c r="BJ125" s="39">
        <v>0.64444444444444449</v>
      </c>
      <c r="BK125" s="39">
        <v>0.8666666666666667</v>
      </c>
      <c r="BL125" s="37">
        <v>11</v>
      </c>
      <c r="BM125" s="37">
        <v>14</v>
      </c>
      <c r="BN125" s="37">
        <v>9</v>
      </c>
      <c r="BO125" s="37">
        <v>15</v>
      </c>
      <c r="BP125" s="37">
        <v>0</v>
      </c>
      <c r="BQ125" s="37">
        <v>15</v>
      </c>
      <c r="BR125" s="40">
        <f t="shared" si="53"/>
        <v>4.5</v>
      </c>
      <c r="BS125" s="36">
        <f>IFERROR(INDEX('Level Multiplier'!$D:$D,MATCH(BR125,'Level Multiplier'!$A:$A,0)),"")</f>
        <v>3.6559010240255545</v>
      </c>
      <c r="BT125" s="37">
        <f t="shared" si="54"/>
        <v>6</v>
      </c>
      <c r="BU125" s="37">
        <f t="shared" si="55"/>
        <v>9</v>
      </c>
      <c r="BV125" s="38">
        <f t="shared" si="56"/>
        <v>161222231.85789537</v>
      </c>
      <c r="BW125" s="38">
        <f t="shared" si="57"/>
        <v>164634248.06674391</v>
      </c>
      <c r="BX125" s="38" t="b">
        <f t="shared" si="58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9"/>
        <v>4</v>
      </c>
      <c r="CK125" s="41">
        <f t="shared" si="60"/>
        <v>4</v>
      </c>
      <c r="CL125" s="39">
        <f t="shared" si="61"/>
        <v>0.64444444444444449</v>
      </c>
      <c r="CM125" s="39">
        <f t="shared" si="62"/>
        <v>0.8666666666666667</v>
      </c>
      <c r="CN125" s="42">
        <f t="shared" si="63"/>
        <v>11</v>
      </c>
      <c r="CO125" s="42">
        <f t="shared" si="64"/>
        <v>14</v>
      </c>
      <c r="CP125" s="42">
        <f t="shared" si="65"/>
        <v>9</v>
      </c>
      <c r="CQ125" s="42">
        <f t="shared" si="66"/>
        <v>15</v>
      </c>
      <c r="CR125" s="42">
        <f t="shared" si="67"/>
        <v>0</v>
      </c>
      <c r="CS125" s="42">
        <f t="shared" si="68"/>
        <v>15</v>
      </c>
      <c r="CT125" s="43" t="str">
        <f t="shared" si="69"/>
        <v>11-14</v>
      </c>
      <c r="CU125" s="43" t="str">
        <f t="shared" si="70"/>
        <v>9-15</v>
      </c>
      <c r="CV125" s="43" t="str">
        <f t="shared" si="71"/>
        <v>0-15</v>
      </c>
      <c r="CW125" s="13"/>
    </row>
    <row r="126" spans="1:101" x14ac:dyDescent="0.25">
      <c r="A126" s="31" t="s">
        <v>128</v>
      </c>
      <c r="B126" s="13">
        <v>2109</v>
      </c>
      <c r="C126" s="13">
        <v>83</v>
      </c>
      <c r="D126" s="13">
        <v>50</v>
      </c>
      <c r="E126" s="32"/>
      <c r="F126" s="32"/>
      <c r="G126" s="32"/>
      <c r="H126" s="32"/>
      <c r="I126" s="32"/>
      <c r="J126" s="13">
        <v>1</v>
      </c>
      <c r="K126" s="33">
        <v>30</v>
      </c>
      <c r="L126" s="34">
        <f>IFERROR(INDEX('Pokemon Data'!A:A,MATCH($A126,'Pokemon Data'!$B:$B,0)),"")</f>
        <v>91</v>
      </c>
      <c r="M126" s="34">
        <f>IFERROR(INDEX('Pokemon Data'!I:I,MATCH($A126,'Pokemon Data'!$B:$B,0)),"")</f>
        <v>100</v>
      </c>
      <c r="N126" s="34">
        <f>IFERROR(INDEX('Pokemon Data'!J:J,MATCH($A126,'Pokemon Data'!$B:$B,0)),"")</f>
        <v>186</v>
      </c>
      <c r="O126" s="34">
        <f>IFERROR(INDEX('Pokemon Data'!K:K,MATCH($A126,'Pokemon Data'!$B:$B,0)),"")</f>
        <v>323</v>
      </c>
      <c r="P126" s="35">
        <f>IFERROR(INDEX('Level Multiplier'!$A:$A,MATCH($D126,'Level Multiplier'!$B:$B,0)),"")</f>
        <v>29</v>
      </c>
      <c r="Q126" s="36">
        <f>IFERROR(INDEX('Level Multiplier'!$D:$D,MATCH(P126,'Level Multiplier'!$A:$A,0)),"")</f>
        <v>1.3900490199396833</v>
      </c>
      <c r="R126" s="37">
        <f t="shared" si="36"/>
        <v>16</v>
      </c>
      <c r="S126" s="37">
        <f t="shared" si="37"/>
        <v>15</v>
      </c>
      <c r="T126" s="38">
        <f t="shared" si="38"/>
        <v>1660632843.3579342</v>
      </c>
      <c r="U126" s="38">
        <f t="shared" si="39"/>
        <v>1662208022.6323185</v>
      </c>
      <c r="V126" s="38" t="b">
        <f t="shared" si="40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1"/>
        <v>29.5</v>
      </c>
      <c r="AI126" s="36">
        <f>IFERROR(INDEX('Level Multiplier'!$D:$D,MATCH(AH126,'Level Multiplier'!$A:$A,0)),"")</f>
        <v>1.378223825401578</v>
      </c>
      <c r="AJ126" s="37">
        <f t="shared" si="42"/>
        <v>15</v>
      </c>
      <c r="AK126" s="37">
        <f t="shared" si="43"/>
        <v>15</v>
      </c>
      <c r="AL126" s="38">
        <f t="shared" si="44"/>
        <v>1604841597.3878672</v>
      </c>
      <c r="AM126" s="38">
        <f t="shared" si="45"/>
        <v>1606363856.3465443</v>
      </c>
      <c r="AN126" s="38" t="b">
        <f t="shared" si="46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7"/>
        <v>30</v>
      </c>
      <c r="BA126" s="36">
        <f>IFERROR(INDEX('Level Multiplier'!$D:$D,MATCH(AZ126,'Level Multiplier'!$A:$A,0)),"")</f>
        <v>1.3666803334700013</v>
      </c>
      <c r="BB126" s="37">
        <f t="shared" si="48"/>
        <v>14</v>
      </c>
      <c r="BC126" s="37">
        <f t="shared" si="49"/>
        <v>14</v>
      </c>
      <c r="BD126" s="38">
        <f t="shared" si="50"/>
        <v>1551747089.0069623</v>
      </c>
      <c r="BE126" s="38">
        <f t="shared" si="51"/>
        <v>1553218985.6176226</v>
      </c>
      <c r="BF126" s="38" t="b">
        <f t="shared" si="52"/>
        <v>0</v>
      </c>
      <c r="BG126" s="37">
        <f t="array" ref="BG126:BQ126">IF(BF126,"",IVSolution($M126,$N126,$O126,BB126,BC126,BD126,BE126,$E126,$F126,$G126,$H126,$I126))</f>
        <v>1</v>
      </c>
      <c r="BH126" s="37">
        <v>43</v>
      </c>
      <c r="BI126" s="37">
        <v>43</v>
      </c>
      <c r="BJ126" s="39">
        <v>0.9555555555555556</v>
      </c>
      <c r="BK126" s="39">
        <v>0.9555555555555556</v>
      </c>
      <c r="BL126" s="37">
        <v>14</v>
      </c>
      <c r="BM126" s="37">
        <v>14</v>
      </c>
      <c r="BN126" s="37">
        <v>15</v>
      </c>
      <c r="BO126" s="37">
        <v>15</v>
      </c>
      <c r="BP126" s="37">
        <v>14</v>
      </c>
      <c r="BQ126" s="37">
        <v>14</v>
      </c>
      <c r="BR126" s="40">
        <f t="shared" si="53"/>
        <v>30.5</v>
      </c>
      <c r="BS126" s="36">
        <f>IFERROR(INDEX('Level Multiplier'!$D:$D,MATCH(BR126,'Level Multiplier'!$A:$A,0)),"")</f>
        <v>1.3610237998842938</v>
      </c>
      <c r="BT126" s="37">
        <f t="shared" si="54"/>
        <v>13</v>
      </c>
      <c r="BU126" s="37">
        <f t="shared" si="55"/>
        <v>14</v>
      </c>
      <c r="BV126" s="38">
        <f t="shared" si="56"/>
        <v>1526216126.5534656</v>
      </c>
      <c r="BW126" s="38">
        <f t="shared" si="57"/>
        <v>1527663805.9850712</v>
      </c>
      <c r="BX126" s="38" t="b">
        <f t="shared" si="58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9"/>
        <v>30</v>
      </c>
      <c r="CK126" s="41">
        <f t="shared" si="60"/>
        <v>30</v>
      </c>
      <c r="CL126" s="39">
        <f t="shared" si="61"/>
        <v>0.9555555555555556</v>
      </c>
      <c r="CM126" s="39">
        <f t="shared" si="62"/>
        <v>0.9555555555555556</v>
      </c>
      <c r="CN126" s="42">
        <f t="shared" si="63"/>
        <v>14</v>
      </c>
      <c r="CO126" s="42">
        <f t="shared" si="64"/>
        <v>14</v>
      </c>
      <c r="CP126" s="42">
        <f t="shared" si="65"/>
        <v>15</v>
      </c>
      <c r="CQ126" s="42">
        <f t="shared" si="66"/>
        <v>15</v>
      </c>
      <c r="CR126" s="42">
        <f t="shared" si="67"/>
        <v>14</v>
      </c>
      <c r="CS126" s="42">
        <f t="shared" si="68"/>
        <v>14</v>
      </c>
      <c r="CT126" s="43">
        <f t="shared" si="69"/>
        <v>14</v>
      </c>
      <c r="CU126" s="43">
        <f t="shared" si="70"/>
        <v>15</v>
      </c>
      <c r="CV126" s="43">
        <f t="shared" si="71"/>
        <v>14</v>
      </c>
      <c r="CW126" s="13" t="s">
        <v>399</v>
      </c>
    </row>
    <row r="127" spans="1:101" x14ac:dyDescent="0.25">
      <c r="A127" s="31" t="s">
        <v>128</v>
      </c>
      <c r="B127" s="13">
        <v>1778</v>
      </c>
      <c r="C127" s="13">
        <v>76</v>
      </c>
      <c r="D127" s="13">
        <v>40</v>
      </c>
      <c r="E127" s="32"/>
      <c r="F127" s="32"/>
      <c r="G127" s="32"/>
      <c r="H127" s="32"/>
      <c r="I127" s="32"/>
      <c r="J127" s="13"/>
      <c r="K127" s="33"/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Multiplier'!$A:$A,MATCH($D127,'Level Multiplier'!$B:$B,0)),"")</f>
        <v>25</v>
      </c>
      <c r="Q127" s="36">
        <f>IFERROR(INDEX('Level Multiplier'!$D:$D,MATCH(P127,'Level Multiplier'!$A:$A,0)),"")</f>
        <v>1.4971539104162985</v>
      </c>
      <c r="R127" s="37">
        <f t="shared" si="36"/>
        <v>14</v>
      </c>
      <c r="S127" s="37">
        <f t="shared" si="37"/>
        <v>15</v>
      </c>
      <c r="T127" s="38">
        <f t="shared" si="38"/>
        <v>1588288199.3216016</v>
      </c>
      <c r="U127" s="38">
        <f t="shared" si="39"/>
        <v>1590075302.6394265</v>
      </c>
      <c r="V127" s="38" t="b">
        <f t="shared" si="40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1"/>
        <v>25.5</v>
      </c>
      <c r="AI127" s="36">
        <f>IFERROR(INDEX('Level Multiplier'!$D:$D,MATCH(AH127,'Level Multiplier'!$A:$A,0)),"")</f>
        <v>1.4824092786238152</v>
      </c>
      <c r="AJ127" s="37">
        <f t="shared" si="42"/>
        <v>13</v>
      </c>
      <c r="AK127" s="37">
        <f t="shared" si="43"/>
        <v>14</v>
      </c>
      <c r="AL127" s="38">
        <f t="shared" si="44"/>
        <v>1526637801.2920084</v>
      </c>
      <c r="AM127" s="38">
        <f t="shared" si="45"/>
        <v>1528355537.0788581</v>
      </c>
      <c r="AN127" s="38" t="b">
        <f t="shared" si="46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7"/>
        <v>26</v>
      </c>
      <c r="BA127" s="36">
        <f>IFERROR(INDEX('Level Multiplier'!$D:$D,MATCH(AZ127,'Level Multiplier'!$A:$A,0)),"")</f>
        <v>1.4680732530970622</v>
      </c>
      <c r="BB127" s="37">
        <f t="shared" si="48"/>
        <v>12</v>
      </c>
      <c r="BC127" s="37">
        <f t="shared" si="49"/>
        <v>13</v>
      </c>
      <c r="BD127" s="38">
        <f t="shared" si="50"/>
        <v>1468433955.7590816</v>
      </c>
      <c r="BE127" s="38">
        <f t="shared" si="51"/>
        <v>1470086201.9921422</v>
      </c>
      <c r="BF127" s="38" t="b">
        <f t="shared" si="52"/>
        <v>0</v>
      </c>
      <c r="BG127" s="37">
        <f t="array" ref="BG127:BQ127">IF(BF127,"",IVSolution($M127,$N127,$O127,BB127,BC127,BD127,BE127,$E127,$F127,$G127,$H127,$I127))</f>
        <v>4</v>
      </c>
      <c r="BH127" s="37">
        <v>29</v>
      </c>
      <c r="BI127" s="37">
        <v>38</v>
      </c>
      <c r="BJ127" s="39">
        <v>0.64444444444444449</v>
      </c>
      <c r="BK127" s="39">
        <v>0.84444444444444444</v>
      </c>
      <c r="BL127" s="37">
        <v>12</v>
      </c>
      <c r="BM127" s="37">
        <v>13</v>
      </c>
      <c r="BN127" s="37">
        <v>11</v>
      </c>
      <c r="BO127" s="37">
        <v>14</v>
      </c>
      <c r="BP127" s="37">
        <v>2</v>
      </c>
      <c r="BQ127" s="37">
        <v>15</v>
      </c>
      <c r="BR127" s="40">
        <f t="shared" si="53"/>
        <v>26.5</v>
      </c>
      <c r="BS127" s="36">
        <f>IFERROR(INDEX('Level Multiplier'!$D:$D,MATCH(BR127,'Level Multiplier'!$A:$A,0)),"")</f>
        <v>1.4541633575240582</v>
      </c>
      <c r="BT127" s="37">
        <f t="shared" si="54"/>
        <v>11</v>
      </c>
      <c r="BU127" s="37">
        <f t="shared" si="55"/>
        <v>11</v>
      </c>
      <c r="BV127" s="38">
        <f t="shared" si="56"/>
        <v>1413566684.7876565</v>
      </c>
      <c r="BW127" s="38">
        <f t="shared" si="57"/>
        <v>1415157195.6996119</v>
      </c>
      <c r="BX127" s="38" t="b">
        <f t="shared" si="58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9"/>
        <v>26</v>
      </c>
      <c r="CK127" s="41">
        <f t="shared" si="60"/>
        <v>26</v>
      </c>
      <c r="CL127" s="39">
        <f t="shared" si="61"/>
        <v>0.64444444444444449</v>
      </c>
      <c r="CM127" s="39">
        <f t="shared" si="62"/>
        <v>0.84444444444444444</v>
      </c>
      <c r="CN127" s="42">
        <f t="shared" si="63"/>
        <v>12</v>
      </c>
      <c r="CO127" s="42">
        <f t="shared" si="64"/>
        <v>13</v>
      </c>
      <c r="CP127" s="42">
        <f t="shared" si="65"/>
        <v>11</v>
      </c>
      <c r="CQ127" s="42">
        <f t="shared" si="66"/>
        <v>14</v>
      </c>
      <c r="CR127" s="42">
        <f t="shared" si="67"/>
        <v>2</v>
      </c>
      <c r="CS127" s="42">
        <f t="shared" si="68"/>
        <v>15</v>
      </c>
      <c r="CT127" s="43" t="str">
        <f t="shared" si="69"/>
        <v>12-13</v>
      </c>
      <c r="CU127" s="43" t="str">
        <f t="shared" si="70"/>
        <v>11-14</v>
      </c>
      <c r="CV127" s="43" t="str">
        <f t="shared" si="71"/>
        <v>2-15</v>
      </c>
      <c r="CW127" s="13" t="s">
        <v>399</v>
      </c>
    </row>
    <row r="128" spans="1:101" x14ac:dyDescent="0.25">
      <c r="A128" s="31" t="s">
        <v>129</v>
      </c>
      <c r="B128" s="13">
        <v>41</v>
      </c>
      <c r="C128" s="13">
        <v>11</v>
      </c>
      <c r="D128" s="13">
        <v>2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92</v>
      </c>
      <c r="M128" s="34">
        <f>IFERROR(INDEX('Pokemon Data'!I:I,MATCH($A128,'Pokemon Data'!$B:$B,0)),"")</f>
        <v>60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70</v>
      </c>
      <c r="P128" s="35">
        <f>IFERROR(INDEX('Level Multiplier'!$A:$A,MATCH($D128,'Level Multiplier'!$B:$B,0)),"")</f>
        <v>1</v>
      </c>
      <c r="Q128" s="36">
        <f>IFERROR(INDEX('Level Multiplier'!$D:$D,MATCH(P128,'Level Multiplier'!$A:$A,0)),"")</f>
        <v>10.638297872340425</v>
      </c>
      <c r="R128" s="37">
        <f t="shared" si="36"/>
        <v>58</v>
      </c>
      <c r="S128" s="37">
        <f t="shared" si="37"/>
        <v>15</v>
      </c>
      <c r="T128" s="38">
        <f t="shared" si="38"/>
        <v>2153060825.082623</v>
      </c>
      <c r="U128" s="38">
        <f t="shared" si="39"/>
        <v>2259369003.8344717</v>
      </c>
      <c r="V128" s="38" t="b">
        <f t="shared" si="40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1"/>
        <v>1.5</v>
      </c>
      <c r="AI128" s="36">
        <f>IFERROR(INDEX('Level Multiplier'!$D:$D,MATCH(AH128,'Level Multiplier'!$A:$A,0)),"")</f>
        <v>7.3998742258177588</v>
      </c>
      <c r="AJ128" s="37">
        <f t="shared" si="42"/>
        <v>22</v>
      </c>
      <c r="AK128" s="37">
        <f t="shared" si="43"/>
        <v>15</v>
      </c>
      <c r="AL128" s="38">
        <f t="shared" si="44"/>
        <v>504040073.4130345</v>
      </c>
      <c r="AM128" s="38">
        <f t="shared" si="45"/>
        <v>528927239.44116169</v>
      </c>
      <c r="AN128" s="38" t="b">
        <f t="shared" si="46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7"/>
        <v>2</v>
      </c>
      <c r="BA128" s="36">
        <f>IFERROR(INDEX('Level Multiplier'!$D:$D,MATCH(AZ128,'Level Multiplier'!$A:$A,0)),"")</f>
        <v>6.0096923115662477</v>
      </c>
      <c r="BB128" s="37">
        <f t="shared" si="48"/>
        <v>7</v>
      </c>
      <c r="BC128" s="37">
        <f t="shared" si="49"/>
        <v>12</v>
      </c>
      <c r="BD128" s="38">
        <f t="shared" si="50"/>
        <v>219268710.45563576</v>
      </c>
      <c r="BE128" s="38">
        <f t="shared" si="51"/>
        <v>230095184.55903718</v>
      </c>
      <c r="BF128" s="38" t="b">
        <f t="shared" si="52"/>
        <v>0</v>
      </c>
      <c r="BG128" s="37">
        <f t="array" ref="BG128:BQ128">IF(BF128,"",IVSolution($M128,$N128,$O128,BB128,BC128,BD128,BE128,$E128,$F128,$G128,$H128,$I128))</f>
        <v>169</v>
      </c>
      <c r="BH128" s="37">
        <v>31</v>
      </c>
      <c r="BI128" s="37">
        <v>37</v>
      </c>
      <c r="BJ128" s="39">
        <v>0.68888888888888888</v>
      </c>
      <c r="BK128" s="39">
        <v>0.82222222222222219</v>
      </c>
      <c r="BL128" s="37">
        <v>7</v>
      </c>
      <c r="BM128" s="37">
        <v>12</v>
      </c>
      <c r="BN128" s="37">
        <v>4</v>
      </c>
      <c r="BO128" s="37">
        <v>15</v>
      </c>
      <c r="BP128" s="37">
        <v>6</v>
      </c>
      <c r="BQ128" s="37">
        <v>15</v>
      </c>
      <c r="BR128" s="40">
        <f t="shared" si="53"/>
        <v>2.5</v>
      </c>
      <c r="BS128" s="36">
        <f>IFERROR(INDEX('Level Multiplier'!$D:$D,MATCH(BR128,'Level Multiplier'!$A:$A,0)),"")</f>
        <v>5.1907356849930206</v>
      </c>
      <c r="BT128" s="37">
        <f t="shared" si="54"/>
        <v>0</v>
      </c>
      <c r="BU128" s="37">
        <f t="shared" si="55"/>
        <v>2</v>
      </c>
      <c r="BV128" s="38">
        <f t="shared" si="56"/>
        <v>122034709.92888175</v>
      </c>
      <c r="BW128" s="38">
        <f t="shared" si="57"/>
        <v>128060219.10443035</v>
      </c>
      <c r="BX128" s="38" t="b">
        <f t="shared" si="58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9"/>
        <v>2</v>
      </c>
      <c r="CK128" s="41">
        <f t="shared" si="60"/>
        <v>2</v>
      </c>
      <c r="CL128" s="39">
        <f t="shared" si="61"/>
        <v>0.68888888888888888</v>
      </c>
      <c r="CM128" s="39">
        <f t="shared" si="62"/>
        <v>0.82222222222222219</v>
      </c>
      <c r="CN128" s="42">
        <f t="shared" si="63"/>
        <v>7</v>
      </c>
      <c r="CO128" s="42">
        <f t="shared" si="64"/>
        <v>12</v>
      </c>
      <c r="CP128" s="42">
        <f t="shared" si="65"/>
        <v>4</v>
      </c>
      <c r="CQ128" s="42">
        <f t="shared" si="66"/>
        <v>15</v>
      </c>
      <c r="CR128" s="42">
        <f t="shared" si="67"/>
        <v>6</v>
      </c>
      <c r="CS128" s="42">
        <f t="shared" si="68"/>
        <v>15</v>
      </c>
      <c r="CT128" s="43" t="str">
        <f t="shared" si="69"/>
        <v>7-12</v>
      </c>
      <c r="CU128" s="43" t="str">
        <f t="shared" si="70"/>
        <v>4-15</v>
      </c>
      <c r="CV128" s="43" t="str">
        <f t="shared" si="71"/>
        <v>6-15</v>
      </c>
      <c r="CW128" s="13" t="s">
        <v>400</v>
      </c>
    </row>
    <row r="129" spans="1:101" x14ac:dyDescent="0.25">
      <c r="A129" s="31" t="s">
        <v>132</v>
      </c>
      <c r="B129" s="13">
        <v>1448</v>
      </c>
      <c r="C129" s="13">
        <v>79</v>
      </c>
      <c r="D129" s="13">
        <v>25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94</v>
      </c>
      <c r="M129" s="34">
        <f>IFERROR(INDEX('Pokemon Data'!I:I,MATCH($A129,'Pokemon Data'!$B:$B,0)),"")</f>
        <v>120</v>
      </c>
      <c r="N129" s="34">
        <f>IFERROR(INDEX('Pokemon Data'!J:J,MATCH($A129,'Pokemon Data'!$B:$B,0)),"")</f>
        <v>261</v>
      </c>
      <c r="O129" s="34">
        <f>IFERROR(INDEX('Pokemon Data'!K:K,MATCH($A129,'Pokemon Data'!$B:$B,0)),"")</f>
        <v>156</v>
      </c>
      <c r="P129" s="35">
        <f>IFERROR(INDEX('Level Multiplier'!$A:$A,MATCH($D129,'Level Multiplier'!$B:$B,0)),"")</f>
        <v>19</v>
      </c>
      <c r="Q129" s="36">
        <f>IFERROR(INDEX('Level Multiplier'!$D:$D,MATCH(P129,'Level Multiplier'!$A:$A,0)),"")</f>
        <v>1.7173900390793821</v>
      </c>
      <c r="R129" s="37">
        <f t="shared" si="36"/>
        <v>16</v>
      </c>
      <c r="S129" s="37">
        <f t="shared" si="37"/>
        <v>15</v>
      </c>
      <c r="T129" s="38">
        <f t="shared" si="38"/>
        <v>1823949804.6432171</v>
      </c>
      <c r="U129" s="38">
        <f t="shared" si="39"/>
        <v>1826469942.2420635</v>
      </c>
      <c r="V129" s="38" t="b">
        <f t="shared" si="40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1"/>
        <v>19.5</v>
      </c>
      <c r="AI129" s="36">
        <f>IFERROR(INDEX('Level Multiplier'!$D:$D,MATCH(AH129,'Level Multiplier'!$A:$A,0)),"")</f>
        <v>1.6952373004785586</v>
      </c>
      <c r="AJ129" s="37">
        <f t="shared" si="42"/>
        <v>14</v>
      </c>
      <c r="AK129" s="37">
        <f t="shared" si="43"/>
        <v>15</v>
      </c>
      <c r="AL129" s="38">
        <f t="shared" si="44"/>
        <v>1731646032.790606</v>
      </c>
      <c r="AM129" s="38">
        <f t="shared" si="45"/>
        <v>1734038634.9685931</v>
      </c>
      <c r="AN129" s="38" t="b">
        <f t="shared" si="46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7"/>
        <v>20</v>
      </c>
      <c r="BA129" s="36">
        <f>IFERROR(INDEX('Level Multiplier'!$D:$D,MATCH(AZ129,'Level Multiplier'!$A:$A,0)),"")</f>
        <v>1.6739202933726098</v>
      </c>
      <c r="BB129" s="37">
        <f t="shared" si="48"/>
        <v>13</v>
      </c>
      <c r="BC129" s="37">
        <f t="shared" si="49"/>
        <v>13</v>
      </c>
      <c r="BD129" s="38">
        <f t="shared" si="50"/>
        <v>1646175832.6778483</v>
      </c>
      <c r="BE129" s="38">
        <f t="shared" si="51"/>
        <v>1648450341.3291733</v>
      </c>
      <c r="BF129" s="38" t="b">
        <f t="shared" si="52"/>
        <v>0</v>
      </c>
      <c r="BG129" s="37">
        <f t="array" ref="BG129:BQ129">IF(BF129,"",IVSolution($M129,$N129,$O129,BB129,BC129,BD129,BE129,$E129,$F129,$G129,$H129,$I129))</f>
        <v>2</v>
      </c>
      <c r="BH129" s="37">
        <v>35</v>
      </c>
      <c r="BI129" s="37">
        <v>36</v>
      </c>
      <c r="BJ129" s="39">
        <v>0.77777777777777779</v>
      </c>
      <c r="BK129" s="39">
        <v>0.8</v>
      </c>
      <c r="BL129" s="37">
        <v>13</v>
      </c>
      <c r="BM129" s="37">
        <v>13</v>
      </c>
      <c r="BN129" s="37">
        <v>9</v>
      </c>
      <c r="BO129" s="37">
        <v>13</v>
      </c>
      <c r="BP129" s="37">
        <v>9</v>
      </c>
      <c r="BQ129" s="37">
        <v>14</v>
      </c>
      <c r="BR129" s="40">
        <f t="shared" si="53"/>
        <v>20.5</v>
      </c>
      <c r="BS129" s="36">
        <f>IFERROR(INDEX('Level Multiplier'!$D:$D,MATCH(BR129,'Level Multiplier'!$A:$A,0)),"")</f>
        <v>1.653387720177633</v>
      </c>
      <c r="BT129" s="37">
        <f t="shared" si="54"/>
        <v>11</v>
      </c>
      <c r="BU129" s="37">
        <f t="shared" si="55"/>
        <v>12</v>
      </c>
      <c r="BV129" s="38">
        <f t="shared" si="56"/>
        <v>1566880785.2081554</v>
      </c>
      <c r="BW129" s="38">
        <f t="shared" si="57"/>
        <v>1569045732.4943473</v>
      </c>
      <c r="BX129" s="38" t="b">
        <f t="shared" si="58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9"/>
        <v>20</v>
      </c>
      <c r="CK129" s="41">
        <f t="shared" si="60"/>
        <v>20</v>
      </c>
      <c r="CL129" s="39">
        <f t="shared" si="61"/>
        <v>0.77777777777777779</v>
      </c>
      <c r="CM129" s="39">
        <f t="shared" si="62"/>
        <v>0.8</v>
      </c>
      <c r="CN129" s="42">
        <f t="shared" si="63"/>
        <v>13</v>
      </c>
      <c r="CO129" s="42">
        <f t="shared" si="64"/>
        <v>13</v>
      </c>
      <c r="CP129" s="42">
        <f t="shared" si="65"/>
        <v>9</v>
      </c>
      <c r="CQ129" s="42">
        <f t="shared" si="66"/>
        <v>13</v>
      </c>
      <c r="CR129" s="42">
        <f t="shared" si="67"/>
        <v>9</v>
      </c>
      <c r="CS129" s="42">
        <f t="shared" si="68"/>
        <v>14</v>
      </c>
      <c r="CT129" s="43">
        <f t="shared" si="69"/>
        <v>13</v>
      </c>
      <c r="CU129" s="43" t="str">
        <f t="shared" si="70"/>
        <v>9-13</v>
      </c>
      <c r="CV129" s="43" t="str">
        <f t="shared" si="71"/>
        <v>9-14</v>
      </c>
      <c r="CW129" s="13" t="s">
        <v>399</v>
      </c>
    </row>
    <row r="130" spans="1:101" x14ac:dyDescent="0.25">
      <c r="A130" s="31" t="s">
        <v>133</v>
      </c>
      <c r="B130" s="13">
        <v>156</v>
      </c>
      <c r="C130" s="13">
        <v>26</v>
      </c>
      <c r="D130" s="13">
        <v>8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95</v>
      </c>
      <c r="M130" s="34">
        <f>IFERROR(INDEX('Pokemon Data'!I:I,MATCH($A130,'Pokemon Data'!$B:$B,0)),"")</f>
        <v>70</v>
      </c>
      <c r="N130" s="34">
        <f>IFERROR(INDEX('Pokemon Data'!J:J,MATCH($A130,'Pokemon Data'!$B:$B,0)),"")</f>
        <v>85</v>
      </c>
      <c r="O130" s="34">
        <f>IFERROR(INDEX('Pokemon Data'!K:K,MATCH($A130,'Pokemon Data'!$B:$B,0)),"")</f>
        <v>288</v>
      </c>
      <c r="P130" s="35">
        <f>IFERROR(INDEX('Level Multiplier'!$A:$A,MATCH($D130,'Level Multiplier'!$B:$B,0)),"")</f>
        <v>7</v>
      </c>
      <c r="Q130" s="36">
        <f>IFERROR(INDEX('Level Multiplier'!$D:$D,MATCH(P130,'Level Multiplier'!$A:$A,0)),"")</f>
        <v>2.8635844494535538</v>
      </c>
      <c r="R130" s="37">
        <f t="shared" si="36"/>
        <v>5</v>
      </c>
      <c r="S130" s="37">
        <f t="shared" si="37"/>
        <v>7</v>
      </c>
      <c r="T130" s="38">
        <f t="shared" si="38"/>
        <v>163639889.68838954</v>
      </c>
      <c r="U130" s="38">
        <f t="shared" si="39"/>
        <v>165744561.18216279</v>
      </c>
      <c r="V130" s="38" t="b">
        <f t="shared" si="40"/>
        <v>0</v>
      </c>
      <c r="W130" s="37">
        <f t="array" ref="W130:AG130">IF(V130,"",IVSolution($M130,$N130,$O130,R130,S130,T130,U130,$E130,$F130,$G130,$H130,$I130))</f>
        <v>22</v>
      </c>
      <c r="X130" s="37">
        <v>8</v>
      </c>
      <c r="Y130" s="37">
        <v>20</v>
      </c>
      <c r="Z130" s="39">
        <v>0.17777777777777778</v>
      </c>
      <c r="AA130" s="39">
        <v>0.44444444444444442</v>
      </c>
      <c r="AB130" s="37">
        <v>5</v>
      </c>
      <c r="AC130" s="37">
        <v>7</v>
      </c>
      <c r="AD130" s="37">
        <v>0</v>
      </c>
      <c r="AE130" s="37">
        <v>2</v>
      </c>
      <c r="AF130" s="37">
        <v>0</v>
      </c>
      <c r="AG130" s="37">
        <v>15</v>
      </c>
      <c r="AH130" s="40">
        <f t="shared" si="41"/>
        <v>7.5</v>
      </c>
      <c r="AI130" s="36">
        <f>IFERROR(INDEX('Level Multiplier'!$D:$D,MATCH(AH130,'Level Multiplier'!$A:$A,0)),"")</f>
        <v>2.7589422415193434</v>
      </c>
      <c r="AJ130" s="37">
        <f t="shared" si="42"/>
        <v>2</v>
      </c>
      <c r="AK130" s="37">
        <f t="shared" si="43"/>
        <v>4</v>
      </c>
      <c r="AL130" s="38">
        <f t="shared" si="44"/>
        <v>141000168.34364623</v>
      </c>
      <c r="AM130" s="38">
        <f t="shared" si="45"/>
        <v>142813656.70210946</v>
      </c>
      <c r="AN130" s="38" t="b">
        <f t="shared" si="46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7"/>
        <v>8</v>
      </c>
      <c r="BA130" s="36">
        <f>IFERROR(INDEX('Level Multiplier'!$D:$D,MATCH(AZ130,'Level Multiplier'!$A:$A,0)),"")</f>
        <v>2.6649924118338562</v>
      </c>
      <c r="BB130" s="37">
        <f t="shared" si="48"/>
        <v>0</v>
      </c>
      <c r="BC130" s="37">
        <f t="shared" si="49"/>
        <v>1</v>
      </c>
      <c r="BD130" s="38">
        <f t="shared" si="50"/>
        <v>122753279.54766765</v>
      </c>
      <c r="BE130" s="38">
        <f t="shared" si="51"/>
        <v>124332083.64441404</v>
      </c>
      <c r="BF130" s="38" t="b">
        <f t="shared" si="52"/>
        <v>1</v>
      </c>
      <c r="BG130" s="37" t="str">
        <f t="array" ref="BG130:BQ130">IF(BF130,"",IVSolution($M130,$N130,$O130,BB130,BC130,BD130,BE130,$E130,$F130,$G130,$H130,$I130))</f>
        <v/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3"/>
        <v>8.5</v>
      </c>
      <c r="BS130" s="36">
        <f>IFERROR(INDEX('Level Multiplier'!$D:$D,MATCH(BR130,'Level Multiplier'!$A:$A,0)),"")</f>
        <v>2.5800299090483212</v>
      </c>
      <c r="BT130" s="37">
        <f t="shared" si="54"/>
        <v>0</v>
      </c>
      <c r="BU130" s="37">
        <f t="shared" si="55"/>
        <v>0</v>
      </c>
      <c r="BV130" s="38">
        <f t="shared" si="56"/>
        <v>107832123.80951717</v>
      </c>
      <c r="BW130" s="38">
        <f t="shared" si="57"/>
        <v>109219017.90683715</v>
      </c>
      <c r="BX130" s="38" t="b">
        <f t="shared" si="58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9"/>
        <v>7</v>
      </c>
      <c r="CK130" s="41">
        <f t="shared" si="60"/>
        <v>7</v>
      </c>
      <c r="CL130" s="39">
        <f t="shared" si="61"/>
        <v>0.17777777777777778</v>
      </c>
      <c r="CM130" s="39">
        <f t="shared" si="62"/>
        <v>0.44444444444444442</v>
      </c>
      <c r="CN130" s="42">
        <f t="shared" si="63"/>
        <v>5</v>
      </c>
      <c r="CO130" s="42">
        <f t="shared" si="64"/>
        <v>7</v>
      </c>
      <c r="CP130" s="42">
        <f t="shared" si="65"/>
        <v>0</v>
      </c>
      <c r="CQ130" s="42">
        <f t="shared" si="66"/>
        <v>2</v>
      </c>
      <c r="CR130" s="42">
        <f t="shared" si="67"/>
        <v>0</v>
      </c>
      <c r="CS130" s="42">
        <f t="shared" si="68"/>
        <v>15</v>
      </c>
      <c r="CT130" s="43" t="str">
        <f t="shared" si="69"/>
        <v>5-7</v>
      </c>
      <c r="CU130" s="43" t="str">
        <f t="shared" si="70"/>
        <v>0-2</v>
      </c>
      <c r="CV130" s="43" t="str">
        <f t="shared" si="71"/>
        <v>0-15</v>
      </c>
      <c r="CW130" s="13" t="s">
        <v>404</v>
      </c>
    </row>
    <row r="131" spans="1:101" x14ac:dyDescent="0.25">
      <c r="A131" s="31" t="s">
        <v>135</v>
      </c>
      <c r="B131" s="13">
        <v>557</v>
      </c>
      <c r="C131" s="13">
        <v>78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96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89</v>
      </c>
      <c r="O131" s="34">
        <f>IFERROR(INDEX('Pokemon Data'!K:K,MATCH($A131,'Pokemon Data'!$B:$B,0)),"")</f>
        <v>158</v>
      </c>
      <c r="P131" s="35">
        <f>IFERROR(INDEX('Level Multiplier'!$A:$A,MATCH($D131,'Level Multiplier'!$B:$B,0)),"")</f>
        <v>19</v>
      </c>
      <c r="Q131" s="36">
        <f>IFERROR(INDEX('Level Multiplier'!$D:$D,MATCH(P131,'Level Multiplier'!$A:$A,0)),"")</f>
        <v>1.7173900390793821</v>
      </c>
      <c r="R131" s="37">
        <f t="shared" ref="R131:R194" si="72">IF(P131="","",IF($C131&gt;10,MAX(0,ROUNDUP(Q131*$C131-$M131,0)),0))</f>
        <v>14</v>
      </c>
      <c r="S131" s="37">
        <f t="shared" ref="S131:S194" si="73">IF(P131="","",MIN(15,ROUNDDOWN(Q131*($C131+1)-$M131,0)))</f>
        <v>15</v>
      </c>
      <c r="T131" s="38">
        <f t="shared" ref="T131:T194" si="74">IFERROR(IF($B131&gt;10,100*Q131^4*$B131^2,$N131^2*$O131*($M131+R131)),"")</f>
        <v>269889599.55279976</v>
      </c>
      <c r="U131" s="38">
        <f t="shared" ref="U131:U194" si="75">IFERROR(100*Q131^4*($B131+1)^2,"")</f>
        <v>270859552.40841371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7">IFERROR(P131+0.5,"")</f>
        <v>19.5</v>
      </c>
      <c r="AI131" s="36">
        <f>IFERROR(INDEX('Level Multiplier'!$D:$D,MATCH(AH131,'Level Multiplier'!$A:$A,0)),"")</f>
        <v>1.6952373004785586</v>
      </c>
      <c r="AJ131" s="37">
        <f t="shared" ref="AJ131:AJ194" si="78">IF(AH131="","",IF($C131&gt;10,MAX(0,ROUNDUP(AI131*$C131-$M131,0)),0))</f>
        <v>13</v>
      </c>
      <c r="AK131" s="37">
        <f t="shared" ref="AK131:AK194" si="79">IF(AH131="","",MIN(15,ROUNDDOWN(AI131*($C131+1)-$M131,0)))</f>
        <v>13</v>
      </c>
      <c r="AL131" s="38">
        <f t="shared" ref="AL131:AL194" si="80">IFERROR(IF($B131&gt;10,100*AI131^4*$B131^2,$N131^2*$O131*($M131+AJ131)),"")</f>
        <v>256231423.23725843</v>
      </c>
      <c r="AM131" s="38">
        <f t="shared" ref="AM131:AM194" si="81">IFERROR(100*AI131^4*($B131+1)^2,"")</f>
        <v>257152290.14387068</v>
      </c>
      <c r="AN131" s="38" t="b">
        <f t="shared" ref="AN131:AN194" si="82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3">IFERROR(AH131+0.5,"")</f>
        <v>20</v>
      </c>
      <c r="BA131" s="36">
        <f>IFERROR(INDEX('Level Multiplier'!$D:$D,MATCH(AZ131,'Level Multiplier'!$A:$A,0)),"")</f>
        <v>1.6739202933726098</v>
      </c>
      <c r="BB131" s="37">
        <f t="shared" ref="BB131:BB194" si="84">IF(AZ131="","",IF($C131&gt;10,MAX(0,ROUNDUP(BA131*$C131-$M131,0)),0))</f>
        <v>11</v>
      </c>
      <c r="BC131" s="37">
        <f t="shared" ref="BC131:BC194" si="85">IF(AZ131="","",MIN(15,ROUNDDOWN(BA131*($C131+1)-$M131,0)))</f>
        <v>12</v>
      </c>
      <c r="BD131" s="38">
        <f t="shared" ref="BD131:BD194" si="86">IFERROR(IF($B131&gt;10,100*BA131^4*$B131^2,$N131^2*$O131*($M131+BB131)),"")</f>
        <v>243584409.58402798</v>
      </c>
      <c r="BE131" s="38">
        <f t="shared" ref="BE131:BE194" si="87">IFERROR(100*BA131^4*($B131+1)^2,"")</f>
        <v>244459824.54648131</v>
      </c>
      <c r="BF131" s="38" t="b">
        <f t="shared" ref="BF131:BF194" si="88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40</v>
      </c>
      <c r="BI131" s="37">
        <v>40</v>
      </c>
      <c r="BJ131" s="39">
        <v>0.88888888888888884</v>
      </c>
      <c r="BK131" s="39">
        <v>0.88888888888888884</v>
      </c>
      <c r="BL131" s="37">
        <v>11</v>
      </c>
      <c r="BM131" s="37">
        <v>12</v>
      </c>
      <c r="BN131" s="37">
        <v>15</v>
      </c>
      <c r="BO131" s="37">
        <v>15</v>
      </c>
      <c r="BP131" s="37">
        <v>13</v>
      </c>
      <c r="BQ131" s="37">
        <v>14</v>
      </c>
      <c r="BR131" s="40">
        <f t="shared" ref="BR131:BR194" si="89">IFERROR(AZ131+0.5,"")</f>
        <v>20.5</v>
      </c>
      <c r="BS131" s="36">
        <f>IFERROR(INDEX('Level Multiplier'!$D:$D,MATCH(BR131,'Level Multiplier'!$A:$A,0)),"")</f>
        <v>1.653387720177633</v>
      </c>
      <c r="BT131" s="37">
        <f t="shared" ref="BT131:BT194" si="90">IF(BR131="","",IF($C131&gt;10,MAX(0,ROUNDUP(BS131*$C131-$M131,0)),0))</f>
        <v>9</v>
      </c>
      <c r="BU131" s="37">
        <f t="shared" ref="BU131:BU194" si="91">IF(BR131="","",MIN(15,ROUNDDOWN(BS131*($C131+1)-$M131,0)))</f>
        <v>10</v>
      </c>
      <c r="BV131" s="38">
        <f t="shared" ref="BV131:BV194" si="92">IFERROR(IF($B131&gt;10,100*BS131^4*$B131^2,$N131^2*$O131*($M131+BT131)),"")</f>
        <v>231851132.41070032</v>
      </c>
      <c r="BW131" s="38">
        <f t="shared" ref="BW131:BW194" si="93">IFERROR(100*BS131^4*($B131+1)^2,"")</f>
        <v>232684379.29509938</v>
      </c>
      <c r="BX131" s="38" t="b">
        <f t="shared" ref="BX131:BX194" si="94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5">IF(IFERROR(W131*1,0)&gt;0,P131,IF(IFERROR(AO131*1,0)&gt;0,AH131,IF(IFERROR(BG131*1,0)&gt;0,AZ131,IF(IFERROR(BY131*1,0)&gt;0,BR131,""))))</f>
        <v>20</v>
      </c>
      <c r="CK131" s="41">
        <f t="shared" ref="CK131:CK194" si="96">IF(IFERROR(BY131*1,0)&gt;0,BR131,IF(IFERROR(BG131*1,0)&gt;0,AZ131,IF(IFERROR(AO131*1,0)&gt;0,AH131,IF(IFERROR(W131*1,0)&gt;0,P131,""))))</f>
        <v>20</v>
      </c>
      <c r="CL131" s="39">
        <f t="shared" ref="CL131:CL194" si="97">IF(OR(CJ131="",CK131=""),"",MIN(Z131,AR131,BJ131,CB131))</f>
        <v>0.88888888888888884</v>
      </c>
      <c r="CM131" s="39">
        <f t="shared" ref="CM131:CM194" si="98">IF(OR(CJ131="",CK131=""),"",MAX(AA131,AS131,BK131,CC131))</f>
        <v>0.88888888888888884</v>
      </c>
      <c r="CN131" s="42">
        <f t="shared" ref="CN131:CN194" si="99">IF(OR(CJ131="",CK131=""),"",MIN(AB131,AT131,BL131,CD131))</f>
        <v>11</v>
      </c>
      <c r="CO131" s="42">
        <f t="shared" ref="CO131:CO194" si="100">IF(OR(CJ131="",CK131=""),"",MAX(AC131,AU131,BM131,CE131))</f>
        <v>12</v>
      </c>
      <c r="CP131" s="42">
        <f t="shared" ref="CP131:CP194" si="101">IF(OR(CJ131="",CK131=""),"",MIN(AD131,AV131,BN131,CF131))</f>
        <v>15</v>
      </c>
      <c r="CQ131" s="42">
        <f t="shared" ref="CQ131:CQ194" si="102">IF(OR(CJ131="",CK131=""),"",MAX(AE131,AW131,BO131,CG131))</f>
        <v>15</v>
      </c>
      <c r="CR131" s="42">
        <f t="shared" ref="CR131:CR194" si="103">IF(OR(CJ131="",CK131=""),"",MIN(AF131,AX131,BP131,CH131))</f>
        <v>13</v>
      </c>
      <c r="CS131" s="42">
        <f t="shared" ref="CS131:CS194" si="104">IF(OR(CJ131="",CK131=""),"",MAX(AG131,AY131,BQ131,CI131))</f>
        <v>14</v>
      </c>
      <c r="CT131" s="43" t="str">
        <f t="shared" ref="CT131:CT194" si="105">IF(CN131=CO131,CO131,CN131&amp;"-"&amp;CO131)</f>
        <v>11-12</v>
      </c>
      <c r="CU131" s="43">
        <f t="shared" ref="CU131:CU194" si="106">IF(CP131=CQ131,CQ131,CP131&amp;"-"&amp;CQ131)</f>
        <v>15</v>
      </c>
      <c r="CV131" s="43" t="str">
        <f t="shared" ref="CV131:CV194" si="107">IF(CR131=CS131,CS131,CR131&amp;"-"&amp;CS131)</f>
        <v>13-14</v>
      </c>
      <c r="CW131" s="13"/>
    </row>
    <row r="132" spans="1:101" x14ac:dyDescent="0.25">
      <c r="A132" s="31" t="s">
        <v>136</v>
      </c>
      <c r="B132" s="13">
        <v>1364</v>
      </c>
      <c r="C132" s="13">
        <v>115</v>
      </c>
      <c r="D132" s="13">
        <v>35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97</v>
      </c>
      <c r="M132" s="34">
        <f>IFERROR(INDEX('Pokemon Data'!I:I,MATCH($A132,'Pokemon Data'!$B:$B,0)),"")</f>
        <v>170</v>
      </c>
      <c r="N132" s="34">
        <f>IFERROR(INDEX('Pokemon Data'!J:J,MATCH($A132,'Pokemon Data'!$B:$B,0)),"")</f>
        <v>144</v>
      </c>
      <c r="O132" s="34">
        <f>IFERROR(INDEX('Pokemon Data'!K:K,MATCH($A132,'Pokemon Data'!$B:$B,0)),"")</f>
        <v>215</v>
      </c>
      <c r="P132" s="35">
        <f>IFERROR(INDEX('Level Multiplier'!$A:$A,MATCH($D132,'Level Multiplier'!$B:$B,0)),"")</f>
        <v>23</v>
      </c>
      <c r="Q132" s="36">
        <f>IFERROR(INDEX('Level Multiplier'!$D:$D,MATCH(P132,'Level Multiplier'!$A:$A,0)),"")</f>
        <v>1.560907508503629</v>
      </c>
      <c r="R132" s="37">
        <f t="shared" si="72"/>
        <v>10</v>
      </c>
      <c r="S132" s="37">
        <f t="shared" si="73"/>
        <v>11</v>
      </c>
      <c r="T132" s="38">
        <f t="shared" si="74"/>
        <v>1104428027.9622355</v>
      </c>
      <c r="U132" s="38">
        <f t="shared" si="75"/>
        <v>1106048017.517875</v>
      </c>
      <c r="V132" s="38" t="b">
        <f t="shared" si="76"/>
        <v>1</v>
      </c>
      <c r="W132" s="37" t="str">
        <f t="array" ref="W132:AG132">IF(V132,"",IVSolution($M132,$N132,$O132,R132,S132,T132,U132,$E132,$F132,$G132,$H132,$I132))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40">
        <f t="shared" si="77"/>
        <v>23.5</v>
      </c>
      <c r="AI132" s="36">
        <f>IFERROR(INDEX('Level Multiplier'!$D:$D,MATCH(AH132,'Level Multiplier'!$A:$A,0)),"")</f>
        <v>1.5442192764441367</v>
      </c>
      <c r="AJ132" s="37">
        <f t="shared" si="78"/>
        <v>8</v>
      </c>
      <c r="AK132" s="37">
        <f t="shared" si="79"/>
        <v>9</v>
      </c>
      <c r="AL132" s="38">
        <f t="shared" si="80"/>
        <v>1057948722.2865202</v>
      </c>
      <c r="AM132" s="38">
        <f t="shared" si="81"/>
        <v>1059500535.3853498</v>
      </c>
      <c r="AN132" s="38" t="b">
        <f t="shared" si="82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3"/>
        <v>24</v>
      </c>
      <c r="BA132" s="36">
        <f>IFERROR(INDEX('Level Multiplier'!$D:$D,MATCH(AZ132,'Level Multiplier'!$A:$A,0)),"")</f>
        <v>1.5280341628098701</v>
      </c>
      <c r="BB132" s="37">
        <f t="shared" si="84"/>
        <v>6</v>
      </c>
      <c r="BC132" s="37">
        <f t="shared" si="85"/>
        <v>7</v>
      </c>
      <c r="BD132" s="38">
        <f t="shared" si="86"/>
        <v>1014287321.193038</v>
      </c>
      <c r="BE132" s="38">
        <f t="shared" si="87"/>
        <v>1015775091.1745569</v>
      </c>
      <c r="BF132" s="38" t="b">
        <f t="shared" si="88"/>
        <v>0</v>
      </c>
      <c r="BG132" s="37">
        <f t="array" ref="BG132:BQ132">IF(BF132,"",IVSolution($M132,$N132,$O132,BB132,BC132,BD132,BE132,$E132,$F132,$G132,$H132,$I132))</f>
        <v>2</v>
      </c>
      <c r="BH132" s="37">
        <v>34</v>
      </c>
      <c r="BI132" s="37">
        <v>34</v>
      </c>
      <c r="BJ132" s="39">
        <v>0.75555555555555554</v>
      </c>
      <c r="BK132" s="39">
        <v>0.75555555555555554</v>
      </c>
      <c r="BL132" s="37">
        <v>6</v>
      </c>
      <c r="BM132" s="37">
        <v>7</v>
      </c>
      <c r="BN132" s="37">
        <v>15</v>
      </c>
      <c r="BO132" s="37">
        <v>15</v>
      </c>
      <c r="BP132" s="37">
        <v>12</v>
      </c>
      <c r="BQ132" s="37">
        <v>13</v>
      </c>
      <c r="BR132" s="40">
        <f t="shared" si="89"/>
        <v>24.5</v>
      </c>
      <c r="BS132" s="36">
        <f>IFERROR(INDEX('Level Multiplier'!$D:$D,MATCH(BR132,'Level Multiplier'!$A:$A,0)),"")</f>
        <v>1.5123678280126109</v>
      </c>
      <c r="BT132" s="37">
        <f t="shared" si="90"/>
        <v>4</v>
      </c>
      <c r="BU132" s="37">
        <f t="shared" si="91"/>
        <v>5</v>
      </c>
      <c r="BV132" s="38">
        <f t="shared" si="92"/>
        <v>973326306.77037573</v>
      </c>
      <c r="BW132" s="38">
        <f t="shared" si="93"/>
        <v>974753994.59726501</v>
      </c>
      <c r="BX132" s="38" t="b">
        <f t="shared" si="94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5"/>
        <v>24</v>
      </c>
      <c r="CK132" s="41">
        <f t="shared" si="96"/>
        <v>24</v>
      </c>
      <c r="CL132" s="39">
        <f t="shared" si="97"/>
        <v>0.75555555555555554</v>
      </c>
      <c r="CM132" s="39">
        <f t="shared" si="98"/>
        <v>0.75555555555555554</v>
      </c>
      <c r="CN132" s="42">
        <f t="shared" si="99"/>
        <v>6</v>
      </c>
      <c r="CO132" s="42">
        <f t="shared" si="100"/>
        <v>7</v>
      </c>
      <c r="CP132" s="42">
        <f t="shared" si="101"/>
        <v>15</v>
      </c>
      <c r="CQ132" s="42">
        <f t="shared" si="102"/>
        <v>15</v>
      </c>
      <c r="CR132" s="42">
        <f t="shared" si="103"/>
        <v>12</v>
      </c>
      <c r="CS132" s="42">
        <f t="shared" si="104"/>
        <v>13</v>
      </c>
      <c r="CT132" s="43" t="str">
        <f t="shared" si="105"/>
        <v>6-7</v>
      </c>
      <c r="CU132" s="43">
        <f t="shared" si="106"/>
        <v>15</v>
      </c>
      <c r="CV132" s="43" t="str">
        <f t="shared" si="107"/>
        <v>12-13</v>
      </c>
      <c r="CW132" s="13" t="s">
        <v>399</v>
      </c>
    </row>
    <row r="133" spans="1:101" x14ac:dyDescent="0.25">
      <c r="A133" s="31" t="s">
        <v>137</v>
      </c>
      <c r="B133" s="13">
        <v>99</v>
      </c>
      <c r="C133" s="13">
        <v>15</v>
      </c>
      <c r="D133" s="13">
        <v>4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98</v>
      </c>
      <c r="M133" s="34">
        <f>IFERROR(INDEX('Pokemon Data'!I:I,MATCH($A133,'Pokemon Data'!$B:$B,0)),"")</f>
        <v>60</v>
      </c>
      <c r="N133" s="34">
        <f>IFERROR(INDEX('Pokemon Data'!J:J,MATCH($A133,'Pokemon Data'!$B:$B,0)),"")</f>
        <v>181</v>
      </c>
      <c r="O133" s="34">
        <f>IFERROR(INDEX('Pokemon Data'!K:K,MATCH($A133,'Pokemon Data'!$B:$B,0)),"")</f>
        <v>156</v>
      </c>
      <c r="P133" s="35">
        <f>IFERROR(INDEX('Level Multiplier'!$A:$A,MATCH($D133,'Level Multiplier'!$B:$B,0)),"")</f>
        <v>3</v>
      </c>
      <c r="Q133" s="36">
        <f>IFERROR(INDEX('Level Multiplier'!$D:$D,MATCH(P133,'Level Multiplier'!$A:$A,0)),"")</f>
        <v>4.6353708368517728</v>
      </c>
      <c r="R133" s="37">
        <f t="shared" si="72"/>
        <v>10</v>
      </c>
      <c r="S133" s="37">
        <f t="shared" si="73"/>
        <v>14</v>
      </c>
      <c r="T133" s="38">
        <f t="shared" si="74"/>
        <v>452489312.17824703</v>
      </c>
      <c r="U133" s="38">
        <f t="shared" si="75"/>
        <v>461676678.07187742</v>
      </c>
      <c r="V133" s="38" t="b">
        <f t="shared" si="76"/>
        <v>0</v>
      </c>
      <c r="W133" s="37">
        <f t="array" ref="W133:AG133">IF(V133,"",IVSolution($M133,$N133,$O133,R133,S133,T133,U133,$E133,$F133,$G133,$H133,$I133))</f>
        <v>70</v>
      </c>
      <c r="X133" s="37">
        <v>33</v>
      </c>
      <c r="Y133" s="37">
        <v>40</v>
      </c>
      <c r="Z133" s="39">
        <v>0.73333333333333328</v>
      </c>
      <c r="AA133" s="39">
        <v>0.88888888888888884</v>
      </c>
      <c r="AB133" s="37">
        <v>10</v>
      </c>
      <c r="AC133" s="37">
        <v>14</v>
      </c>
      <c r="AD133" s="37">
        <v>9</v>
      </c>
      <c r="AE133" s="37">
        <v>15</v>
      </c>
      <c r="AF133" s="37">
        <v>4</v>
      </c>
      <c r="AG133" s="37">
        <v>15</v>
      </c>
      <c r="AH133" s="40">
        <f t="shared" si="77"/>
        <v>3.5</v>
      </c>
      <c r="AI133" s="36">
        <f>IFERROR(INDEX('Level Multiplier'!$D:$D,MATCH(AH133,'Level Multiplier'!$A:$A,0)),"")</f>
        <v>4.2270311192044296</v>
      </c>
      <c r="AJ133" s="37">
        <f t="shared" si="78"/>
        <v>4</v>
      </c>
      <c r="AK133" s="37">
        <f t="shared" si="79"/>
        <v>7</v>
      </c>
      <c r="AL133" s="38">
        <f t="shared" si="80"/>
        <v>312904759.8325693</v>
      </c>
      <c r="AM133" s="38">
        <f t="shared" si="81"/>
        <v>319257993.91140628</v>
      </c>
      <c r="AN133" s="38" t="b">
        <f t="shared" si="82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3"/>
        <v>4</v>
      </c>
      <c r="BA133" s="36">
        <f>IFERROR(INDEX('Level Multiplier'!$D:$D,MATCH(AZ133,'Level Multiplier'!$A:$A,0)),"")</f>
        <v>3.9105263744473695</v>
      </c>
      <c r="BB133" s="37">
        <f t="shared" si="84"/>
        <v>0</v>
      </c>
      <c r="BC133" s="37">
        <f t="shared" si="85"/>
        <v>2</v>
      </c>
      <c r="BD133" s="38">
        <f t="shared" si="86"/>
        <v>229198233.7186068</v>
      </c>
      <c r="BE133" s="38">
        <f t="shared" si="87"/>
        <v>233851886.25508294</v>
      </c>
      <c r="BF133" s="38" t="b">
        <f t="shared" si="88"/>
        <v>1</v>
      </c>
      <c r="BG133" s="37" t="str">
        <f t="array" ref="BG133:BQ133">IF(BF133,"",IVSolution($M133,$N133,$O133,BB133,BC133,BD133,BE133,$E133,$F133,$G133,$H133,$I133))</f>
        <v/>
      </c>
      <c r="BH133" s="37" t="str">
        <v/>
      </c>
      <c r="BI133" s="37" t="str">
        <v/>
      </c>
      <c r="BJ133" s="39" t="str">
        <v/>
      </c>
      <c r="BK133" s="39" t="str">
        <v/>
      </c>
      <c r="BL133" s="37" t="str">
        <v/>
      </c>
      <c r="BM133" s="37" t="str">
        <v/>
      </c>
      <c r="BN133" s="37" t="str">
        <v/>
      </c>
      <c r="BO133" s="37" t="str">
        <v/>
      </c>
      <c r="BP133" s="37" t="str">
        <v/>
      </c>
      <c r="BQ133" s="37" t="str">
        <v/>
      </c>
      <c r="BR133" s="40">
        <f t="shared" si="89"/>
        <v>4.5</v>
      </c>
      <c r="BS133" s="36">
        <f>IFERROR(INDEX('Level Multiplier'!$D:$D,MATCH(BR133,'Level Multiplier'!$A:$A,0)),"")</f>
        <v>3.6559010240255545</v>
      </c>
      <c r="BT133" s="37">
        <f t="shared" si="90"/>
        <v>0</v>
      </c>
      <c r="BU133" s="37">
        <f t="shared" si="91"/>
        <v>-1</v>
      </c>
      <c r="BV133" s="38">
        <f t="shared" si="92"/>
        <v>175084664.20379308</v>
      </c>
      <c r="BW133" s="38">
        <f t="shared" si="93"/>
        <v>178639592.08631065</v>
      </c>
      <c r="BX133" s="38" t="b">
        <f t="shared" si="94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5"/>
        <v>3</v>
      </c>
      <c r="CK133" s="41">
        <f t="shared" si="96"/>
        <v>3</v>
      </c>
      <c r="CL133" s="39">
        <f t="shared" si="97"/>
        <v>0.73333333333333328</v>
      </c>
      <c r="CM133" s="39">
        <f t="shared" si="98"/>
        <v>0.88888888888888884</v>
      </c>
      <c r="CN133" s="42">
        <f t="shared" si="99"/>
        <v>10</v>
      </c>
      <c r="CO133" s="42">
        <f t="shared" si="100"/>
        <v>14</v>
      </c>
      <c r="CP133" s="42">
        <f t="shared" si="101"/>
        <v>9</v>
      </c>
      <c r="CQ133" s="42">
        <f t="shared" si="102"/>
        <v>15</v>
      </c>
      <c r="CR133" s="42">
        <f t="shared" si="103"/>
        <v>4</v>
      </c>
      <c r="CS133" s="42">
        <f t="shared" si="104"/>
        <v>15</v>
      </c>
      <c r="CT133" s="43" t="str">
        <f t="shared" si="105"/>
        <v>10-14</v>
      </c>
      <c r="CU133" s="43" t="str">
        <f t="shared" si="106"/>
        <v>9-15</v>
      </c>
      <c r="CV133" s="43" t="str">
        <f t="shared" si="107"/>
        <v>4-15</v>
      </c>
      <c r="CW133" s="13"/>
    </row>
    <row r="134" spans="1:101" x14ac:dyDescent="0.25">
      <c r="A134" s="31" t="s">
        <v>138</v>
      </c>
      <c r="B134" s="13">
        <v>2091</v>
      </c>
      <c r="C134" s="13">
        <v>84</v>
      </c>
      <c r="D134" s="13">
        <v>45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99</v>
      </c>
      <c r="M134" s="34">
        <f>IFERROR(INDEX('Pokemon Data'!I:I,MATCH($A134,'Pokemon Data'!$B:$B,0)),"")</f>
        <v>110</v>
      </c>
      <c r="N134" s="34">
        <f>IFERROR(INDEX('Pokemon Data'!J:J,MATCH($A134,'Pokemon Data'!$B:$B,0)),"")</f>
        <v>240</v>
      </c>
      <c r="O134" s="34">
        <f>IFERROR(INDEX('Pokemon Data'!K:K,MATCH($A134,'Pokemon Data'!$B:$B,0)),"")</f>
        <v>214</v>
      </c>
      <c r="P134" s="35">
        <f>IFERROR(INDEX('Level Multiplier'!$A:$A,MATCH($D134,'Level Multiplier'!$B:$B,0)),"")</f>
        <v>27</v>
      </c>
      <c r="Q134" s="36">
        <f>IFERROR(INDEX('Level Multiplier'!$D:$D,MATCH(P134,'Level Multiplier'!$A:$A,0)),"")</f>
        <v>1.4406239976408342</v>
      </c>
      <c r="R134" s="37">
        <f t="shared" si="72"/>
        <v>12</v>
      </c>
      <c r="S134" s="37">
        <f t="shared" si="73"/>
        <v>12</v>
      </c>
      <c r="T134" s="38">
        <f t="shared" si="74"/>
        <v>1883261574.2315972</v>
      </c>
      <c r="U134" s="38">
        <f t="shared" si="75"/>
        <v>1885063307.277806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27.5</v>
      </c>
      <c r="AI134" s="36">
        <f>IFERROR(INDEX('Level Multiplier'!$D:$D,MATCH(AH134,'Level Multiplier'!$A:$A,0)),"")</f>
        <v>1.4274729412404619</v>
      </c>
      <c r="AJ134" s="37">
        <f t="shared" si="78"/>
        <v>10</v>
      </c>
      <c r="AK134" s="37">
        <f t="shared" si="79"/>
        <v>11</v>
      </c>
      <c r="AL134" s="38">
        <f t="shared" si="80"/>
        <v>1815430402.5210991</v>
      </c>
      <c r="AM134" s="38">
        <f t="shared" si="81"/>
        <v>1817167240.8838999</v>
      </c>
      <c r="AN134" s="38" t="b">
        <f t="shared" si="82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3"/>
        <v>28</v>
      </c>
      <c r="BA134" s="36">
        <f>IFERROR(INDEX('Level Multiplier'!$D:$D,MATCH(AZ134,'Level Multiplier'!$A:$A,0)),"")</f>
        <v>1.4146588449047404</v>
      </c>
      <c r="BB134" s="37">
        <f t="shared" si="84"/>
        <v>9</v>
      </c>
      <c r="BC134" s="37">
        <f t="shared" si="85"/>
        <v>10</v>
      </c>
      <c r="BD134" s="38">
        <f t="shared" si="86"/>
        <v>1751116106.8299994</v>
      </c>
      <c r="BE134" s="38">
        <f t="shared" si="87"/>
        <v>1752791415.1358631</v>
      </c>
      <c r="BF134" s="38" t="b">
        <f t="shared" si="88"/>
        <v>0</v>
      </c>
      <c r="BG134" s="37">
        <f t="array" ref="BG134:BQ134">IF(BF134,"",IVSolution($M134,$N134,$O134,BB134,BC134,BD134,BE134,$E134,$F134,$G134,$H134,$I134))</f>
        <v>1</v>
      </c>
      <c r="BH134" s="37">
        <v>37</v>
      </c>
      <c r="BI134" s="37">
        <v>37</v>
      </c>
      <c r="BJ134" s="39">
        <v>0.82222222222222219</v>
      </c>
      <c r="BK134" s="39">
        <v>0.82222222222222219</v>
      </c>
      <c r="BL134" s="37">
        <v>10</v>
      </c>
      <c r="BM134" s="37">
        <v>10</v>
      </c>
      <c r="BN134" s="37">
        <v>13</v>
      </c>
      <c r="BO134" s="37">
        <v>13</v>
      </c>
      <c r="BP134" s="37">
        <v>14</v>
      </c>
      <c r="BQ134" s="37">
        <v>14</v>
      </c>
      <c r="BR134" s="40">
        <f t="shared" si="89"/>
        <v>28.5</v>
      </c>
      <c r="BS134" s="36">
        <f>IFERROR(INDEX('Level Multiplier'!$D:$D,MATCH(BR134,'Level Multiplier'!$A:$A,0)),"")</f>
        <v>1.4022000597460618</v>
      </c>
      <c r="BT134" s="37">
        <f t="shared" si="90"/>
        <v>8</v>
      </c>
      <c r="BU134" s="37">
        <f t="shared" si="91"/>
        <v>9</v>
      </c>
      <c r="BV134" s="38">
        <f t="shared" si="92"/>
        <v>1690238503.8179545</v>
      </c>
      <c r="BW134" s="38">
        <f t="shared" si="93"/>
        <v>1691855569.9812386</v>
      </c>
      <c r="BX134" s="38" t="b">
        <f t="shared" si="94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5"/>
        <v>28</v>
      </c>
      <c r="CK134" s="41">
        <f t="shared" si="96"/>
        <v>28</v>
      </c>
      <c r="CL134" s="39">
        <f t="shared" si="97"/>
        <v>0.82222222222222219</v>
      </c>
      <c r="CM134" s="39">
        <f t="shared" si="98"/>
        <v>0.82222222222222219</v>
      </c>
      <c r="CN134" s="42">
        <f t="shared" si="99"/>
        <v>10</v>
      </c>
      <c r="CO134" s="42">
        <f t="shared" si="100"/>
        <v>10</v>
      </c>
      <c r="CP134" s="42">
        <f t="shared" si="101"/>
        <v>13</v>
      </c>
      <c r="CQ134" s="42">
        <f t="shared" si="102"/>
        <v>13</v>
      </c>
      <c r="CR134" s="42">
        <f t="shared" si="103"/>
        <v>14</v>
      </c>
      <c r="CS134" s="42">
        <f t="shared" si="104"/>
        <v>14</v>
      </c>
      <c r="CT134" s="43">
        <f t="shared" si="105"/>
        <v>10</v>
      </c>
      <c r="CU134" s="43">
        <f t="shared" si="106"/>
        <v>13</v>
      </c>
      <c r="CV134" s="43">
        <f t="shared" si="107"/>
        <v>14</v>
      </c>
      <c r="CW134" s="13" t="s">
        <v>406</v>
      </c>
    </row>
    <row r="135" spans="1:101" x14ac:dyDescent="0.25">
      <c r="A135" s="31" t="s">
        <v>138</v>
      </c>
      <c r="B135" s="13">
        <v>2020</v>
      </c>
      <c r="C135" s="13">
        <v>84</v>
      </c>
      <c r="D135" s="13">
        <v>45</v>
      </c>
      <c r="E135" s="32"/>
      <c r="F135" s="32"/>
      <c r="G135" s="32"/>
      <c r="H135" s="32"/>
      <c r="I135" s="32"/>
      <c r="J135" s="13"/>
      <c r="K135" s="33">
        <v>27</v>
      </c>
      <c r="L135" s="34">
        <f>IFERROR(INDEX('Pokemon Data'!A:A,MATCH($A135,'Pokemon Data'!$B:$B,0)),"")</f>
        <v>99</v>
      </c>
      <c r="M135" s="34">
        <f>IFERROR(INDEX('Pokemon Data'!I:I,MATCH($A135,'Pokemon Data'!$B:$B,0)),"")</f>
        <v>110</v>
      </c>
      <c r="N135" s="34">
        <f>IFERROR(INDEX('Pokemon Data'!J:J,MATCH($A135,'Pokemon Data'!$B:$B,0)),"")</f>
        <v>240</v>
      </c>
      <c r="O135" s="34">
        <f>IFERROR(INDEX('Pokemon Data'!K:K,MATCH($A135,'Pokemon Data'!$B:$B,0)),"")</f>
        <v>214</v>
      </c>
      <c r="P135" s="35">
        <f>IFERROR(INDEX('Level Multiplier'!$A:$A,MATCH($D135,'Level Multiplier'!$B:$B,0)),"")</f>
        <v>27</v>
      </c>
      <c r="Q135" s="36">
        <f>IFERROR(INDEX('Level Multiplier'!$D:$D,MATCH(P135,'Level Multiplier'!$A:$A,0)),"")</f>
        <v>1.4406239976408342</v>
      </c>
      <c r="R135" s="37">
        <f t="shared" si="72"/>
        <v>12</v>
      </c>
      <c r="S135" s="37">
        <f t="shared" si="73"/>
        <v>12</v>
      </c>
      <c r="T135" s="38">
        <f t="shared" si="74"/>
        <v>1757540406.8253183</v>
      </c>
      <c r="U135" s="38">
        <f t="shared" si="75"/>
        <v>1759280976.5694563</v>
      </c>
      <c r="V135" s="38" t="b">
        <f t="shared" si="76"/>
        <v>0</v>
      </c>
      <c r="W135" s="37">
        <f t="array" ref="W135:AG135">IF(V135,"",IVSolution($M135,$N135,$O135,R135,S135,T135,U135,$E135,$F135,$G135,$H135,$I135))</f>
        <v>1</v>
      </c>
      <c r="X135" s="37">
        <v>37</v>
      </c>
      <c r="Y135" s="37">
        <v>37</v>
      </c>
      <c r="Z135" s="39">
        <v>0.82222222222222219</v>
      </c>
      <c r="AA135" s="39">
        <v>0.82222222222222219</v>
      </c>
      <c r="AB135" s="37">
        <v>12</v>
      </c>
      <c r="AC135" s="37">
        <v>12</v>
      </c>
      <c r="AD135" s="37">
        <v>12</v>
      </c>
      <c r="AE135" s="37">
        <v>12</v>
      </c>
      <c r="AF135" s="37">
        <v>13</v>
      </c>
      <c r="AG135" s="37">
        <v>13</v>
      </c>
      <c r="AH135" s="40">
        <f t="shared" si="77"/>
        <v>27.5</v>
      </c>
      <c r="AI135" s="36">
        <f>IFERROR(INDEX('Level Multiplier'!$D:$D,MATCH(AH135,'Level Multiplier'!$A:$A,0)),"")</f>
        <v>1.4274729412404619</v>
      </c>
      <c r="AJ135" s="37">
        <f t="shared" si="78"/>
        <v>10</v>
      </c>
      <c r="AK135" s="37">
        <f t="shared" si="79"/>
        <v>11</v>
      </c>
      <c r="AL135" s="38">
        <f t="shared" si="80"/>
        <v>1694237450.5314486</v>
      </c>
      <c r="AM135" s="38">
        <f t="shared" si="81"/>
        <v>1695915328.5673268</v>
      </c>
      <c r="AN135" s="38" t="b">
        <f t="shared" si="82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3"/>
        <v>28</v>
      </c>
      <c r="BA135" s="36">
        <f>IFERROR(INDEX('Level Multiplier'!$D:$D,MATCH(AZ135,'Level Multiplier'!$A:$A,0)),"")</f>
        <v>1.4146588449047404</v>
      </c>
      <c r="BB135" s="37">
        <f t="shared" si="84"/>
        <v>9</v>
      </c>
      <c r="BC135" s="37">
        <f t="shared" si="85"/>
        <v>10</v>
      </c>
      <c r="BD135" s="38">
        <f t="shared" si="86"/>
        <v>1634216593.6519473</v>
      </c>
      <c r="BE135" s="38">
        <f t="shared" si="87"/>
        <v>1635835030.3873034</v>
      </c>
      <c r="BF135" s="38" t="b">
        <f t="shared" si="88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89"/>
        <v>28.5</v>
      </c>
      <c r="BS135" s="36">
        <f>IFERROR(INDEX('Level Multiplier'!$D:$D,MATCH(BR135,'Level Multiplier'!$A:$A,0)),"")</f>
        <v>1.4022000597460618</v>
      </c>
      <c r="BT135" s="37">
        <f t="shared" si="90"/>
        <v>8</v>
      </c>
      <c r="BU135" s="37">
        <f t="shared" si="91"/>
        <v>9</v>
      </c>
      <c r="BV135" s="38">
        <f t="shared" si="92"/>
        <v>1577403005.657409</v>
      </c>
      <c r="BW135" s="38">
        <f t="shared" si="93"/>
        <v>1578965177.3920088</v>
      </c>
      <c r="BX135" s="38" t="b">
        <f t="shared" si="94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5"/>
        <v>27</v>
      </c>
      <c r="CK135" s="41">
        <f t="shared" si="96"/>
        <v>27</v>
      </c>
      <c r="CL135" s="39">
        <f t="shared" si="97"/>
        <v>0.82222222222222219</v>
      </c>
      <c r="CM135" s="39">
        <f t="shared" si="98"/>
        <v>0.82222222222222219</v>
      </c>
      <c r="CN135" s="42">
        <f t="shared" si="99"/>
        <v>12</v>
      </c>
      <c r="CO135" s="42">
        <f t="shared" si="100"/>
        <v>12</v>
      </c>
      <c r="CP135" s="42">
        <f t="shared" si="101"/>
        <v>12</v>
      </c>
      <c r="CQ135" s="42">
        <f t="shared" si="102"/>
        <v>12</v>
      </c>
      <c r="CR135" s="42">
        <f t="shared" si="103"/>
        <v>13</v>
      </c>
      <c r="CS135" s="42">
        <f t="shared" si="104"/>
        <v>13</v>
      </c>
      <c r="CT135" s="43">
        <f t="shared" si="105"/>
        <v>12</v>
      </c>
      <c r="CU135" s="43">
        <f t="shared" si="106"/>
        <v>12</v>
      </c>
      <c r="CV135" s="43">
        <f t="shared" si="107"/>
        <v>13</v>
      </c>
      <c r="CW135" s="13" t="s">
        <v>406</v>
      </c>
    </row>
    <row r="136" spans="1:101" x14ac:dyDescent="0.25">
      <c r="A136" s="31" t="s">
        <v>138</v>
      </c>
      <c r="B136" s="13">
        <v>1524</v>
      </c>
      <c r="C136" s="13">
        <v>74</v>
      </c>
      <c r="D136" s="13">
        <v>25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Multiplier'!$A:$A,MATCH($D136,'Level Multiplier'!$B:$B,0)),"")</f>
        <v>19</v>
      </c>
      <c r="Q136" s="36">
        <f>IFERROR(INDEX('Level Multiplier'!$D:$D,MATCH(P136,'Level Multiplier'!$A:$A,0)),"")</f>
        <v>1.7173900390793821</v>
      </c>
      <c r="R136" s="37">
        <f t="shared" si="72"/>
        <v>18</v>
      </c>
      <c r="S136" s="37">
        <f t="shared" si="73"/>
        <v>15</v>
      </c>
      <c r="T136" s="38">
        <f t="shared" si="74"/>
        <v>2020438765.5429783</v>
      </c>
      <c r="U136" s="38">
        <f t="shared" si="75"/>
        <v>2023091129.898823</v>
      </c>
      <c r="V136" s="38" t="b">
        <f t="shared" si="76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7"/>
        <v>19.5</v>
      </c>
      <c r="AI136" s="36">
        <f>IFERROR(INDEX('Level Multiplier'!$D:$D,MATCH(AH136,'Level Multiplier'!$A:$A,0)),"")</f>
        <v>1.6952373004785586</v>
      </c>
      <c r="AJ136" s="37">
        <f t="shared" si="78"/>
        <v>16</v>
      </c>
      <c r="AK136" s="37">
        <f t="shared" si="79"/>
        <v>15</v>
      </c>
      <c r="AL136" s="38">
        <f t="shared" si="80"/>
        <v>1918191369.0509841</v>
      </c>
      <c r="AM136" s="38">
        <f t="shared" si="81"/>
        <v>1920709506.4485273</v>
      </c>
      <c r="AN136" s="38" t="b">
        <f t="shared" si="82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3"/>
        <v>20</v>
      </c>
      <c r="BA136" s="36">
        <f>IFERROR(INDEX('Level Multiplier'!$D:$D,MATCH(AZ136,'Level Multiplier'!$A:$A,0)),"")</f>
        <v>1.6739202933726098</v>
      </c>
      <c r="BB136" s="37">
        <f t="shared" si="84"/>
        <v>14</v>
      </c>
      <c r="BC136" s="37">
        <f t="shared" si="85"/>
        <v>15</v>
      </c>
      <c r="BD136" s="38">
        <f t="shared" si="86"/>
        <v>1823513705.681673</v>
      </c>
      <c r="BE136" s="38">
        <f t="shared" si="87"/>
        <v>1825907553.4130812</v>
      </c>
      <c r="BF136" s="38" t="b">
        <f t="shared" si="88"/>
        <v>0</v>
      </c>
      <c r="BG136" s="37">
        <f t="array" ref="BG136:BQ136">IF(BF136,"",IVSolution($M136,$N136,$O136,BB136,BC136,BD136,BE136,$E136,$F136,$G136,$H136,$I136))</f>
        <v>2</v>
      </c>
      <c r="BH136" s="37">
        <v>42</v>
      </c>
      <c r="BI136" s="37">
        <v>42</v>
      </c>
      <c r="BJ136" s="39">
        <v>0.93333333333333335</v>
      </c>
      <c r="BK136" s="39">
        <v>0.93333333333333335</v>
      </c>
      <c r="BL136" s="37">
        <v>14</v>
      </c>
      <c r="BM136" s="37">
        <v>15</v>
      </c>
      <c r="BN136" s="37">
        <v>13</v>
      </c>
      <c r="BO136" s="37">
        <v>14</v>
      </c>
      <c r="BP136" s="37">
        <v>14</v>
      </c>
      <c r="BQ136" s="37">
        <v>14</v>
      </c>
      <c r="BR136" s="40">
        <f t="shared" si="89"/>
        <v>20.5</v>
      </c>
      <c r="BS136" s="36">
        <f>IFERROR(INDEX('Level Multiplier'!$D:$D,MATCH(BR136,'Level Multiplier'!$A:$A,0)),"")</f>
        <v>1.653387720177633</v>
      </c>
      <c r="BT136" s="37">
        <f t="shared" si="90"/>
        <v>13</v>
      </c>
      <c r="BU136" s="37">
        <f t="shared" si="91"/>
        <v>14</v>
      </c>
      <c r="BV136" s="38">
        <f t="shared" si="92"/>
        <v>1735676426.7085943</v>
      </c>
      <c r="BW136" s="38">
        <f t="shared" si="93"/>
        <v>1737954964.6014488</v>
      </c>
      <c r="BX136" s="38" t="b">
        <f t="shared" si="94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5"/>
        <v>20</v>
      </c>
      <c r="CK136" s="41">
        <f t="shared" si="96"/>
        <v>20</v>
      </c>
      <c r="CL136" s="39">
        <f t="shared" si="97"/>
        <v>0.93333333333333335</v>
      </c>
      <c r="CM136" s="39">
        <f t="shared" si="98"/>
        <v>0.93333333333333335</v>
      </c>
      <c r="CN136" s="42">
        <f t="shared" si="99"/>
        <v>14</v>
      </c>
      <c r="CO136" s="42">
        <f t="shared" si="100"/>
        <v>15</v>
      </c>
      <c r="CP136" s="42">
        <f t="shared" si="101"/>
        <v>13</v>
      </c>
      <c r="CQ136" s="42">
        <f t="shared" si="102"/>
        <v>14</v>
      </c>
      <c r="CR136" s="42">
        <f t="shared" si="103"/>
        <v>14</v>
      </c>
      <c r="CS136" s="42">
        <f t="shared" si="104"/>
        <v>14</v>
      </c>
      <c r="CT136" s="43" t="str">
        <f t="shared" si="105"/>
        <v>14-15</v>
      </c>
      <c r="CU136" s="43" t="str">
        <f t="shared" si="106"/>
        <v>13-14</v>
      </c>
      <c r="CV136" s="43">
        <f t="shared" si="107"/>
        <v>14</v>
      </c>
      <c r="CW136" s="13" t="s">
        <v>399</v>
      </c>
    </row>
    <row r="137" spans="1:101" x14ac:dyDescent="0.25">
      <c r="A137" s="31" t="s">
        <v>139</v>
      </c>
      <c r="B137" s="13">
        <v>135</v>
      </c>
      <c r="C137" s="13">
        <v>30</v>
      </c>
      <c r="D137" s="13">
        <v>6</v>
      </c>
      <c r="E137" s="32"/>
      <c r="F137" s="32"/>
      <c r="G137" s="32"/>
      <c r="H137" s="32"/>
      <c r="I137" s="32"/>
      <c r="J137" s="13"/>
      <c r="K137" s="33"/>
      <c r="L137" s="34">
        <f>IFERROR(INDEX('Pokemon Data'!A:A,MATCH($A137,'Pokemon Data'!$B:$B,0)),"")</f>
        <v>100</v>
      </c>
      <c r="M137" s="34">
        <f>IFERROR(INDEX('Pokemon Data'!I:I,MATCH($A137,'Pokemon Data'!$B:$B,0)),"")</f>
        <v>80</v>
      </c>
      <c r="N137" s="34">
        <f>IFERROR(INDEX('Pokemon Data'!J:J,MATCH($A137,'Pokemon Data'!$B:$B,0)),"")</f>
        <v>109</v>
      </c>
      <c r="O137" s="34">
        <f>IFERROR(INDEX('Pokemon Data'!K:K,MATCH($A137,'Pokemon Data'!$B:$B,0)),"")</f>
        <v>114</v>
      </c>
      <c r="P137" s="35">
        <f>IFERROR(INDEX('Level Multiplier'!$A:$A,MATCH($D137,'Level Multiplier'!$B:$B,0)),"")</f>
        <v>5</v>
      </c>
      <c r="Q137" s="36">
        <f>IFERROR(INDEX('Level Multiplier'!$D:$D,MATCH(P137,'Level Multiplier'!$A:$A,0)),"")</f>
        <v>3.4453071953035774</v>
      </c>
      <c r="R137" s="37">
        <f t="shared" si="72"/>
        <v>24</v>
      </c>
      <c r="S137" s="37">
        <f t="shared" si="73"/>
        <v>15</v>
      </c>
      <c r="T137" s="38">
        <f t="shared" si="74"/>
        <v>256790729.80250758</v>
      </c>
      <c r="U137" s="38">
        <f t="shared" si="75"/>
        <v>260609126.9370195</v>
      </c>
      <c r="V137" s="38" t="b">
        <f t="shared" si="76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7"/>
        <v>5.5</v>
      </c>
      <c r="AI137" s="36">
        <f>IFERROR(INDEX('Level Multiplier'!$D:$D,MATCH(AH137,'Level Multiplier'!$A:$A,0)),"")</f>
        <v>3.2673612046279805</v>
      </c>
      <c r="AJ137" s="37">
        <f t="shared" si="78"/>
        <v>19</v>
      </c>
      <c r="AK137" s="37">
        <f t="shared" si="79"/>
        <v>15</v>
      </c>
      <c r="AL137" s="38">
        <f t="shared" si="80"/>
        <v>207709389.56125242</v>
      </c>
      <c r="AM137" s="38">
        <f t="shared" si="81"/>
        <v>210797962.65157339</v>
      </c>
      <c r="AN137" s="38" t="b">
        <f t="shared" si="82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3"/>
        <v>6</v>
      </c>
      <c r="BA137" s="36">
        <f>IFERROR(INDEX('Level Multiplier'!$D:$D,MATCH(AZ137,'Level Multiplier'!$A:$A,0)),"")</f>
        <v>3.1144148824183806</v>
      </c>
      <c r="BB137" s="37">
        <f t="shared" si="84"/>
        <v>14</v>
      </c>
      <c r="BC137" s="37">
        <f t="shared" si="85"/>
        <v>15</v>
      </c>
      <c r="BD137" s="38">
        <f t="shared" si="86"/>
        <v>171464177.70674485</v>
      </c>
      <c r="BE137" s="38">
        <f t="shared" si="87"/>
        <v>174013795.93217847</v>
      </c>
      <c r="BF137" s="38" t="b">
        <f t="shared" si="88"/>
        <v>0</v>
      </c>
      <c r="BG137" s="37">
        <f t="array" ref="BG137:BQ137">IF(BF137,"",IVSolution($M137,$N137,$O137,BB137,BC137,BD137,BE137,$E137,$F137,$G137,$H137,$I137))</f>
        <v>23</v>
      </c>
      <c r="BH137" s="37">
        <v>34</v>
      </c>
      <c r="BI137" s="37">
        <v>40</v>
      </c>
      <c r="BJ137" s="39">
        <v>0.75555555555555554</v>
      </c>
      <c r="BK137" s="39">
        <v>0.88888888888888884</v>
      </c>
      <c r="BL137" s="37">
        <v>14</v>
      </c>
      <c r="BM137" s="37">
        <v>15</v>
      </c>
      <c r="BN137" s="37">
        <v>10</v>
      </c>
      <c r="BO137" s="37">
        <v>15</v>
      </c>
      <c r="BP137" s="37">
        <v>4</v>
      </c>
      <c r="BQ137" s="37">
        <v>15</v>
      </c>
      <c r="BR137" s="40">
        <f t="shared" si="89"/>
        <v>6.5</v>
      </c>
      <c r="BS137" s="36">
        <f>IFERROR(INDEX('Level Multiplier'!$D:$D,MATCH(BR137,'Level Multiplier'!$A:$A,0)),"")</f>
        <v>2.9811143188298668</v>
      </c>
      <c r="BT137" s="37">
        <f t="shared" si="90"/>
        <v>10</v>
      </c>
      <c r="BU137" s="37">
        <f t="shared" si="91"/>
        <v>12</v>
      </c>
      <c r="BV137" s="38">
        <f t="shared" si="92"/>
        <v>143940185.86723971</v>
      </c>
      <c r="BW137" s="38">
        <f t="shared" si="93"/>
        <v>146080531.01785821</v>
      </c>
      <c r="BX137" s="38" t="b">
        <f t="shared" si="94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5"/>
        <v>6</v>
      </c>
      <c r="CK137" s="41">
        <f t="shared" si="96"/>
        <v>6</v>
      </c>
      <c r="CL137" s="39">
        <f t="shared" si="97"/>
        <v>0.75555555555555554</v>
      </c>
      <c r="CM137" s="39">
        <f t="shared" si="98"/>
        <v>0.88888888888888884</v>
      </c>
      <c r="CN137" s="42">
        <f t="shared" si="99"/>
        <v>14</v>
      </c>
      <c r="CO137" s="42">
        <f t="shared" si="100"/>
        <v>15</v>
      </c>
      <c r="CP137" s="42">
        <f t="shared" si="101"/>
        <v>10</v>
      </c>
      <c r="CQ137" s="42">
        <f t="shared" si="102"/>
        <v>15</v>
      </c>
      <c r="CR137" s="42">
        <f t="shared" si="103"/>
        <v>4</v>
      </c>
      <c r="CS137" s="42">
        <f t="shared" si="104"/>
        <v>15</v>
      </c>
      <c r="CT137" s="43" t="str">
        <f t="shared" si="105"/>
        <v>14-15</v>
      </c>
      <c r="CU137" s="43" t="str">
        <f t="shared" si="106"/>
        <v>10-15</v>
      </c>
      <c r="CV137" s="43" t="str">
        <f t="shared" si="107"/>
        <v>4-15</v>
      </c>
      <c r="CW137" s="13"/>
    </row>
    <row r="138" spans="1:101" x14ac:dyDescent="0.25">
      <c r="A138" s="31" t="s">
        <v>140</v>
      </c>
      <c r="B138" s="13">
        <v>806</v>
      </c>
      <c r="C138" s="13">
        <v>68</v>
      </c>
      <c r="D138" s="13">
        <v>19</v>
      </c>
      <c r="E138" s="32"/>
      <c r="F138" s="32"/>
      <c r="G138" s="32"/>
      <c r="H138" s="32"/>
      <c r="I138" s="32"/>
      <c r="J138" s="13"/>
      <c r="K138" s="33">
        <v>15</v>
      </c>
      <c r="L138" s="34">
        <f>IFERROR(INDEX('Pokemon Data'!A:A,MATCH($A138,'Pokemon Data'!$B:$B,0)),"")</f>
        <v>101</v>
      </c>
      <c r="M138" s="34">
        <f>IFERROR(INDEX('Pokemon Data'!I:I,MATCH($A138,'Pokemon Data'!$B:$B,0)),"")</f>
        <v>120</v>
      </c>
      <c r="N138" s="34">
        <f>IFERROR(INDEX('Pokemon Data'!J:J,MATCH($A138,'Pokemon Data'!$B:$B,0)),"")</f>
        <v>173</v>
      </c>
      <c r="O138" s="34">
        <f>IFERROR(INDEX('Pokemon Data'!K:K,MATCH($A138,'Pokemon Data'!$B:$B,0)),"")</f>
        <v>179</v>
      </c>
      <c r="P138" s="35">
        <f>IFERROR(INDEX('Level Multiplier'!$A:$A,MATCH($D138,'Level Multiplier'!$B:$B,0)),"")</f>
        <v>15</v>
      </c>
      <c r="Q138" s="36">
        <f>IFERROR(INDEX('Level Multiplier'!$D:$D,MATCH(P138,'Level Multiplier'!$A:$A,0)),"")</f>
        <v>1.9327632261645116</v>
      </c>
      <c r="R138" s="37">
        <f t="shared" si="72"/>
        <v>12</v>
      </c>
      <c r="S138" s="37">
        <f t="shared" si="73"/>
        <v>13</v>
      </c>
      <c r="T138" s="38">
        <f t="shared" si="74"/>
        <v>906535256.60959184</v>
      </c>
      <c r="U138" s="38">
        <f t="shared" si="75"/>
        <v>908786119.19865906</v>
      </c>
      <c r="V138" s="38" t="b">
        <f t="shared" si="76"/>
        <v>0</v>
      </c>
      <c r="W138" s="37">
        <f t="array" ref="W138:AG138">IF(V138,"",IVSolution($M138,$N138,$O138,R138,S138,T138,U138,$E138,$F138,$G138,$H138,$I138))</f>
        <v>1</v>
      </c>
      <c r="X138" s="37">
        <v>42</v>
      </c>
      <c r="Y138" s="37">
        <v>42</v>
      </c>
      <c r="Z138" s="39">
        <v>0.93333333333333335</v>
      </c>
      <c r="AA138" s="39">
        <v>0.93333333333333335</v>
      </c>
      <c r="AB138" s="37">
        <v>13</v>
      </c>
      <c r="AC138" s="37">
        <v>13</v>
      </c>
      <c r="AD138" s="37">
        <v>15</v>
      </c>
      <c r="AE138" s="37">
        <v>15</v>
      </c>
      <c r="AF138" s="37">
        <v>14</v>
      </c>
      <c r="AG138" s="37">
        <v>14</v>
      </c>
      <c r="AH138" s="40">
        <f t="shared" si="77"/>
        <v>15.5</v>
      </c>
      <c r="AI138" s="36">
        <f>IFERROR(INDEX('Level Multiplier'!$D:$D,MATCH(AH138,'Level Multiplier'!$A:$A,0)),"")</f>
        <v>1.9013484916795402</v>
      </c>
      <c r="AJ138" s="37">
        <f t="shared" si="78"/>
        <v>10</v>
      </c>
      <c r="AK138" s="37">
        <f t="shared" si="79"/>
        <v>11</v>
      </c>
      <c r="AL138" s="38">
        <f t="shared" si="80"/>
        <v>849018163.95759404</v>
      </c>
      <c r="AM138" s="38">
        <f t="shared" si="81"/>
        <v>851126215.69497252</v>
      </c>
      <c r="AN138" s="38" t="b">
        <f t="shared" si="82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3"/>
        <v>16</v>
      </c>
      <c r="BA138" s="36">
        <f>IFERROR(INDEX('Level Multiplier'!$D:$D,MATCH(AZ138,'Level Multiplier'!$A:$A,0)),"")</f>
        <v>1.8714174169787303</v>
      </c>
      <c r="BB138" s="37">
        <f t="shared" si="84"/>
        <v>8</v>
      </c>
      <c r="BC138" s="37">
        <f t="shared" si="85"/>
        <v>9</v>
      </c>
      <c r="BD138" s="38">
        <f t="shared" si="86"/>
        <v>796806286.56216013</v>
      </c>
      <c r="BE138" s="38">
        <f t="shared" si="87"/>
        <v>798784699.92014027</v>
      </c>
      <c r="BF138" s="38" t="b">
        <f t="shared" si="88"/>
        <v>1</v>
      </c>
      <c r="BG138" s="37" t="str">
        <f t="array" ref="BG138:BQ138">IF(BF138,"",IVSolution($M138,$N138,$O138,BB138,BC138,BD138,BE138,$E138,$F138,$G138,$H138,$I138))</f>
        <v/>
      </c>
      <c r="BH138" s="37" t="str">
        <v/>
      </c>
      <c r="BI138" s="37" t="str">
        <v/>
      </c>
      <c r="BJ138" s="39" t="str">
        <v/>
      </c>
      <c r="BK138" s="39" t="str">
        <v/>
      </c>
      <c r="BL138" s="37" t="str">
        <v/>
      </c>
      <c r="BM138" s="37" t="str">
        <v/>
      </c>
      <c r="BN138" s="37" t="str">
        <v/>
      </c>
      <c r="BO138" s="37" t="str">
        <v/>
      </c>
      <c r="BP138" s="37" t="str">
        <v/>
      </c>
      <c r="BQ138" s="37" t="str">
        <v/>
      </c>
      <c r="BR138" s="40">
        <f t="shared" si="89"/>
        <v>16.5</v>
      </c>
      <c r="BS138" s="36">
        <f>IFERROR(INDEX('Level Multiplier'!$D:$D,MATCH(BR138,'Level Multiplier'!$A:$A,0)),"")</f>
        <v>1.8428567757863994</v>
      </c>
      <c r="BT138" s="37">
        <f t="shared" si="90"/>
        <v>6</v>
      </c>
      <c r="BU138" s="37">
        <f t="shared" si="91"/>
        <v>7</v>
      </c>
      <c r="BV138" s="38">
        <f t="shared" si="92"/>
        <v>749266678.00119138</v>
      </c>
      <c r="BW138" s="38">
        <f t="shared" si="93"/>
        <v>751127053.89109886</v>
      </c>
      <c r="BX138" s="38" t="b">
        <f t="shared" si="94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5"/>
        <v>15</v>
      </c>
      <c r="CK138" s="41">
        <f t="shared" si="96"/>
        <v>15</v>
      </c>
      <c r="CL138" s="39">
        <f t="shared" si="97"/>
        <v>0.93333333333333335</v>
      </c>
      <c r="CM138" s="39">
        <f t="shared" si="98"/>
        <v>0.93333333333333335</v>
      </c>
      <c r="CN138" s="42">
        <f t="shared" si="99"/>
        <v>13</v>
      </c>
      <c r="CO138" s="42">
        <f t="shared" si="100"/>
        <v>13</v>
      </c>
      <c r="CP138" s="42">
        <f t="shared" si="101"/>
        <v>15</v>
      </c>
      <c r="CQ138" s="42">
        <f t="shared" si="102"/>
        <v>15</v>
      </c>
      <c r="CR138" s="42">
        <f t="shared" si="103"/>
        <v>14</v>
      </c>
      <c r="CS138" s="42">
        <f t="shared" si="104"/>
        <v>14</v>
      </c>
      <c r="CT138" s="43">
        <f t="shared" si="105"/>
        <v>13</v>
      </c>
      <c r="CU138" s="43">
        <f t="shared" si="106"/>
        <v>15</v>
      </c>
      <c r="CV138" s="43">
        <f t="shared" si="107"/>
        <v>14</v>
      </c>
      <c r="CW138" s="13" t="s">
        <v>399</v>
      </c>
    </row>
    <row r="139" spans="1:101" x14ac:dyDescent="0.25">
      <c r="A139" s="31" t="s">
        <v>141</v>
      </c>
      <c r="B139" s="13">
        <v>602</v>
      </c>
      <c r="C139" s="13">
        <v>80</v>
      </c>
      <c r="D139" s="13">
        <v>25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102</v>
      </c>
      <c r="M139" s="34">
        <f>IFERROR(INDEX('Pokemon Data'!I:I,MATCH($A139,'Pokemon Data'!$B:$B,0)),"")</f>
        <v>120</v>
      </c>
      <c r="N139" s="34">
        <f>IFERROR(INDEX('Pokemon Data'!J:J,MATCH($A139,'Pokemon Data'!$B:$B,0)),"")</f>
        <v>107</v>
      </c>
      <c r="O139" s="34">
        <f>IFERROR(INDEX('Pokemon Data'!K:K,MATCH($A139,'Pokemon Data'!$B:$B,0)),"")</f>
        <v>140</v>
      </c>
      <c r="P139" s="35">
        <f>IFERROR(INDEX('Level Multiplier'!$A:$A,MATCH($D139,'Level Multiplier'!$B:$B,0)),"")</f>
        <v>19</v>
      </c>
      <c r="Q139" s="36">
        <f>IFERROR(INDEX('Level Multiplier'!$D:$D,MATCH(P139,'Level Multiplier'!$A:$A,0)),"")</f>
        <v>1.7173900390793821</v>
      </c>
      <c r="R139" s="37">
        <f t="shared" si="72"/>
        <v>18</v>
      </c>
      <c r="S139" s="37">
        <f t="shared" si="73"/>
        <v>15</v>
      </c>
      <c r="T139" s="38">
        <f t="shared" si="74"/>
        <v>315259905.54790783</v>
      </c>
      <c r="U139" s="38">
        <f t="shared" si="75"/>
        <v>316308150.56227088</v>
      </c>
      <c r="V139" s="38" t="b">
        <f t="shared" si="76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7"/>
        <v>19.5</v>
      </c>
      <c r="AI139" s="36">
        <f>IFERROR(INDEX('Level Multiplier'!$D:$D,MATCH(AH139,'Level Multiplier'!$A:$A,0)),"")</f>
        <v>1.6952373004785586</v>
      </c>
      <c r="AJ139" s="37">
        <f t="shared" si="78"/>
        <v>16</v>
      </c>
      <c r="AK139" s="37">
        <f t="shared" si="79"/>
        <v>15</v>
      </c>
      <c r="AL139" s="38">
        <f t="shared" si="80"/>
        <v>299305695.44744837</v>
      </c>
      <c r="AM139" s="38">
        <f t="shared" si="81"/>
        <v>300300892.41827148</v>
      </c>
      <c r="AN139" s="38" t="b">
        <f t="shared" si="82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3"/>
        <v>20</v>
      </c>
      <c r="BA139" s="36">
        <f>IFERROR(INDEX('Level Multiplier'!$D:$D,MATCH(AZ139,'Level Multiplier'!$A:$A,0)),"")</f>
        <v>1.6739202933726098</v>
      </c>
      <c r="BB139" s="37">
        <f t="shared" si="84"/>
        <v>14</v>
      </c>
      <c r="BC139" s="37">
        <f t="shared" si="85"/>
        <v>15</v>
      </c>
      <c r="BD139" s="38">
        <f t="shared" si="86"/>
        <v>284532631.43761969</v>
      </c>
      <c r="BE139" s="38">
        <f t="shared" si="87"/>
        <v>285478707.69749081</v>
      </c>
      <c r="BF139" s="38" t="b">
        <f t="shared" si="88"/>
        <v>0</v>
      </c>
      <c r="BG139" s="37">
        <f t="array" ref="BG139:BQ139">IF(BF139,"",IVSolution($M139,$N139,$O139,BB139,BC139,BD139,BE139,$E139,$F139,$G139,$H139,$I139))</f>
        <v>7</v>
      </c>
      <c r="BH139" s="37">
        <v>32</v>
      </c>
      <c r="BI139" s="37">
        <v>39</v>
      </c>
      <c r="BJ139" s="39">
        <v>0.71111111111111114</v>
      </c>
      <c r="BK139" s="39">
        <v>0.8666666666666667</v>
      </c>
      <c r="BL139" s="37">
        <v>14</v>
      </c>
      <c r="BM139" s="37">
        <v>15</v>
      </c>
      <c r="BN139" s="37">
        <v>10</v>
      </c>
      <c r="BO139" s="37">
        <v>15</v>
      </c>
      <c r="BP139" s="37">
        <v>2</v>
      </c>
      <c r="BQ139" s="37">
        <v>14</v>
      </c>
      <c r="BR139" s="40">
        <f t="shared" si="89"/>
        <v>20.5</v>
      </c>
      <c r="BS139" s="36">
        <f>IFERROR(INDEX('Level Multiplier'!$D:$D,MATCH(BR139,'Level Multiplier'!$A:$A,0)),"")</f>
        <v>1.653387720177633</v>
      </c>
      <c r="BT139" s="37">
        <f t="shared" si="90"/>
        <v>13</v>
      </c>
      <c r="BU139" s="37">
        <f t="shared" si="91"/>
        <v>13</v>
      </c>
      <c r="BV139" s="38">
        <f t="shared" si="92"/>
        <v>270826909.32176232</v>
      </c>
      <c r="BW139" s="38">
        <f t="shared" si="93"/>
        <v>271727413.80221152</v>
      </c>
      <c r="BX139" s="38" t="b">
        <f t="shared" si="94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5"/>
        <v>20</v>
      </c>
      <c r="CK139" s="41">
        <f t="shared" si="96"/>
        <v>20</v>
      </c>
      <c r="CL139" s="39">
        <f t="shared" si="97"/>
        <v>0.71111111111111114</v>
      </c>
      <c r="CM139" s="39">
        <f t="shared" si="98"/>
        <v>0.8666666666666667</v>
      </c>
      <c r="CN139" s="42">
        <f t="shared" si="99"/>
        <v>14</v>
      </c>
      <c r="CO139" s="42">
        <f t="shared" si="100"/>
        <v>15</v>
      </c>
      <c r="CP139" s="42">
        <f t="shared" si="101"/>
        <v>10</v>
      </c>
      <c r="CQ139" s="42">
        <f t="shared" si="102"/>
        <v>15</v>
      </c>
      <c r="CR139" s="42">
        <f t="shared" si="103"/>
        <v>2</v>
      </c>
      <c r="CS139" s="42">
        <f t="shared" si="104"/>
        <v>14</v>
      </c>
      <c r="CT139" s="43" t="str">
        <f t="shared" si="105"/>
        <v>14-15</v>
      </c>
      <c r="CU139" s="43" t="str">
        <f t="shared" si="106"/>
        <v>10-15</v>
      </c>
      <c r="CV139" s="43" t="str">
        <f t="shared" si="107"/>
        <v>2-14</v>
      </c>
      <c r="CW139" s="13"/>
    </row>
    <row r="140" spans="1:101" x14ac:dyDescent="0.25">
      <c r="A140" s="31" t="s">
        <v>142</v>
      </c>
      <c r="B140" s="13">
        <v>1644</v>
      </c>
      <c r="C140" s="13">
        <v>121</v>
      </c>
      <c r="D140" s="13">
        <v>25</v>
      </c>
      <c r="E140" s="32"/>
      <c r="F140" s="32"/>
      <c r="G140" s="32"/>
      <c r="H140" s="32"/>
      <c r="I140" s="32"/>
      <c r="J140" s="13"/>
      <c r="K140" s="33"/>
      <c r="L140" s="34">
        <f>IFERROR(INDEX('Pokemon Data'!A:A,MATCH($A140,'Pokemon Data'!$B:$B,0)),"")</f>
        <v>103</v>
      </c>
      <c r="M140" s="34">
        <f>IFERROR(INDEX('Pokemon Data'!I:I,MATCH($A140,'Pokemon Data'!$B:$B,0)),"")</f>
        <v>190</v>
      </c>
      <c r="N140" s="34">
        <f>IFERROR(INDEX('Pokemon Data'!J:J,MATCH($A140,'Pokemon Data'!$B:$B,0)),"")</f>
        <v>233</v>
      </c>
      <c r="O140" s="34">
        <f>IFERROR(INDEX('Pokemon Data'!K:K,MATCH($A140,'Pokemon Data'!$B:$B,0)),"")</f>
        <v>158</v>
      </c>
      <c r="P140" s="35">
        <f>IFERROR(INDEX('Level Multiplier'!$A:$A,MATCH($D140,'Level Multiplier'!$B:$B,0)),"")</f>
        <v>19</v>
      </c>
      <c r="Q140" s="36">
        <f>IFERROR(INDEX('Level Multiplier'!$D:$D,MATCH(P140,'Level Multiplier'!$A:$A,0)),"")</f>
        <v>1.7173900390793821</v>
      </c>
      <c r="R140" s="37">
        <f t="shared" si="72"/>
        <v>18</v>
      </c>
      <c r="S140" s="37">
        <f t="shared" si="73"/>
        <v>15</v>
      </c>
      <c r="T140" s="38">
        <f t="shared" si="74"/>
        <v>2351144844.0992103</v>
      </c>
      <c r="U140" s="38">
        <f t="shared" si="75"/>
        <v>2354005987.5450525</v>
      </c>
      <c r="V140" s="38" t="b">
        <f t="shared" si="76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7"/>
        <v>19.5</v>
      </c>
      <c r="AI140" s="36">
        <f>IFERROR(INDEX('Level Multiplier'!$D:$D,MATCH(AH140,'Level Multiplier'!$A:$A,0)),"")</f>
        <v>1.6952373004785586</v>
      </c>
      <c r="AJ140" s="37">
        <f t="shared" si="78"/>
        <v>16</v>
      </c>
      <c r="AK140" s="37">
        <f t="shared" si="79"/>
        <v>15</v>
      </c>
      <c r="AL140" s="38">
        <f t="shared" si="80"/>
        <v>2232161560.2776318</v>
      </c>
      <c r="AM140" s="38">
        <f t="shared" si="81"/>
        <v>2234877911.1797371</v>
      </c>
      <c r="AN140" s="38" t="b">
        <f t="shared" si="82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3"/>
        <v>20</v>
      </c>
      <c r="BA140" s="36">
        <f>IFERROR(INDEX('Level Multiplier'!$D:$D,MATCH(AZ140,'Level Multiplier'!$A:$A,0)),"")</f>
        <v>1.6739202933726098</v>
      </c>
      <c r="BB140" s="37">
        <f t="shared" si="84"/>
        <v>13</v>
      </c>
      <c r="BC140" s="37">
        <f t="shared" si="85"/>
        <v>14</v>
      </c>
      <c r="BD140" s="38">
        <f t="shared" si="86"/>
        <v>2121987025.9742897</v>
      </c>
      <c r="BE140" s="38">
        <f t="shared" si="87"/>
        <v>2124569303.8321455</v>
      </c>
      <c r="BF140" s="38" t="b">
        <f t="shared" si="88"/>
        <v>0</v>
      </c>
      <c r="BG140" s="37">
        <f t="array" ref="BG140:BQ140">IF(BF140,"",IVSolution($M140,$N140,$O140,BB140,BC140,BD140,BE140,$E140,$F140,$G140,$H140,$I140))</f>
        <v>2</v>
      </c>
      <c r="BH140" s="37">
        <v>40</v>
      </c>
      <c r="BI140" s="37">
        <v>41</v>
      </c>
      <c r="BJ140" s="39">
        <v>0.88888888888888884</v>
      </c>
      <c r="BK140" s="39">
        <v>0.91111111111111109</v>
      </c>
      <c r="BL140" s="37">
        <v>13</v>
      </c>
      <c r="BM140" s="37">
        <v>14</v>
      </c>
      <c r="BN140" s="37">
        <v>13</v>
      </c>
      <c r="BO140" s="37">
        <v>15</v>
      </c>
      <c r="BP140" s="37">
        <v>12</v>
      </c>
      <c r="BQ140" s="37">
        <v>14</v>
      </c>
      <c r="BR140" s="40">
        <f t="shared" si="89"/>
        <v>20.5</v>
      </c>
      <c r="BS140" s="36">
        <f>IFERROR(INDEX('Level Multiplier'!$D:$D,MATCH(BR140,'Level Multiplier'!$A:$A,0)),"")</f>
        <v>1.653387720177633</v>
      </c>
      <c r="BT140" s="37">
        <f t="shared" si="90"/>
        <v>11</v>
      </c>
      <c r="BU140" s="37">
        <f t="shared" si="91"/>
        <v>11</v>
      </c>
      <c r="BV140" s="38">
        <f t="shared" si="92"/>
        <v>2019772512.4244285</v>
      </c>
      <c r="BW140" s="38">
        <f t="shared" si="93"/>
        <v>2022230403.90675</v>
      </c>
      <c r="BX140" s="38" t="b">
        <f t="shared" si="94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5"/>
        <v>20</v>
      </c>
      <c r="CK140" s="41">
        <f t="shared" si="96"/>
        <v>20</v>
      </c>
      <c r="CL140" s="39">
        <f t="shared" si="97"/>
        <v>0.88888888888888884</v>
      </c>
      <c r="CM140" s="39">
        <f t="shared" si="98"/>
        <v>0.91111111111111109</v>
      </c>
      <c r="CN140" s="42">
        <f t="shared" si="99"/>
        <v>13</v>
      </c>
      <c r="CO140" s="42">
        <f t="shared" si="100"/>
        <v>14</v>
      </c>
      <c r="CP140" s="42">
        <f t="shared" si="101"/>
        <v>13</v>
      </c>
      <c r="CQ140" s="42">
        <f t="shared" si="102"/>
        <v>15</v>
      </c>
      <c r="CR140" s="42">
        <f t="shared" si="103"/>
        <v>12</v>
      </c>
      <c r="CS140" s="42">
        <f t="shared" si="104"/>
        <v>14</v>
      </c>
      <c r="CT140" s="43" t="str">
        <f t="shared" si="105"/>
        <v>13-14</v>
      </c>
      <c r="CU140" s="43" t="str">
        <f t="shared" si="106"/>
        <v>13-15</v>
      </c>
      <c r="CV140" s="43" t="str">
        <f t="shared" si="107"/>
        <v>12-14</v>
      </c>
      <c r="CW140" s="13" t="s">
        <v>398</v>
      </c>
    </row>
    <row r="141" spans="1:101" x14ac:dyDescent="0.25">
      <c r="A141" s="31" t="s">
        <v>143</v>
      </c>
      <c r="B141" s="13">
        <v>675</v>
      </c>
      <c r="C141" s="13">
        <v>75</v>
      </c>
      <c r="D141" s="13">
        <v>40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104</v>
      </c>
      <c r="M141" s="34">
        <f>IFERROR(INDEX('Pokemon Data'!I:I,MATCH($A141,'Pokemon Data'!$B:$B,0)),"")</f>
        <v>100</v>
      </c>
      <c r="N141" s="34">
        <f>IFERROR(INDEX('Pokemon Data'!J:J,MATCH($A141,'Pokemon Data'!$B:$B,0)),"")</f>
        <v>90</v>
      </c>
      <c r="O141" s="34">
        <f>IFERROR(INDEX('Pokemon Data'!K:K,MATCH($A141,'Pokemon Data'!$B:$B,0)),"")</f>
        <v>165</v>
      </c>
      <c r="P141" s="35">
        <f>IFERROR(INDEX('Level Multiplier'!$A:$A,MATCH($D141,'Level Multiplier'!$B:$B,0)),"")</f>
        <v>25</v>
      </c>
      <c r="Q141" s="36">
        <f>IFERROR(INDEX('Level Multiplier'!$D:$D,MATCH(P141,'Level Multiplier'!$A:$A,0)),"")</f>
        <v>1.4971539104162985</v>
      </c>
      <c r="R141" s="37">
        <f t="shared" si="72"/>
        <v>13</v>
      </c>
      <c r="S141" s="37">
        <f t="shared" si="73"/>
        <v>13</v>
      </c>
      <c r="T141" s="38">
        <f t="shared" si="74"/>
        <v>228914520.43407196</v>
      </c>
      <c r="U141" s="38">
        <f t="shared" si="75"/>
        <v>229593288.09850308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25.5</v>
      </c>
      <c r="AI141" s="36">
        <f>IFERROR(INDEX('Level Multiplier'!$D:$D,MATCH(AH141,'Level Multiplier'!$A:$A,0)),"")</f>
        <v>1.4824092786238152</v>
      </c>
      <c r="AJ141" s="37">
        <f t="shared" si="78"/>
        <v>12</v>
      </c>
      <c r="AK141" s="37">
        <f t="shared" si="79"/>
        <v>12</v>
      </c>
      <c r="AL141" s="38">
        <f t="shared" si="80"/>
        <v>220029060.41142499</v>
      </c>
      <c r="AM141" s="38">
        <f t="shared" si="81"/>
        <v>220681481.28520462</v>
      </c>
      <c r="AN141" s="38" t="b">
        <f t="shared" si="82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3"/>
        <v>26</v>
      </c>
      <c r="BA141" s="36">
        <f>IFERROR(INDEX('Level Multiplier'!$D:$D,MATCH(AZ141,'Level Multiplier'!$A:$A,0)),"")</f>
        <v>1.4680732530970622</v>
      </c>
      <c r="BB141" s="37">
        <f t="shared" si="84"/>
        <v>11</v>
      </c>
      <c r="BC141" s="37">
        <f t="shared" si="85"/>
        <v>11</v>
      </c>
      <c r="BD141" s="38">
        <f t="shared" si="86"/>
        <v>211640340.15695253</v>
      </c>
      <c r="BE141" s="38">
        <f t="shared" si="87"/>
        <v>212267887.15185413</v>
      </c>
      <c r="BF141" s="38" t="b">
        <f t="shared" si="88"/>
        <v>0</v>
      </c>
      <c r="BG141" s="37">
        <f t="array" ref="BG141:BQ141">IF(BF141,"",IVSolution($M141,$N141,$O141,BB141,BC141,BD141,BE141,$E141,$F141,$G141,$H141,$I141))</f>
        <v>2</v>
      </c>
      <c r="BH141" s="37">
        <v>34</v>
      </c>
      <c r="BI141" s="37">
        <v>39</v>
      </c>
      <c r="BJ141" s="39">
        <v>0.75555555555555554</v>
      </c>
      <c r="BK141" s="39">
        <v>0.8666666666666667</v>
      </c>
      <c r="BL141" s="37">
        <v>11</v>
      </c>
      <c r="BM141" s="37">
        <v>11</v>
      </c>
      <c r="BN141" s="37">
        <v>13</v>
      </c>
      <c r="BO141" s="37">
        <v>15</v>
      </c>
      <c r="BP141" s="37">
        <v>8</v>
      </c>
      <c r="BQ141" s="37">
        <v>15</v>
      </c>
      <c r="BR141" s="40">
        <f t="shared" si="89"/>
        <v>26.5</v>
      </c>
      <c r="BS141" s="36">
        <f>IFERROR(INDEX('Level Multiplier'!$D:$D,MATCH(BR141,'Level Multiplier'!$A:$A,0)),"")</f>
        <v>1.4541633575240582</v>
      </c>
      <c r="BT141" s="37">
        <f t="shared" si="90"/>
        <v>10</v>
      </c>
      <c r="BU141" s="37">
        <f t="shared" si="91"/>
        <v>10</v>
      </c>
      <c r="BV141" s="38">
        <f t="shared" si="92"/>
        <v>203732508.92876947</v>
      </c>
      <c r="BW141" s="38">
        <f t="shared" si="93"/>
        <v>204336607.9566164</v>
      </c>
      <c r="BX141" s="38" t="b">
        <f t="shared" si="94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5"/>
        <v>26</v>
      </c>
      <c r="CK141" s="41">
        <f t="shared" si="96"/>
        <v>26</v>
      </c>
      <c r="CL141" s="39">
        <f t="shared" si="97"/>
        <v>0.75555555555555554</v>
      </c>
      <c r="CM141" s="39">
        <f t="shared" si="98"/>
        <v>0.8666666666666667</v>
      </c>
      <c r="CN141" s="42">
        <f t="shared" si="99"/>
        <v>11</v>
      </c>
      <c r="CO141" s="42">
        <f t="shared" si="100"/>
        <v>11</v>
      </c>
      <c r="CP141" s="42">
        <f t="shared" si="101"/>
        <v>13</v>
      </c>
      <c r="CQ141" s="42">
        <f t="shared" si="102"/>
        <v>15</v>
      </c>
      <c r="CR141" s="42">
        <f t="shared" si="103"/>
        <v>8</v>
      </c>
      <c r="CS141" s="42">
        <f t="shared" si="104"/>
        <v>15</v>
      </c>
      <c r="CT141" s="43">
        <f t="shared" si="105"/>
        <v>11</v>
      </c>
      <c r="CU141" s="43" t="str">
        <f t="shared" si="106"/>
        <v>13-15</v>
      </c>
      <c r="CV141" s="43" t="str">
        <f t="shared" si="107"/>
        <v>8-15</v>
      </c>
      <c r="CW141" s="13"/>
    </row>
    <row r="142" spans="1:101" x14ac:dyDescent="0.25">
      <c r="A142" s="31" t="s">
        <v>143</v>
      </c>
      <c r="B142" s="13">
        <v>527</v>
      </c>
      <c r="C142" s="13">
        <v>68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104</v>
      </c>
      <c r="M142" s="34">
        <f>IFERROR(INDEX('Pokemon Data'!I:I,MATCH($A142,'Pokemon Data'!$B:$B,0)),"")</f>
        <v>100</v>
      </c>
      <c r="N142" s="34">
        <f>IFERROR(INDEX('Pokemon Data'!J:J,MATCH($A142,'Pokemon Data'!$B:$B,0)),"")</f>
        <v>90</v>
      </c>
      <c r="O142" s="34">
        <f>IFERROR(INDEX('Pokemon Data'!K:K,MATCH($A142,'Pokemon Data'!$B:$B,0)),"")</f>
        <v>165</v>
      </c>
      <c r="P142" s="35">
        <f>IFERROR(INDEX('Level Multiplier'!$A:$A,MATCH($D142,'Level Multiplier'!$B:$B,0)),"")</f>
        <v>19</v>
      </c>
      <c r="Q142" s="36">
        <f>IFERROR(INDEX('Level Multiplier'!$D:$D,MATCH(P142,'Level Multiplier'!$A:$A,0)),"")</f>
        <v>1.7173900390793821</v>
      </c>
      <c r="R142" s="37">
        <f t="shared" si="72"/>
        <v>17</v>
      </c>
      <c r="S142" s="37">
        <f t="shared" si="73"/>
        <v>15</v>
      </c>
      <c r="T142" s="38">
        <f t="shared" si="74"/>
        <v>241600032.85812211</v>
      </c>
      <c r="U142" s="38">
        <f t="shared" si="75"/>
        <v>242517790.94123664</v>
      </c>
      <c r="V142" s="38" t="b">
        <f t="shared" si="76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7"/>
        <v>19.5</v>
      </c>
      <c r="AI142" s="36">
        <f>IFERROR(INDEX('Level Multiplier'!$D:$D,MATCH(AH142,'Level Multiplier'!$A:$A,0)),"")</f>
        <v>1.6952373004785586</v>
      </c>
      <c r="AJ142" s="37">
        <f t="shared" si="78"/>
        <v>16</v>
      </c>
      <c r="AK142" s="37">
        <f t="shared" si="79"/>
        <v>15</v>
      </c>
      <c r="AL142" s="38">
        <f t="shared" si="80"/>
        <v>229373493.36906984</v>
      </c>
      <c r="AM142" s="38">
        <f t="shared" si="81"/>
        <v>230244806.89954153</v>
      </c>
      <c r="AN142" s="38" t="b">
        <f t="shared" si="82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3"/>
        <v>20</v>
      </c>
      <c r="BA142" s="36">
        <f>IFERROR(INDEX('Level Multiplier'!$D:$D,MATCH(AZ142,'Level Multiplier'!$A:$A,0)),"")</f>
        <v>1.6739202933726098</v>
      </c>
      <c r="BB142" s="37">
        <f t="shared" si="84"/>
        <v>14</v>
      </c>
      <c r="BC142" s="37">
        <f t="shared" si="85"/>
        <v>15</v>
      </c>
      <c r="BD142" s="38">
        <f t="shared" si="86"/>
        <v>218052127.45041081</v>
      </c>
      <c r="BE142" s="38">
        <f t="shared" si="87"/>
        <v>218880434.88125232</v>
      </c>
      <c r="BF142" s="38" t="b">
        <f t="shared" si="88"/>
        <v>0</v>
      </c>
      <c r="BG142" s="37">
        <f t="array" ref="BG142:BQ142">IF(BF142,"",IVSolution($M142,$N142,$O142,BB142,BC142,BD142,BE142,$E142,$F142,$G142,$H142,$I142))</f>
        <v>4</v>
      </c>
      <c r="BH142" s="37">
        <v>37</v>
      </c>
      <c r="BI142" s="37">
        <v>42</v>
      </c>
      <c r="BJ142" s="39">
        <v>0.82222222222222219</v>
      </c>
      <c r="BK142" s="39">
        <v>0.93333333333333335</v>
      </c>
      <c r="BL142" s="37">
        <v>14</v>
      </c>
      <c r="BM142" s="37">
        <v>15</v>
      </c>
      <c r="BN142" s="37">
        <v>13</v>
      </c>
      <c r="BO142" s="37">
        <v>15</v>
      </c>
      <c r="BP142" s="37">
        <v>7</v>
      </c>
      <c r="BQ142" s="37">
        <v>14</v>
      </c>
      <c r="BR142" s="40">
        <f t="shared" si="89"/>
        <v>20.5</v>
      </c>
      <c r="BS142" s="36">
        <f>IFERROR(INDEX('Level Multiplier'!$D:$D,MATCH(BR142,'Level Multiplier'!$A:$A,0)),"")</f>
        <v>1.653387720177633</v>
      </c>
      <c r="BT142" s="37">
        <f t="shared" si="90"/>
        <v>13</v>
      </c>
      <c r="BU142" s="37">
        <f t="shared" si="91"/>
        <v>14</v>
      </c>
      <c r="BV142" s="38">
        <f t="shared" si="92"/>
        <v>207548721.03791273</v>
      </c>
      <c r="BW142" s="38">
        <f t="shared" si="93"/>
        <v>208337129.52494505</v>
      </c>
      <c r="BX142" s="38" t="b">
        <f t="shared" si="94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5"/>
        <v>20</v>
      </c>
      <c r="CK142" s="41">
        <f t="shared" si="96"/>
        <v>20</v>
      </c>
      <c r="CL142" s="39">
        <f t="shared" si="97"/>
        <v>0.82222222222222219</v>
      </c>
      <c r="CM142" s="39">
        <f t="shared" si="98"/>
        <v>0.93333333333333335</v>
      </c>
      <c r="CN142" s="42">
        <f t="shared" si="99"/>
        <v>14</v>
      </c>
      <c r="CO142" s="42">
        <f t="shared" si="100"/>
        <v>15</v>
      </c>
      <c r="CP142" s="42">
        <f t="shared" si="101"/>
        <v>13</v>
      </c>
      <c r="CQ142" s="42">
        <f t="shared" si="102"/>
        <v>15</v>
      </c>
      <c r="CR142" s="42">
        <f t="shared" si="103"/>
        <v>7</v>
      </c>
      <c r="CS142" s="42">
        <f t="shared" si="104"/>
        <v>14</v>
      </c>
      <c r="CT142" s="43" t="str">
        <f t="shared" si="105"/>
        <v>14-15</v>
      </c>
      <c r="CU142" s="43" t="str">
        <f t="shared" si="106"/>
        <v>13-15</v>
      </c>
      <c r="CV142" s="43" t="str">
        <f t="shared" si="107"/>
        <v>7-14</v>
      </c>
      <c r="CW142" s="13"/>
    </row>
    <row r="143" spans="1:101" x14ac:dyDescent="0.25">
      <c r="A143" s="31" t="s">
        <v>144</v>
      </c>
      <c r="B143" s="13">
        <v>476</v>
      </c>
      <c r="C143" s="13">
        <v>56</v>
      </c>
      <c r="D143" s="13">
        <v>10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105</v>
      </c>
      <c r="M143" s="34">
        <f>IFERROR(INDEX('Pokemon Data'!I:I,MATCH($A143,'Pokemon Data'!$B:$B,0)),"")</f>
        <v>120</v>
      </c>
      <c r="N143" s="34">
        <f>IFERROR(INDEX('Pokemon Data'!J:J,MATCH($A143,'Pokemon Data'!$B:$B,0)),"")</f>
        <v>144</v>
      </c>
      <c r="O143" s="34">
        <f>IFERROR(INDEX('Pokemon Data'!K:K,MATCH($A143,'Pokemon Data'!$B:$B,0)),"")</f>
        <v>200</v>
      </c>
      <c r="P143" s="35">
        <f>IFERROR(INDEX('Level Multiplier'!$A:$A,MATCH($D143,'Level Multiplier'!$B:$B,0)),"")</f>
        <v>9</v>
      </c>
      <c r="Q143" s="36">
        <f>IFERROR(INDEX('Level Multiplier'!$D:$D,MATCH(P143,'Level Multiplier'!$A:$A,0)),"")</f>
        <v>2.50270742889658</v>
      </c>
      <c r="R143" s="37">
        <f t="shared" si="72"/>
        <v>21</v>
      </c>
      <c r="S143" s="37">
        <f t="shared" si="73"/>
        <v>15</v>
      </c>
      <c r="T143" s="38">
        <f t="shared" si="74"/>
        <v>888902722.71156037</v>
      </c>
      <c r="U143" s="38">
        <f t="shared" si="75"/>
        <v>892641531.30004334</v>
      </c>
      <c r="V143" s="38" t="b">
        <f t="shared" si="76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7"/>
        <v>9.5</v>
      </c>
      <c r="AI143" s="36">
        <f>IFERROR(INDEX('Level Multiplier'!$D:$D,MATCH(AH143,'Level Multiplier'!$A:$A,0)),"")</f>
        <v>2.4319447558651035</v>
      </c>
      <c r="AJ143" s="37">
        <f t="shared" si="78"/>
        <v>17</v>
      </c>
      <c r="AK143" s="37">
        <f t="shared" si="79"/>
        <v>15</v>
      </c>
      <c r="AL143" s="38">
        <f t="shared" si="80"/>
        <v>792553752.38635945</v>
      </c>
      <c r="AM143" s="38">
        <f t="shared" si="81"/>
        <v>795887308.12935162</v>
      </c>
      <c r="AN143" s="38" t="b">
        <f t="shared" si="82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3"/>
        <v>10</v>
      </c>
      <c r="BA143" s="36">
        <f>IFERROR(INDEX('Level Multiplier'!$D:$D,MATCH(AZ143,'Level Multiplier'!$A:$A,0)),"")</f>
        <v>2.3668638493049978</v>
      </c>
      <c r="BB143" s="37">
        <f t="shared" si="84"/>
        <v>13</v>
      </c>
      <c r="BC143" s="37">
        <f t="shared" si="85"/>
        <v>14</v>
      </c>
      <c r="BD143" s="38">
        <f t="shared" si="86"/>
        <v>711061248.71014726</v>
      </c>
      <c r="BE143" s="38">
        <f t="shared" si="87"/>
        <v>714052039.30588901</v>
      </c>
      <c r="BF143" s="38" t="b">
        <f t="shared" si="88"/>
        <v>0</v>
      </c>
      <c r="BG143" s="37">
        <f t="array" ref="BG143:BQ143">IF(BF143,"",IVSolution($M143,$N143,$O143,BB143,BC143,BD143,BE143,$E143,$F143,$G143,$H143,$I143))</f>
        <v>4</v>
      </c>
      <c r="BH143" s="37">
        <v>39</v>
      </c>
      <c r="BI143" s="37">
        <v>42</v>
      </c>
      <c r="BJ143" s="39">
        <v>0.8666666666666667</v>
      </c>
      <c r="BK143" s="39">
        <v>0.93333333333333335</v>
      </c>
      <c r="BL143" s="37">
        <v>13</v>
      </c>
      <c r="BM143" s="37">
        <v>14</v>
      </c>
      <c r="BN143" s="37">
        <v>14</v>
      </c>
      <c r="BO143" s="37">
        <v>15</v>
      </c>
      <c r="BP143" s="37">
        <v>10</v>
      </c>
      <c r="BQ143" s="37">
        <v>15</v>
      </c>
      <c r="BR143" s="40">
        <f t="shared" si="89"/>
        <v>10.5</v>
      </c>
      <c r="BS143" s="36">
        <f>IFERROR(INDEX('Level Multiplier'!$D:$D,MATCH(BR143,'Level Multiplier'!$A:$A,0)),"")</f>
        <v>2.3098613438973334</v>
      </c>
      <c r="BT143" s="37">
        <f t="shared" si="90"/>
        <v>10</v>
      </c>
      <c r="BU143" s="37">
        <f t="shared" si="91"/>
        <v>11</v>
      </c>
      <c r="BV143" s="38">
        <f t="shared" si="92"/>
        <v>644996783.69752407</v>
      </c>
      <c r="BW143" s="38">
        <f t="shared" si="93"/>
        <v>647709700.92999232</v>
      </c>
      <c r="BX143" s="38" t="b">
        <f t="shared" si="94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5"/>
        <v>10</v>
      </c>
      <c r="CK143" s="41">
        <f t="shared" si="96"/>
        <v>10</v>
      </c>
      <c r="CL143" s="39">
        <f t="shared" si="97"/>
        <v>0.8666666666666667</v>
      </c>
      <c r="CM143" s="39">
        <f t="shared" si="98"/>
        <v>0.93333333333333335</v>
      </c>
      <c r="CN143" s="42">
        <f t="shared" si="99"/>
        <v>13</v>
      </c>
      <c r="CO143" s="42">
        <f t="shared" si="100"/>
        <v>14</v>
      </c>
      <c r="CP143" s="42">
        <f t="shared" si="101"/>
        <v>14</v>
      </c>
      <c r="CQ143" s="42">
        <f t="shared" si="102"/>
        <v>15</v>
      </c>
      <c r="CR143" s="42">
        <f t="shared" si="103"/>
        <v>10</v>
      </c>
      <c r="CS143" s="42">
        <f t="shared" si="104"/>
        <v>15</v>
      </c>
      <c r="CT143" s="43" t="str">
        <f t="shared" si="105"/>
        <v>13-14</v>
      </c>
      <c r="CU143" s="43" t="str">
        <f t="shared" si="106"/>
        <v>14-15</v>
      </c>
      <c r="CV143" s="43" t="str">
        <f t="shared" si="107"/>
        <v>10-15</v>
      </c>
      <c r="CW143" s="13" t="s">
        <v>399</v>
      </c>
    </row>
    <row r="144" spans="1:101" x14ac:dyDescent="0.25">
      <c r="A144" s="31" t="s">
        <v>145</v>
      </c>
      <c r="B144" s="13">
        <v>1322</v>
      </c>
      <c r="C144" s="13">
        <v>65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106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224</v>
      </c>
      <c r="O144" s="34">
        <f>IFERROR(INDEX('Pokemon Data'!K:K,MATCH($A144,'Pokemon Data'!$B:$B,0)),"")</f>
        <v>211</v>
      </c>
      <c r="P144" s="35">
        <f>IFERROR(INDEX('Level Multiplier'!$A:$A,MATCH($D144,'Level Multiplier'!$B:$B,0)),"")</f>
        <v>19</v>
      </c>
      <c r="Q144" s="36">
        <f>IFERROR(INDEX('Level Multiplier'!$D:$D,MATCH(P144,'Level Multiplier'!$A:$A,0)),"")</f>
        <v>1.7173900390793821</v>
      </c>
      <c r="R144" s="37">
        <f t="shared" si="72"/>
        <v>12</v>
      </c>
      <c r="S144" s="37">
        <f t="shared" si="73"/>
        <v>13</v>
      </c>
      <c r="T144" s="38">
        <f t="shared" si="74"/>
        <v>1520332813.0141766</v>
      </c>
      <c r="U144" s="38">
        <f t="shared" si="75"/>
        <v>1522633732.5685256</v>
      </c>
      <c r="V144" s="38" t="b">
        <f t="shared" si="76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7"/>
        <v>19.5</v>
      </c>
      <c r="AI144" s="36">
        <f>IFERROR(INDEX('Level Multiplier'!$D:$D,MATCH(AH144,'Level Multiplier'!$A:$A,0)),"")</f>
        <v>1.6952373004785586</v>
      </c>
      <c r="AJ144" s="37">
        <f t="shared" si="78"/>
        <v>11</v>
      </c>
      <c r="AK144" s="37">
        <f t="shared" si="79"/>
        <v>11</v>
      </c>
      <c r="AL144" s="38">
        <f t="shared" si="80"/>
        <v>1443394043.7809141</v>
      </c>
      <c r="AM144" s="38">
        <f t="shared" si="81"/>
        <v>1445578521.7791107</v>
      </c>
      <c r="AN144" s="38" t="b">
        <f t="shared" si="82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3"/>
        <v>20</v>
      </c>
      <c r="BA144" s="36">
        <f>IFERROR(INDEX('Level Multiplier'!$D:$D,MATCH(AZ144,'Level Multiplier'!$A:$A,0)),"")</f>
        <v>1.6739202933726098</v>
      </c>
      <c r="BB144" s="37">
        <f t="shared" si="84"/>
        <v>9</v>
      </c>
      <c r="BC144" s="37">
        <f t="shared" si="85"/>
        <v>10</v>
      </c>
      <c r="BD144" s="38">
        <f t="shared" si="86"/>
        <v>1372151321.2917764</v>
      </c>
      <c r="BE144" s="38">
        <f t="shared" si="87"/>
        <v>1374227978.3103316</v>
      </c>
      <c r="BF144" s="38" t="b">
        <f t="shared" si="88"/>
        <v>0</v>
      </c>
      <c r="BG144" s="37">
        <f t="array" ref="BG144:BQ144">IF(BF144,"",IVSolution($M144,$N144,$O144,BB144,BC144,BD144,BE144,$E144,$F144,$G144,$H144,$I144))</f>
        <v>2</v>
      </c>
      <c r="BH144" s="37">
        <v>35</v>
      </c>
      <c r="BI144" s="37">
        <v>36</v>
      </c>
      <c r="BJ144" s="39">
        <v>0.77777777777777779</v>
      </c>
      <c r="BK144" s="39">
        <v>0.8</v>
      </c>
      <c r="BL144" s="37">
        <v>10</v>
      </c>
      <c r="BM144" s="37">
        <v>10</v>
      </c>
      <c r="BN144" s="37">
        <v>11</v>
      </c>
      <c r="BO144" s="37">
        <v>12</v>
      </c>
      <c r="BP144" s="37">
        <v>13</v>
      </c>
      <c r="BQ144" s="37">
        <v>15</v>
      </c>
      <c r="BR144" s="40">
        <f t="shared" si="89"/>
        <v>20.5</v>
      </c>
      <c r="BS144" s="36">
        <f>IFERROR(INDEX('Level Multiplier'!$D:$D,MATCH(BR144,'Level Multiplier'!$A:$A,0)),"")</f>
        <v>1.653387720177633</v>
      </c>
      <c r="BT144" s="37">
        <f t="shared" si="90"/>
        <v>8</v>
      </c>
      <c r="BU144" s="37">
        <f t="shared" si="91"/>
        <v>9</v>
      </c>
      <c r="BV144" s="38">
        <f t="shared" si="92"/>
        <v>1306055827.7256732</v>
      </c>
      <c r="BW144" s="38">
        <f t="shared" si="93"/>
        <v>1308032453.7429247</v>
      </c>
      <c r="BX144" s="38" t="b">
        <f t="shared" si="94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5"/>
        <v>20</v>
      </c>
      <c r="CK144" s="41">
        <f t="shared" si="96"/>
        <v>20</v>
      </c>
      <c r="CL144" s="39">
        <f t="shared" si="97"/>
        <v>0.77777777777777779</v>
      </c>
      <c r="CM144" s="39">
        <f t="shared" si="98"/>
        <v>0.8</v>
      </c>
      <c r="CN144" s="42">
        <f t="shared" si="99"/>
        <v>10</v>
      </c>
      <c r="CO144" s="42">
        <f t="shared" si="100"/>
        <v>10</v>
      </c>
      <c r="CP144" s="42">
        <f t="shared" si="101"/>
        <v>11</v>
      </c>
      <c r="CQ144" s="42">
        <f t="shared" si="102"/>
        <v>12</v>
      </c>
      <c r="CR144" s="42">
        <f t="shared" si="103"/>
        <v>13</v>
      </c>
      <c r="CS144" s="42">
        <f t="shared" si="104"/>
        <v>15</v>
      </c>
      <c r="CT144" s="43">
        <f t="shared" si="105"/>
        <v>10</v>
      </c>
      <c r="CU144" s="43" t="str">
        <f t="shared" si="106"/>
        <v>11-12</v>
      </c>
      <c r="CV144" s="43" t="str">
        <f t="shared" si="107"/>
        <v>13-15</v>
      </c>
      <c r="CW144" s="13" t="s">
        <v>399</v>
      </c>
    </row>
    <row r="145" spans="1:101" x14ac:dyDescent="0.25">
      <c r="A145" s="31" t="s">
        <v>147</v>
      </c>
      <c r="B145" s="13">
        <v>564</v>
      </c>
      <c r="C145" s="13">
        <v>97</v>
      </c>
      <c r="D145" s="13">
        <v>19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108</v>
      </c>
      <c r="M145" s="34">
        <f>IFERROR(INDEX('Pokemon Data'!I:I,MATCH($A145,'Pokemon Data'!$B:$B,0)),"")</f>
        <v>180</v>
      </c>
      <c r="N145" s="34">
        <f>IFERROR(INDEX('Pokemon Data'!J:J,MATCH($A145,'Pokemon Data'!$B:$B,0)),"")</f>
        <v>108</v>
      </c>
      <c r="O145" s="34">
        <f>IFERROR(INDEX('Pokemon Data'!K:K,MATCH($A145,'Pokemon Data'!$B:$B,0)),"")</f>
        <v>137</v>
      </c>
      <c r="P145" s="35">
        <f>IFERROR(INDEX('Level Multiplier'!$A:$A,MATCH($D145,'Level Multiplier'!$B:$B,0)),"")</f>
        <v>15</v>
      </c>
      <c r="Q145" s="36">
        <f>IFERROR(INDEX('Level Multiplier'!$D:$D,MATCH(P145,'Level Multiplier'!$A:$A,0)),"")</f>
        <v>1.9327632261645116</v>
      </c>
      <c r="R145" s="37">
        <f t="shared" si="72"/>
        <v>8</v>
      </c>
      <c r="S145" s="37">
        <f t="shared" si="73"/>
        <v>9</v>
      </c>
      <c r="T145" s="38">
        <f t="shared" si="74"/>
        <v>443887406.15742463</v>
      </c>
      <c r="U145" s="38">
        <f t="shared" si="75"/>
        <v>445462870.4246639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15.5</v>
      </c>
      <c r="AI145" s="36">
        <f>IFERROR(INDEX('Level Multiplier'!$D:$D,MATCH(AH145,'Level Multiplier'!$A:$A,0)),"")</f>
        <v>1.9013484916795402</v>
      </c>
      <c r="AJ145" s="37">
        <f t="shared" si="78"/>
        <v>5</v>
      </c>
      <c r="AK145" s="37">
        <f t="shared" si="79"/>
        <v>6</v>
      </c>
      <c r="AL145" s="38">
        <f t="shared" si="80"/>
        <v>415724008.34044731</v>
      </c>
      <c r="AM145" s="38">
        <f t="shared" si="81"/>
        <v>417199513.865246</v>
      </c>
      <c r="AN145" s="38" t="b">
        <f t="shared" si="82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3"/>
        <v>16</v>
      </c>
      <c r="BA145" s="36">
        <f>IFERROR(INDEX('Level Multiplier'!$D:$D,MATCH(AZ145,'Level Multiplier'!$A:$A,0)),"")</f>
        <v>1.8714174169787303</v>
      </c>
      <c r="BB145" s="37">
        <f t="shared" si="84"/>
        <v>2</v>
      </c>
      <c r="BC145" s="37">
        <f t="shared" si="85"/>
        <v>3</v>
      </c>
      <c r="BD145" s="38">
        <f t="shared" si="86"/>
        <v>390158323.32302535</v>
      </c>
      <c r="BE145" s="38">
        <f t="shared" si="87"/>
        <v>391543090.01934248</v>
      </c>
      <c r="BF145" s="38" t="b">
        <f t="shared" si="88"/>
        <v>0</v>
      </c>
      <c r="BG145" s="37">
        <f t="array" ref="BG145:BQ145">IF(BF145,"",IVSolution($M145,$N145,$O145,BB145,BC145,BD145,BE145,$E145,$F145,$G145,$H145,$I145))</f>
        <v>5</v>
      </c>
      <c r="BH145" s="37">
        <v>22</v>
      </c>
      <c r="BI145" s="37">
        <v>28</v>
      </c>
      <c r="BJ145" s="39">
        <v>0.48888888888888887</v>
      </c>
      <c r="BK145" s="39">
        <v>0.62222222222222223</v>
      </c>
      <c r="BL145" s="37">
        <v>2</v>
      </c>
      <c r="BM145" s="37">
        <v>3</v>
      </c>
      <c r="BN145" s="37">
        <v>11</v>
      </c>
      <c r="BO145" s="37">
        <v>15</v>
      </c>
      <c r="BP145" s="37">
        <v>4</v>
      </c>
      <c r="BQ145" s="37">
        <v>14</v>
      </c>
      <c r="BR145" s="40">
        <f t="shared" si="89"/>
        <v>16.5</v>
      </c>
      <c r="BS145" s="36">
        <f>IFERROR(INDEX('Level Multiplier'!$D:$D,MATCH(BR145,'Level Multiplier'!$A:$A,0)),"")</f>
        <v>1.8428567757863994</v>
      </c>
      <c r="BT145" s="37">
        <f t="shared" si="90"/>
        <v>0</v>
      </c>
      <c r="BU145" s="37">
        <f t="shared" si="91"/>
        <v>0</v>
      </c>
      <c r="BV145" s="38">
        <f t="shared" si="92"/>
        <v>366880427.20148975</v>
      </c>
      <c r="BW145" s="38">
        <f t="shared" si="93"/>
        <v>368182574.98803997</v>
      </c>
      <c r="BX145" s="38" t="b">
        <f t="shared" si="94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5"/>
        <v>16</v>
      </c>
      <c r="CK145" s="41">
        <f t="shared" si="96"/>
        <v>16</v>
      </c>
      <c r="CL145" s="39">
        <f t="shared" si="97"/>
        <v>0.48888888888888887</v>
      </c>
      <c r="CM145" s="39">
        <f t="shared" si="98"/>
        <v>0.62222222222222223</v>
      </c>
      <c r="CN145" s="42">
        <f t="shared" si="99"/>
        <v>2</v>
      </c>
      <c r="CO145" s="42">
        <f t="shared" si="100"/>
        <v>3</v>
      </c>
      <c r="CP145" s="42">
        <f t="shared" si="101"/>
        <v>11</v>
      </c>
      <c r="CQ145" s="42">
        <f t="shared" si="102"/>
        <v>15</v>
      </c>
      <c r="CR145" s="42">
        <f t="shared" si="103"/>
        <v>4</v>
      </c>
      <c r="CS145" s="42">
        <f t="shared" si="104"/>
        <v>14</v>
      </c>
      <c r="CT145" s="43" t="str">
        <f t="shared" si="105"/>
        <v>2-3</v>
      </c>
      <c r="CU145" s="43" t="str">
        <f t="shared" si="106"/>
        <v>11-15</v>
      </c>
      <c r="CV145" s="43" t="str">
        <f t="shared" si="107"/>
        <v>4-14</v>
      </c>
      <c r="CW145" s="13" t="s">
        <v>399</v>
      </c>
    </row>
    <row r="146" spans="1:101" x14ac:dyDescent="0.25">
      <c r="A146" s="31" t="s">
        <v>148</v>
      </c>
      <c r="B146" s="13">
        <v>604</v>
      </c>
      <c r="C146" s="13">
        <v>54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109</v>
      </c>
      <c r="M146" s="34">
        <f>IFERROR(INDEX('Pokemon Data'!I:I,MATCH($A146,'Pokemon Data'!$B:$B,0)),"")</f>
        <v>80</v>
      </c>
      <c r="N146" s="34">
        <f>IFERROR(INDEX('Pokemon Data'!J:J,MATCH($A146,'Pokemon Data'!$B:$B,0)),"")</f>
        <v>119</v>
      </c>
      <c r="O146" s="34">
        <f>IFERROR(INDEX('Pokemon Data'!K:K,MATCH($A146,'Pokemon Data'!$B:$B,0)),"")</f>
        <v>164</v>
      </c>
      <c r="P146" s="35">
        <f>IFERROR(INDEX('Level Multiplier'!$A:$A,MATCH($D146,'Level Multiplier'!$B:$B,0)),"")</f>
        <v>19</v>
      </c>
      <c r="Q146" s="36">
        <f>IFERROR(INDEX('Level Multiplier'!$D:$D,MATCH(P146,'Level Multiplier'!$A:$A,0)),"")</f>
        <v>1.7173900390793821</v>
      </c>
      <c r="R146" s="37">
        <f t="shared" si="72"/>
        <v>13</v>
      </c>
      <c r="S146" s="37">
        <f t="shared" si="73"/>
        <v>14</v>
      </c>
      <c r="T146" s="38">
        <f t="shared" si="74"/>
        <v>317358135.40238386</v>
      </c>
      <c r="U146" s="38">
        <f t="shared" si="75"/>
        <v>318409860.0682469</v>
      </c>
      <c r="V146" s="38" t="b">
        <f t="shared" si="76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7"/>
        <v>19.5</v>
      </c>
      <c r="AI146" s="36">
        <f>IFERROR(INDEX('Level Multiplier'!$D:$D,MATCH(AH146,'Level Multiplier'!$A:$A,0)),"")</f>
        <v>1.6952373004785586</v>
      </c>
      <c r="AJ146" s="37">
        <f t="shared" si="78"/>
        <v>12</v>
      </c>
      <c r="AK146" s="37">
        <f t="shared" si="79"/>
        <v>13</v>
      </c>
      <c r="AL146" s="38">
        <f t="shared" si="80"/>
        <v>301297741.16829926</v>
      </c>
      <c r="AM146" s="38">
        <f t="shared" si="81"/>
        <v>302296241.69753176</v>
      </c>
      <c r="AN146" s="38" t="b">
        <f t="shared" si="82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3"/>
        <v>20</v>
      </c>
      <c r="BA146" s="36">
        <f>IFERROR(INDEX('Level Multiplier'!$D:$D,MATCH(AZ146,'Level Multiplier'!$A:$A,0)),"")</f>
        <v>1.6739202933726098</v>
      </c>
      <c r="BB146" s="37">
        <f t="shared" si="84"/>
        <v>11</v>
      </c>
      <c r="BC146" s="37">
        <f t="shared" si="85"/>
        <v>12</v>
      </c>
      <c r="BD146" s="38">
        <f t="shared" si="86"/>
        <v>286426354.20841563</v>
      </c>
      <c r="BE146" s="38">
        <f t="shared" si="87"/>
        <v>287375570.97039425</v>
      </c>
      <c r="BF146" s="38" t="b">
        <f t="shared" si="88"/>
        <v>0</v>
      </c>
      <c r="BG146" s="37">
        <f t="array" ref="BG146:BQ146">IF(BF146,"",IVSolution($M146,$N146,$O146,BB146,BC146,BD146,BE146,$E146,$F146,$G146,$H146,$I146))</f>
        <v>2</v>
      </c>
      <c r="BH146" s="37">
        <v>39</v>
      </c>
      <c r="BI146" s="37">
        <v>40</v>
      </c>
      <c r="BJ146" s="39">
        <v>0.8666666666666667</v>
      </c>
      <c r="BK146" s="39">
        <v>0.88888888888888884</v>
      </c>
      <c r="BL146" s="37">
        <v>11</v>
      </c>
      <c r="BM146" s="37">
        <v>12</v>
      </c>
      <c r="BN146" s="37">
        <v>13</v>
      </c>
      <c r="BO146" s="37">
        <v>14</v>
      </c>
      <c r="BP146" s="37">
        <v>14</v>
      </c>
      <c r="BQ146" s="37">
        <v>15</v>
      </c>
      <c r="BR146" s="40">
        <f t="shared" si="89"/>
        <v>20.5</v>
      </c>
      <c r="BS146" s="36">
        <f>IFERROR(INDEX('Level Multiplier'!$D:$D,MATCH(BR146,'Level Multiplier'!$A:$A,0)),"")</f>
        <v>1.653387720177633</v>
      </c>
      <c r="BT146" s="37">
        <f t="shared" si="90"/>
        <v>10</v>
      </c>
      <c r="BU146" s="37">
        <f t="shared" si="91"/>
        <v>10</v>
      </c>
      <c r="BV146" s="38">
        <f t="shared" si="92"/>
        <v>272629412.89590633</v>
      </c>
      <c r="BW146" s="38">
        <f t="shared" si="93"/>
        <v>273532906.60284668</v>
      </c>
      <c r="BX146" s="38" t="b">
        <f t="shared" si="94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5"/>
        <v>20</v>
      </c>
      <c r="CK146" s="41">
        <f t="shared" si="96"/>
        <v>20</v>
      </c>
      <c r="CL146" s="39">
        <f t="shared" si="97"/>
        <v>0.8666666666666667</v>
      </c>
      <c r="CM146" s="39">
        <f t="shared" si="98"/>
        <v>0.88888888888888884</v>
      </c>
      <c r="CN146" s="42">
        <f t="shared" si="99"/>
        <v>11</v>
      </c>
      <c r="CO146" s="42">
        <f t="shared" si="100"/>
        <v>12</v>
      </c>
      <c r="CP146" s="42">
        <f t="shared" si="101"/>
        <v>13</v>
      </c>
      <c r="CQ146" s="42">
        <f t="shared" si="102"/>
        <v>14</v>
      </c>
      <c r="CR146" s="42">
        <f t="shared" si="103"/>
        <v>14</v>
      </c>
      <c r="CS146" s="42">
        <f t="shared" si="104"/>
        <v>15</v>
      </c>
      <c r="CT146" s="43" t="str">
        <f t="shared" si="105"/>
        <v>11-12</v>
      </c>
      <c r="CU146" s="43" t="str">
        <f t="shared" si="106"/>
        <v>13-14</v>
      </c>
      <c r="CV146" s="43" t="str">
        <f t="shared" si="107"/>
        <v>14-15</v>
      </c>
      <c r="CW146" s="13"/>
    </row>
    <row r="147" spans="1:101" x14ac:dyDescent="0.25">
      <c r="A147" s="31" t="s">
        <v>148</v>
      </c>
      <c r="B147" s="13">
        <v>78</v>
      </c>
      <c r="C147" s="13">
        <v>20</v>
      </c>
      <c r="D147" s="13">
        <v>4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109</v>
      </c>
      <c r="M147" s="34">
        <f>IFERROR(INDEX('Pokemon Data'!I:I,MATCH($A147,'Pokemon Data'!$B:$B,0)),"")</f>
        <v>80</v>
      </c>
      <c r="N147" s="34">
        <f>IFERROR(INDEX('Pokemon Data'!J:J,MATCH($A147,'Pokemon Data'!$B:$B,0)),"")</f>
        <v>119</v>
      </c>
      <c r="O147" s="34">
        <f>IFERROR(INDEX('Pokemon Data'!K:K,MATCH($A147,'Pokemon Data'!$B:$B,0)),"")</f>
        <v>164</v>
      </c>
      <c r="P147" s="35">
        <f>IFERROR(INDEX('Level Multiplier'!$A:$A,MATCH($D147,'Level Multiplier'!$B:$B,0)),"")</f>
        <v>3</v>
      </c>
      <c r="Q147" s="36">
        <f>IFERROR(INDEX('Level Multiplier'!$D:$D,MATCH(P147,'Level Multiplier'!$A:$A,0)),"")</f>
        <v>4.6353708368517728</v>
      </c>
      <c r="R147" s="37">
        <f t="shared" si="72"/>
        <v>13</v>
      </c>
      <c r="S147" s="37">
        <f t="shared" si="73"/>
        <v>15</v>
      </c>
      <c r="T147" s="38">
        <f t="shared" si="74"/>
        <v>280884090.93893021</v>
      </c>
      <c r="U147" s="38">
        <f t="shared" si="75"/>
        <v>288132414.78465867</v>
      </c>
      <c r="V147" s="38" t="b">
        <f t="shared" si="76"/>
        <v>0</v>
      </c>
      <c r="W147" s="37">
        <f t="array" ref="W147:AG147">IF(V147,"",IVSolution($M147,$N147,$O147,R147,S147,T147,U147,$E147,$F147,$G147,$H147,$I147))</f>
        <v>62</v>
      </c>
      <c r="X147" s="37">
        <v>31</v>
      </c>
      <c r="Y147" s="37">
        <v>41</v>
      </c>
      <c r="Z147" s="39">
        <v>0.68888888888888888</v>
      </c>
      <c r="AA147" s="39">
        <v>0.91111111111111109</v>
      </c>
      <c r="AB147" s="37">
        <v>13</v>
      </c>
      <c r="AC147" s="37">
        <v>15</v>
      </c>
      <c r="AD147" s="37">
        <v>10</v>
      </c>
      <c r="AE147" s="37">
        <v>15</v>
      </c>
      <c r="AF147" s="37">
        <v>1</v>
      </c>
      <c r="AG147" s="37">
        <v>15</v>
      </c>
      <c r="AH147" s="40">
        <f t="shared" si="77"/>
        <v>3.5</v>
      </c>
      <c r="AI147" s="36">
        <f>IFERROR(INDEX('Level Multiplier'!$D:$D,MATCH(AH147,'Level Multiplier'!$A:$A,0)),"")</f>
        <v>4.2270311192044296</v>
      </c>
      <c r="AJ147" s="37">
        <f t="shared" si="78"/>
        <v>5</v>
      </c>
      <c r="AK147" s="37">
        <f t="shared" si="79"/>
        <v>8</v>
      </c>
      <c r="AL147" s="38">
        <f t="shared" si="80"/>
        <v>194236563.49569958</v>
      </c>
      <c r="AM147" s="38">
        <f t="shared" si="81"/>
        <v>199248914.00010866</v>
      </c>
      <c r="AN147" s="38" t="b">
        <f t="shared" si="82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3"/>
        <v>4</v>
      </c>
      <c r="BA147" s="36">
        <f>IFERROR(INDEX('Level Multiplier'!$D:$D,MATCH(AZ147,'Level Multiplier'!$A:$A,0)),"")</f>
        <v>3.9105263744473695</v>
      </c>
      <c r="BB147" s="37">
        <f t="shared" si="84"/>
        <v>0</v>
      </c>
      <c r="BC147" s="37">
        <f t="shared" si="85"/>
        <v>2</v>
      </c>
      <c r="BD147" s="38">
        <f t="shared" si="86"/>
        <v>142275487.59759247</v>
      </c>
      <c r="BE147" s="38">
        <f t="shared" si="87"/>
        <v>145946962.21179727</v>
      </c>
      <c r="BF147" s="38" t="b">
        <f t="shared" si="88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89"/>
        <v>4.5</v>
      </c>
      <c r="BS147" s="36">
        <f>IFERROR(INDEX('Level Multiplier'!$D:$D,MATCH(BR147,'Level Multiplier'!$A:$A,0)),"")</f>
        <v>3.6559010240255545</v>
      </c>
      <c r="BT147" s="37">
        <f t="shared" si="90"/>
        <v>0</v>
      </c>
      <c r="BU147" s="37">
        <f t="shared" si="91"/>
        <v>-3</v>
      </c>
      <c r="BV147" s="38">
        <f t="shared" si="92"/>
        <v>108684327.82531141</v>
      </c>
      <c r="BW147" s="38">
        <f t="shared" si="93"/>
        <v>111488969.42106648</v>
      </c>
      <c r="BX147" s="38" t="b">
        <f t="shared" si="94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5"/>
        <v>3</v>
      </c>
      <c r="CK147" s="41">
        <f t="shared" si="96"/>
        <v>3</v>
      </c>
      <c r="CL147" s="39">
        <f t="shared" si="97"/>
        <v>0.68888888888888888</v>
      </c>
      <c r="CM147" s="39">
        <f t="shared" si="98"/>
        <v>0.91111111111111109</v>
      </c>
      <c r="CN147" s="42">
        <f t="shared" si="99"/>
        <v>13</v>
      </c>
      <c r="CO147" s="42">
        <f t="shared" si="100"/>
        <v>15</v>
      </c>
      <c r="CP147" s="42">
        <f t="shared" si="101"/>
        <v>10</v>
      </c>
      <c r="CQ147" s="42">
        <f t="shared" si="102"/>
        <v>15</v>
      </c>
      <c r="CR147" s="42">
        <f t="shared" si="103"/>
        <v>1</v>
      </c>
      <c r="CS147" s="42">
        <f t="shared" si="104"/>
        <v>15</v>
      </c>
      <c r="CT147" s="43" t="str">
        <f t="shared" si="105"/>
        <v>13-15</v>
      </c>
      <c r="CU147" s="43" t="str">
        <f t="shared" si="106"/>
        <v>10-15</v>
      </c>
      <c r="CV147" s="43" t="str">
        <f t="shared" si="107"/>
        <v>1-15</v>
      </c>
      <c r="CW147" s="13"/>
    </row>
    <row r="148" spans="1:101" x14ac:dyDescent="0.25">
      <c r="A148" s="31" t="s">
        <v>149</v>
      </c>
      <c r="B148" s="13">
        <v>908</v>
      </c>
      <c r="C148" s="13">
        <v>75</v>
      </c>
      <c r="D148" s="13">
        <v>19</v>
      </c>
      <c r="E148" s="32"/>
      <c r="F148" s="32"/>
      <c r="G148" s="32"/>
      <c r="H148" s="32"/>
      <c r="I148" s="32"/>
      <c r="J148" s="13"/>
      <c r="K148" s="33">
        <v>15</v>
      </c>
      <c r="L148" s="34">
        <f>IFERROR(INDEX('Pokemon Data'!A:A,MATCH($A148,'Pokemon Data'!$B:$B,0)),"")</f>
        <v>110</v>
      </c>
      <c r="M148" s="34">
        <f>IFERROR(INDEX('Pokemon Data'!I:I,MATCH($A148,'Pokemon Data'!$B:$B,0)),"")</f>
        <v>130</v>
      </c>
      <c r="N148" s="34">
        <f>IFERROR(INDEX('Pokemon Data'!J:J,MATCH($A148,'Pokemon Data'!$B:$B,0)),"")</f>
        <v>174</v>
      </c>
      <c r="O148" s="34">
        <f>IFERROR(INDEX('Pokemon Data'!K:K,MATCH($A148,'Pokemon Data'!$B:$B,0)),"")</f>
        <v>221</v>
      </c>
      <c r="P148" s="35">
        <f>IFERROR(INDEX('Level Multiplier'!$A:$A,MATCH($D148,'Level Multiplier'!$B:$B,0)),"")</f>
        <v>15</v>
      </c>
      <c r="Q148" s="36">
        <f>IFERROR(INDEX('Level Multiplier'!$D:$D,MATCH(P148,'Level Multiplier'!$A:$A,0)),"")</f>
        <v>1.9327632261645116</v>
      </c>
      <c r="R148" s="37">
        <f t="shared" si="72"/>
        <v>15</v>
      </c>
      <c r="S148" s="37">
        <f t="shared" si="73"/>
        <v>15</v>
      </c>
      <c r="T148" s="38">
        <f t="shared" si="74"/>
        <v>1150499177.7016213</v>
      </c>
      <c r="U148" s="38">
        <f t="shared" si="75"/>
        <v>1153034712.3106327</v>
      </c>
      <c r="V148" s="38" t="b">
        <f t="shared" si="76"/>
        <v>0</v>
      </c>
      <c r="W148" s="37">
        <f t="array" ref="W148:AG148">IF(V148,"",IVSolution($M148,$N148,$O148,R148,S148,T148,U148,$E148,$F148,$G148,$H148,$I148))</f>
        <v>2</v>
      </c>
      <c r="X148" s="37">
        <v>34</v>
      </c>
      <c r="Y148" s="37">
        <v>37</v>
      </c>
      <c r="Z148" s="39">
        <v>0.75555555555555554</v>
      </c>
      <c r="AA148" s="39">
        <v>0.82222222222222219</v>
      </c>
      <c r="AB148" s="37">
        <v>15</v>
      </c>
      <c r="AC148" s="37">
        <v>15</v>
      </c>
      <c r="AD148" s="37">
        <v>11</v>
      </c>
      <c r="AE148" s="37">
        <v>13</v>
      </c>
      <c r="AF148" s="37">
        <v>6</v>
      </c>
      <c r="AG148" s="37">
        <v>11</v>
      </c>
      <c r="AH148" s="40">
        <f t="shared" si="77"/>
        <v>15.5</v>
      </c>
      <c r="AI148" s="36">
        <f>IFERROR(INDEX('Level Multiplier'!$D:$D,MATCH(AH148,'Level Multiplier'!$A:$A,0)),"")</f>
        <v>1.9013484916795402</v>
      </c>
      <c r="AJ148" s="37">
        <f t="shared" si="78"/>
        <v>13</v>
      </c>
      <c r="AK148" s="37">
        <f t="shared" si="79"/>
        <v>14</v>
      </c>
      <c r="AL148" s="38">
        <f t="shared" si="80"/>
        <v>1077503265.7197781</v>
      </c>
      <c r="AM148" s="38">
        <f t="shared" si="81"/>
        <v>1079877927.8442769</v>
      </c>
      <c r="AN148" s="38" t="b">
        <f t="shared" si="82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3"/>
        <v>16</v>
      </c>
      <c r="BA148" s="36">
        <f>IFERROR(INDEX('Level Multiplier'!$D:$D,MATCH(AZ148,'Level Multiplier'!$A:$A,0)),"")</f>
        <v>1.8714174169787303</v>
      </c>
      <c r="BB148" s="37">
        <f t="shared" si="84"/>
        <v>11</v>
      </c>
      <c r="BC148" s="37">
        <f t="shared" si="85"/>
        <v>12</v>
      </c>
      <c r="BD148" s="38">
        <f t="shared" si="86"/>
        <v>1011240291.8621887</v>
      </c>
      <c r="BE148" s="38">
        <f t="shared" si="87"/>
        <v>1013468919.9288037</v>
      </c>
      <c r="BF148" s="38" t="b">
        <f t="shared" si="88"/>
        <v>1</v>
      </c>
      <c r="BG148" s="37" t="str">
        <f t="array" ref="BG148:BQ148">IF(BF148,"",IVSolution($M148,$N148,$O148,BB148,BC148,BD148,BE148,$E148,$F148,$G148,$H148,$I148))</f>
        <v/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89"/>
        <v>16.5</v>
      </c>
      <c r="BS148" s="36">
        <f>IFERROR(INDEX('Level Multiplier'!$D:$D,MATCH(BR148,'Level Multiplier'!$A:$A,0)),"")</f>
        <v>1.8428567757863994</v>
      </c>
      <c r="BT148" s="37">
        <f t="shared" si="90"/>
        <v>9</v>
      </c>
      <c r="BU148" s="37">
        <f t="shared" si="91"/>
        <v>10</v>
      </c>
      <c r="BV148" s="38">
        <f t="shared" si="92"/>
        <v>950906973.1535418</v>
      </c>
      <c r="BW148" s="38">
        <f t="shared" si="93"/>
        <v>953002635.26883125</v>
      </c>
      <c r="BX148" s="38" t="b">
        <f t="shared" si="94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5"/>
        <v>15</v>
      </c>
      <c r="CK148" s="41">
        <f t="shared" si="96"/>
        <v>15</v>
      </c>
      <c r="CL148" s="39">
        <f t="shared" si="97"/>
        <v>0.75555555555555554</v>
      </c>
      <c r="CM148" s="39">
        <f t="shared" si="98"/>
        <v>0.82222222222222219</v>
      </c>
      <c r="CN148" s="42">
        <f t="shared" si="99"/>
        <v>15</v>
      </c>
      <c r="CO148" s="42">
        <f t="shared" si="100"/>
        <v>15</v>
      </c>
      <c r="CP148" s="42">
        <f t="shared" si="101"/>
        <v>11</v>
      </c>
      <c r="CQ148" s="42">
        <f t="shared" si="102"/>
        <v>13</v>
      </c>
      <c r="CR148" s="42">
        <f t="shared" si="103"/>
        <v>6</v>
      </c>
      <c r="CS148" s="42">
        <f t="shared" si="104"/>
        <v>11</v>
      </c>
      <c r="CT148" s="43">
        <f t="shared" si="105"/>
        <v>15</v>
      </c>
      <c r="CU148" s="43" t="str">
        <f t="shared" si="106"/>
        <v>11-13</v>
      </c>
      <c r="CV148" s="43" t="str">
        <f t="shared" si="107"/>
        <v>6-11</v>
      </c>
      <c r="CW148" s="13" t="s">
        <v>408</v>
      </c>
    </row>
    <row r="149" spans="1:101" x14ac:dyDescent="0.25">
      <c r="A149" s="31" t="s">
        <v>150</v>
      </c>
      <c r="B149" s="13">
        <v>1276</v>
      </c>
      <c r="C149" s="13">
        <v>121</v>
      </c>
      <c r="D149" s="13">
        <v>45</v>
      </c>
      <c r="E149" s="32"/>
      <c r="F149" s="32"/>
      <c r="G149" s="32"/>
      <c r="H149" s="32"/>
      <c r="I149" s="32"/>
      <c r="J149" s="13"/>
      <c r="K149" s="33">
        <v>28</v>
      </c>
      <c r="L149" s="34">
        <f>IFERROR(INDEX('Pokemon Data'!A:A,MATCH($A149,'Pokemon Data'!$B:$B,0)),"")</f>
        <v>111</v>
      </c>
      <c r="M149" s="34">
        <f>IFERROR(INDEX('Pokemon Data'!I:I,MATCH($A149,'Pokemon Data'!$B:$B,0)),"")</f>
        <v>160</v>
      </c>
      <c r="N149" s="34">
        <f>IFERROR(INDEX('Pokemon Data'!J:J,MATCH($A149,'Pokemon Data'!$B:$B,0)),"")</f>
        <v>140</v>
      </c>
      <c r="O149" s="34">
        <f>IFERROR(INDEX('Pokemon Data'!K:K,MATCH($A149,'Pokemon Data'!$B:$B,0)),"")</f>
        <v>157</v>
      </c>
      <c r="P149" s="35">
        <f>IFERROR(INDEX('Level Multiplier'!$A:$A,MATCH($D149,'Level Multiplier'!$B:$B,0)),"")</f>
        <v>27</v>
      </c>
      <c r="Q149" s="36">
        <f>IFERROR(INDEX('Level Multiplier'!$D:$D,MATCH(P149,'Level Multiplier'!$A:$A,0)),"")</f>
        <v>1.4406239976408342</v>
      </c>
      <c r="R149" s="37">
        <f t="shared" si="72"/>
        <v>15</v>
      </c>
      <c r="S149" s="37">
        <f t="shared" si="73"/>
        <v>15</v>
      </c>
      <c r="T149" s="38">
        <f t="shared" si="74"/>
        <v>701300144.4523133</v>
      </c>
      <c r="U149" s="38">
        <f t="shared" si="75"/>
        <v>702399791.70714748</v>
      </c>
      <c r="V149" s="38" t="b">
        <f t="shared" si="76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7"/>
        <v>27.5</v>
      </c>
      <c r="AI149" s="36">
        <f>IFERROR(INDEX('Level Multiplier'!$D:$D,MATCH(AH149,'Level Multiplier'!$A:$A,0)),"")</f>
        <v>1.4274729412404619</v>
      </c>
      <c r="AJ149" s="37">
        <f t="shared" si="78"/>
        <v>13</v>
      </c>
      <c r="AK149" s="37">
        <f t="shared" si="79"/>
        <v>14</v>
      </c>
      <c r="AL149" s="38">
        <f t="shared" si="80"/>
        <v>676040769.3501842</v>
      </c>
      <c r="AM149" s="38">
        <f t="shared" si="81"/>
        <v>677100809.59408355</v>
      </c>
      <c r="AN149" s="38" t="b">
        <f t="shared" si="82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3"/>
        <v>28</v>
      </c>
      <c r="BA149" s="36">
        <f>IFERROR(INDEX('Level Multiplier'!$D:$D,MATCH(AZ149,'Level Multiplier'!$A:$A,0)),"")</f>
        <v>1.4146588449047404</v>
      </c>
      <c r="BB149" s="37">
        <f t="shared" si="84"/>
        <v>12</v>
      </c>
      <c r="BC149" s="37">
        <f t="shared" si="85"/>
        <v>12</v>
      </c>
      <c r="BD149" s="38">
        <f t="shared" si="86"/>
        <v>652091029.45442915</v>
      </c>
      <c r="BE149" s="38">
        <f t="shared" si="87"/>
        <v>653113516.21151018</v>
      </c>
      <c r="BF149" s="38" t="b">
        <f t="shared" si="88"/>
        <v>0</v>
      </c>
      <c r="BG149" s="37">
        <f t="array" ref="BG149:BQ149">IF(BF149,"",IVSolution($M149,$N149,$O149,BB149,BC149,BD149,BE149,$E149,$F149,$G149,$H149,$I149))</f>
        <v>4</v>
      </c>
      <c r="BH149" s="37">
        <v>28</v>
      </c>
      <c r="BI149" s="37">
        <v>35</v>
      </c>
      <c r="BJ149" s="39">
        <v>0.62222222222222223</v>
      </c>
      <c r="BK149" s="39">
        <v>0.77777777777777779</v>
      </c>
      <c r="BL149" s="37">
        <v>12</v>
      </c>
      <c r="BM149" s="37">
        <v>12</v>
      </c>
      <c r="BN149" s="37">
        <v>9</v>
      </c>
      <c r="BO149" s="37">
        <v>15</v>
      </c>
      <c r="BP149" s="37">
        <v>1</v>
      </c>
      <c r="BQ149" s="37">
        <v>14</v>
      </c>
      <c r="BR149" s="40">
        <f t="shared" si="89"/>
        <v>28.5</v>
      </c>
      <c r="BS149" s="36">
        <f>IFERROR(INDEX('Level Multiplier'!$D:$D,MATCH(BR149,'Level Multiplier'!$A:$A,0)),"")</f>
        <v>1.4022000597460618</v>
      </c>
      <c r="BT149" s="37">
        <f t="shared" si="90"/>
        <v>10</v>
      </c>
      <c r="BU149" s="37">
        <f t="shared" si="91"/>
        <v>11</v>
      </c>
      <c r="BV149" s="38">
        <f t="shared" si="92"/>
        <v>629421065.61593401</v>
      </c>
      <c r="BW149" s="38">
        <f t="shared" si="93"/>
        <v>630408005.59080005</v>
      </c>
      <c r="BX149" s="38" t="b">
        <f t="shared" si="94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5"/>
        <v>28</v>
      </c>
      <c r="CK149" s="41">
        <f t="shared" si="96"/>
        <v>28</v>
      </c>
      <c r="CL149" s="39">
        <f t="shared" si="97"/>
        <v>0.62222222222222223</v>
      </c>
      <c r="CM149" s="39">
        <f t="shared" si="98"/>
        <v>0.77777777777777779</v>
      </c>
      <c r="CN149" s="42">
        <f t="shared" si="99"/>
        <v>12</v>
      </c>
      <c r="CO149" s="42">
        <f t="shared" si="100"/>
        <v>12</v>
      </c>
      <c r="CP149" s="42">
        <f t="shared" si="101"/>
        <v>9</v>
      </c>
      <c r="CQ149" s="42">
        <f t="shared" si="102"/>
        <v>15</v>
      </c>
      <c r="CR149" s="42">
        <f t="shared" si="103"/>
        <v>1</v>
      </c>
      <c r="CS149" s="42">
        <f t="shared" si="104"/>
        <v>14</v>
      </c>
      <c r="CT149" s="43">
        <f t="shared" si="105"/>
        <v>12</v>
      </c>
      <c r="CU149" s="43" t="str">
        <f t="shared" si="106"/>
        <v>9-15</v>
      </c>
      <c r="CV149" s="43" t="str">
        <f t="shared" si="107"/>
        <v>1-14</v>
      </c>
      <c r="CW149" s="13"/>
    </row>
    <row r="150" spans="1:101" x14ac:dyDescent="0.25">
      <c r="A150" s="31" t="s">
        <v>150</v>
      </c>
      <c r="B150" s="13">
        <v>936</v>
      </c>
      <c r="C150" s="13">
        <v>103</v>
      </c>
      <c r="D150" s="13">
        <v>25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111</v>
      </c>
      <c r="M150" s="34">
        <f>IFERROR(INDEX('Pokemon Data'!I:I,MATCH($A150,'Pokemon Data'!$B:$B,0)),"")</f>
        <v>160</v>
      </c>
      <c r="N150" s="34">
        <f>IFERROR(INDEX('Pokemon Data'!J:J,MATCH($A150,'Pokemon Data'!$B:$B,0)),"")</f>
        <v>140</v>
      </c>
      <c r="O150" s="34">
        <f>IFERROR(INDEX('Pokemon Data'!K:K,MATCH($A150,'Pokemon Data'!$B:$B,0)),"")</f>
        <v>157</v>
      </c>
      <c r="P150" s="35">
        <f>IFERROR(INDEX('Level Multiplier'!$A:$A,MATCH($D150,'Level Multiplier'!$B:$B,0)),"")</f>
        <v>19</v>
      </c>
      <c r="Q150" s="36">
        <f>IFERROR(INDEX('Level Multiplier'!$D:$D,MATCH(P150,'Level Multiplier'!$A:$A,0)),"")</f>
        <v>1.7173900390793821</v>
      </c>
      <c r="R150" s="37">
        <f t="shared" si="72"/>
        <v>17</v>
      </c>
      <c r="S150" s="37">
        <f t="shared" si="73"/>
        <v>15</v>
      </c>
      <c r="T150" s="38">
        <f t="shared" si="74"/>
        <v>762127190.127316</v>
      </c>
      <c r="U150" s="38">
        <f t="shared" si="75"/>
        <v>763756536.94217241</v>
      </c>
      <c r="V150" s="38" t="b">
        <f t="shared" si="76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7"/>
        <v>19.5</v>
      </c>
      <c r="AI150" s="36">
        <f>IFERROR(INDEX('Level Multiplier'!$D:$D,MATCH(AH150,'Level Multiplier'!$A:$A,0)),"")</f>
        <v>1.6952373004785586</v>
      </c>
      <c r="AJ150" s="37">
        <f t="shared" si="78"/>
        <v>15</v>
      </c>
      <c r="AK150" s="37">
        <f t="shared" si="79"/>
        <v>15</v>
      </c>
      <c r="AL150" s="38">
        <f t="shared" si="80"/>
        <v>723558577.05413771</v>
      </c>
      <c r="AM150" s="38">
        <f t="shared" si="81"/>
        <v>725105468.27932584</v>
      </c>
      <c r="AN150" s="38" t="b">
        <f t="shared" si="82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3"/>
        <v>20</v>
      </c>
      <c r="BA150" s="36">
        <f>IFERROR(INDEX('Level Multiplier'!$D:$D,MATCH(AZ150,'Level Multiplier'!$A:$A,0)),"")</f>
        <v>1.6739202933726098</v>
      </c>
      <c r="BB150" s="37">
        <f t="shared" si="84"/>
        <v>13</v>
      </c>
      <c r="BC150" s="37">
        <f t="shared" si="85"/>
        <v>14</v>
      </c>
      <c r="BD150" s="38">
        <f t="shared" si="86"/>
        <v>687845333.58343971</v>
      </c>
      <c r="BE150" s="38">
        <f t="shared" si="87"/>
        <v>689315873.69525588</v>
      </c>
      <c r="BF150" s="38" t="b">
        <f t="shared" si="88"/>
        <v>0</v>
      </c>
      <c r="BG150" s="37">
        <f t="array" ref="BG150:BQ150">IF(BF150,"",IVSolution($M150,$N150,$O150,BB150,BC150,BD150,BE150,$E150,$F150,$G150,$H150,$I150))</f>
        <v>4</v>
      </c>
      <c r="BH150" s="37">
        <v>38</v>
      </c>
      <c r="BI150" s="37">
        <v>39</v>
      </c>
      <c r="BJ150" s="39">
        <v>0.84444444444444444</v>
      </c>
      <c r="BK150" s="39">
        <v>0.8666666666666667</v>
      </c>
      <c r="BL150" s="37">
        <v>13</v>
      </c>
      <c r="BM150" s="37">
        <v>14</v>
      </c>
      <c r="BN150" s="37">
        <v>13</v>
      </c>
      <c r="BO150" s="37">
        <v>14</v>
      </c>
      <c r="BP150" s="37">
        <v>10</v>
      </c>
      <c r="BQ150" s="37">
        <v>13</v>
      </c>
      <c r="BR150" s="40">
        <f t="shared" si="89"/>
        <v>20.5</v>
      </c>
      <c r="BS150" s="36">
        <f>IFERROR(INDEX('Level Multiplier'!$D:$D,MATCH(BR150,'Level Multiplier'!$A:$A,0)),"")</f>
        <v>1.653387720177633</v>
      </c>
      <c r="BT150" s="37">
        <f t="shared" si="90"/>
        <v>11</v>
      </c>
      <c r="BU150" s="37">
        <f t="shared" si="91"/>
        <v>11</v>
      </c>
      <c r="BV150" s="38">
        <f t="shared" si="92"/>
        <v>654712342.99058139</v>
      </c>
      <c r="BW150" s="38">
        <f t="shared" si="93"/>
        <v>656112048.29504728</v>
      </c>
      <c r="BX150" s="38" t="b">
        <f t="shared" si="94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5"/>
        <v>20</v>
      </c>
      <c r="CK150" s="41">
        <f t="shared" si="96"/>
        <v>20</v>
      </c>
      <c r="CL150" s="39">
        <f t="shared" si="97"/>
        <v>0.84444444444444444</v>
      </c>
      <c r="CM150" s="39">
        <f t="shared" si="98"/>
        <v>0.8666666666666667</v>
      </c>
      <c r="CN150" s="42">
        <f t="shared" si="99"/>
        <v>13</v>
      </c>
      <c r="CO150" s="42">
        <f t="shared" si="100"/>
        <v>14</v>
      </c>
      <c r="CP150" s="42">
        <f t="shared" si="101"/>
        <v>13</v>
      </c>
      <c r="CQ150" s="42">
        <f t="shared" si="102"/>
        <v>14</v>
      </c>
      <c r="CR150" s="42">
        <f t="shared" si="103"/>
        <v>10</v>
      </c>
      <c r="CS150" s="42">
        <f t="shared" si="104"/>
        <v>13</v>
      </c>
      <c r="CT150" s="43" t="str">
        <f t="shared" si="105"/>
        <v>13-14</v>
      </c>
      <c r="CU150" s="43" t="str">
        <f t="shared" si="106"/>
        <v>13-14</v>
      </c>
      <c r="CV150" s="43" t="str">
        <f t="shared" si="107"/>
        <v>10-13</v>
      </c>
      <c r="CW150" s="13"/>
    </row>
    <row r="151" spans="1:101" x14ac:dyDescent="0.25">
      <c r="A151" s="31" t="s">
        <v>151</v>
      </c>
      <c r="B151" s="13">
        <v>1628</v>
      </c>
      <c r="C151" s="13">
        <v>122</v>
      </c>
      <c r="D151" s="13">
        <v>25</v>
      </c>
      <c r="E151" s="32"/>
      <c r="F151" s="32"/>
      <c r="G151" s="32"/>
      <c r="H151" s="32"/>
      <c r="I151" s="32"/>
      <c r="J151" s="13"/>
      <c r="K151" s="33"/>
      <c r="L151" s="34">
        <f>IFERROR(INDEX('Pokemon Data'!A:A,MATCH($A151,'Pokemon Data'!$B:$B,0)),"")</f>
        <v>112</v>
      </c>
      <c r="M151" s="34">
        <f>IFERROR(INDEX('Pokemon Data'!I:I,MATCH($A151,'Pokemon Data'!$B:$B,0)),"")</f>
        <v>210</v>
      </c>
      <c r="N151" s="34">
        <f>IFERROR(INDEX('Pokemon Data'!J:J,MATCH($A151,'Pokemon Data'!$B:$B,0)),"")</f>
        <v>222</v>
      </c>
      <c r="O151" s="34">
        <f>IFERROR(INDEX('Pokemon Data'!K:K,MATCH($A151,'Pokemon Data'!$B:$B,0)),"")</f>
        <v>206</v>
      </c>
      <c r="P151" s="35">
        <f>IFERROR(INDEX('Level Multiplier'!$A:$A,MATCH($D151,'Level Multiplier'!$B:$B,0)),"")</f>
        <v>19</v>
      </c>
      <c r="Q151" s="36">
        <f>IFERROR(INDEX('Level Multiplier'!$D:$D,MATCH(P151,'Level Multiplier'!$A:$A,0)),"")</f>
        <v>1.7173900390793821</v>
      </c>
      <c r="R151" s="37">
        <f t="shared" si="72"/>
        <v>0</v>
      </c>
      <c r="S151" s="37">
        <f t="shared" si="73"/>
        <v>1</v>
      </c>
      <c r="T151" s="38">
        <f t="shared" si="74"/>
        <v>2305603165.2677288</v>
      </c>
      <c r="U151" s="38">
        <f t="shared" si="75"/>
        <v>2308436471.5015717</v>
      </c>
      <c r="V151" s="38" t="b">
        <f t="shared" si="76"/>
        <v>0</v>
      </c>
      <c r="W151" s="37">
        <f t="array" ref="W151:AG151">IF(V151,"",IVSolution($M151,$N151,$O151,R151,S151,T151,U151,$E151,$F151,$G151,$H151,$I151))</f>
        <v>9</v>
      </c>
      <c r="X151" s="37">
        <v>9</v>
      </c>
      <c r="Y151" s="37">
        <v>16</v>
      </c>
      <c r="Z151" s="39">
        <v>0.2</v>
      </c>
      <c r="AA151" s="39">
        <v>0.35555555555555557</v>
      </c>
      <c r="AB151" s="37">
        <v>0</v>
      </c>
      <c r="AC151" s="37">
        <v>1</v>
      </c>
      <c r="AD151" s="37">
        <v>1</v>
      </c>
      <c r="AE151" s="37">
        <v>9</v>
      </c>
      <c r="AF151" s="37">
        <v>0</v>
      </c>
      <c r="AG151" s="37">
        <v>15</v>
      </c>
      <c r="AH151" s="40">
        <f t="shared" si="77"/>
        <v>19.5</v>
      </c>
      <c r="AI151" s="36">
        <f>IFERROR(INDEX('Level Multiplier'!$D:$D,MATCH(AH151,'Level Multiplier'!$A:$A,0)),"")</f>
        <v>1.6952373004785586</v>
      </c>
      <c r="AJ151" s="37">
        <f t="shared" si="78"/>
        <v>0</v>
      </c>
      <c r="AK151" s="37">
        <f t="shared" si="79"/>
        <v>-1</v>
      </c>
      <c r="AL151" s="38">
        <f t="shared" si="80"/>
        <v>2188924587.8157802</v>
      </c>
      <c r="AM151" s="38">
        <f t="shared" si="81"/>
        <v>2191614510.2506108</v>
      </c>
      <c r="AN151" s="38" t="b">
        <f t="shared" si="82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3"/>
        <v>20</v>
      </c>
      <c r="BA151" s="36">
        <f>IFERROR(INDEX('Level Multiplier'!$D:$D,MATCH(AZ151,'Level Multiplier'!$A:$A,0)),"")</f>
        <v>1.6739202933726098</v>
      </c>
      <c r="BB151" s="37">
        <f t="shared" si="84"/>
        <v>0</v>
      </c>
      <c r="BC151" s="37">
        <f t="shared" si="85"/>
        <v>-4</v>
      </c>
      <c r="BD151" s="38">
        <f t="shared" si="86"/>
        <v>2080884134.3919058</v>
      </c>
      <c r="BE151" s="38">
        <f t="shared" si="87"/>
        <v>2083441288.2329018</v>
      </c>
      <c r="BF151" s="38" t="b">
        <f t="shared" si="88"/>
        <v>1</v>
      </c>
      <c r="BG151" s="37" t="str">
        <f t="array" ref="BG151:BQ151">IF(BF151,"",IVSolution($M151,$N151,$O151,BB151,BC151,BD151,BE151,$E151,$F151,$G151,$H151,$I151))</f>
        <v/>
      </c>
      <c r="BH151" s="37" t="str">
        <v/>
      </c>
      <c r="BI151" s="37" t="str">
        <v/>
      </c>
      <c r="BJ151" s="39" t="str">
        <v/>
      </c>
      <c r="BK151" s="39" t="str">
        <v/>
      </c>
      <c r="BL151" s="37" t="str">
        <v/>
      </c>
      <c r="BM151" s="37" t="str">
        <v/>
      </c>
      <c r="BN151" s="37" t="str">
        <v/>
      </c>
      <c r="BO151" s="37" t="str">
        <v/>
      </c>
      <c r="BP151" s="37" t="str">
        <v/>
      </c>
      <c r="BQ151" s="37" t="str">
        <v/>
      </c>
      <c r="BR151" s="40">
        <f t="shared" si="89"/>
        <v>20.5</v>
      </c>
      <c r="BS151" s="36">
        <f>IFERROR(INDEX('Level Multiplier'!$D:$D,MATCH(BR151,'Level Multiplier'!$A:$A,0)),"")</f>
        <v>1.653387720177633</v>
      </c>
      <c r="BT151" s="37">
        <f t="shared" si="90"/>
        <v>0</v>
      </c>
      <c r="BU151" s="37">
        <f t="shared" si="91"/>
        <v>-6</v>
      </c>
      <c r="BV151" s="38">
        <f t="shared" si="92"/>
        <v>1980649516.1086788</v>
      </c>
      <c r="BW151" s="38">
        <f t="shared" si="93"/>
        <v>1983083493.7790716</v>
      </c>
      <c r="BX151" s="38" t="b">
        <f t="shared" si="94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5"/>
        <v>19</v>
      </c>
      <c r="CK151" s="41">
        <f t="shared" si="96"/>
        <v>19</v>
      </c>
      <c r="CL151" s="39">
        <f t="shared" si="97"/>
        <v>0.2</v>
      </c>
      <c r="CM151" s="39">
        <f t="shared" si="98"/>
        <v>0.35555555555555557</v>
      </c>
      <c r="CN151" s="42">
        <f t="shared" si="99"/>
        <v>0</v>
      </c>
      <c r="CO151" s="42">
        <f t="shared" si="100"/>
        <v>1</v>
      </c>
      <c r="CP151" s="42">
        <f t="shared" si="101"/>
        <v>1</v>
      </c>
      <c r="CQ151" s="42">
        <f t="shared" si="102"/>
        <v>9</v>
      </c>
      <c r="CR151" s="42">
        <f t="shared" si="103"/>
        <v>0</v>
      </c>
      <c r="CS151" s="42">
        <f t="shared" si="104"/>
        <v>15</v>
      </c>
      <c r="CT151" s="43" t="str">
        <f t="shared" si="105"/>
        <v>0-1</v>
      </c>
      <c r="CU151" s="43" t="str">
        <f t="shared" si="106"/>
        <v>1-9</v>
      </c>
      <c r="CV151" s="43" t="str">
        <f t="shared" si="107"/>
        <v>0-15</v>
      </c>
      <c r="CW151" s="13" t="s">
        <v>399</v>
      </c>
    </row>
    <row r="152" spans="1:101" x14ac:dyDescent="0.25">
      <c r="A152" s="31" t="s">
        <v>154</v>
      </c>
      <c r="B152" s="13">
        <v>1244</v>
      </c>
      <c r="C152" s="13">
        <v>86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114</v>
      </c>
      <c r="M152" s="34">
        <f>IFERROR(INDEX('Pokemon Data'!I:I,MATCH($A152,'Pokemon Data'!$B:$B,0)),"")</f>
        <v>130</v>
      </c>
      <c r="N152" s="34">
        <f>IFERROR(INDEX('Pokemon Data'!J:J,MATCH($A152,'Pokemon Data'!$B:$B,0)),"")</f>
        <v>183</v>
      </c>
      <c r="O152" s="34">
        <f>IFERROR(INDEX('Pokemon Data'!K:K,MATCH($A152,'Pokemon Data'!$B:$B,0)),"")</f>
        <v>205</v>
      </c>
      <c r="P152" s="35">
        <f>IFERROR(INDEX('Level Multiplier'!$A:$A,MATCH($D152,'Level Multiplier'!$B:$B,0)),"")</f>
        <v>19</v>
      </c>
      <c r="Q152" s="36">
        <f>IFERROR(INDEX('Level Multiplier'!$D:$D,MATCH(P152,'Level Multiplier'!$A:$A,0)),"")</f>
        <v>1.7173900390793821</v>
      </c>
      <c r="R152" s="37">
        <f t="shared" si="72"/>
        <v>18</v>
      </c>
      <c r="S152" s="37">
        <f t="shared" si="73"/>
        <v>15</v>
      </c>
      <c r="T152" s="38">
        <f t="shared" si="74"/>
        <v>1346221490.9106605</v>
      </c>
      <c r="U152" s="38">
        <f t="shared" si="75"/>
        <v>1348386704.0565109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Multiplier'!$D:$D,MATCH(AH152,'Level Multiplier'!$A:$A,0)),"")</f>
        <v>1.6952373004785586</v>
      </c>
      <c r="AJ152" s="37">
        <f t="shared" si="78"/>
        <v>16</v>
      </c>
      <c r="AK152" s="37">
        <f t="shared" si="79"/>
        <v>15</v>
      </c>
      <c r="AL152" s="38">
        <f t="shared" si="80"/>
        <v>1278093891.6512027</v>
      </c>
      <c r="AM152" s="38">
        <f t="shared" si="81"/>
        <v>1280149530.871434</v>
      </c>
      <c r="AN152" s="38" t="b">
        <f t="shared" si="82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3"/>
        <v>20</v>
      </c>
      <c r="BA152" s="36">
        <f>IFERROR(INDEX('Level Multiplier'!$D:$D,MATCH(AZ152,'Level Multiplier'!$A:$A,0)),"")</f>
        <v>1.6739202933726098</v>
      </c>
      <c r="BB152" s="37">
        <f t="shared" si="84"/>
        <v>14</v>
      </c>
      <c r="BC152" s="37">
        <f t="shared" si="85"/>
        <v>15</v>
      </c>
      <c r="BD152" s="38">
        <f t="shared" si="86"/>
        <v>1215010017.3410013</v>
      </c>
      <c r="BE152" s="38">
        <f t="shared" si="87"/>
        <v>1216964194.7773657</v>
      </c>
      <c r="BF152" s="38" t="b">
        <f t="shared" si="88"/>
        <v>0</v>
      </c>
      <c r="BG152" s="37">
        <f t="array" ref="BG152:BQ152">IF(BF152,"",IVSolution($M152,$N152,$O152,BB152,BC152,BD152,BE152,$E152,$F152,$G152,$H152,$I152))</f>
        <v>2</v>
      </c>
      <c r="BH152" s="37">
        <v>39</v>
      </c>
      <c r="BI152" s="37">
        <v>40</v>
      </c>
      <c r="BJ152" s="39">
        <v>0.8666666666666667</v>
      </c>
      <c r="BK152" s="39">
        <v>0.88888888888888884</v>
      </c>
      <c r="BL152" s="37">
        <v>15</v>
      </c>
      <c r="BM152" s="37">
        <v>15</v>
      </c>
      <c r="BN152" s="37">
        <v>14</v>
      </c>
      <c r="BO152" s="37">
        <v>15</v>
      </c>
      <c r="BP152" s="37">
        <v>9</v>
      </c>
      <c r="BQ152" s="37">
        <v>11</v>
      </c>
      <c r="BR152" s="40">
        <f t="shared" si="89"/>
        <v>20.5</v>
      </c>
      <c r="BS152" s="36">
        <f>IFERROR(INDEX('Level Multiplier'!$D:$D,MATCH(BR152,'Level Multiplier'!$A:$A,0)),"")</f>
        <v>1.653387720177633</v>
      </c>
      <c r="BT152" s="37">
        <f t="shared" si="90"/>
        <v>13</v>
      </c>
      <c r="BU152" s="37">
        <f t="shared" si="91"/>
        <v>13</v>
      </c>
      <c r="BV152" s="38">
        <f t="shared" si="92"/>
        <v>1156483901.7896125</v>
      </c>
      <c r="BW152" s="38">
        <f t="shared" si="93"/>
        <v>1158343947.9737105</v>
      </c>
      <c r="BX152" s="38" t="b">
        <f t="shared" si="94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5"/>
        <v>20</v>
      </c>
      <c r="CK152" s="41">
        <f t="shared" si="96"/>
        <v>20</v>
      </c>
      <c r="CL152" s="39">
        <f t="shared" si="97"/>
        <v>0.8666666666666667</v>
      </c>
      <c r="CM152" s="39">
        <f t="shared" si="98"/>
        <v>0.88888888888888884</v>
      </c>
      <c r="CN152" s="42">
        <f t="shared" si="99"/>
        <v>15</v>
      </c>
      <c r="CO152" s="42">
        <f t="shared" si="100"/>
        <v>15</v>
      </c>
      <c r="CP152" s="42">
        <f t="shared" si="101"/>
        <v>14</v>
      </c>
      <c r="CQ152" s="42">
        <f t="shared" si="102"/>
        <v>15</v>
      </c>
      <c r="CR152" s="42">
        <f t="shared" si="103"/>
        <v>9</v>
      </c>
      <c r="CS152" s="42">
        <f t="shared" si="104"/>
        <v>11</v>
      </c>
      <c r="CT152" s="43">
        <f t="shared" si="105"/>
        <v>15</v>
      </c>
      <c r="CU152" s="43" t="str">
        <f t="shared" si="106"/>
        <v>14-15</v>
      </c>
      <c r="CV152" s="43" t="str">
        <f t="shared" si="107"/>
        <v>9-11</v>
      </c>
      <c r="CW152" s="13" t="s">
        <v>399</v>
      </c>
    </row>
    <row r="153" spans="1:101" x14ac:dyDescent="0.25">
      <c r="A153" s="31" t="s">
        <v>156</v>
      </c>
      <c r="B153" s="13">
        <v>222</v>
      </c>
      <c r="C153" s="13">
        <v>27</v>
      </c>
      <c r="D153" s="13">
        <v>10</v>
      </c>
      <c r="E153" s="32"/>
      <c r="F153" s="32"/>
      <c r="G153" s="32"/>
      <c r="H153" s="32"/>
      <c r="I153" s="32"/>
      <c r="J153" s="13"/>
      <c r="K153" s="33">
        <v>9</v>
      </c>
      <c r="L153" s="34">
        <f>IFERROR(INDEX('Pokemon Data'!A:A,MATCH($A153,'Pokemon Data'!$B:$B,0)),"")</f>
        <v>116</v>
      </c>
      <c r="M153" s="34">
        <f>IFERROR(INDEX('Pokemon Data'!I:I,MATCH($A153,'Pokemon Data'!$B:$B,0)),"")</f>
        <v>60</v>
      </c>
      <c r="N153" s="34">
        <f>IFERROR(INDEX('Pokemon Data'!J:J,MATCH($A153,'Pokemon Data'!$B:$B,0)),"")</f>
        <v>129</v>
      </c>
      <c r="O153" s="34">
        <f>IFERROR(INDEX('Pokemon Data'!K:K,MATCH($A153,'Pokemon Data'!$B:$B,0)),"")</f>
        <v>125</v>
      </c>
      <c r="P153" s="35">
        <f>IFERROR(INDEX('Level Multiplier'!$A:$A,MATCH($D153,'Level Multiplier'!$B:$B,0)),"")</f>
        <v>9</v>
      </c>
      <c r="Q153" s="36">
        <f>IFERROR(INDEX('Level Multiplier'!$D:$D,MATCH(P153,'Level Multiplier'!$A:$A,0)),"")</f>
        <v>2.50270742889658</v>
      </c>
      <c r="R153" s="37">
        <f t="shared" si="72"/>
        <v>8</v>
      </c>
      <c r="S153" s="37">
        <f t="shared" si="73"/>
        <v>10</v>
      </c>
      <c r="T153" s="38">
        <f t="shared" si="74"/>
        <v>193350936.48981595</v>
      </c>
      <c r="U153" s="38">
        <f t="shared" si="75"/>
        <v>195096760.01749164</v>
      </c>
      <c r="V153" s="38" t="b">
        <f t="shared" si="76"/>
        <v>0</v>
      </c>
      <c r="W153" s="37">
        <f t="array" ref="W153:AG153">IF(V153,"",IVSolution($M153,$N153,$O153,R153,S153,T153,U153,$E153,$F153,$G153,$H153,$I153))</f>
        <v>12</v>
      </c>
      <c r="X153" s="37">
        <v>34</v>
      </c>
      <c r="Y153" s="37">
        <v>37</v>
      </c>
      <c r="Z153" s="39">
        <v>0.75555555555555554</v>
      </c>
      <c r="AA153" s="39">
        <v>0.82222222222222219</v>
      </c>
      <c r="AB153" s="37">
        <v>8</v>
      </c>
      <c r="AC153" s="37">
        <v>10</v>
      </c>
      <c r="AD153" s="37">
        <v>12</v>
      </c>
      <c r="AE153" s="37">
        <v>15</v>
      </c>
      <c r="AF153" s="37">
        <v>9</v>
      </c>
      <c r="AG153" s="37">
        <v>15</v>
      </c>
      <c r="AH153" s="40">
        <f t="shared" si="77"/>
        <v>9.5</v>
      </c>
      <c r="AI153" s="36">
        <f>IFERROR(INDEX('Level Multiplier'!$D:$D,MATCH(AH153,'Level Multiplier'!$A:$A,0)),"")</f>
        <v>2.4319447558651035</v>
      </c>
      <c r="AJ153" s="37">
        <f t="shared" si="78"/>
        <v>6</v>
      </c>
      <c r="AK153" s="37">
        <f t="shared" si="79"/>
        <v>8</v>
      </c>
      <c r="AL153" s="38">
        <f t="shared" si="80"/>
        <v>172393453.55469838</v>
      </c>
      <c r="AM153" s="38">
        <f t="shared" si="81"/>
        <v>173950045.69072306</v>
      </c>
      <c r="AN153" s="38" t="b">
        <f t="shared" si="82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3"/>
        <v>10</v>
      </c>
      <c r="BA153" s="36">
        <f>IFERROR(INDEX('Level Multiplier'!$D:$D,MATCH(AZ153,'Level Multiplier'!$A:$A,0)),"")</f>
        <v>2.3668638493049978</v>
      </c>
      <c r="BB153" s="37">
        <f t="shared" si="84"/>
        <v>4</v>
      </c>
      <c r="BC153" s="37">
        <f t="shared" si="85"/>
        <v>6</v>
      </c>
      <c r="BD153" s="38">
        <f t="shared" si="86"/>
        <v>154667496.0341382</v>
      </c>
      <c r="BE153" s="38">
        <f t="shared" si="87"/>
        <v>156064035.18954751</v>
      </c>
      <c r="BF153" s="38" t="b">
        <f t="shared" si="88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89"/>
        <v>10.5</v>
      </c>
      <c r="BS153" s="36">
        <f>IFERROR(INDEX('Level Multiplier'!$D:$D,MATCH(BR153,'Level Multiplier'!$A:$A,0)),"")</f>
        <v>2.3098613438973334</v>
      </c>
      <c r="BT153" s="37">
        <f t="shared" si="90"/>
        <v>3</v>
      </c>
      <c r="BU153" s="37">
        <f t="shared" si="91"/>
        <v>4</v>
      </c>
      <c r="BV153" s="38">
        <f t="shared" si="92"/>
        <v>140297390.22557011</v>
      </c>
      <c r="BW153" s="38">
        <f t="shared" si="93"/>
        <v>141564177.39078355</v>
      </c>
      <c r="BX153" s="38" t="b">
        <f t="shared" si="94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5"/>
        <v>9</v>
      </c>
      <c r="CK153" s="41">
        <f t="shared" si="96"/>
        <v>9</v>
      </c>
      <c r="CL153" s="39">
        <f t="shared" si="97"/>
        <v>0.75555555555555554</v>
      </c>
      <c r="CM153" s="39">
        <f t="shared" si="98"/>
        <v>0.82222222222222219</v>
      </c>
      <c r="CN153" s="42">
        <f t="shared" si="99"/>
        <v>8</v>
      </c>
      <c r="CO153" s="42">
        <f t="shared" si="100"/>
        <v>10</v>
      </c>
      <c r="CP153" s="42">
        <f t="shared" si="101"/>
        <v>12</v>
      </c>
      <c r="CQ153" s="42">
        <f t="shared" si="102"/>
        <v>15</v>
      </c>
      <c r="CR153" s="42">
        <f t="shared" si="103"/>
        <v>9</v>
      </c>
      <c r="CS153" s="42">
        <f t="shared" si="104"/>
        <v>15</v>
      </c>
      <c r="CT153" s="43" t="str">
        <f t="shared" si="105"/>
        <v>8-10</v>
      </c>
      <c r="CU153" s="43" t="str">
        <f t="shared" si="106"/>
        <v>12-15</v>
      </c>
      <c r="CV153" s="43" t="str">
        <f t="shared" si="107"/>
        <v>9-15</v>
      </c>
      <c r="CW153" s="13"/>
    </row>
    <row r="154" spans="1:101" x14ac:dyDescent="0.25">
      <c r="A154" s="31" t="s">
        <v>157</v>
      </c>
      <c r="B154" s="13">
        <v>1521</v>
      </c>
      <c r="C154" s="13">
        <v>88</v>
      </c>
      <c r="D154" s="13">
        <v>45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117</v>
      </c>
      <c r="M154" s="34">
        <f>IFERROR(INDEX('Pokemon Data'!I:I,MATCH($A154,'Pokemon Data'!$B:$B,0)),"")</f>
        <v>110</v>
      </c>
      <c r="N154" s="34">
        <f>IFERROR(INDEX('Pokemon Data'!J:J,MATCH($A154,'Pokemon Data'!$B:$B,0)),"")</f>
        <v>187</v>
      </c>
      <c r="O154" s="34">
        <f>IFERROR(INDEX('Pokemon Data'!K:K,MATCH($A154,'Pokemon Data'!$B:$B,0)),"")</f>
        <v>182</v>
      </c>
      <c r="P154" s="35">
        <f>IFERROR(INDEX('Level Multiplier'!$A:$A,MATCH($D154,'Level Multiplier'!$B:$B,0)),"")</f>
        <v>27</v>
      </c>
      <c r="Q154" s="36">
        <f>IFERROR(INDEX('Level Multiplier'!$D:$D,MATCH(P154,'Level Multiplier'!$A:$A,0)),"")</f>
        <v>1.4406239976408342</v>
      </c>
      <c r="R154" s="37">
        <f t="shared" si="72"/>
        <v>17</v>
      </c>
      <c r="S154" s="37">
        <f t="shared" si="73"/>
        <v>15</v>
      </c>
      <c r="T154" s="38">
        <f t="shared" si="74"/>
        <v>996462610.60346317</v>
      </c>
      <c r="U154" s="38">
        <f t="shared" si="75"/>
        <v>997773314.32318902</v>
      </c>
      <c r="V154" s="38" t="b">
        <f t="shared" si="76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7"/>
        <v>27.5</v>
      </c>
      <c r="AI154" s="36">
        <f>IFERROR(INDEX('Level Multiplier'!$D:$D,MATCH(AH154,'Level Multiplier'!$A:$A,0)),"")</f>
        <v>1.4274729412404619</v>
      </c>
      <c r="AJ154" s="37">
        <f t="shared" si="78"/>
        <v>16</v>
      </c>
      <c r="AK154" s="37">
        <f t="shared" si="79"/>
        <v>15</v>
      </c>
      <c r="AL154" s="38">
        <f t="shared" si="80"/>
        <v>960572096.31284308</v>
      </c>
      <c r="AM154" s="38">
        <f t="shared" si="81"/>
        <v>961835591.20598269</v>
      </c>
      <c r="AN154" s="38" t="b">
        <f t="shared" si="82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3"/>
        <v>28</v>
      </c>
      <c r="BA154" s="36">
        <f>IFERROR(INDEX('Level Multiplier'!$D:$D,MATCH(AZ154,'Level Multiplier'!$A:$A,0)),"")</f>
        <v>1.4146588449047404</v>
      </c>
      <c r="BB154" s="37">
        <f t="shared" si="84"/>
        <v>15</v>
      </c>
      <c r="BC154" s="37">
        <f t="shared" si="85"/>
        <v>15</v>
      </c>
      <c r="BD154" s="38">
        <f t="shared" si="86"/>
        <v>926542415.11487949</v>
      </c>
      <c r="BE154" s="38">
        <f t="shared" si="87"/>
        <v>927761148.84061301</v>
      </c>
      <c r="BF154" s="38" t="b">
        <f t="shared" si="88"/>
        <v>0</v>
      </c>
      <c r="BG154" s="37">
        <f t="array" ref="BG154:BQ154">IF(BF154,"",IVSolution($M154,$N154,$O154,BB154,BC154,BD154,BE154,$E154,$F154,$G154,$H154,$I154))</f>
        <v>4</v>
      </c>
      <c r="BH154" s="37">
        <v>34</v>
      </c>
      <c r="BI154" s="37">
        <v>37</v>
      </c>
      <c r="BJ154" s="39">
        <v>0.75555555555555554</v>
      </c>
      <c r="BK154" s="39">
        <v>0.82222222222222219</v>
      </c>
      <c r="BL154" s="37">
        <v>15</v>
      </c>
      <c r="BM154" s="37">
        <v>15</v>
      </c>
      <c r="BN154" s="37">
        <v>7</v>
      </c>
      <c r="BO154" s="37">
        <v>10</v>
      </c>
      <c r="BP154" s="37">
        <v>9</v>
      </c>
      <c r="BQ154" s="37">
        <v>15</v>
      </c>
      <c r="BR154" s="40">
        <f t="shared" si="89"/>
        <v>28.5</v>
      </c>
      <c r="BS154" s="36">
        <f>IFERROR(INDEX('Level Multiplier'!$D:$D,MATCH(BR154,'Level Multiplier'!$A:$A,0)),"")</f>
        <v>1.4022000597460618</v>
      </c>
      <c r="BT154" s="37">
        <f t="shared" si="90"/>
        <v>14</v>
      </c>
      <c r="BU154" s="37">
        <f t="shared" si="91"/>
        <v>14</v>
      </c>
      <c r="BV154" s="38">
        <f t="shared" si="92"/>
        <v>894331140.77322853</v>
      </c>
      <c r="BW154" s="38">
        <f t="shared" si="93"/>
        <v>895507505.18510365</v>
      </c>
      <c r="BX154" s="38" t="b">
        <f t="shared" si="94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5"/>
        <v>28</v>
      </c>
      <c r="CK154" s="41">
        <f t="shared" si="96"/>
        <v>28</v>
      </c>
      <c r="CL154" s="39">
        <f t="shared" si="97"/>
        <v>0.75555555555555554</v>
      </c>
      <c r="CM154" s="39">
        <f t="shared" si="98"/>
        <v>0.82222222222222219</v>
      </c>
      <c r="CN154" s="42">
        <f t="shared" si="99"/>
        <v>15</v>
      </c>
      <c r="CO154" s="42">
        <f t="shared" si="100"/>
        <v>15</v>
      </c>
      <c r="CP154" s="42">
        <f t="shared" si="101"/>
        <v>7</v>
      </c>
      <c r="CQ154" s="42">
        <f t="shared" si="102"/>
        <v>10</v>
      </c>
      <c r="CR154" s="42">
        <f t="shared" si="103"/>
        <v>9</v>
      </c>
      <c r="CS154" s="42">
        <f t="shared" si="104"/>
        <v>15</v>
      </c>
      <c r="CT154" s="43">
        <f t="shared" si="105"/>
        <v>15</v>
      </c>
      <c r="CU154" s="43" t="str">
        <f t="shared" si="106"/>
        <v>7-10</v>
      </c>
      <c r="CV154" s="43" t="str">
        <f t="shared" si="107"/>
        <v>9-15</v>
      </c>
      <c r="CW154" s="13" t="s">
        <v>398</v>
      </c>
    </row>
    <row r="155" spans="1:101" x14ac:dyDescent="0.25">
      <c r="A155" s="31" t="s">
        <v>158</v>
      </c>
      <c r="B155" s="13">
        <v>500</v>
      </c>
      <c r="C155" s="13">
        <v>59</v>
      </c>
      <c r="D155" s="13">
        <v>22</v>
      </c>
      <c r="E155" s="32"/>
      <c r="F155" s="32"/>
      <c r="G155" s="32"/>
      <c r="H155" s="32"/>
      <c r="I155" s="32"/>
      <c r="J155" s="13"/>
      <c r="K155" s="33"/>
      <c r="L155" s="34">
        <f>IFERROR(INDEX('Pokemon Data'!A:A,MATCH($A155,'Pokemon Data'!$B:$B,0)),"")</f>
        <v>118</v>
      </c>
      <c r="M155" s="34">
        <f>IFERROR(INDEX('Pokemon Data'!I:I,MATCH($A155,'Pokemon Data'!$B:$B,0)),"")</f>
        <v>90</v>
      </c>
      <c r="N155" s="34">
        <f>IFERROR(INDEX('Pokemon Data'!J:J,MATCH($A155,'Pokemon Data'!$B:$B,0)),"")</f>
        <v>123</v>
      </c>
      <c r="O155" s="34">
        <f>IFERROR(INDEX('Pokemon Data'!K:K,MATCH($A155,'Pokemon Data'!$B:$B,0)),"")</f>
        <v>115</v>
      </c>
      <c r="P155" s="35">
        <f>IFERROR(INDEX('Level Multiplier'!$A:$A,MATCH($D155,'Level Multiplier'!$B:$B,0)),"")</f>
        <v>17</v>
      </c>
      <c r="Q155" s="36">
        <f>IFERROR(INDEX('Level Multiplier'!$D:$D,MATCH(P155,'Level Multiplier'!$A:$A,0)),"")</f>
        <v>1.8155651266904069</v>
      </c>
      <c r="R155" s="37">
        <f t="shared" si="72"/>
        <v>18</v>
      </c>
      <c r="S155" s="37">
        <f t="shared" si="73"/>
        <v>15</v>
      </c>
      <c r="T155" s="38">
        <f t="shared" si="74"/>
        <v>271636006.89559448</v>
      </c>
      <c r="U155" s="38">
        <f t="shared" si="75"/>
        <v>272723637.46720445</v>
      </c>
      <c r="V155" s="38" t="b">
        <f t="shared" si="76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7"/>
        <v>17.5</v>
      </c>
      <c r="AI155" s="36">
        <f>IFERROR(INDEX('Level Multiplier'!$D:$D,MATCH(AH155,'Level Multiplier'!$A:$A,0)),"")</f>
        <v>1.7894511197969956</v>
      </c>
      <c r="AJ155" s="37">
        <f t="shared" si="78"/>
        <v>16</v>
      </c>
      <c r="AK155" s="37">
        <f t="shared" si="79"/>
        <v>15</v>
      </c>
      <c r="AL155" s="38">
        <f t="shared" si="80"/>
        <v>256341763.61157057</v>
      </c>
      <c r="AM155" s="38">
        <f t="shared" si="81"/>
        <v>257368156.03307131</v>
      </c>
      <c r="AN155" s="38" t="b">
        <f t="shared" si="82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3"/>
        <v>18</v>
      </c>
      <c r="BA155" s="36">
        <f>IFERROR(INDEX('Level Multiplier'!$D:$D,MATCH(AZ155,'Level Multiplier'!$A:$A,0)),"")</f>
        <v>1.7644323330672333</v>
      </c>
      <c r="BB155" s="37">
        <f t="shared" si="84"/>
        <v>15</v>
      </c>
      <c r="BC155" s="37">
        <f t="shared" si="85"/>
        <v>15</v>
      </c>
      <c r="BD155" s="38">
        <f t="shared" si="86"/>
        <v>242303696.15960079</v>
      </c>
      <c r="BE155" s="38">
        <f t="shared" si="87"/>
        <v>243273880.15902385</v>
      </c>
      <c r="BF155" s="38" t="b">
        <f t="shared" si="88"/>
        <v>0</v>
      </c>
      <c r="BG155" s="37">
        <f t="array" ref="BG155:BQ155">IF(BF155,"",IVSolution($M155,$N155,$O155,BB155,BC155,BD155,BE155,$E155,$F155,$G155,$H155,$I155))</f>
        <v>4</v>
      </c>
      <c r="BH155" s="37">
        <v>37</v>
      </c>
      <c r="BI155" s="37">
        <v>40</v>
      </c>
      <c r="BJ155" s="39">
        <v>0.82222222222222219</v>
      </c>
      <c r="BK155" s="39">
        <v>0.88888888888888884</v>
      </c>
      <c r="BL155" s="37">
        <v>15</v>
      </c>
      <c r="BM155" s="37">
        <v>15</v>
      </c>
      <c r="BN155" s="37">
        <v>11</v>
      </c>
      <c r="BO155" s="37">
        <v>14</v>
      </c>
      <c r="BP155" s="37">
        <v>8</v>
      </c>
      <c r="BQ155" s="37">
        <v>14</v>
      </c>
      <c r="BR155" s="40">
        <f t="shared" si="89"/>
        <v>18.5</v>
      </c>
      <c r="BS155" s="36">
        <f>IFERROR(INDEX('Level Multiplier'!$D:$D,MATCH(BR155,'Level Multiplier'!$A:$A,0)),"")</f>
        <v>1.7404345408706619</v>
      </c>
      <c r="BT155" s="37">
        <f t="shared" si="90"/>
        <v>13</v>
      </c>
      <c r="BU155" s="37">
        <f t="shared" si="91"/>
        <v>14</v>
      </c>
      <c r="BV155" s="38">
        <f t="shared" si="92"/>
        <v>229388046.94117519</v>
      </c>
      <c r="BW155" s="38">
        <f t="shared" si="93"/>
        <v>230306516.68112767</v>
      </c>
      <c r="BX155" s="38" t="b">
        <f t="shared" si="94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5"/>
        <v>18</v>
      </c>
      <c r="CK155" s="41">
        <f t="shared" si="96"/>
        <v>18</v>
      </c>
      <c r="CL155" s="39">
        <f t="shared" si="97"/>
        <v>0.82222222222222219</v>
      </c>
      <c r="CM155" s="39">
        <f t="shared" si="98"/>
        <v>0.88888888888888884</v>
      </c>
      <c r="CN155" s="42">
        <f t="shared" si="99"/>
        <v>15</v>
      </c>
      <c r="CO155" s="42">
        <f t="shared" si="100"/>
        <v>15</v>
      </c>
      <c r="CP155" s="42">
        <f t="shared" si="101"/>
        <v>11</v>
      </c>
      <c r="CQ155" s="42">
        <f t="shared" si="102"/>
        <v>14</v>
      </c>
      <c r="CR155" s="42">
        <f t="shared" si="103"/>
        <v>8</v>
      </c>
      <c r="CS155" s="42">
        <f t="shared" si="104"/>
        <v>14</v>
      </c>
      <c r="CT155" s="43">
        <f t="shared" si="105"/>
        <v>15</v>
      </c>
      <c r="CU155" s="43" t="str">
        <f t="shared" si="106"/>
        <v>11-14</v>
      </c>
      <c r="CV155" s="43" t="str">
        <f t="shared" si="107"/>
        <v>8-14</v>
      </c>
      <c r="CW155" s="13"/>
    </row>
    <row r="156" spans="1:101" x14ac:dyDescent="0.25">
      <c r="A156" s="31" t="s">
        <v>159</v>
      </c>
      <c r="B156" s="13">
        <v>796</v>
      </c>
      <c r="C156" s="13">
        <v>85</v>
      </c>
      <c r="D156" s="13">
        <v>16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119</v>
      </c>
      <c r="M156" s="34">
        <f>IFERROR(INDEX('Pokemon Data'!I:I,MATCH($A156,'Pokemon Data'!$B:$B,0)),"")</f>
        <v>160</v>
      </c>
      <c r="N156" s="34">
        <f>IFERROR(INDEX('Pokemon Data'!J:J,MATCH($A156,'Pokemon Data'!$B:$B,0)),"")</f>
        <v>175</v>
      </c>
      <c r="O156" s="34">
        <f>IFERROR(INDEX('Pokemon Data'!K:K,MATCH($A156,'Pokemon Data'!$B:$B,0)),"")</f>
        <v>154</v>
      </c>
      <c r="P156" s="35">
        <f>IFERROR(INDEX('Level Multiplier'!$A:$A,MATCH($D156,'Level Multiplier'!$B:$B,0)),"")</f>
        <v>13</v>
      </c>
      <c r="Q156" s="36">
        <f>IFERROR(INDEX('Level Multiplier'!$D:$D,MATCH(P156,'Level Multiplier'!$A:$A,0)),"")</f>
        <v>2.0760457639376111</v>
      </c>
      <c r="R156" s="37">
        <f t="shared" si="72"/>
        <v>17</v>
      </c>
      <c r="S156" s="37">
        <f t="shared" si="73"/>
        <v>15</v>
      </c>
      <c r="T156" s="38">
        <f t="shared" si="74"/>
        <v>1176992855.4418907</v>
      </c>
      <c r="U156" s="38">
        <f t="shared" si="75"/>
        <v>1179951981.5036047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13.5</v>
      </c>
      <c r="AI156" s="36">
        <f>IFERROR(INDEX('Level Multiplier'!$D:$D,MATCH(AH156,'Level Multiplier'!$A:$A,0)),"")</f>
        <v>2.0372581927319593</v>
      </c>
      <c r="AJ156" s="37">
        <f t="shared" si="78"/>
        <v>14</v>
      </c>
      <c r="AK156" s="37">
        <f t="shared" si="79"/>
        <v>15</v>
      </c>
      <c r="AL156" s="38">
        <f t="shared" si="80"/>
        <v>1091466542.1386361</v>
      </c>
      <c r="AM156" s="38">
        <f t="shared" si="81"/>
        <v>1094210642.9846168</v>
      </c>
      <c r="AN156" s="38" t="b">
        <f t="shared" si="82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3"/>
        <v>14</v>
      </c>
      <c r="BA156" s="36">
        <f>IFERROR(INDEX('Level Multiplier'!$D:$D,MATCH(AZ156,'Level Multiplier'!$A:$A,0)),"")</f>
        <v>2.0005664003592698</v>
      </c>
      <c r="BB156" s="37">
        <f t="shared" si="84"/>
        <v>11</v>
      </c>
      <c r="BC156" s="37">
        <f t="shared" si="85"/>
        <v>12</v>
      </c>
      <c r="BD156" s="38">
        <f t="shared" si="86"/>
        <v>1014934504.9961121</v>
      </c>
      <c r="BE156" s="38">
        <f t="shared" si="87"/>
        <v>1017486193.5053334</v>
      </c>
      <c r="BF156" s="38" t="b">
        <f t="shared" si="88"/>
        <v>0</v>
      </c>
      <c r="BG156" s="37">
        <f t="array" ref="BG156:BQ156">IF(BF156,"",IVSolution($M156,$N156,$O156,BB156,BC156,BD156,BE156,$E156,$F156,$G156,$H156,$I156))</f>
        <v>3</v>
      </c>
      <c r="BH156" s="37">
        <v>38</v>
      </c>
      <c r="BI156" s="37">
        <v>39</v>
      </c>
      <c r="BJ156" s="39">
        <v>0.84444444444444444</v>
      </c>
      <c r="BK156" s="39">
        <v>0.8666666666666667</v>
      </c>
      <c r="BL156" s="37">
        <v>11</v>
      </c>
      <c r="BM156" s="37">
        <v>12</v>
      </c>
      <c r="BN156" s="37">
        <v>12</v>
      </c>
      <c r="BO156" s="37">
        <v>13</v>
      </c>
      <c r="BP156" s="37">
        <v>13</v>
      </c>
      <c r="BQ156" s="37">
        <v>15</v>
      </c>
      <c r="BR156" s="40">
        <f t="shared" si="89"/>
        <v>14.5</v>
      </c>
      <c r="BS156" s="36">
        <f>IFERROR(INDEX('Level Multiplier'!$D:$D,MATCH(BR156,'Level Multiplier'!$A:$A,0)),"")</f>
        <v>1.9657883435887038</v>
      </c>
      <c r="BT156" s="37">
        <f t="shared" si="90"/>
        <v>8</v>
      </c>
      <c r="BU156" s="37">
        <f t="shared" si="91"/>
        <v>9</v>
      </c>
      <c r="BV156" s="38">
        <f t="shared" si="92"/>
        <v>946178679.17443907</v>
      </c>
      <c r="BW156" s="38">
        <f t="shared" si="93"/>
        <v>948557505.83905125</v>
      </c>
      <c r="BX156" s="38" t="b">
        <f t="shared" si="94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5"/>
        <v>14</v>
      </c>
      <c r="CK156" s="41">
        <f t="shared" si="96"/>
        <v>14</v>
      </c>
      <c r="CL156" s="39">
        <f t="shared" si="97"/>
        <v>0.84444444444444444</v>
      </c>
      <c r="CM156" s="39">
        <f t="shared" si="98"/>
        <v>0.8666666666666667</v>
      </c>
      <c r="CN156" s="42">
        <f t="shared" si="99"/>
        <v>11</v>
      </c>
      <c r="CO156" s="42">
        <f t="shared" si="100"/>
        <v>12</v>
      </c>
      <c r="CP156" s="42">
        <f t="shared" si="101"/>
        <v>12</v>
      </c>
      <c r="CQ156" s="42">
        <f t="shared" si="102"/>
        <v>13</v>
      </c>
      <c r="CR156" s="42">
        <f t="shared" si="103"/>
        <v>13</v>
      </c>
      <c r="CS156" s="42">
        <f t="shared" si="104"/>
        <v>15</v>
      </c>
      <c r="CT156" s="43" t="str">
        <f t="shared" si="105"/>
        <v>11-12</v>
      </c>
      <c r="CU156" s="43" t="str">
        <f t="shared" si="106"/>
        <v>12-13</v>
      </c>
      <c r="CV156" s="43" t="str">
        <f t="shared" si="107"/>
        <v>13-15</v>
      </c>
      <c r="CW156" s="13" t="s">
        <v>399</v>
      </c>
    </row>
    <row r="157" spans="1:101" x14ac:dyDescent="0.25">
      <c r="A157" s="31" t="s">
        <v>161</v>
      </c>
      <c r="B157" s="13">
        <v>1279</v>
      </c>
      <c r="C157" s="13">
        <v>80</v>
      </c>
      <c r="D157" s="13">
        <v>25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121</v>
      </c>
      <c r="M157" s="34">
        <f>IFERROR(INDEX('Pokemon Data'!I:I,MATCH($A157,'Pokemon Data'!$B:$B,0)),"")</f>
        <v>120</v>
      </c>
      <c r="N157" s="34">
        <f>IFERROR(INDEX('Pokemon Data'!J:J,MATCH($A157,'Pokemon Data'!$B:$B,0)),"")</f>
        <v>210</v>
      </c>
      <c r="O157" s="34">
        <f>IFERROR(INDEX('Pokemon Data'!K:K,MATCH($A157,'Pokemon Data'!$B:$B,0)),"")</f>
        <v>184</v>
      </c>
      <c r="P157" s="35">
        <f>IFERROR(INDEX('Level Multiplier'!$A:$A,MATCH($D157,'Level Multiplier'!$B:$B,0)),"")</f>
        <v>19</v>
      </c>
      <c r="Q157" s="36">
        <f>IFERROR(INDEX('Level Multiplier'!$D:$D,MATCH(P157,'Level Multiplier'!$A:$A,0)),"")</f>
        <v>1.7173900390793821</v>
      </c>
      <c r="R157" s="37">
        <f t="shared" si="72"/>
        <v>18</v>
      </c>
      <c r="S157" s="37">
        <f t="shared" si="73"/>
        <v>15</v>
      </c>
      <c r="T157" s="38">
        <f t="shared" si="74"/>
        <v>1423039147.3366604</v>
      </c>
      <c r="U157" s="38">
        <f t="shared" si="75"/>
        <v>1425265254.38376</v>
      </c>
      <c r="V157" s="38" t="b">
        <f t="shared" si="76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7"/>
        <v>19.5</v>
      </c>
      <c r="AI157" s="36">
        <f>IFERROR(INDEX('Level Multiplier'!$D:$D,MATCH(AH157,'Level Multiplier'!$A:$A,0)),"")</f>
        <v>1.6952373004785586</v>
      </c>
      <c r="AJ157" s="37">
        <f t="shared" si="78"/>
        <v>16</v>
      </c>
      <c r="AK157" s="37">
        <f t="shared" si="79"/>
        <v>15</v>
      </c>
      <c r="AL157" s="38">
        <f t="shared" si="80"/>
        <v>1351024072.9860857</v>
      </c>
      <c r="AM157" s="38">
        <f t="shared" si="81"/>
        <v>1353137524.4784811</v>
      </c>
      <c r="AN157" s="38" t="b">
        <f t="shared" si="82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3"/>
        <v>20</v>
      </c>
      <c r="BA157" s="36">
        <f>IFERROR(INDEX('Level Multiplier'!$D:$D,MATCH(AZ157,'Level Multiplier'!$A:$A,0)),"")</f>
        <v>1.6739202933726098</v>
      </c>
      <c r="BB157" s="37">
        <f t="shared" si="84"/>
        <v>14</v>
      </c>
      <c r="BC157" s="37">
        <f t="shared" si="85"/>
        <v>15</v>
      </c>
      <c r="BD157" s="38">
        <f t="shared" si="86"/>
        <v>1284340526.9907265</v>
      </c>
      <c r="BE157" s="38">
        <f t="shared" si="87"/>
        <v>1286349663.2139714</v>
      </c>
      <c r="BF157" s="38" t="b">
        <f t="shared" si="88"/>
        <v>0</v>
      </c>
      <c r="BG157" s="37">
        <f t="array" ref="BG157:BQ157">IF(BF157,"",IVSolution($M157,$N157,$O157,BB157,BC157,BD157,BE157,$E157,$F157,$G157,$H157,$I157))</f>
        <v>3</v>
      </c>
      <c r="BH157" s="37">
        <v>34</v>
      </c>
      <c r="BI157" s="37">
        <v>37</v>
      </c>
      <c r="BJ157" s="39">
        <v>0.75555555555555554</v>
      </c>
      <c r="BK157" s="39">
        <v>0.82222222222222219</v>
      </c>
      <c r="BL157" s="37">
        <v>14</v>
      </c>
      <c r="BM157" s="37">
        <v>15</v>
      </c>
      <c r="BN157" s="37">
        <v>11</v>
      </c>
      <c r="BO157" s="37">
        <v>15</v>
      </c>
      <c r="BP157" s="37">
        <v>4</v>
      </c>
      <c r="BQ157" s="37">
        <v>11</v>
      </c>
      <c r="BR157" s="40">
        <f t="shared" si="89"/>
        <v>20.5</v>
      </c>
      <c r="BS157" s="36">
        <f>IFERROR(INDEX('Level Multiplier'!$D:$D,MATCH(BR157,'Level Multiplier'!$A:$A,0)),"")</f>
        <v>1.653387720177633</v>
      </c>
      <c r="BT157" s="37">
        <f t="shared" si="90"/>
        <v>13</v>
      </c>
      <c r="BU157" s="37">
        <f t="shared" si="91"/>
        <v>13</v>
      </c>
      <c r="BV157" s="38">
        <f t="shared" si="92"/>
        <v>1222474813.1141515</v>
      </c>
      <c r="BW157" s="38">
        <f t="shared" si="93"/>
        <v>1224387170.7618442</v>
      </c>
      <c r="BX157" s="38" t="b">
        <f t="shared" si="94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5"/>
        <v>20</v>
      </c>
      <c r="CK157" s="41">
        <f t="shared" si="96"/>
        <v>20</v>
      </c>
      <c r="CL157" s="39">
        <f t="shared" si="97"/>
        <v>0.75555555555555554</v>
      </c>
      <c r="CM157" s="39">
        <f t="shared" si="98"/>
        <v>0.82222222222222219</v>
      </c>
      <c r="CN157" s="42">
        <f t="shared" si="99"/>
        <v>14</v>
      </c>
      <c r="CO157" s="42">
        <f t="shared" si="100"/>
        <v>15</v>
      </c>
      <c r="CP157" s="42">
        <f t="shared" si="101"/>
        <v>11</v>
      </c>
      <c r="CQ157" s="42">
        <f t="shared" si="102"/>
        <v>15</v>
      </c>
      <c r="CR157" s="42">
        <f t="shared" si="103"/>
        <v>4</v>
      </c>
      <c r="CS157" s="42">
        <f t="shared" si="104"/>
        <v>11</v>
      </c>
      <c r="CT157" s="43" t="str">
        <f t="shared" si="105"/>
        <v>14-15</v>
      </c>
      <c r="CU157" s="43" t="str">
        <f t="shared" si="106"/>
        <v>11-15</v>
      </c>
      <c r="CV157" s="43" t="str">
        <f t="shared" si="107"/>
        <v>4-11</v>
      </c>
      <c r="CW157" s="13" t="s">
        <v>399</v>
      </c>
    </row>
    <row r="158" spans="1:101" x14ac:dyDescent="0.25">
      <c r="A158" s="31" t="s">
        <v>163</v>
      </c>
      <c r="B158" s="13">
        <v>1821</v>
      </c>
      <c r="C158" s="13">
        <v>107</v>
      </c>
      <c r="D158" s="13">
        <v>45</v>
      </c>
      <c r="E158" s="32"/>
      <c r="F158" s="32"/>
      <c r="G158" s="32"/>
      <c r="H158" s="32"/>
      <c r="I158" s="32"/>
      <c r="J158" s="13"/>
      <c r="K158" s="33">
        <v>27</v>
      </c>
      <c r="L158" s="34">
        <f>IFERROR(INDEX('Pokemon Data'!A:A,MATCH($A158,'Pokemon Data'!$B:$B,0)),"")</f>
        <v>123</v>
      </c>
      <c r="M158" s="34">
        <f>IFERROR(INDEX('Pokemon Data'!I:I,MATCH($A158,'Pokemon Data'!$B:$B,0)),"")</f>
        <v>140</v>
      </c>
      <c r="N158" s="34">
        <f>IFERROR(INDEX('Pokemon Data'!J:J,MATCH($A158,'Pokemon Data'!$B:$B,0)),"")</f>
        <v>218</v>
      </c>
      <c r="O158" s="34">
        <f>IFERROR(INDEX('Pokemon Data'!K:K,MATCH($A158,'Pokemon Data'!$B:$B,0)),"")</f>
        <v>170</v>
      </c>
      <c r="P158" s="35">
        <f>IFERROR(INDEX('Level Multiplier'!$A:$A,MATCH($D158,'Level Multiplier'!$B:$B,0)),"")</f>
        <v>27</v>
      </c>
      <c r="Q158" s="36">
        <f>IFERROR(INDEX('Level Multiplier'!$D:$D,MATCH(P158,'Level Multiplier'!$A:$A,0)),"")</f>
        <v>1.4406239976408342</v>
      </c>
      <c r="R158" s="37">
        <f t="shared" si="72"/>
        <v>15</v>
      </c>
      <c r="S158" s="37">
        <f t="shared" si="73"/>
        <v>15</v>
      </c>
      <c r="T158" s="38">
        <f t="shared" si="74"/>
        <v>1428309981.4208007</v>
      </c>
      <c r="U158" s="38">
        <f t="shared" si="75"/>
        <v>1429879121.6281493</v>
      </c>
      <c r="V158" s="38" t="b">
        <f t="shared" si="76"/>
        <v>0</v>
      </c>
      <c r="W158" s="37">
        <f t="array" ref="W158:AG158">IF(V158,"",IVSolution($M158,$N158,$O158,R158,S158,T158,U158,$E158,$F158,$G158,$H158,$I158))</f>
        <v>1</v>
      </c>
      <c r="X158" s="37">
        <v>33</v>
      </c>
      <c r="Y158" s="37">
        <v>33</v>
      </c>
      <c r="Z158" s="39">
        <v>0.73333333333333328</v>
      </c>
      <c r="AA158" s="39">
        <v>0.73333333333333328</v>
      </c>
      <c r="AB158" s="37">
        <v>15</v>
      </c>
      <c r="AC158" s="37">
        <v>15</v>
      </c>
      <c r="AD158" s="37">
        <v>9</v>
      </c>
      <c r="AE158" s="37">
        <v>9</v>
      </c>
      <c r="AF158" s="37">
        <v>9</v>
      </c>
      <c r="AG158" s="37">
        <v>9</v>
      </c>
      <c r="AH158" s="40">
        <f t="shared" si="77"/>
        <v>27.5</v>
      </c>
      <c r="AI158" s="36">
        <f>IFERROR(INDEX('Level Multiplier'!$D:$D,MATCH(AH158,'Level Multiplier'!$A:$A,0)),"")</f>
        <v>1.4274729412404619</v>
      </c>
      <c r="AJ158" s="37">
        <f t="shared" si="78"/>
        <v>13</v>
      </c>
      <c r="AK158" s="37">
        <f t="shared" si="79"/>
        <v>14</v>
      </c>
      <c r="AL158" s="38">
        <f t="shared" si="80"/>
        <v>1376865221.4728348</v>
      </c>
      <c r="AM158" s="38">
        <f t="shared" si="81"/>
        <v>1378377844.5079014</v>
      </c>
      <c r="AN158" s="38" t="b">
        <f t="shared" si="82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3"/>
        <v>28</v>
      </c>
      <c r="BA158" s="36">
        <f>IFERROR(INDEX('Level Multiplier'!$D:$D,MATCH(AZ158,'Level Multiplier'!$A:$A,0)),"")</f>
        <v>1.4146588449047404</v>
      </c>
      <c r="BB158" s="37">
        <f t="shared" si="84"/>
        <v>12</v>
      </c>
      <c r="BC158" s="37">
        <f t="shared" si="85"/>
        <v>12</v>
      </c>
      <c r="BD158" s="38">
        <f t="shared" si="86"/>
        <v>1328087743.2188504</v>
      </c>
      <c r="BE158" s="38">
        <f t="shared" si="87"/>
        <v>1329546779.3551786</v>
      </c>
      <c r="BF158" s="38" t="b">
        <f t="shared" si="88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89"/>
        <v>28.5</v>
      </c>
      <c r="BS158" s="36">
        <f>IFERROR(INDEX('Level Multiplier'!$D:$D,MATCH(BR158,'Level Multiplier'!$A:$A,0)),"")</f>
        <v>1.4022000597460618</v>
      </c>
      <c r="BT158" s="37">
        <f t="shared" si="90"/>
        <v>11</v>
      </c>
      <c r="BU158" s="37">
        <f t="shared" si="91"/>
        <v>11</v>
      </c>
      <c r="BV158" s="38">
        <f t="shared" si="92"/>
        <v>1281916733.7229683</v>
      </c>
      <c r="BW158" s="38">
        <f t="shared" si="93"/>
        <v>1283325046.4250588</v>
      </c>
      <c r="BX158" s="38" t="b">
        <f t="shared" si="94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5"/>
        <v>27</v>
      </c>
      <c r="CK158" s="41">
        <f t="shared" si="96"/>
        <v>27</v>
      </c>
      <c r="CL158" s="39">
        <f t="shared" si="97"/>
        <v>0.73333333333333328</v>
      </c>
      <c r="CM158" s="39">
        <f t="shared" si="98"/>
        <v>0.73333333333333328</v>
      </c>
      <c r="CN158" s="42">
        <f t="shared" si="99"/>
        <v>15</v>
      </c>
      <c r="CO158" s="42">
        <f t="shared" si="100"/>
        <v>15</v>
      </c>
      <c r="CP158" s="42">
        <f t="shared" si="101"/>
        <v>9</v>
      </c>
      <c r="CQ158" s="42">
        <f t="shared" si="102"/>
        <v>9</v>
      </c>
      <c r="CR158" s="42">
        <f t="shared" si="103"/>
        <v>9</v>
      </c>
      <c r="CS158" s="42">
        <f t="shared" si="104"/>
        <v>9</v>
      </c>
      <c r="CT158" s="43">
        <f t="shared" si="105"/>
        <v>15</v>
      </c>
      <c r="CU158" s="43">
        <f t="shared" si="106"/>
        <v>9</v>
      </c>
      <c r="CV158" s="43">
        <f t="shared" si="107"/>
        <v>9</v>
      </c>
      <c r="CW158" s="13" t="s">
        <v>403</v>
      </c>
    </row>
    <row r="159" spans="1:101" x14ac:dyDescent="0.25">
      <c r="A159" s="31" t="s">
        <v>163</v>
      </c>
      <c r="B159" s="13">
        <v>322</v>
      </c>
      <c r="C159" s="13">
        <v>43</v>
      </c>
      <c r="D159" s="13">
        <v>6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123</v>
      </c>
      <c r="M159" s="34">
        <f>IFERROR(INDEX('Pokemon Data'!I:I,MATCH($A159,'Pokemon Data'!$B:$B,0)),"")</f>
        <v>140</v>
      </c>
      <c r="N159" s="34">
        <f>IFERROR(INDEX('Pokemon Data'!J:J,MATCH($A159,'Pokemon Data'!$B:$B,0)),"")</f>
        <v>218</v>
      </c>
      <c r="O159" s="34">
        <f>IFERROR(INDEX('Pokemon Data'!K:K,MATCH($A159,'Pokemon Data'!$B:$B,0)),"")</f>
        <v>170</v>
      </c>
      <c r="P159" s="35">
        <f>IFERROR(INDEX('Level Multiplier'!$A:$A,MATCH($D159,'Level Multiplier'!$B:$B,0)),"")</f>
        <v>5</v>
      </c>
      <c r="Q159" s="36">
        <f>IFERROR(INDEX('Level Multiplier'!$D:$D,MATCH(P159,'Level Multiplier'!$A:$A,0)),"")</f>
        <v>3.4453071953035774</v>
      </c>
      <c r="R159" s="37">
        <f t="shared" si="72"/>
        <v>9</v>
      </c>
      <c r="S159" s="37">
        <f t="shared" si="73"/>
        <v>11</v>
      </c>
      <c r="T159" s="38">
        <f t="shared" si="74"/>
        <v>1460910289.6484606</v>
      </c>
      <c r="U159" s="38">
        <f t="shared" si="75"/>
        <v>1469998356.6291256</v>
      </c>
      <c r="V159" s="38" t="b">
        <f t="shared" si="76"/>
        <v>0</v>
      </c>
      <c r="W159" s="37">
        <f t="array" ref="W159:AG159">IF(V159,"",IVSolution($M159,$N159,$O159,R159,S159,T159,U159,$E159,$F159,$G159,$H159,$I159))</f>
        <v>14</v>
      </c>
      <c r="X159" s="37">
        <v>35</v>
      </c>
      <c r="Y159" s="37">
        <v>37</v>
      </c>
      <c r="Z159" s="39">
        <v>0.77777777777777779</v>
      </c>
      <c r="AA159" s="39">
        <v>0.82222222222222219</v>
      </c>
      <c r="AB159" s="37">
        <v>9</v>
      </c>
      <c r="AC159" s="37">
        <v>11</v>
      </c>
      <c r="AD159" s="37">
        <v>11</v>
      </c>
      <c r="AE159" s="37">
        <v>15</v>
      </c>
      <c r="AF159" s="37">
        <v>9</v>
      </c>
      <c r="AG159" s="37">
        <v>15</v>
      </c>
      <c r="AH159" s="40">
        <f t="shared" si="77"/>
        <v>5.5</v>
      </c>
      <c r="AI159" s="36">
        <f>IFERROR(INDEX('Level Multiplier'!$D:$D,MATCH(AH159,'Level Multiplier'!$A:$A,0)),"")</f>
        <v>3.2673612046279805</v>
      </c>
      <c r="AJ159" s="37">
        <f t="shared" si="78"/>
        <v>1</v>
      </c>
      <c r="AK159" s="37">
        <f t="shared" si="79"/>
        <v>3</v>
      </c>
      <c r="AL159" s="38">
        <f t="shared" si="80"/>
        <v>1181681226.1875937</v>
      </c>
      <c r="AM159" s="38">
        <f t="shared" si="81"/>
        <v>1189032258.081531</v>
      </c>
      <c r="AN159" s="38" t="b">
        <f t="shared" si="82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3"/>
        <v>6</v>
      </c>
      <c r="BA159" s="36">
        <f>IFERROR(INDEX('Level Multiplier'!$D:$D,MATCH(AZ159,'Level Multiplier'!$A:$A,0)),"")</f>
        <v>3.1144148824183806</v>
      </c>
      <c r="BB159" s="37">
        <f t="shared" si="84"/>
        <v>0</v>
      </c>
      <c r="BC159" s="37">
        <f t="shared" si="85"/>
        <v>-2</v>
      </c>
      <c r="BD159" s="38">
        <f t="shared" si="86"/>
        <v>975478288.13970554</v>
      </c>
      <c r="BE159" s="38">
        <f t="shared" si="87"/>
        <v>981546567.67994416</v>
      </c>
      <c r="BF159" s="38" t="b">
        <f t="shared" si="88"/>
        <v>1</v>
      </c>
      <c r="BG159" s="37" t="str">
        <f t="array" ref="BG159:BQ159">IF(BF159,"",IVSolution($M159,$N159,$O159,BB159,BC159,BD159,BE159,$E159,$F159,$G159,$H159,$I159))</f>
        <v/>
      </c>
      <c r="BH159" s="37" t="str">
        <v/>
      </c>
      <c r="BI159" s="37" t="str">
        <v/>
      </c>
      <c r="BJ159" s="39" t="str">
        <v/>
      </c>
      <c r="BK159" s="39" t="str">
        <v/>
      </c>
      <c r="BL159" s="37" t="str">
        <v/>
      </c>
      <c r="BM159" s="37" t="str">
        <v/>
      </c>
      <c r="BN159" s="37" t="str">
        <v/>
      </c>
      <c r="BO159" s="37" t="str">
        <v/>
      </c>
      <c r="BP159" s="37" t="str">
        <v/>
      </c>
      <c r="BQ159" s="37" t="str">
        <v/>
      </c>
      <c r="BR159" s="40">
        <f t="shared" si="89"/>
        <v>6.5</v>
      </c>
      <c r="BS159" s="36">
        <f>IFERROR(INDEX('Level Multiplier'!$D:$D,MATCH(BR159,'Level Multiplier'!$A:$A,0)),"")</f>
        <v>2.9811143188298668</v>
      </c>
      <c r="BT159" s="37">
        <f t="shared" si="90"/>
        <v>0</v>
      </c>
      <c r="BU159" s="37">
        <f t="shared" si="91"/>
        <v>-8</v>
      </c>
      <c r="BV159" s="38">
        <f t="shared" si="92"/>
        <v>818891315.85508275</v>
      </c>
      <c r="BW159" s="38">
        <f t="shared" si="93"/>
        <v>823985495.27260649</v>
      </c>
      <c r="BX159" s="38" t="b">
        <f t="shared" si="94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5"/>
        <v>5</v>
      </c>
      <c r="CK159" s="41">
        <f t="shared" si="96"/>
        <v>5</v>
      </c>
      <c r="CL159" s="39">
        <f t="shared" si="97"/>
        <v>0.77777777777777779</v>
      </c>
      <c r="CM159" s="39">
        <f t="shared" si="98"/>
        <v>0.82222222222222219</v>
      </c>
      <c r="CN159" s="42">
        <f t="shared" si="99"/>
        <v>9</v>
      </c>
      <c r="CO159" s="42">
        <f t="shared" si="100"/>
        <v>11</v>
      </c>
      <c r="CP159" s="42">
        <f t="shared" si="101"/>
        <v>11</v>
      </c>
      <c r="CQ159" s="42">
        <f t="shared" si="102"/>
        <v>15</v>
      </c>
      <c r="CR159" s="42">
        <f t="shared" si="103"/>
        <v>9</v>
      </c>
      <c r="CS159" s="42">
        <f t="shared" si="104"/>
        <v>15</v>
      </c>
      <c r="CT159" s="43" t="str">
        <f t="shared" si="105"/>
        <v>9-11</v>
      </c>
      <c r="CU159" s="43" t="str">
        <f t="shared" si="106"/>
        <v>11-15</v>
      </c>
      <c r="CV159" s="43" t="str">
        <f t="shared" si="107"/>
        <v>9-15</v>
      </c>
      <c r="CW159" s="13" t="s">
        <v>399</v>
      </c>
    </row>
    <row r="160" spans="1:101" x14ac:dyDescent="0.25">
      <c r="A160" s="31" t="s">
        <v>165</v>
      </c>
      <c r="B160" s="13">
        <v>2099</v>
      </c>
      <c r="C160" s="13">
        <v>101</v>
      </c>
      <c r="D160" s="13">
        <v>50</v>
      </c>
      <c r="E160" s="32"/>
      <c r="F160" s="32"/>
      <c r="G160" s="32"/>
      <c r="H160" s="32"/>
      <c r="I160" s="32"/>
      <c r="J160" s="13"/>
      <c r="K160" s="33"/>
      <c r="L160" s="34">
        <f>IFERROR(INDEX('Pokemon Data'!A:A,MATCH($A160,'Pokemon Data'!$B:$B,0)),"")</f>
        <v>124</v>
      </c>
      <c r="M160" s="34">
        <f>IFERROR(INDEX('Pokemon Data'!I:I,MATCH($A160,'Pokemon Data'!$B:$B,0)),"")</f>
        <v>130</v>
      </c>
      <c r="N160" s="34">
        <f>IFERROR(INDEX('Pokemon Data'!J:J,MATCH($A160,'Pokemon Data'!$B:$B,0)),"")</f>
        <v>223</v>
      </c>
      <c r="O160" s="34">
        <f>IFERROR(INDEX('Pokemon Data'!K:K,MATCH($A160,'Pokemon Data'!$B:$B,0)),"")</f>
        <v>182</v>
      </c>
      <c r="P160" s="35">
        <f>IFERROR(INDEX('Level Multiplier'!$A:$A,MATCH($D160,'Level Multiplier'!$B:$B,0)),"")</f>
        <v>29</v>
      </c>
      <c r="Q160" s="36">
        <f>IFERROR(INDEX('Level Multiplier'!$D:$D,MATCH(P160,'Level Multiplier'!$A:$A,0)),"")</f>
        <v>1.3900490199396833</v>
      </c>
      <c r="R160" s="37">
        <f t="shared" si="72"/>
        <v>11</v>
      </c>
      <c r="S160" s="37">
        <f t="shared" si="73"/>
        <v>11</v>
      </c>
      <c r="T160" s="38">
        <f t="shared" si="74"/>
        <v>1644922119.5214598</v>
      </c>
      <c r="U160" s="38">
        <f t="shared" si="75"/>
        <v>1646489831.7217772</v>
      </c>
      <c r="V160" s="38" t="b">
        <f t="shared" si="76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7"/>
        <v>29.5</v>
      </c>
      <c r="AI160" s="36">
        <f>IFERROR(INDEX('Level Multiplier'!$D:$D,MATCH(AH160,'Level Multiplier'!$A:$A,0)),"")</f>
        <v>1.378223825401578</v>
      </c>
      <c r="AJ160" s="37">
        <f t="shared" si="78"/>
        <v>10</v>
      </c>
      <c r="AK160" s="37">
        <f t="shared" si="79"/>
        <v>10</v>
      </c>
      <c r="AL160" s="38">
        <f t="shared" si="80"/>
        <v>1589658696.9419961</v>
      </c>
      <c r="AM160" s="38">
        <f t="shared" si="81"/>
        <v>1591173739.6932368</v>
      </c>
      <c r="AN160" s="38" t="b">
        <f t="shared" si="82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3"/>
        <v>30</v>
      </c>
      <c r="BA160" s="36">
        <f>IFERROR(INDEX('Level Multiplier'!$D:$D,MATCH(AZ160,'Level Multiplier'!$A:$A,0)),"")</f>
        <v>1.3666803334700013</v>
      </c>
      <c r="BB160" s="37">
        <f t="shared" si="84"/>
        <v>9</v>
      </c>
      <c r="BC160" s="37">
        <f t="shared" si="85"/>
        <v>9</v>
      </c>
      <c r="BD160" s="38">
        <f t="shared" si="86"/>
        <v>1537066498.9674778</v>
      </c>
      <c r="BE160" s="38">
        <f t="shared" si="87"/>
        <v>1538531418.1113892</v>
      </c>
      <c r="BF160" s="38" t="b">
        <f t="shared" si="88"/>
        <v>0</v>
      </c>
      <c r="BG160" s="37">
        <f t="array" ref="BG160:BQ160">IF(BF160,"",IVSolution($M160,$N160,$O160,BB160,BC160,BD160,BE160,$E160,$F160,$G160,$H160,$I160))</f>
        <v>1</v>
      </c>
      <c r="BH160" s="37">
        <v>38</v>
      </c>
      <c r="BI160" s="37">
        <v>38</v>
      </c>
      <c r="BJ160" s="39">
        <v>0.84444444444444444</v>
      </c>
      <c r="BK160" s="39">
        <v>0.84444444444444444</v>
      </c>
      <c r="BL160" s="37">
        <v>9</v>
      </c>
      <c r="BM160" s="37">
        <v>9</v>
      </c>
      <c r="BN160" s="37">
        <v>14</v>
      </c>
      <c r="BO160" s="37">
        <v>14</v>
      </c>
      <c r="BP160" s="37">
        <v>15</v>
      </c>
      <c r="BQ160" s="37">
        <v>15</v>
      </c>
      <c r="BR160" s="40">
        <f t="shared" si="89"/>
        <v>30.5</v>
      </c>
      <c r="BS160" s="36">
        <f>IFERROR(INDEX('Level Multiplier'!$D:$D,MATCH(BR160,'Level Multiplier'!$A:$A,0)),"")</f>
        <v>1.3610237998842938</v>
      </c>
      <c r="BT160" s="37">
        <f t="shared" si="90"/>
        <v>8</v>
      </c>
      <c r="BU160" s="37">
        <f t="shared" si="91"/>
        <v>8</v>
      </c>
      <c r="BV160" s="38">
        <f t="shared" si="92"/>
        <v>1511777076.9014246</v>
      </c>
      <c r="BW160" s="38">
        <f t="shared" si="93"/>
        <v>1513217893.6668458</v>
      </c>
      <c r="BX160" s="38" t="b">
        <f t="shared" si="94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5"/>
        <v>30</v>
      </c>
      <c r="CK160" s="41">
        <f t="shared" si="96"/>
        <v>30</v>
      </c>
      <c r="CL160" s="39">
        <f t="shared" si="97"/>
        <v>0.84444444444444444</v>
      </c>
      <c r="CM160" s="39">
        <f t="shared" si="98"/>
        <v>0.84444444444444444</v>
      </c>
      <c r="CN160" s="42">
        <f t="shared" si="99"/>
        <v>9</v>
      </c>
      <c r="CO160" s="42">
        <f t="shared" si="100"/>
        <v>9</v>
      </c>
      <c r="CP160" s="42">
        <f t="shared" si="101"/>
        <v>14</v>
      </c>
      <c r="CQ160" s="42">
        <f t="shared" si="102"/>
        <v>14</v>
      </c>
      <c r="CR160" s="42">
        <f t="shared" si="103"/>
        <v>15</v>
      </c>
      <c r="CS160" s="42">
        <f t="shared" si="104"/>
        <v>15</v>
      </c>
      <c r="CT160" s="43">
        <f t="shared" si="105"/>
        <v>9</v>
      </c>
      <c r="CU160" s="43">
        <f t="shared" si="106"/>
        <v>14</v>
      </c>
      <c r="CV160" s="43">
        <f t="shared" si="107"/>
        <v>15</v>
      </c>
      <c r="CW160" s="13" t="s">
        <v>398</v>
      </c>
    </row>
    <row r="161" spans="1:101" x14ac:dyDescent="0.25">
      <c r="A161" s="31" t="s">
        <v>165</v>
      </c>
      <c r="B161" s="13">
        <v>1489</v>
      </c>
      <c r="C161" s="13">
        <v>87</v>
      </c>
      <c r="D161" s="13">
        <v>35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124</v>
      </c>
      <c r="M161" s="34">
        <f>IFERROR(INDEX('Pokemon Data'!I:I,MATCH($A161,'Pokemon Data'!$B:$B,0)),"")</f>
        <v>130</v>
      </c>
      <c r="N161" s="34">
        <f>IFERROR(INDEX('Pokemon Data'!J:J,MATCH($A161,'Pokemon Data'!$B:$B,0)),"")</f>
        <v>223</v>
      </c>
      <c r="O161" s="34">
        <f>IFERROR(INDEX('Pokemon Data'!K:K,MATCH($A161,'Pokemon Data'!$B:$B,0)),"")</f>
        <v>182</v>
      </c>
      <c r="P161" s="35">
        <f>IFERROR(INDEX('Level Multiplier'!$A:$A,MATCH($D161,'Level Multiplier'!$B:$B,0)),"")</f>
        <v>23</v>
      </c>
      <c r="Q161" s="36">
        <f>IFERROR(INDEX('Level Multiplier'!$D:$D,MATCH(P161,'Level Multiplier'!$A:$A,0)),"")</f>
        <v>1.560907508503629</v>
      </c>
      <c r="R161" s="37">
        <f t="shared" si="72"/>
        <v>6</v>
      </c>
      <c r="S161" s="37">
        <f t="shared" si="73"/>
        <v>7</v>
      </c>
      <c r="T161" s="38">
        <f t="shared" si="74"/>
        <v>1316127835.6866446</v>
      </c>
      <c r="U161" s="38">
        <f t="shared" si="75"/>
        <v>1317896230.2950175</v>
      </c>
      <c r="V161" s="38" t="b">
        <f t="shared" si="76"/>
        <v>0</v>
      </c>
      <c r="W161" s="37">
        <f t="array" ref="W161:AG161">IF(V161,"",IVSolution($M161,$N161,$O161,R161,S161,T161,U161,$E161,$F161,$G161,$H161,$I161))</f>
        <v>5</v>
      </c>
      <c r="X161" s="37">
        <v>14</v>
      </c>
      <c r="Y161" s="37">
        <v>18</v>
      </c>
      <c r="Z161" s="39">
        <v>0.31111111111111112</v>
      </c>
      <c r="AA161" s="39">
        <v>0.4</v>
      </c>
      <c r="AB161" s="37">
        <v>6</v>
      </c>
      <c r="AC161" s="37">
        <v>7</v>
      </c>
      <c r="AD161" s="37">
        <v>1</v>
      </c>
      <c r="AE161" s="37">
        <v>7</v>
      </c>
      <c r="AF161" s="37">
        <v>1</v>
      </c>
      <c r="AG161" s="37">
        <v>11</v>
      </c>
      <c r="AH161" s="40">
        <f t="shared" si="77"/>
        <v>23.5</v>
      </c>
      <c r="AI161" s="36">
        <f>IFERROR(INDEX('Level Multiplier'!$D:$D,MATCH(AH161,'Level Multiplier'!$A:$A,0)),"")</f>
        <v>1.5442192764441367</v>
      </c>
      <c r="AJ161" s="37">
        <f t="shared" si="78"/>
        <v>5</v>
      </c>
      <c r="AK161" s="37">
        <f t="shared" si="79"/>
        <v>5</v>
      </c>
      <c r="AL161" s="38">
        <f t="shared" si="80"/>
        <v>1260739248.6222017</v>
      </c>
      <c r="AM161" s="38">
        <f t="shared" si="81"/>
        <v>1262433221.2207408</v>
      </c>
      <c r="AN161" s="38" t="b">
        <f t="shared" si="82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3"/>
        <v>24</v>
      </c>
      <c r="BA161" s="36">
        <f>IFERROR(INDEX('Level Multiplier'!$D:$D,MATCH(AZ161,'Level Multiplier'!$A:$A,0)),"")</f>
        <v>1.5280341628098701</v>
      </c>
      <c r="BB161" s="37">
        <f t="shared" si="84"/>
        <v>3</v>
      </c>
      <c r="BC161" s="37">
        <f t="shared" si="85"/>
        <v>4</v>
      </c>
      <c r="BD161" s="38">
        <f t="shared" si="86"/>
        <v>1208708709.8552372</v>
      </c>
      <c r="BE161" s="38">
        <f t="shared" si="87"/>
        <v>1210332772.4330845</v>
      </c>
      <c r="BF161" s="38" t="b">
        <f t="shared" si="88"/>
        <v>0</v>
      </c>
      <c r="BG161" s="37">
        <f t="array" ref="BG161:BQ161">IF(BF161,"",IVSolution($M161,$N161,$O161,BB161,BC161,BD161,BE161,$E161,$F161,$G161,$H161,$I161))</f>
        <v>0</v>
      </c>
      <c r="BH161" s="37">
        <v>46</v>
      </c>
      <c r="BI161" s="37">
        <v>-1</v>
      </c>
      <c r="BJ161" s="39">
        <v>1.0222222222222221</v>
      </c>
      <c r="BK161" s="39">
        <v>-2.2222222222222223E-2</v>
      </c>
      <c r="BL161" s="37">
        <v>16</v>
      </c>
      <c r="BM161" s="37">
        <v>-1</v>
      </c>
      <c r="BN161" s="37">
        <v>16</v>
      </c>
      <c r="BO161" s="37">
        <v>0</v>
      </c>
      <c r="BP161" s="37">
        <v>16</v>
      </c>
      <c r="BQ161" s="37">
        <v>-1</v>
      </c>
      <c r="BR161" s="40">
        <f t="shared" si="89"/>
        <v>24.5</v>
      </c>
      <c r="BS161" s="36">
        <f>IFERROR(INDEX('Level Multiplier'!$D:$D,MATCH(BR161,'Level Multiplier'!$A:$A,0)),"")</f>
        <v>1.5123678280126109</v>
      </c>
      <c r="BT161" s="37">
        <f t="shared" si="90"/>
        <v>2</v>
      </c>
      <c r="BU161" s="37">
        <f t="shared" si="91"/>
        <v>3</v>
      </c>
      <c r="BV161" s="38">
        <f t="shared" si="92"/>
        <v>1159896175.3172498</v>
      </c>
      <c r="BW161" s="38">
        <f t="shared" si="93"/>
        <v>1161454651.6955216</v>
      </c>
      <c r="BX161" s="38" t="b">
        <f t="shared" si="94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5"/>
        <v>23</v>
      </c>
      <c r="CK161" s="41">
        <f t="shared" si="96"/>
        <v>23</v>
      </c>
      <c r="CL161" s="39">
        <f t="shared" si="97"/>
        <v>0.31111111111111112</v>
      </c>
      <c r="CM161" s="39">
        <f t="shared" si="98"/>
        <v>0.4</v>
      </c>
      <c r="CN161" s="42">
        <f t="shared" si="99"/>
        <v>6</v>
      </c>
      <c r="CO161" s="42">
        <f t="shared" si="100"/>
        <v>7</v>
      </c>
      <c r="CP161" s="42">
        <f t="shared" si="101"/>
        <v>1</v>
      </c>
      <c r="CQ161" s="42">
        <f t="shared" si="102"/>
        <v>7</v>
      </c>
      <c r="CR161" s="42">
        <f t="shared" si="103"/>
        <v>1</v>
      </c>
      <c r="CS161" s="42">
        <f t="shared" si="104"/>
        <v>11</v>
      </c>
      <c r="CT161" s="43" t="str">
        <f t="shared" si="105"/>
        <v>6-7</v>
      </c>
      <c r="CU161" s="43" t="str">
        <f t="shared" si="106"/>
        <v>1-7</v>
      </c>
      <c r="CV161" s="43" t="str">
        <f t="shared" si="107"/>
        <v>1-11</v>
      </c>
      <c r="CW161" s="13" t="s">
        <v>399</v>
      </c>
    </row>
    <row r="162" spans="1:101" x14ac:dyDescent="0.25">
      <c r="A162" s="31" t="s">
        <v>165</v>
      </c>
      <c r="B162" s="13">
        <v>1401</v>
      </c>
      <c r="C162" s="13">
        <v>86</v>
      </c>
      <c r="D162" s="13">
        <v>25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Multiplier'!$A:$A,MATCH($D162,'Level Multiplier'!$B:$B,0)),"")</f>
        <v>19</v>
      </c>
      <c r="Q162" s="36">
        <f>IFERROR(INDEX('Level Multiplier'!$D:$D,MATCH(P162,'Level Multiplier'!$A:$A,0)),"")</f>
        <v>1.7173900390793821</v>
      </c>
      <c r="R162" s="37">
        <f t="shared" si="72"/>
        <v>18</v>
      </c>
      <c r="S162" s="37">
        <f t="shared" si="73"/>
        <v>15</v>
      </c>
      <c r="T162" s="38">
        <f t="shared" si="74"/>
        <v>1707465860.9434195</v>
      </c>
      <c r="U162" s="38">
        <f t="shared" si="75"/>
        <v>1709904226.7320166</v>
      </c>
      <c r="V162" s="38" t="b">
        <f t="shared" si="76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7"/>
        <v>19.5</v>
      </c>
      <c r="AI162" s="36">
        <f>IFERROR(INDEX('Level Multiplier'!$D:$D,MATCH(AH162,'Level Multiplier'!$A:$A,0)),"")</f>
        <v>1.6952373004785586</v>
      </c>
      <c r="AJ162" s="37">
        <f t="shared" si="78"/>
        <v>16</v>
      </c>
      <c r="AK162" s="37">
        <f t="shared" si="79"/>
        <v>15</v>
      </c>
      <c r="AL162" s="38">
        <f t="shared" si="80"/>
        <v>1621056937.3680952</v>
      </c>
      <c r="AM162" s="38">
        <f t="shared" si="81"/>
        <v>1623371905.9234619</v>
      </c>
      <c r="AN162" s="38" t="b">
        <f t="shared" si="82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3"/>
        <v>20</v>
      </c>
      <c r="BA162" s="36">
        <f>IFERROR(INDEX('Level Multiplier'!$D:$D,MATCH(AZ162,'Level Multiplier'!$A:$A,0)),"")</f>
        <v>1.6739202933726098</v>
      </c>
      <c r="BB162" s="37">
        <f t="shared" si="84"/>
        <v>14</v>
      </c>
      <c r="BC162" s="37">
        <f t="shared" si="85"/>
        <v>15</v>
      </c>
      <c r="BD162" s="38">
        <f t="shared" si="86"/>
        <v>1541045169.2541788</v>
      </c>
      <c r="BE162" s="38">
        <f t="shared" si="87"/>
        <v>1543245876.1059785</v>
      </c>
      <c r="BF162" s="38" t="b">
        <f t="shared" si="88"/>
        <v>0</v>
      </c>
      <c r="BG162" s="37">
        <f t="array" ref="BG162:BQ162">IF(BF162,"",IVSolution($M162,$N162,$O162,BB162,BC162,BD162,BE162,$E162,$F162,$G162,$H162,$I162))</f>
        <v>4</v>
      </c>
      <c r="BH162" s="37">
        <v>36</v>
      </c>
      <c r="BI162" s="37">
        <v>39</v>
      </c>
      <c r="BJ162" s="39">
        <v>0.8</v>
      </c>
      <c r="BK162" s="39">
        <v>0.8666666666666667</v>
      </c>
      <c r="BL162" s="37">
        <v>14</v>
      </c>
      <c r="BM162" s="37">
        <v>15</v>
      </c>
      <c r="BN162" s="37">
        <v>10</v>
      </c>
      <c r="BO162" s="37">
        <v>15</v>
      </c>
      <c r="BP162" s="37">
        <v>7</v>
      </c>
      <c r="BQ162" s="37">
        <v>14</v>
      </c>
      <c r="BR162" s="40">
        <f t="shared" si="89"/>
        <v>20.5</v>
      </c>
      <c r="BS162" s="36">
        <f>IFERROR(INDEX('Level Multiplier'!$D:$D,MATCH(BR162,'Level Multiplier'!$A:$A,0)),"")</f>
        <v>1.653387720177633</v>
      </c>
      <c r="BT162" s="37">
        <f t="shared" si="90"/>
        <v>13</v>
      </c>
      <c r="BU162" s="37">
        <f t="shared" si="91"/>
        <v>13</v>
      </c>
      <c r="BV162" s="38">
        <f t="shared" si="92"/>
        <v>1466814186.4981191</v>
      </c>
      <c r="BW162" s="38">
        <f t="shared" si="93"/>
        <v>1468908886.9617701</v>
      </c>
      <c r="BX162" s="38" t="b">
        <f t="shared" si="94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5"/>
        <v>20</v>
      </c>
      <c r="CK162" s="41">
        <f t="shared" si="96"/>
        <v>20</v>
      </c>
      <c r="CL162" s="39">
        <f t="shared" si="97"/>
        <v>0.8</v>
      </c>
      <c r="CM162" s="39">
        <f t="shared" si="98"/>
        <v>0.8666666666666667</v>
      </c>
      <c r="CN162" s="42">
        <f t="shared" si="99"/>
        <v>14</v>
      </c>
      <c r="CO162" s="42">
        <f t="shared" si="100"/>
        <v>15</v>
      </c>
      <c r="CP162" s="42">
        <f t="shared" si="101"/>
        <v>10</v>
      </c>
      <c r="CQ162" s="42">
        <f t="shared" si="102"/>
        <v>15</v>
      </c>
      <c r="CR162" s="42">
        <f t="shared" si="103"/>
        <v>7</v>
      </c>
      <c r="CS162" s="42">
        <f t="shared" si="104"/>
        <v>14</v>
      </c>
      <c r="CT162" s="43" t="str">
        <f t="shared" si="105"/>
        <v>14-15</v>
      </c>
      <c r="CU162" s="43" t="str">
        <f t="shared" si="106"/>
        <v>10-15</v>
      </c>
      <c r="CV162" s="43" t="str">
        <f t="shared" si="107"/>
        <v>7-14</v>
      </c>
      <c r="CW162" s="13" t="s">
        <v>399</v>
      </c>
    </row>
    <row r="163" spans="1:101" x14ac:dyDescent="0.25">
      <c r="A163" s="31" t="s">
        <v>167</v>
      </c>
      <c r="B163" s="13">
        <v>1207</v>
      </c>
      <c r="C163" s="13">
        <v>84</v>
      </c>
      <c r="D163" s="13">
        <v>25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125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198</v>
      </c>
      <c r="O163" s="34">
        <f>IFERROR(INDEX('Pokemon Data'!K:K,MATCH($A163,'Pokemon Data'!$B:$B,0)),"")</f>
        <v>173</v>
      </c>
      <c r="P163" s="35">
        <f>IFERROR(INDEX('Level Multiplier'!$A:$A,MATCH($D163,'Level Multiplier'!$B:$B,0)),"")</f>
        <v>19</v>
      </c>
      <c r="Q163" s="36">
        <f>IFERROR(INDEX('Level Multiplier'!$D:$D,MATCH(P163,'Level Multiplier'!$A:$A,0)),"")</f>
        <v>1.7173900390793821</v>
      </c>
      <c r="R163" s="37">
        <f t="shared" si="72"/>
        <v>15</v>
      </c>
      <c r="S163" s="37">
        <f t="shared" si="73"/>
        <v>15</v>
      </c>
      <c r="T163" s="38">
        <f t="shared" si="74"/>
        <v>1267331702.0164344</v>
      </c>
      <c r="U163" s="38">
        <f t="shared" si="75"/>
        <v>1269432541.6095355</v>
      </c>
      <c r="V163" s="38" t="b">
        <f t="shared" si="76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7"/>
        <v>19.5</v>
      </c>
      <c r="AI163" s="36">
        <f>IFERROR(INDEX('Level Multiplier'!$D:$D,MATCH(AH163,'Level Multiplier'!$A:$A,0)),"")</f>
        <v>1.6952373004785586</v>
      </c>
      <c r="AJ163" s="37">
        <f t="shared" si="78"/>
        <v>13</v>
      </c>
      <c r="AK163" s="37">
        <f t="shared" si="79"/>
        <v>14</v>
      </c>
      <c r="AL163" s="38">
        <f t="shared" si="80"/>
        <v>1203196441.2835391</v>
      </c>
      <c r="AM163" s="38">
        <f t="shared" si="81"/>
        <v>1205190964.673197</v>
      </c>
      <c r="AN163" s="38" t="b">
        <f t="shared" si="82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3"/>
        <v>20</v>
      </c>
      <c r="BA163" s="36">
        <f>IFERROR(INDEX('Level Multiplier'!$D:$D,MATCH(AZ163,'Level Multiplier'!$A:$A,0)),"")</f>
        <v>1.6739202933726098</v>
      </c>
      <c r="BB163" s="37">
        <f t="shared" si="84"/>
        <v>11</v>
      </c>
      <c r="BC163" s="37">
        <f t="shared" si="85"/>
        <v>12</v>
      </c>
      <c r="BD163" s="38">
        <f t="shared" si="86"/>
        <v>1143809338.686286</v>
      </c>
      <c r="BE163" s="38">
        <f t="shared" si="87"/>
        <v>1145705416.8336625</v>
      </c>
      <c r="BF163" s="38" t="b">
        <f t="shared" si="88"/>
        <v>0</v>
      </c>
      <c r="BG163" s="37">
        <f t="array" ref="BG163:BQ163">IF(BF163,"",IVSolution($M163,$N163,$O163,BB163,BC163,BD163,BE163,$E163,$F163,$G163,$H163,$I163))</f>
        <v>5</v>
      </c>
      <c r="BH163" s="37">
        <v>32</v>
      </c>
      <c r="BI163" s="37">
        <v>36</v>
      </c>
      <c r="BJ163" s="39">
        <v>0.71111111111111114</v>
      </c>
      <c r="BK163" s="39">
        <v>0.8</v>
      </c>
      <c r="BL163" s="37">
        <v>11</v>
      </c>
      <c r="BM163" s="37">
        <v>12</v>
      </c>
      <c r="BN163" s="37">
        <v>9</v>
      </c>
      <c r="BO163" s="37">
        <v>15</v>
      </c>
      <c r="BP163" s="37">
        <v>6</v>
      </c>
      <c r="BQ163" s="37">
        <v>15</v>
      </c>
      <c r="BR163" s="40">
        <f t="shared" si="89"/>
        <v>20.5</v>
      </c>
      <c r="BS163" s="36">
        <f>IFERROR(INDEX('Level Multiplier'!$D:$D,MATCH(BR163,'Level Multiplier'!$A:$A,0)),"")</f>
        <v>1.653387720177633</v>
      </c>
      <c r="BT163" s="37">
        <f t="shared" si="90"/>
        <v>9</v>
      </c>
      <c r="BU163" s="37">
        <f t="shared" si="91"/>
        <v>10</v>
      </c>
      <c r="BV163" s="38">
        <f t="shared" si="92"/>
        <v>1088712906.089613</v>
      </c>
      <c r="BW163" s="38">
        <f t="shared" si="93"/>
        <v>1090517651.5836253</v>
      </c>
      <c r="BX163" s="38" t="b">
        <f t="shared" si="94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5"/>
        <v>20</v>
      </c>
      <c r="CK163" s="41">
        <f t="shared" si="96"/>
        <v>20</v>
      </c>
      <c r="CL163" s="39">
        <f t="shared" si="97"/>
        <v>0.71111111111111114</v>
      </c>
      <c r="CM163" s="39">
        <f t="shared" si="98"/>
        <v>0.8</v>
      </c>
      <c r="CN163" s="42">
        <f t="shared" si="99"/>
        <v>11</v>
      </c>
      <c r="CO163" s="42">
        <f t="shared" si="100"/>
        <v>12</v>
      </c>
      <c r="CP163" s="42">
        <f t="shared" si="101"/>
        <v>9</v>
      </c>
      <c r="CQ163" s="42">
        <f t="shared" si="102"/>
        <v>15</v>
      </c>
      <c r="CR163" s="42">
        <f t="shared" si="103"/>
        <v>6</v>
      </c>
      <c r="CS163" s="42">
        <f t="shared" si="104"/>
        <v>15</v>
      </c>
      <c r="CT163" s="43" t="str">
        <f t="shared" si="105"/>
        <v>11-12</v>
      </c>
      <c r="CU163" s="43" t="str">
        <f t="shared" si="106"/>
        <v>9-15</v>
      </c>
      <c r="CV163" s="43" t="str">
        <f t="shared" si="107"/>
        <v>6-15</v>
      </c>
      <c r="CW163" s="13" t="s">
        <v>398</v>
      </c>
    </row>
    <row r="164" spans="1:101" x14ac:dyDescent="0.25">
      <c r="A164" s="31" t="s">
        <v>167</v>
      </c>
      <c r="B164" s="13">
        <v>848</v>
      </c>
      <c r="C164" s="13">
        <v>69</v>
      </c>
      <c r="D164" s="13">
        <v>19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125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198</v>
      </c>
      <c r="O164" s="34">
        <f>IFERROR(INDEX('Pokemon Data'!K:K,MATCH($A164,'Pokemon Data'!$B:$B,0)),"")</f>
        <v>173</v>
      </c>
      <c r="P164" s="35">
        <f>IFERROR(INDEX('Level Multiplier'!$A:$A,MATCH($D164,'Level Multiplier'!$B:$B,0)),"")</f>
        <v>15</v>
      </c>
      <c r="Q164" s="36">
        <f>IFERROR(INDEX('Level Multiplier'!$D:$D,MATCH(P164,'Level Multiplier'!$A:$A,0)),"")</f>
        <v>1.9327632261645116</v>
      </c>
      <c r="R164" s="37">
        <f t="shared" si="72"/>
        <v>4</v>
      </c>
      <c r="S164" s="37">
        <f t="shared" si="73"/>
        <v>5</v>
      </c>
      <c r="T164" s="38">
        <f t="shared" si="74"/>
        <v>1003474452.1070013</v>
      </c>
      <c r="U164" s="38">
        <f t="shared" si="75"/>
        <v>1005842532.5866338</v>
      </c>
      <c r="V164" s="38" t="b">
        <f t="shared" si="76"/>
        <v>0</v>
      </c>
      <c r="W164" s="37">
        <f t="array" ref="W164:AG164">IF(V164,"",IVSolution($M164,$N164,$O164,R164,S164,T164,U164,$E164,$F164,$G164,$H164,$I164))</f>
        <v>8</v>
      </c>
      <c r="X164" s="37">
        <v>15</v>
      </c>
      <c r="Y164" s="37">
        <v>21</v>
      </c>
      <c r="Z164" s="39">
        <v>0.33333333333333331</v>
      </c>
      <c r="AA164" s="39">
        <v>0.46666666666666667</v>
      </c>
      <c r="AB164" s="37">
        <v>4</v>
      </c>
      <c r="AC164" s="37">
        <v>5</v>
      </c>
      <c r="AD164" s="37">
        <v>1</v>
      </c>
      <c r="AE164" s="37">
        <v>9</v>
      </c>
      <c r="AF164" s="37">
        <v>2</v>
      </c>
      <c r="AG164" s="37">
        <v>15</v>
      </c>
      <c r="AH164" s="40">
        <f t="shared" si="77"/>
        <v>15.5</v>
      </c>
      <c r="AI164" s="36">
        <f>IFERROR(INDEX('Level Multiplier'!$D:$D,MATCH(AH164,'Level Multiplier'!$A:$A,0)),"")</f>
        <v>1.9013484916795402</v>
      </c>
      <c r="AJ164" s="37">
        <f t="shared" si="78"/>
        <v>2</v>
      </c>
      <c r="AK164" s="37">
        <f t="shared" si="79"/>
        <v>3</v>
      </c>
      <c r="AL164" s="38">
        <f t="shared" si="80"/>
        <v>939806842.25406492</v>
      </c>
      <c r="AM164" s="38">
        <f t="shared" si="81"/>
        <v>942024674.73908114</v>
      </c>
      <c r="AN164" s="38" t="b">
        <f t="shared" si="82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3"/>
        <v>16</v>
      </c>
      <c r="BA164" s="36">
        <f>IFERROR(INDEX('Level Multiplier'!$D:$D,MATCH(AZ164,'Level Multiplier'!$A:$A,0)),"")</f>
        <v>1.8714174169787303</v>
      </c>
      <c r="BB164" s="37">
        <f t="shared" si="84"/>
        <v>0</v>
      </c>
      <c r="BC164" s="37">
        <f t="shared" si="85"/>
        <v>0</v>
      </c>
      <c r="BD164" s="38">
        <f t="shared" si="86"/>
        <v>882011754.10844791</v>
      </c>
      <c r="BE164" s="38">
        <f t="shared" si="87"/>
        <v>884093197.05233645</v>
      </c>
      <c r="BF164" s="38" t="b">
        <f t="shared" si="88"/>
        <v>0</v>
      </c>
      <c r="BG164" s="37">
        <f t="array" ref="BG164:BQ164">IF(BF164,"",IVSolution($M164,$N164,$O164,BB164,BC164,BD164,BE164,$E164,$F164,$G164,$H164,$I164))</f>
        <v>0</v>
      </c>
      <c r="BH164" s="37">
        <v>46</v>
      </c>
      <c r="BI164" s="37">
        <v>-1</v>
      </c>
      <c r="BJ164" s="39">
        <v>1.0222222222222221</v>
      </c>
      <c r="BK164" s="39">
        <v>-2.2222222222222223E-2</v>
      </c>
      <c r="BL164" s="37">
        <v>16</v>
      </c>
      <c r="BM164" s="37">
        <v>-1</v>
      </c>
      <c r="BN164" s="37">
        <v>16</v>
      </c>
      <c r="BO164" s="37">
        <v>0</v>
      </c>
      <c r="BP164" s="37">
        <v>16</v>
      </c>
      <c r="BQ164" s="37">
        <v>-1</v>
      </c>
      <c r="BR164" s="40">
        <f t="shared" si="89"/>
        <v>16.5</v>
      </c>
      <c r="BS164" s="36">
        <f>IFERROR(INDEX('Level Multiplier'!$D:$D,MATCH(BR164,'Level Multiplier'!$A:$A,0)),"")</f>
        <v>1.8428567757863994</v>
      </c>
      <c r="BT164" s="37">
        <f t="shared" si="90"/>
        <v>0</v>
      </c>
      <c r="BU164" s="37">
        <f t="shared" si="91"/>
        <v>-1</v>
      </c>
      <c r="BV164" s="38">
        <f t="shared" si="92"/>
        <v>829388557.92685246</v>
      </c>
      <c r="BW164" s="38">
        <f t="shared" si="93"/>
        <v>831345816.38015246</v>
      </c>
      <c r="BX164" s="38" t="b">
        <f t="shared" si="94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5"/>
        <v>15</v>
      </c>
      <c r="CK164" s="41">
        <f t="shared" si="96"/>
        <v>15</v>
      </c>
      <c r="CL164" s="39">
        <f t="shared" si="97"/>
        <v>0.33333333333333331</v>
      </c>
      <c r="CM164" s="39">
        <f t="shared" si="98"/>
        <v>0.46666666666666667</v>
      </c>
      <c r="CN164" s="42">
        <f t="shared" si="99"/>
        <v>4</v>
      </c>
      <c r="CO164" s="42">
        <f t="shared" si="100"/>
        <v>5</v>
      </c>
      <c r="CP164" s="42">
        <f t="shared" si="101"/>
        <v>1</v>
      </c>
      <c r="CQ164" s="42">
        <f t="shared" si="102"/>
        <v>9</v>
      </c>
      <c r="CR164" s="42">
        <f t="shared" si="103"/>
        <v>2</v>
      </c>
      <c r="CS164" s="42">
        <f t="shared" si="104"/>
        <v>15</v>
      </c>
      <c r="CT164" s="43" t="str">
        <f t="shared" si="105"/>
        <v>4-5</v>
      </c>
      <c r="CU164" s="43" t="str">
        <f t="shared" si="106"/>
        <v>1-9</v>
      </c>
      <c r="CV164" s="43" t="str">
        <f t="shared" si="107"/>
        <v>2-15</v>
      </c>
      <c r="CW164" s="13" t="s">
        <v>399</v>
      </c>
    </row>
    <row r="165" spans="1:101" x14ac:dyDescent="0.25">
      <c r="A165" s="31" t="s">
        <v>169</v>
      </c>
      <c r="B165" s="13">
        <v>1250</v>
      </c>
      <c r="C165" s="13">
        <v>85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126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206</v>
      </c>
      <c r="O165" s="34">
        <f>IFERROR(INDEX('Pokemon Data'!K:K,MATCH($A165,'Pokemon Data'!$B:$B,0)),"")</f>
        <v>169</v>
      </c>
      <c r="P165" s="35">
        <f>IFERROR(INDEX('Level Multiplier'!$A:$A,MATCH($D165,'Level Multiplier'!$B:$B,0)),"")</f>
        <v>19</v>
      </c>
      <c r="Q165" s="36">
        <f>IFERROR(INDEX('Level Multiplier'!$D:$D,MATCH(P165,'Level Multiplier'!$A:$A,0)),"")</f>
        <v>1.7173900390793821</v>
      </c>
      <c r="R165" s="37">
        <f t="shared" si="72"/>
        <v>16</v>
      </c>
      <c r="S165" s="37">
        <f t="shared" si="73"/>
        <v>15</v>
      </c>
      <c r="T165" s="38">
        <f t="shared" si="74"/>
        <v>1359238867.1720123</v>
      </c>
      <c r="U165" s="38">
        <f t="shared" si="75"/>
        <v>1361414519.2723625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19.5</v>
      </c>
      <c r="AI165" s="36">
        <f>IFERROR(INDEX('Level Multiplier'!$D:$D,MATCH(AH165,'Level Multiplier'!$A:$A,0)),"")</f>
        <v>1.6952373004785586</v>
      </c>
      <c r="AJ165" s="37">
        <f t="shared" si="78"/>
        <v>15</v>
      </c>
      <c r="AK165" s="37">
        <f t="shared" si="79"/>
        <v>15</v>
      </c>
      <c r="AL165" s="38">
        <f t="shared" si="80"/>
        <v>1290452503.6606607</v>
      </c>
      <c r="AM165" s="38">
        <f t="shared" si="81"/>
        <v>1292518053.5561202</v>
      </c>
      <c r="AN165" s="38" t="b">
        <f t="shared" si="82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3"/>
        <v>20</v>
      </c>
      <c r="BA165" s="36">
        <f>IFERROR(INDEX('Level Multiplier'!$D:$D,MATCH(AZ165,'Level Multiplier'!$A:$A,0)),"")</f>
        <v>1.6739202933726098</v>
      </c>
      <c r="BB165" s="37">
        <f t="shared" si="84"/>
        <v>13</v>
      </c>
      <c r="BC165" s="37">
        <f t="shared" si="85"/>
        <v>13</v>
      </c>
      <c r="BD165" s="38">
        <f t="shared" si="86"/>
        <v>1226758635.7249942</v>
      </c>
      <c r="BE165" s="38">
        <f t="shared" si="87"/>
        <v>1228722234.667681</v>
      </c>
      <c r="BF165" s="38" t="b">
        <f t="shared" si="88"/>
        <v>0</v>
      </c>
      <c r="BG165" s="37">
        <f t="array" ref="BG165:BQ165">IF(BF165,"",IVSolution($M165,$N165,$O165,BB165,BC165,BD165,BE165,$E165,$F165,$G165,$H165,$I165))</f>
        <v>2</v>
      </c>
      <c r="BH165" s="37">
        <v>36</v>
      </c>
      <c r="BI165" s="37">
        <v>38</v>
      </c>
      <c r="BJ165" s="39">
        <v>0.8</v>
      </c>
      <c r="BK165" s="39">
        <v>0.84444444444444444</v>
      </c>
      <c r="BL165" s="37">
        <v>13</v>
      </c>
      <c r="BM165" s="37">
        <v>13</v>
      </c>
      <c r="BN165" s="37">
        <v>10</v>
      </c>
      <c r="BO165" s="37">
        <v>13</v>
      </c>
      <c r="BP165" s="37">
        <v>10</v>
      </c>
      <c r="BQ165" s="37">
        <v>15</v>
      </c>
      <c r="BR165" s="40">
        <f t="shared" si="89"/>
        <v>20.5</v>
      </c>
      <c r="BS165" s="36">
        <f>IFERROR(INDEX('Level Multiplier'!$D:$D,MATCH(BR165,'Level Multiplier'!$A:$A,0)),"")</f>
        <v>1.653387720177633</v>
      </c>
      <c r="BT165" s="37">
        <f t="shared" si="90"/>
        <v>11</v>
      </c>
      <c r="BU165" s="37">
        <f t="shared" si="91"/>
        <v>12</v>
      </c>
      <c r="BV165" s="38">
        <f t="shared" si="92"/>
        <v>1167666598.0928843</v>
      </c>
      <c r="BW165" s="38">
        <f t="shared" si="93"/>
        <v>1169535611.9564557</v>
      </c>
      <c r="BX165" s="38" t="b">
        <f t="shared" si="94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5"/>
        <v>20</v>
      </c>
      <c r="CK165" s="41">
        <f t="shared" si="96"/>
        <v>20</v>
      </c>
      <c r="CL165" s="39">
        <f t="shared" si="97"/>
        <v>0.8</v>
      </c>
      <c r="CM165" s="39">
        <f t="shared" si="98"/>
        <v>0.84444444444444444</v>
      </c>
      <c r="CN165" s="42">
        <f t="shared" si="99"/>
        <v>13</v>
      </c>
      <c r="CO165" s="42">
        <f t="shared" si="100"/>
        <v>13</v>
      </c>
      <c r="CP165" s="42">
        <f t="shared" si="101"/>
        <v>10</v>
      </c>
      <c r="CQ165" s="42">
        <f t="shared" si="102"/>
        <v>13</v>
      </c>
      <c r="CR165" s="42">
        <f t="shared" si="103"/>
        <v>10</v>
      </c>
      <c r="CS165" s="42">
        <f t="shared" si="104"/>
        <v>15</v>
      </c>
      <c r="CT165" s="43">
        <f t="shared" si="105"/>
        <v>13</v>
      </c>
      <c r="CU165" s="43" t="str">
        <f t="shared" si="106"/>
        <v>10-13</v>
      </c>
      <c r="CV165" s="43" t="str">
        <f t="shared" si="107"/>
        <v>10-15</v>
      </c>
      <c r="CW165" s="13" t="s">
        <v>399</v>
      </c>
    </row>
    <row r="166" spans="1:101" x14ac:dyDescent="0.25">
      <c r="A166" s="31" t="s">
        <v>171</v>
      </c>
      <c r="B166" s="13">
        <v>2273</v>
      </c>
      <c r="C166" s="13">
        <v>104</v>
      </c>
      <c r="D166" s="13">
        <v>50</v>
      </c>
      <c r="E166" s="32" t="s">
        <v>2</v>
      </c>
      <c r="F166" s="32">
        <v>1</v>
      </c>
      <c r="G166" s="32"/>
      <c r="H166" s="32">
        <v>1</v>
      </c>
      <c r="I166" s="32" t="s">
        <v>2</v>
      </c>
      <c r="J166" s="13"/>
      <c r="K166" s="33"/>
      <c r="L166" s="34">
        <f>IFERROR(INDEX('Pokemon Data'!A:A,MATCH($A166,'Pokemon Data'!$B:$B,0)),"")</f>
        <v>127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238</v>
      </c>
      <c r="O166" s="34">
        <f>IFERROR(INDEX('Pokemon Data'!K:K,MATCH($A166,'Pokemon Data'!$B:$B,0)),"")</f>
        <v>197</v>
      </c>
      <c r="P166" s="35">
        <f>IFERROR(INDEX('Level Multiplier'!$A:$A,MATCH($D166,'Level Multiplier'!$B:$B,0)),"")</f>
        <v>29</v>
      </c>
      <c r="Q166" s="36">
        <f>IFERROR(INDEX('Level Multiplier'!$D:$D,MATCH(P166,'Level Multiplier'!$A:$A,0)),"")</f>
        <v>1.3900490199396833</v>
      </c>
      <c r="R166" s="37">
        <f t="shared" si="72"/>
        <v>15</v>
      </c>
      <c r="S166" s="37">
        <f t="shared" si="73"/>
        <v>15</v>
      </c>
      <c r="T166" s="38">
        <f t="shared" si="74"/>
        <v>1928942735.5545764</v>
      </c>
      <c r="U166" s="38">
        <f t="shared" si="75"/>
        <v>1930640374.8436556</v>
      </c>
      <c r="V166" s="38" t="b">
        <f t="shared" si="76"/>
        <v>0</v>
      </c>
      <c r="W166" s="37">
        <f t="array" ref="W166:AG166">IF(V166,"",IVSolution($M166,$N166,$O166,R166,S166,T166,U166,$E166,$F166,$G166,$H166,$I166))</f>
        <v>0</v>
      </c>
      <c r="X166" s="37">
        <v>46</v>
      </c>
      <c r="Y166" s="37">
        <v>-1</v>
      </c>
      <c r="Z166" s="39">
        <v>1.0222222222222221</v>
      </c>
      <c r="AA166" s="39">
        <v>-2.2222222222222223E-2</v>
      </c>
      <c r="AB166" s="37">
        <v>16</v>
      </c>
      <c r="AC166" s="37">
        <v>-1</v>
      </c>
      <c r="AD166" s="37">
        <v>16</v>
      </c>
      <c r="AE166" s="37">
        <v>0</v>
      </c>
      <c r="AF166" s="37">
        <v>16</v>
      </c>
      <c r="AG166" s="37">
        <v>-1</v>
      </c>
      <c r="AH166" s="40">
        <f t="shared" si="77"/>
        <v>29.5</v>
      </c>
      <c r="AI166" s="36">
        <f>IFERROR(INDEX('Level Multiplier'!$D:$D,MATCH(AH166,'Level Multiplier'!$A:$A,0)),"")</f>
        <v>1.378223825401578</v>
      </c>
      <c r="AJ166" s="37">
        <f t="shared" si="78"/>
        <v>14</v>
      </c>
      <c r="AK166" s="37">
        <f t="shared" si="79"/>
        <v>14</v>
      </c>
      <c r="AL166" s="38">
        <f t="shared" si="80"/>
        <v>1864137249.4701948</v>
      </c>
      <c r="AM166" s="38">
        <f t="shared" si="81"/>
        <v>1865777854.2308264</v>
      </c>
      <c r="AN166" s="38" t="b">
        <f t="shared" si="82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3"/>
        <v>30</v>
      </c>
      <c r="BA166" s="36">
        <f>IFERROR(INDEX('Level Multiplier'!$D:$D,MATCH(AZ166,'Level Multiplier'!$A:$A,0)),"")</f>
        <v>1.3666803334700013</v>
      </c>
      <c r="BB166" s="37">
        <f t="shared" si="84"/>
        <v>13</v>
      </c>
      <c r="BC166" s="37">
        <f t="shared" si="85"/>
        <v>13</v>
      </c>
      <c r="BD166" s="38">
        <f t="shared" si="86"/>
        <v>1802464215.2117047</v>
      </c>
      <c r="BE166" s="38">
        <f t="shared" si="87"/>
        <v>1804050542.2770452</v>
      </c>
      <c r="BF166" s="38" t="b">
        <f t="shared" si="88"/>
        <v>0</v>
      </c>
      <c r="BG166" s="37">
        <f t="array" ref="BG166:BQ166">IF(BF166,"",IVSolution($M166,$N166,$O166,BB166,BC166,BD166,BE166,$E166,$F166,$G166,$H166,$I166))</f>
        <v>1</v>
      </c>
      <c r="BH166" s="37">
        <v>33</v>
      </c>
      <c r="BI166" s="37">
        <v>33</v>
      </c>
      <c r="BJ166" s="39">
        <v>0.73333333333333328</v>
      </c>
      <c r="BK166" s="39">
        <v>0.73333333333333328</v>
      </c>
      <c r="BL166" s="37">
        <v>13</v>
      </c>
      <c r="BM166" s="37">
        <v>13</v>
      </c>
      <c r="BN166" s="37">
        <v>7</v>
      </c>
      <c r="BO166" s="37">
        <v>7</v>
      </c>
      <c r="BP166" s="37">
        <v>13</v>
      </c>
      <c r="BQ166" s="37">
        <v>13</v>
      </c>
      <c r="BR166" s="40">
        <f t="shared" si="89"/>
        <v>30.5</v>
      </c>
      <c r="BS166" s="36">
        <f>IFERROR(INDEX('Level Multiplier'!$D:$D,MATCH(BR166,'Level Multiplier'!$A:$A,0)),"")</f>
        <v>1.3610237998842938</v>
      </c>
      <c r="BT166" s="37">
        <f t="shared" si="90"/>
        <v>12</v>
      </c>
      <c r="BU166" s="37">
        <f t="shared" si="91"/>
        <v>12</v>
      </c>
      <c r="BV166" s="38">
        <f t="shared" si="92"/>
        <v>1772808192.9588833</v>
      </c>
      <c r="BW166" s="38">
        <f t="shared" si="93"/>
        <v>1774368420.1159134</v>
      </c>
      <c r="BX166" s="38" t="b">
        <f t="shared" si="94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5"/>
        <v>30</v>
      </c>
      <c r="CK166" s="41">
        <f t="shared" si="96"/>
        <v>30</v>
      </c>
      <c r="CL166" s="39">
        <f t="shared" si="97"/>
        <v>0.73333333333333328</v>
      </c>
      <c r="CM166" s="39">
        <f t="shared" si="98"/>
        <v>0.73333333333333328</v>
      </c>
      <c r="CN166" s="42">
        <f t="shared" si="99"/>
        <v>13</v>
      </c>
      <c r="CO166" s="42">
        <f t="shared" si="100"/>
        <v>13</v>
      </c>
      <c r="CP166" s="42">
        <f t="shared" si="101"/>
        <v>7</v>
      </c>
      <c r="CQ166" s="42">
        <f t="shared" si="102"/>
        <v>7</v>
      </c>
      <c r="CR166" s="42">
        <f t="shared" si="103"/>
        <v>13</v>
      </c>
      <c r="CS166" s="42">
        <f t="shared" si="104"/>
        <v>13</v>
      </c>
      <c r="CT166" s="43">
        <f t="shared" si="105"/>
        <v>13</v>
      </c>
      <c r="CU166" s="43">
        <f t="shared" si="106"/>
        <v>7</v>
      </c>
      <c r="CV166" s="43">
        <f t="shared" si="107"/>
        <v>13</v>
      </c>
      <c r="CW166" s="13" t="s">
        <v>409</v>
      </c>
    </row>
    <row r="167" spans="1:101" x14ac:dyDescent="0.25">
      <c r="A167" s="31" t="s">
        <v>171</v>
      </c>
      <c r="B167" s="13">
        <v>1444</v>
      </c>
      <c r="C167" s="13">
        <v>78</v>
      </c>
      <c r="D167" s="13">
        <v>25</v>
      </c>
      <c r="E167" s="32"/>
      <c r="F167" s="32"/>
      <c r="G167" s="32"/>
      <c r="H167" s="32"/>
      <c r="I167" s="32"/>
      <c r="J167" s="13"/>
      <c r="K167" s="33">
        <v>19</v>
      </c>
      <c r="L167" s="34">
        <f>IFERROR(INDEX('Pokemon Data'!A:A,MATCH($A167,'Pokemon Data'!$B:$B,0)),"")</f>
        <v>127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238</v>
      </c>
      <c r="O167" s="34">
        <f>IFERROR(INDEX('Pokemon Data'!K:K,MATCH($A167,'Pokemon Data'!$B:$B,0)),"")</f>
        <v>197</v>
      </c>
      <c r="P167" s="35">
        <f>IFERROR(INDEX('Level Multiplier'!$A:$A,MATCH($D167,'Level Multiplier'!$B:$B,0)),"")</f>
        <v>19</v>
      </c>
      <c r="Q167" s="36">
        <f>IFERROR(INDEX('Level Multiplier'!$D:$D,MATCH(P167,'Level Multiplier'!$A:$A,0)),"")</f>
        <v>1.7173900390793821</v>
      </c>
      <c r="R167" s="37">
        <f t="shared" si="72"/>
        <v>4</v>
      </c>
      <c r="S167" s="37">
        <f t="shared" si="73"/>
        <v>5</v>
      </c>
      <c r="T167" s="38">
        <f t="shared" si="74"/>
        <v>1813886652.5053318</v>
      </c>
      <c r="U167" s="38">
        <f t="shared" si="75"/>
        <v>1816399830.8011782</v>
      </c>
      <c r="V167" s="38" t="b">
        <f t="shared" si="76"/>
        <v>0</v>
      </c>
      <c r="W167" s="37">
        <f t="array" ref="W167:AG167">IF(V167,"",IVSolution($M167,$N167,$O167,R167,S167,T167,U167,$E167,$F167,$G167,$H167,$I167))</f>
        <v>1</v>
      </c>
      <c r="X167" s="37">
        <v>33</v>
      </c>
      <c r="Y167" s="37">
        <v>33</v>
      </c>
      <c r="Z167" s="39">
        <v>0.73333333333333328</v>
      </c>
      <c r="AA167" s="39">
        <v>0.73333333333333328</v>
      </c>
      <c r="AB167" s="37">
        <v>5</v>
      </c>
      <c r="AC167" s="37">
        <v>5</v>
      </c>
      <c r="AD167" s="37">
        <v>15</v>
      </c>
      <c r="AE167" s="37">
        <v>15</v>
      </c>
      <c r="AF167" s="37">
        <v>13</v>
      </c>
      <c r="AG167" s="37">
        <v>13</v>
      </c>
      <c r="AH167" s="40">
        <f t="shared" si="77"/>
        <v>19.5</v>
      </c>
      <c r="AI167" s="36">
        <f>IFERROR(INDEX('Level Multiplier'!$D:$D,MATCH(AH167,'Level Multiplier'!$A:$A,0)),"")</f>
        <v>1.6952373004785586</v>
      </c>
      <c r="AJ167" s="37">
        <f t="shared" si="78"/>
        <v>3</v>
      </c>
      <c r="AK167" s="37">
        <f t="shared" si="79"/>
        <v>3</v>
      </c>
      <c r="AL167" s="38">
        <f t="shared" si="80"/>
        <v>1722092141.8707042</v>
      </c>
      <c r="AM167" s="38">
        <f t="shared" si="81"/>
        <v>1724478136.9318726</v>
      </c>
      <c r="AN167" s="38" t="b">
        <f t="shared" si="82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3"/>
        <v>20</v>
      </c>
      <c r="BA167" s="36">
        <f>IFERROR(INDEX('Level Multiplier'!$D:$D,MATCH(AZ167,'Level Multiplier'!$A:$A,0)),"")</f>
        <v>1.6739202933726098</v>
      </c>
      <c r="BB167" s="37">
        <f t="shared" si="84"/>
        <v>1</v>
      </c>
      <c r="BC167" s="37">
        <f t="shared" si="85"/>
        <v>2</v>
      </c>
      <c r="BD167" s="38">
        <f t="shared" si="86"/>
        <v>1637093500.5830858</v>
      </c>
      <c r="BE167" s="38">
        <f t="shared" si="87"/>
        <v>1639361728.2301958</v>
      </c>
      <c r="BF167" s="38" t="b">
        <f t="shared" si="88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89"/>
        <v>20.5</v>
      </c>
      <c r="BS167" s="36">
        <f>IFERROR(INDEX('Level Multiplier'!$D:$D,MATCH(BR167,'Level Multiplier'!$A:$A,0)),"")</f>
        <v>1.653387720177633</v>
      </c>
      <c r="BT167" s="37">
        <f t="shared" si="90"/>
        <v>0</v>
      </c>
      <c r="BU167" s="37">
        <f t="shared" si="91"/>
        <v>0</v>
      </c>
      <c r="BV167" s="38">
        <f t="shared" si="92"/>
        <v>1558235942.1958427</v>
      </c>
      <c r="BW167" s="38">
        <f t="shared" si="93"/>
        <v>1560394911.0290525</v>
      </c>
      <c r="BX167" s="38" t="b">
        <f t="shared" si="94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5"/>
        <v>19</v>
      </c>
      <c r="CK167" s="41">
        <f t="shared" si="96"/>
        <v>19</v>
      </c>
      <c r="CL167" s="39">
        <f t="shared" si="97"/>
        <v>0.73333333333333328</v>
      </c>
      <c r="CM167" s="39">
        <f t="shared" si="98"/>
        <v>0.73333333333333328</v>
      </c>
      <c r="CN167" s="42">
        <f t="shared" si="99"/>
        <v>5</v>
      </c>
      <c r="CO167" s="42">
        <f t="shared" si="100"/>
        <v>5</v>
      </c>
      <c r="CP167" s="42">
        <f t="shared" si="101"/>
        <v>15</v>
      </c>
      <c r="CQ167" s="42">
        <f t="shared" si="102"/>
        <v>15</v>
      </c>
      <c r="CR167" s="42">
        <f t="shared" si="103"/>
        <v>13</v>
      </c>
      <c r="CS167" s="42">
        <f t="shared" si="104"/>
        <v>13</v>
      </c>
      <c r="CT167" s="43">
        <f t="shared" si="105"/>
        <v>5</v>
      </c>
      <c r="CU167" s="43">
        <f t="shared" si="106"/>
        <v>15</v>
      </c>
      <c r="CV167" s="43">
        <f t="shared" si="107"/>
        <v>13</v>
      </c>
      <c r="CW167" s="13" t="s">
        <v>399</v>
      </c>
    </row>
    <row r="168" spans="1:101" x14ac:dyDescent="0.25">
      <c r="A168" s="31" t="s">
        <v>171</v>
      </c>
      <c r="B168" s="13">
        <v>855</v>
      </c>
      <c r="C168" s="13">
        <v>62</v>
      </c>
      <c r="D168" s="13">
        <v>13</v>
      </c>
      <c r="E168" s="32"/>
      <c r="F168" s="32"/>
      <c r="G168" s="32"/>
      <c r="H168" s="32"/>
      <c r="I168" s="32"/>
      <c r="J168" s="13"/>
      <c r="K168" s="33">
        <v>11</v>
      </c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Multiplier'!$A:$A,MATCH($D168,'Level Multiplier'!$B:$B,0)),"")</f>
        <v>11</v>
      </c>
      <c r="Q168" s="36">
        <f>IFERROR(INDEX('Level Multiplier'!$D:$D,MATCH(P168,'Level Multiplier'!$A:$A,0)),"")</f>
        <v>2.2567884478610214</v>
      </c>
      <c r="R168" s="37">
        <f t="shared" si="72"/>
        <v>10</v>
      </c>
      <c r="S168" s="37">
        <f t="shared" si="73"/>
        <v>12</v>
      </c>
      <c r="T168" s="38">
        <f t="shared" si="74"/>
        <v>1896250156.9139318</v>
      </c>
      <c r="U168" s="38">
        <f t="shared" si="75"/>
        <v>1900688423.7563515</v>
      </c>
      <c r="V168" s="38" t="b">
        <f t="shared" si="76"/>
        <v>0</v>
      </c>
      <c r="W168" s="37">
        <f t="array" ref="W168:AG168">IF(V168,"",IVSolution($M168,$N168,$O168,R168,S168,T168,U168,$E168,$F168,$G168,$H168,$I168))</f>
        <v>4</v>
      </c>
      <c r="X168" s="37">
        <v>39</v>
      </c>
      <c r="Y168" s="37">
        <v>40</v>
      </c>
      <c r="Z168" s="39">
        <v>0.8666666666666667</v>
      </c>
      <c r="AA168" s="39">
        <v>0.88888888888888884</v>
      </c>
      <c r="AB168" s="37">
        <v>10</v>
      </c>
      <c r="AC168" s="37">
        <v>12</v>
      </c>
      <c r="AD168" s="37">
        <v>13</v>
      </c>
      <c r="AE168" s="37">
        <v>15</v>
      </c>
      <c r="AF168" s="37">
        <v>12</v>
      </c>
      <c r="AG168" s="37">
        <v>15</v>
      </c>
      <c r="AH168" s="40">
        <f t="shared" si="77"/>
        <v>11.5</v>
      </c>
      <c r="AI168" s="36">
        <f>IFERROR(INDEX('Level Multiplier'!$D:$D,MATCH(AH168,'Level Multiplier'!$A:$A,0)),"")</f>
        <v>2.2072133782377708</v>
      </c>
      <c r="AJ168" s="37">
        <f t="shared" si="78"/>
        <v>7</v>
      </c>
      <c r="AK168" s="37">
        <f t="shared" si="79"/>
        <v>9</v>
      </c>
      <c r="AL168" s="38">
        <f t="shared" si="80"/>
        <v>1735040068.2906268</v>
      </c>
      <c r="AM168" s="38">
        <f t="shared" si="81"/>
        <v>1739101014.9844406</v>
      </c>
      <c r="AN168" s="38" t="b">
        <f t="shared" si="82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3"/>
        <v>12</v>
      </c>
      <c r="BA168" s="36">
        <f>IFERROR(INDEX('Level Multiplier'!$D:$D,MATCH(AZ168,'Level Multiplier'!$A:$A,0)),"")</f>
        <v>2.1607681046600011</v>
      </c>
      <c r="BB168" s="37">
        <f t="shared" si="84"/>
        <v>4</v>
      </c>
      <c r="BC168" s="37">
        <f t="shared" si="85"/>
        <v>6</v>
      </c>
      <c r="BD168" s="38">
        <f t="shared" si="86"/>
        <v>1593546980.2799273</v>
      </c>
      <c r="BE168" s="38">
        <f t="shared" si="87"/>
        <v>1597276755.435714</v>
      </c>
      <c r="BF168" s="38" t="b">
        <f t="shared" si="88"/>
        <v>1</v>
      </c>
      <c r="BG168" s="37" t="str">
        <f t="array" ref="BG168:BQ168">IF(BF168,"",IVSolution($M168,$N168,$O168,BB168,BC168,BD168,BE168,$E168,$F168,$G168,$H168,$I168))</f>
        <v/>
      </c>
      <c r="BH168" s="37" t="str">
        <v/>
      </c>
      <c r="BI168" s="37" t="str">
        <v/>
      </c>
      <c r="BJ168" s="39" t="str">
        <v/>
      </c>
      <c r="BK168" s="39" t="str">
        <v/>
      </c>
      <c r="BL168" s="37" t="str">
        <v/>
      </c>
      <c r="BM168" s="37" t="str">
        <v/>
      </c>
      <c r="BN168" s="37" t="str">
        <v/>
      </c>
      <c r="BO168" s="37" t="str">
        <v/>
      </c>
      <c r="BP168" s="37" t="str">
        <v/>
      </c>
      <c r="BQ168" s="37" t="str">
        <v/>
      </c>
      <c r="BR168" s="40">
        <f t="shared" si="89"/>
        <v>12.5</v>
      </c>
      <c r="BS168" s="36">
        <f>IFERROR(INDEX('Level Multiplier'!$D:$D,MATCH(BR168,'Level Multiplier'!$A:$A,0)),"")</f>
        <v>2.1171365813269869</v>
      </c>
      <c r="BT168" s="37">
        <f t="shared" si="90"/>
        <v>2</v>
      </c>
      <c r="BU168" s="37">
        <f t="shared" si="91"/>
        <v>3</v>
      </c>
      <c r="BV168" s="38">
        <f t="shared" si="92"/>
        <v>1468681872.2833157</v>
      </c>
      <c r="BW168" s="38">
        <f t="shared" si="93"/>
        <v>1472119394.5068738</v>
      </c>
      <c r="BX168" s="38" t="b">
        <f t="shared" si="94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5"/>
        <v>11</v>
      </c>
      <c r="CK168" s="41">
        <f t="shared" si="96"/>
        <v>11</v>
      </c>
      <c r="CL168" s="39">
        <f t="shared" si="97"/>
        <v>0.8666666666666667</v>
      </c>
      <c r="CM168" s="39">
        <f t="shared" si="98"/>
        <v>0.88888888888888884</v>
      </c>
      <c r="CN168" s="42">
        <f t="shared" si="99"/>
        <v>10</v>
      </c>
      <c r="CO168" s="42">
        <f t="shared" si="100"/>
        <v>12</v>
      </c>
      <c r="CP168" s="42">
        <f t="shared" si="101"/>
        <v>13</v>
      </c>
      <c r="CQ168" s="42">
        <f t="shared" si="102"/>
        <v>15</v>
      </c>
      <c r="CR168" s="42">
        <f t="shared" si="103"/>
        <v>12</v>
      </c>
      <c r="CS168" s="42">
        <f t="shared" si="104"/>
        <v>15</v>
      </c>
      <c r="CT168" s="43" t="str">
        <f t="shared" si="105"/>
        <v>10-12</v>
      </c>
      <c r="CU168" s="43" t="str">
        <f t="shared" si="106"/>
        <v>13-15</v>
      </c>
      <c r="CV168" s="43" t="str">
        <f t="shared" si="107"/>
        <v>12-15</v>
      </c>
      <c r="CW168" s="13" t="s">
        <v>399</v>
      </c>
    </row>
    <row r="169" spans="1:101" x14ac:dyDescent="0.25">
      <c r="A169" s="31" t="s">
        <v>172</v>
      </c>
      <c r="B169" s="13">
        <v>2087</v>
      </c>
      <c r="C169" s="13">
        <v>120</v>
      </c>
      <c r="D169" s="13">
        <v>50</v>
      </c>
      <c r="E169" s="32"/>
      <c r="F169" s="32"/>
      <c r="G169" s="32"/>
      <c r="H169" s="32"/>
      <c r="I169" s="32"/>
      <c r="J169" s="13"/>
      <c r="K169" s="33"/>
      <c r="L169" s="34">
        <f>IFERROR(INDEX('Pokemon Data'!A:A,MATCH($A169,'Pokemon Data'!$B:$B,0)),"")</f>
        <v>128</v>
      </c>
      <c r="M169" s="34">
        <f>IFERROR(INDEX('Pokemon Data'!I:I,MATCH($A169,'Pokemon Data'!$B:$B,0)),"")</f>
        <v>150</v>
      </c>
      <c r="N169" s="34">
        <f>IFERROR(INDEX('Pokemon Data'!J:J,MATCH($A169,'Pokemon Data'!$B:$B,0)),"")</f>
        <v>198</v>
      </c>
      <c r="O169" s="34">
        <f>IFERROR(INDEX('Pokemon Data'!K:K,MATCH($A169,'Pokemon Data'!$B:$B,0)),"")</f>
        <v>197</v>
      </c>
      <c r="P169" s="35">
        <f>IFERROR(INDEX('Level Multiplier'!$A:$A,MATCH($D169,'Level Multiplier'!$B:$B,0)),"")</f>
        <v>29</v>
      </c>
      <c r="Q169" s="36">
        <f>IFERROR(INDEX('Level Multiplier'!$D:$D,MATCH(P169,'Level Multiplier'!$A:$A,0)),"")</f>
        <v>1.3900490199396833</v>
      </c>
      <c r="R169" s="37">
        <f t="shared" si="72"/>
        <v>17</v>
      </c>
      <c r="S169" s="37">
        <f t="shared" si="73"/>
        <v>15</v>
      </c>
      <c r="T169" s="38">
        <f t="shared" si="74"/>
        <v>1626167816.2953718</v>
      </c>
      <c r="U169" s="38">
        <f t="shared" si="75"/>
        <v>1627726568.006809</v>
      </c>
      <c r="V169" s="38" t="b">
        <f t="shared" si="76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7"/>
        <v>29.5</v>
      </c>
      <c r="AI169" s="36">
        <f>IFERROR(INDEX('Level Multiplier'!$D:$D,MATCH(AH169,'Level Multiplier'!$A:$A,0)),"")</f>
        <v>1.378223825401578</v>
      </c>
      <c r="AJ169" s="37">
        <f t="shared" si="78"/>
        <v>16</v>
      </c>
      <c r="AK169" s="37">
        <f t="shared" si="79"/>
        <v>15</v>
      </c>
      <c r="AL169" s="38">
        <f t="shared" si="80"/>
        <v>1571534470.3451092</v>
      </c>
      <c r="AM169" s="38">
        <f t="shared" si="81"/>
        <v>1573040853.6474266</v>
      </c>
      <c r="AN169" s="38" t="b">
        <f t="shared" si="82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3"/>
        <v>30</v>
      </c>
      <c r="BA169" s="36">
        <f>IFERROR(INDEX('Level Multiplier'!$D:$D,MATCH(AZ169,'Level Multiplier'!$A:$A,0)),"")</f>
        <v>1.3666803334700013</v>
      </c>
      <c r="BB169" s="37">
        <f t="shared" si="84"/>
        <v>15</v>
      </c>
      <c r="BC169" s="37">
        <f t="shared" si="85"/>
        <v>15</v>
      </c>
      <c r="BD169" s="38">
        <f t="shared" si="86"/>
        <v>1519541893.4811804</v>
      </c>
      <c r="BE169" s="38">
        <f t="shared" si="87"/>
        <v>1520998439.6649933</v>
      </c>
      <c r="BF169" s="38" t="b">
        <f t="shared" si="88"/>
        <v>0</v>
      </c>
      <c r="BG169" s="37">
        <f t="array" ref="BG169:BQ169">IF(BF169,"",IVSolution($M169,$N169,$O169,BB169,BC169,BD169,BE169,$E169,$F169,$G169,$H169,$I169))</f>
        <v>5</v>
      </c>
      <c r="BH169" s="37">
        <v>36</v>
      </c>
      <c r="BI169" s="37">
        <v>40</v>
      </c>
      <c r="BJ169" s="39">
        <v>0.8</v>
      </c>
      <c r="BK169" s="39">
        <v>0.88888888888888884</v>
      </c>
      <c r="BL169" s="37">
        <v>15</v>
      </c>
      <c r="BM169" s="37">
        <v>15</v>
      </c>
      <c r="BN169" s="37">
        <v>11</v>
      </c>
      <c r="BO169" s="37">
        <v>15</v>
      </c>
      <c r="BP169" s="37">
        <v>6</v>
      </c>
      <c r="BQ169" s="37">
        <v>14</v>
      </c>
      <c r="BR169" s="40">
        <f t="shared" si="89"/>
        <v>30.5</v>
      </c>
      <c r="BS169" s="36">
        <f>IFERROR(INDEX('Level Multiplier'!$D:$D,MATCH(BR169,'Level Multiplier'!$A:$A,0)),"")</f>
        <v>1.3610237998842938</v>
      </c>
      <c r="BT169" s="37">
        <f t="shared" si="90"/>
        <v>14</v>
      </c>
      <c r="BU169" s="37">
        <f t="shared" si="91"/>
        <v>14</v>
      </c>
      <c r="BV169" s="38">
        <f t="shared" si="92"/>
        <v>1494540804.51261</v>
      </c>
      <c r="BW169" s="38">
        <f t="shared" si="93"/>
        <v>1495973386.0786097</v>
      </c>
      <c r="BX169" s="38" t="b">
        <f t="shared" si="94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5"/>
        <v>30</v>
      </c>
      <c r="CK169" s="41">
        <f t="shared" si="96"/>
        <v>30</v>
      </c>
      <c r="CL169" s="39">
        <f t="shared" si="97"/>
        <v>0.8</v>
      </c>
      <c r="CM169" s="39">
        <f t="shared" si="98"/>
        <v>0.88888888888888884</v>
      </c>
      <c r="CN169" s="42">
        <f t="shared" si="99"/>
        <v>15</v>
      </c>
      <c r="CO169" s="42">
        <f t="shared" si="100"/>
        <v>15</v>
      </c>
      <c r="CP169" s="42">
        <f t="shared" si="101"/>
        <v>11</v>
      </c>
      <c r="CQ169" s="42">
        <f t="shared" si="102"/>
        <v>15</v>
      </c>
      <c r="CR169" s="42">
        <f t="shared" si="103"/>
        <v>6</v>
      </c>
      <c r="CS169" s="42">
        <f t="shared" si="104"/>
        <v>14</v>
      </c>
      <c r="CT169" s="43">
        <f t="shared" si="105"/>
        <v>15</v>
      </c>
      <c r="CU169" s="43" t="str">
        <f t="shared" si="106"/>
        <v>11-15</v>
      </c>
      <c r="CV169" s="43" t="str">
        <f t="shared" si="107"/>
        <v>6-14</v>
      </c>
      <c r="CW169" s="13" t="s">
        <v>406</v>
      </c>
    </row>
    <row r="170" spans="1:101" x14ac:dyDescent="0.25">
      <c r="A170" s="31" t="s">
        <v>172</v>
      </c>
      <c r="B170" s="13">
        <v>1919</v>
      </c>
      <c r="C170" s="13">
        <v>113</v>
      </c>
      <c r="D170" s="13">
        <v>45</v>
      </c>
      <c r="E170" s="32"/>
      <c r="F170" s="32"/>
      <c r="G170" s="32"/>
      <c r="H170" s="32"/>
      <c r="I170" s="32"/>
      <c r="J170" s="13"/>
      <c r="K170" s="33"/>
      <c r="L170" s="34">
        <f>IFERROR(INDEX('Pokemon Data'!A:A,MATCH($A170,'Pokemon Data'!$B:$B,0)),"")</f>
        <v>128</v>
      </c>
      <c r="M170" s="34">
        <f>IFERROR(INDEX('Pokemon Data'!I:I,MATCH($A170,'Pokemon Data'!$B:$B,0)),"")</f>
        <v>150</v>
      </c>
      <c r="N170" s="34">
        <f>IFERROR(INDEX('Pokemon Data'!J:J,MATCH($A170,'Pokemon Data'!$B:$B,0)),"")</f>
        <v>198</v>
      </c>
      <c r="O170" s="34">
        <f>IFERROR(INDEX('Pokemon Data'!K:K,MATCH($A170,'Pokemon Data'!$B:$B,0)),"")</f>
        <v>197</v>
      </c>
      <c r="P170" s="35">
        <f>IFERROR(INDEX('Level Multiplier'!$A:$A,MATCH($D170,'Level Multiplier'!$B:$B,0)),"")</f>
        <v>27</v>
      </c>
      <c r="Q170" s="36">
        <f>IFERROR(INDEX('Level Multiplier'!$D:$D,MATCH(P170,'Level Multiplier'!$A:$A,0)),"")</f>
        <v>1.4406239976408342</v>
      </c>
      <c r="R170" s="37">
        <f t="shared" si="72"/>
        <v>13</v>
      </c>
      <c r="S170" s="37">
        <f t="shared" si="73"/>
        <v>14</v>
      </c>
      <c r="T170" s="38">
        <f t="shared" si="74"/>
        <v>1586180217.1598496</v>
      </c>
      <c r="U170" s="38">
        <f t="shared" si="75"/>
        <v>1587833779.953155</v>
      </c>
      <c r="V170" s="38" t="b">
        <f t="shared" si="76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7"/>
        <v>27.5</v>
      </c>
      <c r="AI170" s="36">
        <f>IFERROR(INDEX('Level Multiplier'!$D:$D,MATCH(AH170,'Level Multiplier'!$A:$A,0)),"")</f>
        <v>1.4274729412404619</v>
      </c>
      <c r="AJ170" s="37">
        <f t="shared" si="78"/>
        <v>12</v>
      </c>
      <c r="AK170" s="37">
        <f t="shared" si="79"/>
        <v>12</v>
      </c>
      <c r="AL170" s="38">
        <f t="shared" si="80"/>
        <v>1529049299.1046324</v>
      </c>
      <c r="AM170" s="38">
        <f t="shared" si="81"/>
        <v>1530643303.9993951</v>
      </c>
      <c r="AN170" s="38" t="b">
        <f t="shared" si="82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3"/>
        <v>28</v>
      </c>
      <c r="BA170" s="36">
        <f>IFERROR(INDEX('Level Multiplier'!$D:$D,MATCH(AZ170,'Level Multiplier'!$A:$A,0)),"")</f>
        <v>1.4146588449047404</v>
      </c>
      <c r="BB170" s="37">
        <f t="shared" si="84"/>
        <v>10</v>
      </c>
      <c r="BC170" s="37">
        <f t="shared" si="85"/>
        <v>11</v>
      </c>
      <c r="BD170" s="38">
        <f t="shared" si="86"/>
        <v>1474880475.7708824</v>
      </c>
      <c r="BE170" s="38">
        <f t="shared" si="87"/>
        <v>1476418010.6946716</v>
      </c>
      <c r="BF170" s="38" t="b">
        <f t="shared" si="88"/>
        <v>0</v>
      </c>
      <c r="BG170" s="37">
        <f t="array" ref="BG170:BQ170">IF(BF170,"",IVSolution($M170,$N170,$O170,BB170,BC170,BD170,BE170,$E170,$F170,$G170,$H170,$I170))</f>
        <v>2</v>
      </c>
      <c r="BH170" s="37">
        <v>31</v>
      </c>
      <c r="BI170" s="37">
        <v>32</v>
      </c>
      <c r="BJ170" s="39">
        <v>0.68888888888888888</v>
      </c>
      <c r="BK170" s="39">
        <v>0.71111111111111114</v>
      </c>
      <c r="BL170" s="37">
        <v>11</v>
      </c>
      <c r="BM170" s="37">
        <v>11</v>
      </c>
      <c r="BN170" s="37">
        <v>14</v>
      </c>
      <c r="BO170" s="37">
        <v>15</v>
      </c>
      <c r="BP170" s="37">
        <v>5</v>
      </c>
      <c r="BQ170" s="37">
        <v>7</v>
      </c>
      <c r="BR170" s="40">
        <f t="shared" si="89"/>
        <v>28.5</v>
      </c>
      <c r="BS170" s="36">
        <f>IFERROR(INDEX('Level Multiplier'!$D:$D,MATCH(BR170,'Level Multiplier'!$A:$A,0)),"")</f>
        <v>1.4022000597460618</v>
      </c>
      <c r="BT170" s="37">
        <f t="shared" si="90"/>
        <v>9</v>
      </c>
      <c r="BU170" s="37">
        <f t="shared" si="91"/>
        <v>9</v>
      </c>
      <c r="BV170" s="38">
        <f t="shared" si="92"/>
        <v>1423606212.6058116</v>
      </c>
      <c r="BW170" s="38">
        <f t="shared" si="93"/>
        <v>1425090295.0827057</v>
      </c>
      <c r="BX170" s="38" t="b">
        <f t="shared" si="94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5"/>
        <v>28</v>
      </c>
      <c r="CK170" s="41">
        <f t="shared" si="96"/>
        <v>28</v>
      </c>
      <c r="CL170" s="39">
        <f t="shared" si="97"/>
        <v>0.68888888888888888</v>
      </c>
      <c r="CM170" s="39">
        <f t="shared" si="98"/>
        <v>0.71111111111111114</v>
      </c>
      <c r="CN170" s="42">
        <f t="shared" si="99"/>
        <v>11</v>
      </c>
      <c r="CO170" s="42">
        <f t="shared" si="100"/>
        <v>11</v>
      </c>
      <c r="CP170" s="42">
        <f t="shared" si="101"/>
        <v>14</v>
      </c>
      <c r="CQ170" s="42">
        <f t="shared" si="102"/>
        <v>15</v>
      </c>
      <c r="CR170" s="42">
        <f t="shared" si="103"/>
        <v>5</v>
      </c>
      <c r="CS170" s="42">
        <f t="shared" si="104"/>
        <v>7</v>
      </c>
      <c r="CT170" s="43">
        <f t="shared" si="105"/>
        <v>11</v>
      </c>
      <c r="CU170" s="43" t="str">
        <f t="shared" si="106"/>
        <v>14-15</v>
      </c>
      <c r="CV170" s="43" t="str">
        <f t="shared" si="107"/>
        <v>5-7</v>
      </c>
      <c r="CW170" s="13" t="s">
        <v>399</v>
      </c>
    </row>
    <row r="171" spans="1:101" x14ac:dyDescent="0.25">
      <c r="A171" s="31" t="s">
        <v>173</v>
      </c>
      <c r="B171" s="13">
        <v>124</v>
      </c>
      <c r="C171" s="13">
        <v>32</v>
      </c>
      <c r="D171" s="13">
        <v>25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129</v>
      </c>
      <c r="M171" s="34">
        <f>IFERROR(INDEX('Pokemon Data'!I:I,MATCH($A171,'Pokemon Data'!$B:$B,0)),"")</f>
        <v>40</v>
      </c>
      <c r="N171" s="34">
        <f>IFERROR(INDEX('Pokemon Data'!J:J,MATCH($A171,'Pokemon Data'!$B:$B,0)),"")</f>
        <v>29</v>
      </c>
      <c r="O171" s="34">
        <f>IFERROR(INDEX('Pokemon Data'!K:K,MATCH($A171,'Pokemon Data'!$B:$B,0)),"")</f>
        <v>102</v>
      </c>
      <c r="P171" s="35">
        <f>IFERROR(INDEX('Level Multiplier'!$A:$A,MATCH($D171,'Level Multiplier'!$B:$B,0)),"")</f>
        <v>19</v>
      </c>
      <c r="Q171" s="36">
        <f>IFERROR(INDEX('Level Multiplier'!$D:$D,MATCH(P171,'Level Multiplier'!$A:$A,0)),"")</f>
        <v>1.7173900390793821</v>
      </c>
      <c r="R171" s="37">
        <f t="shared" si="72"/>
        <v>15</v>
      </c>
      <c r="S171" s="37">
        <f t="shared" si="73"/>
        <v>15</v>
      </c>
      <c r="T171" s="38">
        <f t="shared" si="74"/>
        <v>13375780.365847591</v>
      </c>
      <c r="U171" s="38">
        <f t="shared" si="75"/>
        <v>13592388.671720123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19.5</v>
      </c>
      <c r="AI171" s="36">
        <f>IFERROR(INDEX('Level Multiplier'!$D:$D,MATCH(AH171,'Level Multiplier'!$A:$A,0)),"")</f>
        <v>1.6952373004785586</v>
      </c>
      <c r="AJ171" s="37">
        <f t="shared" si="78"/>
        <v>15</v>
      </c>
      <c r="AK171" s="37">
        <f t="shared" si="79"/>
        <v>15</v>
      </c>
      <c r="AL171" s="38">
        <f t="shared" si="80"/>
        <v>12698878.525623243</v>
      </c>
      <c r="AM171" s="38">
        <f t="shared" si="81"/>
        <v>12904525.036606608</v>
      </c>
      <c r="AN171" s="38" t="b">
        <f t="shared" si="82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3"/>
        <v>20</v>
      </c>
      <c r="BA171" s="36">
        <f>IFERROR(INDEX('Level Multiplier'!$D:$D,MATCH(AZ171,'Level Multiplier'!$A:$A,0)),"")</f>
        <v>1.6739202933726098</v>
      </c>
      <c r="BB171" s="37">
        <f t="shared" si="84"/>
        <v>14</v>
      </c>
      <c r="BC171" s="37">
        <f t="shared" si="85"/>
        <v>15</v>
      </c>
      <c r="BD171" s="38">
        <f t="shared" si="86"/>
        <v>12072090.101060806</v>
      </c>
      <c r="BE171" s="38">
        <f t="shared" si="87"/>
        <v>12267586.357249942</v>
      </c>
      <c r="BF171" s="38" t="b">
        <f t="shared" si="88"/>
        <v>0</v>
      </c>
      <c r="BG171" s="37">
        <f t="array" ref="BG171:BQ171">IF(BF171,"",IVSolution($M171,$N171,$O171,BB171,BC171,BD171,BE171,$E171,$F171,$G171,$H171,$I171))</f>
        <v>4</v>
      </c>
      <c r="BH171" s="37">
        <v>42</v>
      </c>
      <c r="BI171" s="37">
        <v>44</v>
      </c>
      <c r="BJ171" s="39">
        <v>0.93333333333333335</v>
      </c>
      <c r="BK171" s="39">
        <v>0.97777777777777775</v>
      </c>
      <c r="BL171" s="37">
        <v>14</v>
      </c>
      <c r="BM171" s="37">
        <v>15</v>
      </c>
      <c r="BN171" s="37">
        <v>15</v>
      </c>
      <c r="BO171" s="37">
        <v>15</v>
      </c>
      <c r="BP171" s="37">
        <v>12</v>
      </c>
      <c r="BQ171" s="37">
        <v>15</v>
      </c>
      <c r="BR171" s="40">
        <f t="shared" si="89"/>
        <v>20.5</v>
      </c>
      <c r="BS171" s="36">
        <f>IFERROR(INDEX('Level Multiplier'!$D:$D,MATCH(BR171,'Level Multiplier'!$A:$A,0)),"")</f>
        <v>1.653387720177633</v>
      </c>
      <c r="BT171" s="37">
        <f t="shared" si="90"/>
        <v>13</v>
      </c>
      <c r="BU171" s="37">
        <f t="shared" si="91"/>
        <v>14</v>
      </c>
      <c r="BV171" s="38">
        <f t="shared" si="92"/>
        <v>11490586.63185676</v>
      </c>
      <c r="BW171" s="38">
        <f t="shared" si="93"/>
        <v>11676665.980928842</v>
      </c>
      <c r="BX171" s="38" t="b">
        <f t="shared" si="94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5"/>
        <v>20</v>
      </c>
      <c r="CK171" s="41">
        <f t="shared" si="96"/>
        <v>20</v>
      </c>
      <c r="CL171" s="39">
        <f t="shared" si="97"/>
        <v>0.93333333333333335</v>
      </c>
      <c r="CM171" s="39">
        <f t="shared" si="98"/>
        <v>0.97777777777777775</v>
      </c>
      <c r="CN171" s="42">
        <f t="shared" si="99"/>
        <v>14</v>
      </c>
      <c r="CO171" s="42">
        <f t="shared" si="100"/>
        <v>15</v>
      </c>
      <c r="CP171" s="42">
        <f t="shared" si="101"/>
        <v>15</v>
      </c>
      <c r="CQ171" s="42">
        <f t="shared" si="102"/>
        <v>15</v>
      </c>
      <c r="CR171" s="42">
        <f t="shared" si="103"/>
        <v>12</v>
      </c>
      <c r="CS171" s="42">
        <f t="shared" si="104"/>
        <v>15</v>
      </c>
      <c r="CT171" s="43" t="str">
        <f t="shared" si="105"/>
        <v>14-15</v>
      </c>
      <c r="CU171" s="43">
        <f t="shared" si="106"/>
        <v>15</v>
      </c>
      <c r="CV171" s="43" t="str">
        <f t="shared" si="107"/>
        <v>12-15</v>
      </c>
      <c r="CW171" s="13"/>
    </row>
    <row r="172" spans="1:101" x14ac:dyDescent="0.25">
      <c r="A172" s="31" t="s">
        <v>174</v>
      </c>
      <c r="B172" s="13">
        <v>2805</v>
      </c>
      <c r="C172" s="13">
        <v>149</v>
      </c>
      <c r="D172" s="13">
        <v>50</v>
      </c>
      <c r="E172" s="32"/>
      <c r="F172" s="32"/>
      <c r="G172" s="32"/>
      <c r="H172" s="32"/>
      <c r="I172" s="32"/>
      <c r="J172" s="13">
        <v>1</v>
      </c>
      <c r="K172" s="33"/>
      <c r="L172" s="34">
        <f>IFERROR(INDEX('Pokemon Data'!A:A,MATCH($A172,'Pokemon Data'!$B:$B,0)),"")</f>
        <v>130</v>
      </c>
      <c r="M172" s="34">
        <f>IFERROR(INDEX('Pokemon Data'!I:I,MATCH($A172,'Pokemon Data'!$B:$B,0)),"")</f>
        <v>190</v>
      </c>
      <c r="N172" s="34">
        <f>IFERROR(INDEX('Pokemon Data'!J:J,MATCH($A172,'Pokemon Data'!$B:$B,0)),"")</f>
        <v>237</v>
      </c>
      <c r="O172" s="34">
        <f>IFERROR(INDEX('Pokemon Data'!K:K,MATCH($A172,'Pokemon Data'!$B:$B,0)),"")</f>
        <v>197</v>
      </c>
      <c r="P172" s="35">
        <f>IFERROR(INDEX('Level Multiplier'!$A:$A,MATCH($D172,'Level Multiplier'!$B:$B,0)),"")</f>
        <v>29</v>
      </c>
      <c r="Q172" s="36">
        <f>IFERROR(INDEX('Level Multiplier'!$D:$D,MATCH(P172,'Level Multiplier'!$A:$A,0)),"")</f>
        <v>1.3900490199396833</v>
      </c>
      <c r="R172" s="37">
        <f t="shared" si="72"/>
        <v>18</v>
      </c>
      <c r="S172" s="37">
        <f t="shared" si="73"/>
        <v>15</v>
      </c>
      <c r="T172" s="38">
        <f t="shared" si="74"/>
        <v>2937556271.7081037</v>
      </c>
      <c r="U172" s="38">
        <f t="shared" si="75"/>
        <v>2939651159.3375344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29.5</v>
      </c>
      <c r="AI172" s="36">
        <f>IFERROR(INDEX('Level Multiplier'!$D:$D,MATCH(AH172,'Level Multiplier'!$A:$A,0)),"")</f>
        <v>1.378223825401578</v>
      </c>
      <c r="AJ172" s="37">
        <f t="shared" si="78"/>
        <v>16</v>
      </c>
      <c r="AK172" s="37">
        <f t="shared" si="79"/>
        <v>15</v>
      </c>
      <c r="AL172" s="38">
        <f t="shared" si="80"/>
        <v>2838865025.6802449</v>
      </c>
      <c r="AM172" s="38">
        <f t="shared" si="81"/>
        <v>2840889532.6764851</v>
      </c>
      <c r="AN172" s="38" t="b">
        <f t="shared" si="82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3"/>
        <v>30</v>
      </c>
      <c r="BA172" s="36">
        <f>IFERROR(INDEX('Level Multiplier'!$D:$D,MATCH(AZ172,'Level Multiplier'!$A:$A,0)),"")</f>
        <v>1.3666803334700013</v>
      </c>
      <c r="BB172" s="37">
        <f t="shared" si="84"/>
        <v>14</v>
      </c>
      <c r="BC172" s="37">
        <f t="shared" si="85"/>
        <v>15</v>
      </c>
      <c r="BD172" s="38">
        <f t="shared" si="86"/>
        <v>2744944140.8131208</v>
      </c>
      <c r="BE172" s="38">
        <f t="shared" si="87"/>
        <v>2746901669.109498</v>
      </c>
      <c r="BF172" s="38" t="b">
        <f t="shared" si="88"/>
        <v>0</v>
      </c>
      <c r="BG172" s="37">
        <f t="array" ref="BG172:BQ172">IF(BF172,"",IVSolution($M172,$N172,$O172,BB172,BC172,BD172,BE172,$E172,$F172,$G172,$H172,$I172))</f>
        <v>2</v>
      </c>
      <c r="BH172" s="37">
        <v>44</v>
      </c>
      <c r="BI172" s="37">
        <v>44</v>
      </c>
      <c r="BJ172" s="39">
        <v>0.97777777777777775</v>
      </c>
      <c r="BK172" s="39">
        <v>0.97777777777777775</v>
      </c>
      <c r="BL172" s="37">
        <v>14</v>
      </c>
      <c r="BM172" s="37">
        <v>15</v>
      </c>
      <c r="BN172" s="37">
        <v>15</v>
      </c>
      <c r="BO172" s="37">
        <v>15</v>
      </c>
      <c r="BP172" s="37">
        <v>14</v>
      </c>
      <c r="BQ172" s="37">
        <v>15</v>
      </c>
      <c r="BR172" s="40">
        <f t="shared" si="89"/>
        <v>30.5</v>
      </c>
      <c r="BS172" s="36">
        <f>IFERROR(INDEX('Level Multiplier'!$D:$D,MATCH(BR172,'Level Multiplier'!$A:$A,0)),"")</f>
        <v>1.3610237998842938</v>
      </c>
      <c r="BT172" s="37">
        <f t="shared" si="90"/>
        <v>13</v>
      </c>
      <c r="BU172" s="37">
        <f t="shared" si="91"/>
        <v>14</v>
      </c>
      <c r="BV172" s="38">
        <f t="shared" si="92"/>
        <v>2699781455.2875476</v>
      </c>
      <c r="BW172" s="38">
        <f t="shared" si="93"/>
        <v>2701706776.2855892</v>
      </c>
      <c r="BX172" s="38" t="b">
        <f t="shared" si="94"/>
        <v>0</v>
      </c>
      <c r="BY172" s="37">
        <f t="array" ref="BY172:CI172">IF(BX172,"",IVSolution($M172,$N172,$O172,BT172,BU172,BV172,BW172,$E172,$F172,$G172,$H172,$I172))</f>
        <v>0</v>
      </c>
      <c r="BZ172" s="37">
        <v>46</v>
      </c>
      <c r="CA172" s="37">
        <v>-1</v>
      </c>
      <c r="CB172" s="39">
        <v>1.0222222222222221</v>
      </c>
      <c r="CC172" s="39">
        <v>-2.2222222222222223E-2</v>
      </c>
      <c r="CD172" s="37">
        <v>16</v>
      </c>
      <c r="CE172" s="37">
        <v>-1</v>
      </c>
      <c r="CF172" s="37">
        <v>16</v>
      </c>
      <c r="CG172" s="37">
        <v>0</v>
      </c>
      <c r="CH172" s="37">
        <v>16</v>
      </c>
      <c r="CI172" s="37">
        <v>-1</v>
      </c>
      <c r="CJ172" s="41">
        <f t="shared" si="95"/>
        <v>30</v>
      </c>
      <c r="CK172" s="41">
        <f t="shared" si="96"/>
        <v>30</v>
      </c>
      <c r="CL172" s="39">
        <f t="shared" si="97"/>
        <v>0.97777777777777775</v>
      </c>
      <c r="CM172" s="39">
        <f t="shared" si="98"/>
        <v>0.97777777777777775</v>
      </c>
      <c r="CN172" s="42">
        <f t="shared" si="99"/>
        <v>14</v>
      </c>
      <c r="CO172" s="42">
        <f t="shared" si="100"/>
        <v>15</v>
      </c>
      <c r="CP172" s="42">
        <f t="shared" si="101"/>
        <v>15</v>
      </c>
      <c r="CQ172" s="42">
        <f t="shared" si="102"/>
        <v>15</v>
      </c>
      <c r="CR172" s="42">
        <f t="shared" si="103"/>
        <v>14</v>
      </c>
      <c r="CS172" s="42">
        <f t="shared" si="104"/>
        <v>15</v>
      </c>
      <c r="CT172" s="43" t="str">
        <f t="shared" si="105"/>
        <v>14-15</v>
      </c>
      <c r="CU172" s="43">
        <f t="shared" si="106"/>
        <v>15</v>
      </c>
      <c r="CV172" s="43" t="str">
        <f t="shared" si="107"/>
        <v>14-15</v>
      </c>
      <c r="CW172" s="13" t="s">
        <v>399</v>
      </c>
    </row>
    <row r="173" spans="1:101" x14ac:dyDescent="0.25">
      <c r="A173" s="31" t="s">
        <v>175</v>
      </c>
      <c r="B173" s="13">
        <v>1660</v>
      </c>
      <c r="C173" s="13">
        <v>162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131</v>
      </c>
      <c r="M173" s="34">
        <f>IFERROR(INDEX('Pokemon Data'!I:I,MATCH($A173,'Pokemon Data'!$B:$B,0)),"")</f>
        <v>260</v>
      </c>
      <c r="N173" s="34">
        <f>IFERROR(INDEX('Pokemon Data'!J:J,MATCH($A173,'Pokemon Data'!$B:$B,0)),"")</f>
        <v>186</v>
      </c>
      <c r="O173" s="34">
        <f>IFERROR(INDEX('Pokemon Data'!K:K,MATCH($A173,'Pokemon Data'!$B:$B,0)),"")</f>
        <v>190</v>
      </c>
      <c r="P173" s="35">
        <f>IFERROR(INDEX('Level Multiplier'!$A:$A,MATCH($D173,'Level Multiplier'!$B:$B,0)),"")</f>
        <v>19</v>
      </c>
      <c r="Q173" s="36">
        <f>IFERROR(INDEX('Level Multiplier'!$D:$D,MATCH(P173,'Level Multiplier'!$A:$A,0)),"")</f>
        <v>1.7173900390793821</v>
      </c>
      <c r="R173" s="37">
        <f t="shared" si="72"/>
        <v>19</v>
      </c>
      <c r="S173" s="37">
        <f t="shared" si="73"/>
        <v>15</v>
      </c>
      <c r="T173" s="38">
        <f t="shared" si="74"/>
        <v>2397131918.3226862</v>
      </c>
      <c r="U173" s="38">
        <f t="shared" si="75"/>
        <v>2400020898.9805284</v>
      </c>
      <c r="V173" s="38" t="b">
        <f t="shared" si="76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7"/>
        <v>19.5</v>
      </c>
      <c r="AI173" s="36">
        <f>IFERROR(INDEX('Level Multiplier'!$D:$D,MATCH(AH173,'Level Multiplier'!$A:$A,0)),"")</f>
        <v>1.6952373004785586</v>
      </c>
      <c r="AJ173" s="37">
        <f t="shared" si="78"/>
        <v>15</v>
      </c>
      <c r="AK173" s="37">
        <f t="shared" si="79"/>
        <v>15</v>
      </c>
      <c r="AL173" s="38">
        <f t="shared" si="80"/>
        <v>2275821388.2158828</v>
      </c>
      <c r="AM173" s="38">
        <f t="shared" si="81"/>
        <v>2278564167.5852633</v>
      </c>
      <c r="AN173" s="38" t="b">
        <f t="shared" si="82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3"/>
        <v>20</v>
      </c>
      <c r="BA173" s="36">
        <f>IFERROR(INDEX('Level Multiplier'!$D:$D,MATCH(AZ173,'Level Multiplier'!$A:$A,0)),"")</f>
        <v>1.6739202933726098</v>
      </c>
      <c r="BB173" s="37">
        <f t="shared" si="84"/>
        <v>12</v>
      </c>
      <c r="BC173" s="37">
        <f t="shared" si="85"/>
        <v>12</v>
      </c>
      <c r="BD173" s="38">
        <f t="shared" si="86"/>
        <v>2163491901.8264279</v>
      </c>
      <c r="BE173" s="38">
        <f t="shared" si="87"/>
        <v>2166099303.7011433</v>
      </c>
      <c r="BF173" s="38" t="b">
        <f t="shared" si="88"/>
        <v>0</v>
      </c>
      <c r="BG173" s="37">
        <f t="array" ref="BG173:BQ173">IF(BF173,"",IVSolution($M173,$N173,$O173,BB173,BC173,BD173,BE173,$E173,$F173,$G173,$H173,$I173))</f>
        <v>5</v>
      </c>
      <c r="BH173" s="37">
        <v>34</v>
      </c>
      <c r="BI173" s="37">
        <v>38</v>
      </c>
      <c r="BJ173" s="39">
        <v>0.75555555555555554</v>
      </c>
      <c r="BK173" s="39">
        <v>0.84444444444444444</v>
      </c>
      <c r="BL173" s="37">
        <v>12</v>
      </c>
      <c r="BM173" s="37">
        <v>12</v>
      </c>
      <c r="BN173" s="37">
        <v>11</v>
      </c>
      <c r="BO173" s="37">
        <v>15</v>
      </c>
      <c r="BP173" s="37">
        <v>7</v>
      </c>
      <c r="BQ173" s="37">
        <v>15</v>
      </c>
      <c r="BR173" s="40">
        <f t="shared" si="89"/>
        <v>20.5</v>
      </c>
      <c r="BS173" s="36">
        <f>IFERROR(INDEX('Level Multiplier'!$D:$D,MATCH(BR173,'Level Multiplier'!$A:$A,0)),"")</f>
        <v>1.653387720177633</v>
      </c>
      <c r="BT173" s="37">
        <f t="shared" si="90"/>
        <v>8</v>
      </c>
      <c r="BU173" s="37">
        <f t="shared" si="91"/>
        <v>9</v>
      </c>
      <c r="BV173" s="38">
        <f t="shared" si="92"/>
        <v>2059278129.7310412</v>
      </c>
      <c r="BW173" s="38">
        <f t="shared" si="93"/>
        <v>2061759935.0252917</v>
      </c>
      <c r="BX173" s="38" t="b">
        <f t="shared" si="94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5"/>
        <v>20</v>
      </c>
      <c r="CK173" s="41">
        <f t="shared" si="96"/>
        <v>20</v>
      </c>
      <c r="CL173" s="39">
        <f t="shared" si="97"/>
        <v>0.75555555555555554</v>
      </c>
      <c r="CM173" s="39">
        <f t="shared" si="98"/>
        <v>0.84444444444444444</v>
      </c>
      <c r="CN173" s="42">
        <f t="shared" si="99"/>
        <v>12</v>
      </c>
      <c r="CO173" s="42">
        <f t="shared" si="100"/>
        <v>12</v>
      </c>
      <c r="CP173" s="42">
        <f t="shared" si="101"/>
        <v>11</v>
      </c>
      <c r="CQ173" s="42">
        <f t="shared" si="102"/>
        <v>15</v>
      </c>
      <c r="CR173" s="42">
        <f t="shared" si="103"/>
        <v>7</v>
      </c>
      <c r="CS173" s="42">
        <f t="shared" si="104"/>
        <v>15</v>
      </c>
      <c r="CT173" s="43">
        <f t="shared" si="105"/>
        <v>12</v>
      </c>
      <c r="CU173" s="43" t="str">
        <f t="shared" si="106"/>
        <v>11-15</v>
      </c>
      <c r="CV173" s="43" t="str">
        <f t="shared" si="107"/>
        <v>7-15</v>
      </c>
      <c r="CW173" s="13" t="s">
        <v>398</v>
      </c>
    </row>
    <row r="174" spans="1:101" x14ac:dyDescent="0.25">
      <c r="A174" s="31" t="s">
        <v>176</v>
      </c>
      <c r="B174" s="13">
        <v>179</v>
      </c>
      <c r="C174" s="13">
        <v>43</v>
      </c>
      <c r="D174" s="13">
        <v>10</v>
      </c>
      <c r="E174" s="32"/>
      <c r="F174" s="32"/>
      <c r="G174" s="32"/>
      <c r="H174" s="32"/>
      <c r="I174" s="32"/>
      <c r="J174" s="13"/>
      <c r="K174" s="33">
        <v>9</v>
      </c>
      <c r="L174" s="34">
        <f>IFERROR(INDEX('Pokemon Data'!A:A,MATCH($A174,'Pokemon Data'!$B:$B,0)),"")</f>
        <v>132</v>
      </c>
      <c r="M174" s="34">
        <f>IFERROR(INDEX('Pokemon Data'!I:I,MATCH($A174,'Pokemon Data'!$B:$B,0)),"")</f>
        <v>96</v>
      </c>
      <c r="N174" s="34">
        <f>IFERROR(INDEX('Pokemon Data'!J:J,MATCH($A174,'Pokemon Data'!$B:$B,0)),"")</f>
        <v>91</v>
      </c>
      <c r="O174" s="34">
        <f>IFERROR(INDEX('Pokemon Data'!K:K,MATCH($A174,'Pokemon Data'!$B:$B,0)),"")</f>
        <v>91</v>
      </c>
      <c r="P174" s="35">
        <f>IFERROR(INDEX('Level Multiplier'!$A:$A,MATCH($D174,'Level Multiplier'!$B:$B,0)),"")</f>
        <v>9</v>
      </c>
      <c r="Q174" s="36">
        <f>IFERROR(INDEX('Level Multiplier'!$D:$D,MATCH(P174,'Level Multiplier'!$A:$A,0)),"")</f>
        <v>2.50270742889658</v>
      </c>
      <c r="R174" s="37">
        <f t="shared" si="72"/>
        <v>12</v>
      </c>
      <c r="S174" s="37">
        <f t="shared" si="73"/>
        <v>14</v>
      </c>
      <c r="T174" s="38">
        <f t="shared" si="74"/>
        <v>125703217.1915874</v>
      </c>
      <c r="U174" s="38">
        <f t="shared" si="75"/>
        <v>127111645.61054373</v>
      </c>
      <c r="V174" s="38" t="b">
        <f t="shared" si="76"/>
        <v>0</v>
      </c>
      <c r="W174" s="37">
        <f t="array" ref="W174:AG174">IF(V174,"",IVSolution($M174,$N174,$O174,R174,S174,T174,U174,$E174,$F174,$G174,$H174,$I174))</f>
        <v>7</v>
      </c>
      <c r="X174" s="37">
        <v>40</v>
      </c>
      <c r="Y174" s="37">
        <v>42</v>
      </c>
      <c r="Z174" s="39">
        <v>0.88888888888888884</v>
      </c>
      <c r="AA174" s="39">
        <v>0.93333333333333335</v>
      </c>
      <c r="AB174" s="37">
        <v>12</v>
      </c>
      <c r="AC174" s="37">
        <v>14</v>
      </c>
      <c r="AD174" s="37">
        <v>13</v>
      </c>
      <c r="AE174" s="37">
        <v>15</v>
      </c>
      <c r="AF174" s="37">
        <v>11</v>
      </c>
      <c r="AG174" s="37">
        <v>15</v>
      </c>
      <c r="AH174" s="40">
        <f t="shared" si="77"/>
        <v>9.5</v>
      </c>
      <c r="AI174" s="36">
        <f>IFERROR(INDEX('Level Multiplier'!$D:$D,MATCH(AH174,'Level Multiplier'!$A:$A,0)),"")</f>
        <v>2.4319447558651035</v>
      </c>
      <c r="AJ174" s="37">
        <f t="shared" si="78"/>
        <v>9</v>
      </c>
      <c r="AK174" s="37">
        <f t="shared" si="79"/>
        <v>11</v>
      </c>
      <c r="AL174" s="38">
        <f t="shared" si="80"/>
        <v>112078131.75363384</v>
      </c>
      <c r="AM174" s="38">
        <f t="shared" si="81"/>
        <v>113333899.3420223</v>
      </c>
      <c r="AN174" s="38" t="b">
        <f t="shared" si="82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3"/>
        <v>10</v>
      </c>
      <c r="BA174" s="36">
        <f>IFERROR(INDEX('Level Multiplier'!$D:$D,MATCH(AZ174,'Level Multiplier'!$A:$A,0)),"")</f>
        <v>2.3668638493049978</v>
      </c>
      <c r="BB174" s="37">
        <f t="shared" si="84"/>
        <v>6</v>
      </c>
      <c r="BC174" s="37">
        <f t="shared" si="85"/>
        <v>8</v>
      </c>
      <c r="BD174" s="38">
        <f t="shared" si="86"/>
        <v>100553957.47970583</v>
      </c>
      <c r="BE174" s="38">
        <f t="shared" si="87"/>
        <v>101680603.67474389</v>
      </c>
      <c r="BF174" s="38" t="b">
        <f t="shared" si="88"/>
        <v>1</v>
      </c>
      <c r="BG174" s="37" t="str">
        <f t="array" ref="BG174:BQ174">IF(BF174,"",IVSolution($M174,$N174,$O174,BB174,BC174,BD174,BE174,$E174,$F174,$G174,$H174,$I174))</f>
        <v/>
      </c>
      <c r="BH174" s="37" t="str">
        <v/>
      </c>
      <c r="BI174" s="37" t="str">
        <v/>
      </c>
      <c r="BJ174" s="39" t="str">
        <v/>
      </c>
      <c r="BK174" s="39" t="str">
        <v/>
      </c>
      <c r="BL174" s="37" t="str">
        <v/>
      </c>
      <c r="BM174" s="37" t="str">
        <v/>
      </c>
      <c r="BN174" s="37" t="str">
        <v/>
      </c>
      <c r="BO174" s="37" t="str">
        <v/>
      </c>
      <c r="BP174" s="37" t="str">
        <v/>
      </c>
      <c r="BQ174" s="37" t="str">
        <v/>
      </c>
      <c r="BR174" s="40">
        <f t="shared" si="89"/>
        <v>10.5</v>
      </c>
      <c r="BS174" s="36">
        <f>IFERROR(INDEX('Level Multiplier'!$D:$D,MATCH(BR174,'Level Multiplier'!$A:$A,0)),"")</f>
        <v>2.3098613438973334</v>
      </c>
      <c r="BT174" s="37">
        <f t="shared" si="90"/>
        <v>4</v>
      </c>
      <c r="BU174" s="37">
        <f t="shared" si="91"/>
        <v>5</v>
      </c>
      <c r="BV174" s="38">
        <f t="shared" si="92"/>
        <v>91211522.608097807</v>
      </c>
      <c r="BW174" s="38">
        <f t="shared" si="93"/>
        <v>92233492.478460997</v>
      </c>
      <c r="BX174" s="38" t="b">
        <f t="shared" si="94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5"/>
        <v>9</v>
      </c>
      <c r="CK174" s="41">
        <f t="shared" si="96"/>
        <v>9</v>
      </c>
      <c r="CL174" s="39">
        <f t="shared" si="97"/>
        <v>0.88888888888888884</v>
      </c>
      <c r="CM174" s="39">
        <f t="shared" si="98"/>
        <v>0.93333333333333335</v>
      </c>
      <c r="CN174" s="42">
        <f t="shared" si="99"/>
        <v>12</v>
      </c>
      <c r="CO174" s="42">
        <f t="shared" si="100"/>
        <v>14</v>
      </c>
      <c r="CP174" s="42">
        <f t="shared" si="101"/>
        <v>13</v>
      </c>
      <c r="CQ174" s="42">
        <f t="shared" si="102"/>
        <v>15</v>
      </c>
      <c r="CR174" s="42">
        <f t="shared" si="103"/>
        <v>11</v>
      </c>
      <c r="CS174" s="42">
        <f t="shared" si="104"/>
        <v>15</v>
      </c>
      <c r="CT174" s="43" t="str">
        <f t="shared" si="105"/>
        <v>12-14</v>
      </c>
      <c r="CU174" s="43" t="str">
        <f t="shared" si="106"/>
        <v>13-15</v>
      </c>
      <c r="CV174" s="43" t="str">
        <f t="shared" si="107"/>
        <v>11-15</v>
      </c>
      <c r="CW174" s="13" t="s">
        <v>410</v>
      </c>
    </row>
    <row r="175" spans="1:101" x14ac:dyDescent="0.25">
      <c r="A175" s="31" t="s">
        <v>177</v>
      </c>
      <c r="B175" s="13">
        <v>776</v>
      </c>
      <c r="C175" s="13">
        <v>89</v>
      </c>
      <c r="D175" s="13">
        <v>50</v>
      </c>
      <c r="E175" s="32"/>
      <c r="F175" s="32"/>
      <c r="G175" s="32"/>
      <c r="H175" s="32"/>
      <c r="I175" s="32"/>
      <c r="J175" s="13"/>
      <c r="K175" s="33">
        <v>30</v>
      </c>
      <c r="L175" s="34">
        <f>IFERROR(INDEX('Pokemon Data'!A:A,MATCH($A175,'Pokemon Data'!$B:$B,0)),"")</f>
        <v>133</v>
      </c>
      <c r="M175" s="34">
        <f>IFERROR(INDEX('Pokemon Data'!I:I,MATCH($A175,'Pokemon Data'!$B:$B,0)),"")</f>
        <v>110</v>
      </c>
      <c r="N175" s="34">
        <f>IFERROR(INDEX('Pokemon Data'!J:J,MATCH($A175,'Pokemon Data'!$B:$B,0)),"")</f>
        <v>104</v>
      </c>
      <c r="O175" s="34">
        <f>IFERROR(INDEX('Pokemon Data'!K:K,MATCH($A175,'Pokemon Data'!$B:$B,0)),"")</f>
        <v>121</v>
      </c>
      <c r="P175" s="35">
        <f>IFERROR(INDEX('Level Multiplier'!$A:$A,MATCH($D175,'Level Multiplier'!$B:$B,0)),"")</f>
        <v>29</v>
      </c>
      <c r="Q175" s="36">
        <f>IFERROR(INDEX('Level Multiplier'!$D:$D,MATCH(P175,'Level Multiplier'!$A:$A,0)),"")</f>
        <v>1.3900490199396833</v>
      </c>
      <c r="R175" s="37">
        <f t="shared" si="72"/>
        <v>14</v>
      </c>
      <c r="S175" s="37">
        <f t="shared" si="73"/>
        <v>15</v>
      </c>
      <c r="T175" s="38">
        <f t="shared" si="74"/>
        <v>224824639.66142696</v>
      </c>
      <c r="U175" s="38">
        <f t="shared" si="75"/>
        <v>225404457.9627113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29.5</v>
      </c>
      <c r="AI175" s="36">
        <f>IFERROR(INDEX('Level Multiplier'!$D:$D,MATCH(AH175,'Level Multiplier'!$A:$A,0)),"")</f>
        <v>1.378223825401578</v>
      </c>
      <c r="AJ175" s="37">
        <f t="shared" si="78"/>
        <v>13</v>
      </c>
      <c r="AK175" s="37">
        <f t="shared" si="79"/>
        <v>14</v>
      </c>
      <c r="AL175" s="38">
        <f t="shared" si="80"/>
        <v>217271346.45657927</v>
      </c>
      <c r="AM175" s="38">
        <f t="shared" si="81"/>
        <v>217831684.96400413</v>
      </c>
      <c r="AN175" s="38" t="b">
        <f t="shared" si="82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3"/>
        <v>30</v>
      </c>
      <c r="BA175" s="36">
        <f>IFERROR(INDEX('Level Multiplier'!$D:$D,MATCH(AZ175,'Level Multiplier'!$A:$A,0)),"")</f>
        <v>1.3666803334700013</v>
      </c>
      <c r="BB175" s="37">
        <f t="shared" si="84"/>
        <v>12</v>
      </c>
      <c r="BC175" s="37">
        <f t="shared" si="85"/>
        <v>13</v>
      </c>
      <c r="BD175" s="38">
        <f t="shared" si="86"/>
        <v>210083150.84640452</v>
      </c>
      <c r="BE175" s="38">
        <f t="shared" si="87"/>
        <v>210624951.13944918</v>
      </c>
      <c r="BF175" s="38" t="b">
        <f t="shared" si="88"/>
        <v>0</v>
      </c>
      <c r="BG175" s="37">
        <f t="array" ref="BG175:BQ175">IF(BF175,"",IVSolution($M175,$N175,$O175,BB175,BC175,BD175,BE175,$E175,$F175,$G175,$H175,$I175))</f>
        <v>6</v>
      </c>
      <c r="BH175" s="37">
        <v>30</v>
      </c>
      <c r="BI175" s="37">
        <v>35</v>
      </c>
      <c r="BJ175" s="39">
        <v>0.66666666666666663</v>
      </c>
      <c r="BK175" s="39">
        <v>0.77777777777777779</v>
      </c>
      <c r="BL175" s="37">
        <v>12</v>
      </c>
      <c r="BM175" s="37">
        <v>13</v>
      </c>
      <c r="BN175" s="37">
        <v>9</v>
      </c>
      <c r="BO175" s="37">
        <v>13</v>
      </c>
      <c r="BP175" s="37">
        <v>4</v>
      </c>
      <c r="BQ175" s="37">
        <v>14</v>
      </c>
      <c r="BR175" s="40">
        <f t="shared" si="89"/>
        <v>30.5</v>
      </c>
      <c r="BS175" s="36">
        <f>IFERROR(INDEX('Level Multiplier'!$D:$D,MATCH(BR175,'Level Multiplier'!$A:$A,0)),"")</f>
        <v>1.3610237998842938</v>
      </c>
      <c r="BT175" s="37">
        <f t="shared" si="90"/>
        <v>12</v>
      </c>
      <c r="BU175" s="37">
        <f t="shared" si="91"/>
        <v>12</v>
      </c>
      <c r="BV175" s="38">
        <f t="shared" si="92"/>
        <v>206626643.61377019</v>
      </c>
      <c r="BW175" s="38">
        <f t="shared" si="93"/>
        <v>207159529.64299119</v>
      </c>
      <c r="BX175" s="38" t="b">
        <f t="shared" si="94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5"/>
        <v>30</v>
      </c>
      <c r="CK175" s="41">
        <f t="shared" si="96"/>
        <v>30</v>
      </c>
      <c r="CL175" s="39">
        <f t="shared" si="97"/>
        <v>0.66666666666666663</v>
      </c>
      <c r="CM175" s="39">
        <f t="shared" si="98"/>
        <v>0.77777777777777779</v>
      </c>
      <c r="CN175" s="42">
        <f t="shared" si="99"/>
        <v>12</v>
      </c>
      <c r="CO175" s="42">
        <f t="shared" si="100"/>
        <v>13</v>
      </c>
      <c r="CP175" s="42">
        <f t="shared" si="101"/>
        <v>9</v>
      </c>
      <c r="CQ175" s="42">
        <f t="shared" si="102"/>
        <v>13</v>
      </c>
      <c r="CR175" s="42">
        <f t="shared" si="103"/>
        <v>4</v>
      </c>
      <c r="CS175" s="42">
        <f t="shared" si="104"/>
        <v>14</v>
      </c>
      <c r="CT175" s="43" t="str">
        <f t="shared" si="105"/>
        <v>12-13</v>
      </c>
      <c r="CU175" s="43" t="str">
        <f t="shared" si="106"/>
        <v>9-13</v>
      </c>
      <c r="CV175" s="43" t="str">
        <f t="shared" si="107"/>
        <v>4-14</v>
      </c>
      <c r="CW175" s="13"/>
    </row>
    <row r="176" spans="1:101" x14ac:dyDescent="0.25">
      <c r="A176" s="31" t="s">
        <v>177</v>
      </c>
      <c r="B176" s="13">
        <v>734</v>
      </c>
      <c r="C176" s="13">
        <v>84</v>
      </c>
      <c r="D176" s="13">
        <v>45</v>
      </c>
      <c r="E176" s="32"/>
      <c r="F176" s="32"/>
      <c r="G176" s="32"/>
      <c r="H176" s="32"/>
      <c r="I176" s="32"/>
      <c r="J176" s="13"/>
      <c r="K176" s="33"/>
      <c r="L176" s="34">
        <f>IFERROR(INDEX('Pokemon Data'!A:A,MATCH($A176,'Pokemon Data'!$B:$B,0)),"")</f>
        <v>133</v>
      </c>
      <c r="M176" s="34">
        <f>IFERROR(INDEX('Pokemon Data'!I:I,MATCH($A176,'Pokemon Data'!$B:$B,0)),"")</f>
        <v>110</v>
      </c>
      <c r="N176" s="34">
        <f>IFERROR(INDEX('Pokemon Data'!J:J,MATCH($A176,'Pokemon Data'!$B:$B,0)),"")</f>
        <v>104</v>
      </c>
      <c r="O176" s="34">
        <f>IFERROR(INDEX('Pokemon Data'!K:K,MATCH($A176,'Pokemon Data'!$B:$B,0)),"")</f>
        <v>121</v>
      </c>
      <c r="P176" s="35">
        <f>IFERROR(INDEX('Level Multiplier'!$A:$A,MATCH($D176,'Level Multiplier'!$B:$B,0)),"")</f>
        <v>27</v>
      </c>
      <c r="Q176" s="36">
        <f>IFERROR(INDEX('Level Multiplier'!$D:$D,MATCH(P176,'Level Multiplier'!$A:$A,0)),"")</f>
        <v>1.4406239976408342</v>
      </c>
      <c r="R176" s="37">
        <f t="shared" si="72"/>
        <v>12</v>
      </c>
      <c r="S176" s="37">
        <f t="shared" si="73"/>
        <v>12</v>
      </c>
      <c r="T176" s="38">
        <f t="shared" si="74"/>
        <v>232057013.87598795</v>
      </c>
      <c r="U176" s="38">
        <f t="shared" si="75"/>
        <v>232689752.54318389</v>
      </c>
      <c r="V176" s="38" t="b">
        <f t="shared" si="76"/>
        <v>0</v>
      </c>
      <c r="W176" s="37">
        <f t="array" ref="W176:AG176">IF(V176,"",IVSolution($M176,$N176,$O176,R176,S176,T176,U176,$E176,$F176,$G176,$H176,$I176))</f>
        <v>0</v>
      </c>
      <c r="X176" s="37">
        <v>46</v>
      </c>
      <c r="Y176" s="37">
        <v>-1</v>
      </c>
      <c r="Z176" s="39">
        <v>1.0222222222222221</v>
      </c>
      <c r="AA176" s="39">
        <v>-2.2222222222222223E-2</v>
      </c>
      <c r="AB176" s="37">
        <v>16</v>
      </c>
      <c r="AC176" s="37">
        <v>-1</v>
      </c>
      <c r="AD176" s="37">
        <v>16</v>
      </c>
      <c r="AE176" s="37">
        <v>0</v>
      </c>
      <c r="AF176" s="37">
        <v>16</v>
      </c>
      <c r="AG176" s="37">
        <v>-1</v>
      </c>
      <c r="AH176" s="40">
        <f t="shared" si="77"/>
        <v>27.5</v>
      </c>
      <c r="AI176" s="36">
        <f>IFERROR(INDEX('Level Multiplier'!$D:$D,MATCH(AH176,'Level Multiplier'!$A:$A,0)),"")</f>
        <v>1.4274729412404619</v>
      </c>
      <c r="AJ176" s="37">
        <f t="shared" si="78"/>
        <v>10</v>
      </c>
      <c r="AK176" s="37">
        <f t="shared" si="79"/>
        <v>11</v>
      </c>
      <c r="AL176" s="38">
        <f t="shared" si="80"/>
        <v>223698802.05335778</v>
      </c>
      <c r="AM176" s="38">
        <f t="shared" si="81"/>
        <v>224308750.78750902</v>
      </c>
      <c r="AN176" s="38" t="b">
        <f t="shared" si="82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3"/>
        <v>28</v>
      </c>
      <c r="BA176" s="36">
        <f>IFERROR(INDEX('Level Multiplier'!$D:$D,MATCH(AZ176,'Level Multiplier'!$A:$A,0)),"")</f>
        <v>1.4146588449047404</v>
      </c>
      <c r="BB176" s="37">
        <f t="shared" si="84"/>
        <v>9</v>
      </c>
      <c r="BC176" s="37">
        <f t="shared" si="85"/>
        <v>10</v>
      </c>
      <c r="BD176" s="38">
        <f t="shared" si="86"/>
        <v>215773942.53738567</v>
      </c>
      <c r="BE176" s="38">
        <f t="shared" si="87"/>
        <v>216362282.93932536</v>
      </c>
      <c r="BF176" s="38" t="b">
        <f t="shared" si="88"/>
        <v>0</v>
      </c>
      <c r="BG176" s="37">
        <f t="array" ref="BG176:BQ176">IF(BF176,"",IVSolution($M176,$N176,$O176,BB176,BC176,BD176,BE176,$E176,$F176,$G176,$H176,$I176))</f>
        <v>3</v>
      </c>
      <c r="BH176" s="37">
        <v>31</v>
      </c>
      <c r="BI176" s="37">
        <v>36</v>
      </c>
      <c r="BJ176" s="39">
        <v>0.68888888888888888</v>
      </c>
      <c r="BK176" s="39">
        <v>0.8</v>
      </c>
      <c r="BL176" s="37">
        <v>9</v>
      </c>
      <c r="BM176" s="37">
        <v>10</v>
      </c>
      <c r="BN176" s="37">
        <v>11</v>
      </c>
      <c r="BO176" s="37">
        <v>15</v>
      </c>
      <c r="BP176" s="37">
        <v>6</v>
      </c>
      <c r="BQ176" s="37">
        <v>15</v>
      </c>
      <c r="BR176" s="40">
        <f t="shared" si="89"/>
        <v>28.5</v>
      </c>
      <c r="BS176" s="36">
        <f>IFERROR(INDEX('Level Multiplier'!$D:$D,MATCH(BR176,'Level Multiplier'!$A:$A,0)),"")</f>
        <v>1.4022000597460618</v>
      </c>
      <c r="BT176" s="37">
        <f t="shared" si="90"/>
        <v>8</v>
      </c>
      <c r="BU176" s="37">
        <f t="shared" si="91"/>
        <v>9</v>
      </c>
      <c r="BV176" s="38">
        <f t="shared" si="92"/>
        <v>208272555.07204267</v>
      </c>
      <c r="BW176" s="38">
        <f t="shared" si="93"/>
        <v>208840441.80258644</v>
      </c>
      <c r="BX176" s="38" t="b">
        <f t="shared" si="94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5"/>
        <v>28</v>
      </c>
      <c r="CK176" s="41">
        <f t="shared" si="96"/>
        <v>28</v>
      </c>
      <c r="CL176" s="39">
        <f t="shared" si="97"/>
        <v>0.68888888888888888</v>
      </c>
      <c r="CM176" s="39">
        <f t="shared" si="98"/>
        <v>0.8</v>
      </c>
      <c r="CN176" s="42">
        <f t="shared" si="99"/>
        <v>9</v>
      </c>
      <c r="CO176" s="42">
        <f t="shared" si="100"/>
        <v>10</v>
      </c>
      <c r="CP176" s="42">
        <f t="shared" si="101"/>
        <v>11</v>
      </c>
      <c r="CQ176" s="42">
        <f t="shared" si="102"/>
        <v>15</v>
      </c>
      <c r="CR176" s="42">
        <f t="shared" si="103"/>
        <v>6</v>
      </c>
      <c r="CS176" s="42">
        <f t="shared" si="104"/>
        <v>15</v>
      </c>
      <c r="CT176" s="43" t="str">
        <f t="shared" si="105"/>
        <v>9-10</v>
      </c>
      <c r="CU176" s="43" t="str">
        <f t="shared" si="106"/>
        <v>11-15</v>
      </c>
      <c r="CV176" s="43" t="str">
        <f t="shared" si="107"/>
        <v>6-15</v>
      </c>
      <c r="CW176" s="13"/>
    </row>
    <row r="177" spans="1:101" x14ac:dyDescent="0.25">
      <c r="A177" s="31" t="s">
        <v>177</v>
      </c>
      <c r="B177" s="13">
        <v>678</v>
      </c>
      <c r="C177" s="13">
        <v>82</v>
      </c>
      <c r="D177" s="13">
        <v>40</v>
      </c>
      <c r="E177" s="32"/>
      <c r="F177" s="32"/>
      <c r="G177" s="32"/>
      <c r="H177" s="32"/>
      <c r="I177" s="32"/>
      <c r="J177" s="13"/>
      <c r="K177" s="33">
        <v>26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Multiplier'!$A:$A,MATCH($D177,'Level Multiplier'!$B:$B,0)),"")</f>
        <v>25</v>
      </c>
      <c r="Q177" s="36">
        <f>IFERROR(INDEX('Level Multiplier'!$D:$D,MATCH(P177,'Level Multiplier'!$A:$A,0)),"")</f>
        <v>1.4971539104162985</v>
      </c>
      <c r="R177" s="37">
        <f t="shared" si="72"/>
        <v>13</v>
      </c>
      <c r="S177" s="37">
        <f t="shared" si="73"/>
        <v>14</v>
      </c>
      <c r="T177" s="38">
        <f t="shared" si="74"/>
        <v>230953837.93956858</v>
      </c>
      <c r="U177" s="38">
        <f t="shared" si="75"/>
        <v>231635620.11620295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25.5</v>
      </c>
      <c r="AI177" s="36">
        <f>IFERROR(INDEX('Level Multiplier'!$D:$D,MATCH(AH177,'Level Multiplier'!$A:$A,0)),"")</f>
        <v>1.4824092786238152</v>
      </c>
      <c r="AJ177" s="37">
        <f t="shared" si="78"/>
        <v>12</v>
      </c>
      <c r="AK177" s="37">
        <f t="shared" si="79"/>
        <v>13</v>
      </c>
      <c r="AL177" s="38">
        <f t="shared" si="80"/>
        <v>221989220.53479394</v>
      </c>
      <c r="AM177" s="38">
        <f t="shared" si="81"/>
        <v>222644538.91060367</v>
      </c>
      <c r="AN177" s="38" t="b">
        <f t="shared" si="82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3"/>
        <v>26</v>
      </c>
      <c r="BA177" s="36">
        <f>IFERROR(INDEX('Level Multiplier'!$D:$D,MATCH(AZ177,'Level Multiplier'!$A:$A,0)),"")</f>
        <v>1.4680732530970622</v>
      </c>
      <c r="BB177" s="37">
        <f t="shared" si="84"/>
        <v>11</v>
      </c>
      <c r="BC177" s="37">
        <f t="shared" si="85"/>
        <v>11</v>
      </c>
      <c r="BD177" s="38">
        <f t="shared" si="86"/>
        <v>213525768.17494336</v>
      </c>
      <c r="BE177" s="38">
        <f t="shared" si="87"/>
        <v>214156102.20313099</v>
      </c>
      <c r="BF177" s="38" t="b">
        <f t="shared" si="88"/>
        <v>0</v>
      </c>
      <c r="BG177" s="37">
        <f t="array" ref="BG177:BQ177">IF(BF177,"",IVSolution($M177,$N177,$O177,BB177,BC177,BD177,BE177,$E177,$F177,$G177,$H177,$I177))</f>
        <v>3</v>
      </c>
      <c r="BH177" s="37">
        <v>31</v>
      </c>
      <c r="BI177" s="37">
        <v>36</v>
      </c>
      <c r="BJ177" s="39">
        <v>0.68888888888888888</v>
      </c>
      <c r="BK177" s="39">
        <v>0.8</v>
      </c>
      <c r="BL177" s="37">
        <v>11</v>
      </c>
      <c r="BM177" s="37">
        <v>11</v>
      </c>
      <c r="BN177" s="37">
        <v>10</v>
      </c>
      <c r="BO177" s="37">
        <v>14</v>
      </c>
      <c r="BP177" s="37">
        <v>6</v>
      </c>
      <c r="BQ177" s="37">
        <v>15</v>
      </c>
      <c r="BR177" s="40">
        <f t="shared" si="89"/>
        <v>26.5</v>
      </c>
      <c r="BS177" s="36">
        <f>IFERROR(INDEX('Level Multiplier'!$D:$D,MATCH(BR177,'Level Multiplier'!$A:$A,0)),"")</f>
        <v>1.4541633575240582</v>
      </c>
      <c r="BT177" s="37">
        <f t="shared" si="90"/>
        <v>10</v>
      </c>
      <c r="BU177" s="37">
        <f t="shared" si="91"/>
        <v>10</v>
      </c>
      <c r="BV177" s="38">
        <f t="shared" si="92"/>
        <v>205547488.90954724</v>
      </c>
      <c r="BW177" s="38">
        <f t="shared" si="93"/>
        <v>206154270.83463112</v>
      </c>
      <c r="BX177" s="38" t="b">
        <f t="shared" si="94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5"/>
        <v>26</v>
      </c>
      <c r="CK177" s="41">
        <f t="shared" si="96"/>
        <v>26</v>
      </c>
      <c r="CL177" s="39">
        <f t="shared" si="97"/>
        <v>0.68888888888888888</v>
      </c>
      <c r="CM177" s="39">
        <f t="shared" si="98"/>
        <v>0.8</v>
      </c>
      <c r="CN177" s="42">
        <f t="shared" si="99"/>
        <v>11</v>
      </c>
      <c r="CO177" s="42">
        <f t="shared" si="100"/>
        <v>11</v>
      </c>
      <c r="CP177" s="42">
        <f t="shared" si="101"/>
        <v>10</v>
      </c>
      <c r="CQ177" s="42">
        <f t="shared" si="102"/>
        <v>14</v>
      </c>
      <c r="CR177" s="42">
        <f t="shared" si="103"/>
        <v>6</v>
      </c>
      <c r="CS177" s="42">
        <f t="shared" si="104"/>
        <v>15</v>
      </c>
      <c r="CT177" s="43">
        <f t="shared" si="105"/>
        <v>11</v>
      </c>
      <c r="CU177" s="43" t="str">
        <f t="shared" si="106"/>
        <v>10-14</v>
      </c>
      <c r="CV177" s="43" t="str">
        <f t="shared" si="107"/>
        <v>6-15</v>
      </c>
      <c r="CW177" s="13"/>
    </row>
    <row r="178" spans="1:101" x14ac:dyDescent="0.25">
      <c r="A178" s="31" t="s">
        <v>177</v>
      </c>
      <c r="B178" s="13">
        <v>633</v>
      </c>
      <c r="C178" s="13">
        <v>77</v>
      </c>
      <c r="D178" s="13">
        <v>35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Multiplier'!$A:$A,MATCH($D178,'Level Multiplier'!$B:$B,0)),"")</f>
        <v>23</v>
      </c>
      <c r="Q178" s="36">
        <f>IFERROR(INDEX('Level Multiplier'!$D:$D,MATCH(P178,'Level Multiplier'!$A:$A,0)),"")</f>
        <v>1.560907508503629</v>
      </c>
      <c r="R178" s="37">
        <f t="shared" si="72"/>
        <v>11</v>
      </c>
      <c r="S178" s="37">
        <f t="shared" si="73"/>
        <v>11</v>
      </c>
      <c r="T178" s="38">
        <f t="shared" si="74"/>
        <v>237857088.69901368</v>
      </c>
      <c r="U178" s="38">
        <f t="shared" si="75"/>
        <v>238609205.50626731</v>
      </c>
      <c r="V178" s="38" t="b">
        <f t="shared" si="76"/>
        <v>1</v>
      </c>
      <c r="W178" s="37" t="str">
        <f t="array" ref="W178:AG178">IF(V178,"",IVSolution($M178,$N178,$O178,R178,S178,T178,U178,$E178,$F178,$G178,$H178,$I178))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7"/>
        <v>23.5</v>
      </c>
      <c r="AI178" s="36">
        <f>IFERROR(INDEX('Level Multiplier'!$D:$D,MATCH(AH178,'Level Multiplier'!$A:$A,0)),"")</f>
        <v>1.5442192764441367</v>
      </c>
      <c r="AJ178" s="37">
        <f t="shared" si="78"/>
        <v>9</v>
      </c>
      <c r="AK178" s="37">
        <f t="shared" si="79"/>
        <v>10</v>
      </c>
      <c r="AL178" s="38">
        <f t="shared" si="80"/>
        <v>227846991.11648908</v>
      </c>
      <c r="AM178" s="38">
        <f t="shared" si="81"/>
        <v>228567455.46101713</v>
      </c>
      <c r="AN178" s="38" t="b">
        <f t="shared" si="82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3"/>
        <v>24</v>
      </c>
      <c r="BA178" s="36">
        <f>IFERROR(INDEX('Level Multiplier'!$D:$D,MATCH(AZ178,'Level Multiplier'!$A:$A,0)),"")</f>
        <v>1.5280341628098701</v>
      </c>
      <c r="BB178" s="37">
        <f t="shared" si="84"/>
        <v>8</v>
      </c>
      <c r="BC178" s="37">
        <f t="shared" si="85"/>
        <v>9</v>
      </c>
      <c r="BD178" s="38">
        <f t="shared" si="86"/>
        <v>218443776.52062526</v>
      </c>
      <c r="BE178" s="38">
        <f t="shared" si="87"/>
        <v>219134507.39881665</v>
      </c>
      <c r="BF178" s="38" t="b">
        <f t="shared" si="88"/>
        <v>0</v>
      </c>
      <c r="BG178" s="37">
        <f t="array" ref="BG178:BQ178">IF(BF178,"",IVSolution($M178,$N178,$O178,BB178,BC178,BD178,BE178,$E178,$F178,$G178,$H178,$I178))</f>
        <v>4</v>
      </c>
      <c r="BH178" s="37">
        <v>33</v>
      </c>
      <c r="BI178" s="37">
        <v>34</v>
      </c>
      <c r="BJ178" s="39">
        <v>0.73333333333333328</v>
      </c>
      <c r="BK178" s="39">
        <v>0.75555555555555554</v>
      </c>
      <c r="BL178" s="37">
        <v>8</v>
      </c>
      <c r="BM178" s="37">
        <v>9</v>
      </c>
      <c r="BN178" s="37">
        <v>14</v>
      </c>
      <c r="BO178" s="37">
        <v>15</v>
      </c>
      <c r="BP178" s="37">
        <v>9</v>
      </c>
      <c r="BQ178" s="37">
        <v>12</v>
      </c>
      <c r="BR178" s="40">
        <f t="shared" si="89"/>
        <v>24.5</v>
      </c>
      <c r="BS178" s="36">
        <f>IFERROR(INDEX('Level Multiplier'!$D:$D,MATCH(BR178,'Level Multiplier'!$A:$A,0)),"")</f>
        <v>1.5123678280126109</v>
      </c>
      <c r="BT178" s="37">
        <f t="shared" si="90"/>
        <v>7</v>
      </c>
      <c r="BU178" s="37">
        <f t="shared" si="91"/>
        <v>7</v>
      </c>
      <c r="BV178" s="38">
        <f t="shared" si="92"/>
        <v>209622135.45931572</v>
      </c>
      <c r="BW178" s="38">
        <f t="shared" si="93"/>
        <v>210284971.83772129</v>
      </c>
      <c r="BX178" s="38" t="b">
        <f t="shared" si="94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5"/>
        <v>24</v>
      </c>
      <c r="CK178" s="41">
        <f t="shared" si="96"/>
        <v>24</v>
      </c>
      <c r="CL178" s="39">
        <f t="shared" si="97"/>
        <v>0.73333333333333328</v>
      </c>
      <c r="CM178" s="39">
        <f t="shared" si="98"/>
        <v>0.75555555555555554</v>
      </c>
      <c r="CN178" s="42">
        <f t="shared" si="99"/>
        <v>8</v>
      </c>
      <c r="CO178" s="42">
        <f t="shared" si="100"/>
        <v>9</v>
      </c>
      <c r="CP178" s="42">
        <f t="shared" si="101"/>
        <v>14</v>
      </c>
      <c r="CQ178" s="42">
        <f t="shared" si="102"/>
        <v>15</v>
      </c>
      <c r="CR178" s="42">
        <f t="shared" si="103"/>
        <v>9</v>
      </c>
      <c r="CS178" s="42">
        <f t="shared" si="104"/>
        <v>12</v>
      </c>
      <c r="CT178" s="43" t="str">
        <f t="shared" si="105"/>
        <v>8-9</v>
      </c>
      <c r="CU178" s="43" t="str">
        <f t="shared" si="106"/>
        <v>14-15</v>
      </c>
      <c r="CV178" s="43" t="str">
        <f t="shared" si="107"/>
        <v>9-12</v>
      </c>
      <c r="CW178" s="13" t="s">
        <v>411</v>
      </c>
    </row>
    <row r="179" spans="1:101" x14ac:dyDescent="0.25">
      <c r="A179" s="31" t="s">
        <v>177</v>
      </c>
      <c r="B179" s="13">
        <v>540</v>
      </c>
      <c r="C179" s="13">
        <v>74</v>
      </c>
      <c r="D179" s="13">
        <v>25</v>
      </c>
      <c r="E179" s="32"/>
      <c r="F179" s="32"/>
      <c r="G179" s="32"/>
      <c r="H179" s="32"/>
      <c r="I179" s="32"/>
      <c r="J179" s="13"/>
      <c r="K179" s="33"/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Multiplier'!$A:$A,MATCH($D179,'Level Multiplier'!$B:$B,0)),"")</f>
        <v>19</v>
      </c>
      <c r="Q179" s="36">
        <f>IFERROR(INDEX('Level Multiplier'!$D:$D,MATCH(P179,'Level Multiplier'!$A:$A,0)),"")</f>
        <v>1.7173900390793821</v>
      </c>
      <c r="R179" s="37">
        <f t="shared" si="72"/>
        <v>18</v>
      </c>
      <c r="S179" s="37">
        <f t="shared" si="73"/>
        <v>15</v>
      </c>
      <c r="T179" s="38">
        <f t="shared" si="74"/>
        <v>253666594.34710962</v>
      </c>
      <c r="U179" s="38">
        <f t="shared" si="75"/>
        <v>254606970.16497391</v>
      </c>
      <c r="V179" s="38" t="b">
        <f t="shared" si="76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7"/>
        <v>19.5</v>
      </c>
      <c r="AI179" s="36">
        <f>IFERROR(INDEX('Level Multiplier'!$D:$D,MATCH(AH179,'Level Multiplier'!$A:$A,0)),"")</f>
        <v>1.6952373004785586</v>
      </c>
      <c r="AJ179" s="37">
        <f t="shared" si="78"/>
        <v>16</v>
      </c>
      <c r="AK179" s="37">
        <f t="shared" si="79"/>
        <v>15</v>
      </c>
      <c r="AL179" s="38">
        <f t="shared" si="80"/>
        <v>240829408.04316714</v>
      </c>
      <c r="AM179" s="38">
        <f t="shared" si="81"/>
        <v>241722194.70329973</v>
      </c>
      <c r="AN179" s="38" t="b">
        <f t="shared" si="82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3"/>
        <v>20</v>
      </c>
      <c r="BA179" s="36">
        <f>IFERROR(INDEX('Level Multiplier'!$D:$D,MATCH(AZ179,'Level Multiplier'!$A:$A,0)),"")</f>
        <v>1.6739202933726098</v>
      </c>
      <c r="BB179" s="37">
        <f t="shared" si="84"/>
        <v>14</v>
      </c>
      <c r="BC179" s="37">
        <f t="shared" si="85"/>
        <v>15</v>
      </c>
      <c r="BD179" s="38">
        <f t="shared" si="86"/>
        <v>228942603.63354132</v>
      </c>
      <c r="BE179" s="38">
        <f t="shared" si="87"/>
        <v>229791324.32808128</v>
      </c>
      <c r="BF179" s="38" t="b">
        <f t="shared" si="88"/>
        <v>0</v>
      </c>
      <c r="BG179" s="37">
        <f t="array" ref="BG179:BQ179">IF(BF179,"",IVSolution($M179,$N179,$O179,BB179,BC179,BD179,BE179,$E179,$F179,$G179,$H179,$I179))</f>
        <v>4</v>
      </c>
      <c r="BH179" s="37">
        <v>40</v>
      </c>
      <c r="BI179" s="37">
        <v>41</v>
      </c>
      <c r="BJ179" s="39">
        <v>0.88888888888888884</v>
      </c>
      <c r="BK179" s="39">
        <v>0.91111111111111109</v>
      </c>
      <c r="BL179" s="37">
        <v>14</v>
      </c>
      <c r="BM179" s="37">
        <v>15</v>
      </c>
      <c r="BN179" s="37">
        <v>13</v>
      </c>
      <c r="BO179" s="37">
        <v>14</v>
      </c>
      <c r="BP179" s="37">
        <v>11</v>
      </c>
      <c r="BQ179" s="37">
        <v>14</v>
      </c>
      <c r="BR179" s="40">
        <f t="shared" si="89"/>
        <v>20.5</v>
      </c>
      <c r="BS179" s="36">
        <f>IFERROR(INDEX('Level Multiplier'!$D:$D,MATCH(BR179,'Level Multiplier'!$A:$A,0)),"")</f>
        <v>1.653387720177633</v>
      </c>
      <c r="BT179" s="37">
        <f t="shared" si="90"/>
        <v>13</v>
      </c>
      <c r="BU179" s="37">
        <f t="shared" si="91"/>
        <v>14</v>
      </c>
      <c r="BV179" s="38">
        <f t="shared" si="92"/>
        <v>217914611.20248643</v>
      </c>
      <c r="BW179" s="38">
        <f t="shared" si="93"/>
        <v>218722449.66171101</v>
      </c>
      <c r="BX179" s="38" t="b">
        <f t="shared" si="94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5"/>
        <v>20</v>
      </c>
      <c r="CK179" s="41">
        <f t="shared" si="96"/>
        <v>20</v>
      </c>
      <c r="CL179" s="39">
        <f t="shared" si="97"/>
        <v>0.88888888888888884</v>
      </c>
      <c r="CM179" s="39">
        <f t="shared" si="98"/>
        <v>0.91111111111111109</v>
      </c>
      <c r="CN179" s="42">
        <f t="shared" si="99"/>
        <v>14</v>
      </c>
      <c r="CO179" s="42">
        <f t="shared" si="100"/>
        <v>15</v>
      </c>
      <c r="CP179" s="42">
        <f t="shared" si="101"/>
        <v>13</v>
      </c>
      <c r="CQ179" s="42">
        <f t="shared" si="102"/>
        <v>14</v>
      </c>
      <c r="CR179" s="42">
        <f t="shared" si="103"/>
        <v>11</v>
      </c>
      <c r="CS179" s="42">
        <f t="shared" si="104"/>
        <v>14</v>
      </c>
      <c r="CT179" s="43" t="str">
        <f t="shared" si="105"/>
        <v>14-15</v>
      </c>
      <c r="CU179" s="43" t="str">
        <f t="shared" si="106"/>
        <v>13-14</v>
      </c>
      <c r="CV179" s="43" t="str">
        <f t="shared" si="107"/>
        <v>11-14</v>
      </c>
      <c r="CW179" s="13" t="s">
        <v>411</v>
      </c>
    </row>
    <row r="180" spans="1:101" x14ac:dyDescent="0.25">
      <c r="A180" s="31" t="s">
        <v>177</v>
      </c>
      <c r="B180" s="13">
        <v>538</v>
      </c>
      <c r="C180" s="13">
        <v>74</v>
      </c>
      <c r="D180" s="13">
        <v>25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Multiplier'!$A:$A,MATCH($D180,'Level Multiplier'!$B:$B,0)),"")</f>
        <v>19</v>
      </c>
      <c r="Q180" s="36">
        <f>IFERROR(INDEX('Level Multiplier'!$D:$D,MATCH(P180,'Level Multiplier'!$A:$A,0)),"")</f>
        <v>1.7173900390793821</v>
      </c>
      <c r="R180" s="37">
        <f t="shared" si="72"/>
        <v>18</v>
      </c>
      <c r="S180" s="37">
        <f t="shared" si="73"/>
        <v>15</v>
      </c>
      <c r="T180" s="38">
        <f t="shared" si="74"/>
        <v>251791062.188631</v>
      </c>
      <c r="U180" s="38">
        <f t="shared" si="75"/>
        <v>252727958.35499531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19.5</v>
      </c>
      <c r="AI180" s="36">
        <f>IFERROR(INDEX('Level Multiplier'!$D:$D,MATCH(AH180,'Level Multiplier'!$A:$A,0)),"")</f>
        <v>1.6952373004785586</v>
      </c>
      <c r="AJ180" s="37">
        <f t="shared" si="78"/>
        <v>16</v>
      </c>
      <c r="AK180" s="37">
        <f t="shared" si="79"/>
        <v>15</v>
      </c>
      <c r="AL180" s="38">
        <f t="shared" si="80"/>
        <v>239048790.06051603</v>
      </c>
      <c r="AM180" s="38">
        <f t="shared" si="81"/>
        <v>239938273.16223922</v>
      </c>
      <c r="AN180" s="38" t="b">
        <f t="shared" si="82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3"/>
        <v>20</v>
      </c>
      <c r="BA180" s="36">
        <f>IFERROR(INDEX('Level Multiplier'!$D:$D,MATCH(AZ180,'Level Multiplier'!$A:$A,0)),"")</f>
        <v>1.6739202933726098</v>
      </c>
      <c r="BB180" s="37">
        <f t="shared" si="84"/>
        <v>14</v>
      </c>
      <c r="BC180" s="37">
        <f t="shared" si="85"/>
        <v>15</v>
      </c>
      <c r="BD180" s="38">
        <f t="shared" si="86"/>
        <v>227249872.99762252</v>
      </c>
      <c r="BE180" s="38">
        <f t="shared" si="87"/>
        <v>228095453.19005504</v>
      </c>
      <c r="BF180" s="38" t="b">
        <f t="shared" si="88"/>
        <v>0</v>
      </c>
      <c r="BG180" s="37">
        <f t="array" ref="BG180:BQ180">IF(BF180,"",IVSolution($M180,$N180,$O180,BB180,BC180,BD180,BE180,$E180,$F180,$G180,$H180,$I180))</f>
        <v>4</v>
      </c>
      <c r="BH180" s="37">
        <v>39</v>
      </c>
      <c r="BI180" s="37">
        <v>40</v>
      </c>
      <c r="BJ180" s="39">
        <v>0.8666666666666667</v>
      </c>
      <c r="BK180" s="39">
        <v>0.88888888888888884</v>
      </c>
      <c r="BL180" s="37">
        <v>14</v>
      </c>
      <c r="BM180" s="37">
        <v>15</v>
      </c>
      <c r="BN180" s="37">
        <v>13</v>
      </c>
      <c r="BO180" s="37">
        <v>14</v>
      </c>
      <c r="BP180" s="37">
        <v>10</v>
      </c>
      <c r="BQ180" s="37">
        <v>13</v>
      </c>
      <c r="BR180" s="40">
        <f t="shared" si="89"/>
        <v>20.5</v>
      </c>
      <c r="BS180" s="36">
        <f>IFERROR(INDEX('Level Multiplier'!$D:$D,MATCH(BR180,'Level Multiplier'!$A:$A,0)),"")</f>
        <v>1.653387720177633</v>
      </c>
      <c r="BT180" s="37">
        <f t="shared" si="90"/>
        <v>13</v>
      </c>
      <c r="BU180" s="37">
        <f t="shared" si="91"/>
        <v>14</v>
      </c>
      <c r="BV180" s="38">
        <f t="shared" si="92"/>
        <v>216303418.12377393</v>
      </c>
      <c r="BW180" s="38">
        <f t="shared" si="93"/>
        <v>217108267.35650739</v>
      </c>
      <c r="BX180" s="38" t="b">
        <f t="shared" si="94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5"/>
        <v>20</v>
      </c>
      <c r="CK180" s="41">
        <f t="shared" si="96"/>
        <v>20</v>
      </c>
      <c r="CL180" s="39">
        <f t="shared" si="97"/>
        <v>0.8666666666666667</v>
      </c>
      <c r="CM180" s="39">
        <f t="shared" si="98"/>
        <v>0.88888888888888884</v>
      </c>
      <c r="CN180" s="42">
        <f t="shared" si="99"/>
        <v>14</v>
      </c>
      <c r="CO180" s="42">
        <f t="shared" si="100"/>
        <v>15</v>
      </c>
      <c r="CP180" s="42">
        <f t="shared" si="101"/>
        <v>13</v>
      </c>
      <c r="CQ180" s="42">
        <f t="shared" si="102"/>
        <v>14</v>
      </c>
      <c r="CR180" s="42">
        <f t="shared" si="103"/>
        <v>10</v>
      </c>
      <c r="CS180" s="42">
        <f t="shared" si="104"/>
        <v>13</v>
      </c>
      <c r="CT180" s="43" t="str">
        <f t="shared" si="105"/>
        <v>14-15</v>
      </c>
      <c r="CU180" s="43" t="str">
        <f t="shared" si="106"/>
        <v>13-14</v>
      </c>
      <c r="CV180" s="43" t="str">
        <f t="shared" si="107"/>
        <v>10-13</v>
      </c>
      <c r="CW180" s="13" t="s">
        <v>411</v>
      </c>
    </row>
    <row r="181" spans="1:101" x14ac:dyDescent="0.25">
      <c r="A181" s="31" t="s">
        <v>177</v>
      </c>
      <c r="B181" s="13">
        <v>402</v>
      </c>
      <c r="C181" s="13">
        <v>64</v>
      </c>
      <c r="D181" s="13">
        <v>19</v>
      </c>
      <c r="E181" s="32"/>
      <c r="F181" s="32"/>
      <c r="G181" s="32"/>
      <c r="H181" s="32"/>
      <c r="I181" s="32"/>
      <c r="J181" s="13"/>
      <c r="K181" s="33">
        <v>15</v>
      </c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Multiplier'!$A:$A,MATCH($D181,'Level Multiplier'!$B:$B,0)),"")</f>
        <v>15</v>
      </c>
      <c r="Q181" s="36">
        <f>IFERROR(INDEX('Level Multiplier'!$D:$D,MATCH(P181,'Level Multiplier'!$A:$A,0)),"")</f>
        <v>1.9327632261645116</v>
      </c>
      <c r="R181" s="37">
        <f t="shared" si="72"/>
        <v>14</v>
      </c>
      <c r="S181" s="37">
        <f t="shared" si="73"/>
        <v>15</v>
      </c>
      <c r="T181" s="38">
        <f t="shared" si="74"/>
        <v>225510476.03448159</v>
      </c>
      <c r="U181" s="38">
        <f t="shared" si="75"/>
        <v>226633814.15239796</v>
      </c>
      <c r="V181" s="38" t="b">
        <f t="shared" si="76"/>
        <v>0</v>
      </c>
      <c r="W181" s="37">
        <f t="array" ref="W181:AG181">IF(V181,"",IVSolution($M181,$N181,$O181,R181,S181,T181,U181,$E181,$F181,$G181,$H181,$I181))</f>
        <v>6</v>
      </c>
      <c r="X181" s="37">
        <v>37</v>
      </c>
      <c r="Y181" s="37">
        <v>39</v>
      </c>
      <c r="Z181" s="39">
        <v>0.82222222222222219</v>
      </c>
      <c r="AA181" s="39">
        <v>0.8666666666666667</v>
      </c>
      <c r="AB181" s="37">
        <v>14</v>
      </c>
      <c r="AC181" s="37">
        <v>15</v>
      </c>
      <c r="AD181" s="37">
        <v>13</v>
      </c>
      <c r="AE181" s="37">
        <v>15</v>
      </c>
      <c r="AF181" s="37">
        <v>7</v>
      </c>
      <c r="AG181" s="37">
        <v>12</v>
      </c>
      <c r="AH181" s="40">
        <f t="shared" si="77"/>
        <v>15.5</v>
      </c>
      <c r="AI181" s="36">
        <f>IFERROR(INDEX('Level Multiplier'!$D:$D,MATCH(AH181,'Level Multiplier'!$A:$A,0)),"")</f>
        <v>1.9013484916795402</v>
      </c>
      <c r="AJ181" s="37">
        <f t="shared" si="78"/>
        <v>12</v>
      </c>
      <c r="AK181" s="37">
        <f t="shared" si="79"/>
        <v>13</v>
      </c>
      <c r="AL181" s="38">
        <f t="shared" si="80"/>
        <v>211202475.4912028</v>
      </c>
      <c r="AM181" s="38">
        <f t="shared" si="81"/>
        <v>212254540.98939851</v>
      </c>
      <c r="AN181" s="38" t="b">
        <f t="shared" si="82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3"/>
        <v>16</v>
      </c>
      <c r="BA181" s="36">
        <f>IFERROR(INDEX('Level Multiplier'!$D:$D,MATCH(AZ181,'Level Multiplier'!$A:$A,0)),"")</f>
        <v>1.8714174169787303</v>
      </c>
      <c r="BB181" s="37">
        <f t="shared" si="84"/>
        <v>10</v>
      </c>
      <c r="BC181" s="37">
        <f t="shared" si="85"/>
        <v>11</v>
      </c>
      <c r="BD181" s="38">
        <f t="shared" si="86"/>
        <v>198214204.77558407</v>
      </c>
      <c r="BE181" s="38">
        <f t="shared" si="87"/>
        <v>199201571.64054003</v>
      </c>
      <c r="BF181" s="38" t="b">
        <f t="shared" si="88"/>
        <v>1</v>
      </c>
      <c r="BG181" s="37" t="str">
        <f t="array" ref="BG181:BQ181">IF(BF181,"",IVSolution($M181,$N181,$O181,BB181,BC181,BD181,BE181,$E181,$F181,$G181,$H181,$I181))</f>
        <v/>
      </c>
      <c r="BH181" s="37" t="str">
        <v/>
      </c>
      <c r="BI181" s="37" t="str">
        <v/>
      </c>
      <c r="BJ181" s="39" t="str">
        <v/>
      </c>
      <c r="BK181" s="39" t="str">
        <v/>
      </c>
      <c r="BL181" s="37" t="str">
        <v/>
      </c>
      <c r="BM181" s="37" t="str">
        <v/>
      </c>
      <c r="BN181" s="37" t="str">
        <v/>
      </c>
      <c r="BO181" s="37" t="str">
        <v/>
      </c>
      <c r="BP181" s="37" t="str">
        <v/>
      </c>
      <c r="BQ181" s="37" t="str">
        <v/>
      </c>
      <c r="BR181" s="40">
        <f t="shared" si="89"/>
        <v>16.5</v>
      </c>
      <c r="BS181" s="36">
        <f>IFERROR(INDEX('Level Multiplier'!$D:$D,MATCH(BR181,'Level Multiplier'!$A:$A,0)),"")</f>
        <v>1.8428567757863994</v>
      </c>
      <c r="BT181" s="37">
        <f t="shared" si="90"/>
        <v>8</v>
      </c>
      <c r="BU181" s="37">
        <f t="shared" si="91"/>
        <v>9</v>
      </c>
      <c r="BV181" s="38">
        <f t="shared" si="92"/>
        <v>186388211.60111898</v>
      </c>
      <c r="BW181" s="38">
        <f t="shared" si="93"/>
        <v>187316669.50029784</v>
      </c>
      <c r="BX181" s="38" t="b">
        <f t="shared" si="94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5"/>
        <v>15</v>
      </c>
      <c r="CK181" s="41">
        <f t="shared" si="96"/>
        <v>15</v>
      </c>
      <c r="CL181" s="39">
        <f t="shared" si="97"/>
        <v>0.82222222222222219</v>
      </c>
      <c r="CM181" s="39">
        <f t="shared" si="98"/>
        <v>0.8666666666666667</v>
      </c>
      <c r="CN181" s="42">
        <f t="shared" si="99"/>
        <v>14</v>
      </c>
      <c r="CO181" s="42">
        <f t="shared" si="100"/>
        <v>15</v>
      </c>
      <c r="CP181" s="42">
        <f t="shared" si="101"/>
        <v>13</v>
      </c>
      <c r="CQ181" s="42">
        <f t="shared" si="102"/>
        <v>15</v>
      </c>
      <c r="CR181" s="42">
        <f t="shared" si="103"/>
        <v>7</v>
      </c>
      <c r="CS181" s="42">
        <f t="shared" si="104"/>
        <v>12</v>
      </c>
      <c r="CT181" s="43" t="str">
        <f t="shared" si="105"/>
        <v>14-15</v>
      </c>
      <c r="CU181" s="43" t="str">
        <f t="shared" si="106"/>
        <v>13-15</v>
      </c>
      <c r="CV181" s="43" t="str">
        <f t="shared" si="107"/>
        <v>7-12</v>
      </c>
      <c r="CW181" s="13" t="s">
        <v>411</v>
      </c>
    </row>
    <row r="182" spans="1:101" x14ac:dyDescent="0.25">
      <c r="A182" s="31" t="s">
        <v>177</v>
      </c>
      <c r="B182" s="13">
        <v>376</v>
      </c>
      <c r="C182" s="13">
        <v>59</v>
      </c>
      <c r="D182" s="13">
        <v>16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Multiplier'!$A:$A,MATCH($D182,'Level Multiplier'!$B:$B,0)),"")</f>
        <v>13</v>
      </c>
      <c r="Q182" s="36">
        <f>IFERROR(INDEX('Level Multiplier'!$D:$D,MATCH(P182,'Level Multiplier'!$A:$A,0)),"")</f>
        <v>2.0760457639376111</v>
      </c>
      <c r="R182" s="37">
        <f t="shared" si="72"/>
        <v>13</v>
      </c>
      <c r="S182" s="37">
        <f t="shared" si="73"/>
        <v>14</v>
      </c>
      <c r="T182" s="38">
        <f t="shared" si="74"/>
        <v>262617329.63017464</v>
      </c>
      <c r="U182" s="38">
        <f t="shared" si="75"/>
        <v>264016087.900401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13.5</v>
      </c>
      <c r="AI182" s="36">
        <f>IFERROR(INDEX('Level Multiplier'!$D:$D,MATCH(AH182,'Level Multiplier'!$A:$A,0)),"")</f>
        <v>2.0372581927319593</v>
      </c>
      <c r="AJ182" s="37">
        <f t="shared" si="78"/>
        <v>11</v>
      </c>
      <c r="AK182" s="37">
        <f t="shared" si="79"/>
        <v>12</v>
      </c>
      <c r="AL182" s="38">
        <f t="shared" si="80"/>
        <v>243534212.93242565</v>
      </c>
      <c r="AM182" s="38">
        <f t="shared" si="81"/>
        <v>244831330.28146732</v>
      </c>
      <c r="AN182" s="38" t="b">
        <f t="shared" si="82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3"/>
        <v>14</v>
      </c>
      <c r="BA182" s="36">
        <f>IFERROR(INDEX('Level Multiplier'!$D:$D,MATCH(AZ182,'Level Multiplier'!$A:$A,0)),"")</f>
        <v>2.0005664003592698</v>
      </c>
      <c r="BB182" s="37">
        <f t="shared" si="84"/>
        <v>9</v>
      </c>
      <c r="BC182" s="37">
        <f t="shared" si="85"/>
        <v>10</v>
      </c>
      <c r="BD182" s="38">
        <f t="shared" si="86"/>
        <v>226457950.20695552</v>
      </c>
      <c r="BE182" s="38">
        <f t="shared" si="87"/>
        <v>227664115.5851374</v>
      </c>
      <c r="BF182" s="38" t="b">
        <f t="shared" si="88"/>
        <v>0</v>
      </c>
      <c r="BG182" s="37">
        <f t="array" ref="BG182:BQ182">IF(BF182,"",IVSolution($M182,$N182,$O182,BB182,BC182,BD182,BE182,$E182,$F182,$G182,$H182,$I182))</f>
        <v>2</v>
      </c>
      <c r="BH182" s="37">
        <v>38</v>
      </c>
      <c r="BI182" s="37">
        <v>39</v>
      </c>
      <c r="BJ182" s="39">
        <v>0.84444444444444444</v>
      </c>
      <c r="BK182" s="39">
        <v>0.8666666666666667</v>
      </c>
      <c r="BL182" s="37">
        <v>9</v>
      </c>
      <c r="BM182" s="37">
        <v>10</v>
      </c>
      <c r="BN182" s="37">
        <v>14</v>
      </c>
      <c r="BO182" s="37">
        <v>15</v>
      </c>
      <c r="BP182" s="37">
        <v>14</v>
      </c>
      <c r="BQ182" s="37">
        <v>15</v>
      </c>
      <c r="BR182" s="40">
        <f t="shared" si="89"/>
        <v>14.5</v>
      </c>
      <c r="BS182" s="36">
        <f>IFERROR(INDEX('Level Multiplier'!$D:$D,MATCH(BR182,'Level Multiplier'!$A:$A,0)),"")</f>
        <v>1.9657883435887038</v>
      </c>
      <c r="BT182" s="37">
        <f t="shared" si="90"/>
        <v>6</v>
      </c>
      <c r="BU182" s="37">
        <f t="shared" si="91"/>
        <v>7</v>
      </c>
      <c r="BV182" s="38">
        <f t="shared" si="92"/>
        <v>211116759.90973318</v>
      </c>
      <c r="BW182" s="38">
        <f t="shared" si="93"/>
        <v>212241214.69846699</v>
      </c>
      <c r="BX182" s="38" t="b">
        <f t="shared" si="94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5"/>
        <v>14</v>
      </c>
      <c r="CK182" s="41">
        <f t="shared" si="96"/>
        <v>14</v>
      </c>
      <c r="CL182" s="39">
        <f t="shared" si="97"/>
        <v>0.84444444444444444</v>
      </c>
      <c r="CM182" s="39">
        <f t="shared" si="98"/>
        <v>0.8666666666666667</v>
      </c>
      <c r="CN182" s="42">
        <f t="shared" si="99"/>
        <v>9</v>
      </c>
      <c r="CO182" s="42">
        <f t="shared" si="100"/>
        <v>10</v>
      </c>
      <c r="CP182" s="42">
        <f t="shared" si="101"/>
        <v>14</v>
      </c>
      <c r="CQ182" s="42">
        <f t="shared" si="102"/>
        <v>15</v>
      </c>
      <c r="CR182" s="42">
        <f t="shared" si="103"/>
        <v>14</v>
      </c>
      <c r="CS182" s="42">
        <f t="shared" si="104"/>
        <v>15</v>
      </c>
      <c r="CT182" s="43" t="str">
        <f t="shared" si="105"/>
        <v>9-10</v>
      </c>
      <c r="CU182" s="43" t="str">
        <f t="shared" si="106"/>
        <v>14-15</v>
      </c>
      <c r="CV182" s="43" t="str">
        <f t="shared" si="107"/>
        <v>14-15</v>
      </c>
      <c r="CW182" s="13" t="s">
        <v>411</v>
      </c>
    </row>
    <row r="183" spans="1:101" x14ac:dyDescent="0.25">
      <c r="A183" s="31" t="s">
        <v>177</v>
      </c>
      <c r="B183" s="13">
        <v>264</v>
      </c>
      <c r="C183" s="13">
        <v>50</v>
      </c>
      <c r="D183" s="13">
        <v>10</v>
      </c>
      <c r="E183" s="32"/>
      <c r="F183" s="32"/>
      <c r="G183" s="32"/>
      <c r="H183" s="32"/>
      <c r="I183" s="32"/>
      <c r="J183" s="13"/>
      <c r="K183" s="33"/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Multiplier'!$A:$A,MATCH($D183,'Level Multiplier'!$B:$B,0)),"")</f>
        <v>9</v>
      </c>
      <c r="Q183" s="36">
        <f>IFERROR(INDEX('Level Multiplier'!$D:$D,MATCH(P183,'Level Multiplier'!$A:$A,0)),"")</f>
        <v>2.50270742889658</v>
      </c>
      <c r="R183" s="37">
        <f t="shared" si="72"/>
        <v>16</v>
      </c>
      <c r="S183" s="37">
        <f t="shared" si="73"/>
        <v>15</v>
      </c>
      <c r="T183" s="38">
        <f t="shared" si="74"/>
        <v>273431273.22445852</v>
      </c>
      <c r="U183" s="38">
        <f t="shared" si="75"/>
        <v>275506645.46297634</v>
      </c>
      <c r="V183" s="38" t="b">
        <f t="shared" si="76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7"/>
        <v>9.5</v>
      </c>
      <c r="AI183" s="36">
        <f>IFERROR(INDEX('Level Multiplier'!$D:$D,MATCH(AH183,'Level Multiplier'!$A:$A,0)),"")</f>
        <v>2.4319447558651035</v>
      </c>
      <c r="AJ183" s="37">
        <f t="shared" si="78"/>
        <v>12</v>
      </c>
      <c r="AK183" s="37">
        <f t="shared" si="79"/>
        <v>14</v>
      </c>
      <c r="AL183" s="38">
        <f t="shared" si="80"/>
        <v>243793810.14017242</v>
      </c>
      <c r="AM183" s="38">
        <f t="shared" si="81"/>
        <v>245644230.90412086</v>
      </c>
      <c r="AN183" s="38" t="b">
        <f t="shared" si="82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3"/>
        <v>10</v>
      </c>
      <c r="BA183" s="36">
        <f>IFERROR(INDEX('Level Multiplier'!$D:$D,MATCH(AZ183,'Level Multiplier'!$A:$A,0)),"")</f>
        <v>2.3668638493049978</v>
      </c>
      <c r="BB183" s="37">
        <f t="shared" si="84"/>
        <v>9</v>
      </c>
      <c r="BC183" s="37">
        <f t="shared" si="85"/>
        <v>10</v>
      </c>
      <c r="BD183" s="38">
        <f t="shared" si="86"/>
        <v>218726276.34922686</v>
      </c>
      <c r="BE183" s="38">
        <f t="shared" si="87"/>
        <v>220386431.88453364</v>
      </c>
      <c r="BF183" s="38" t="b">
        <f t="shared" si="88"/>
        <v>0</v>
      </c>
      <c r="BG183" s="37">
        <f t="array" ref="BG183:BQ183">IF(BF183,"",IVSolution($M183,$N183,$O183,BB183,BC183,BD183,BE183,$E183,$F183,$G183,$H183,$I183))</f>
        <v>7</v>
      </c>
      <c r="BH183" s="37">
        <v>33</v>
      </c>
      <c r="BI183" s="37">
        <v>37</v>
      </c>
      <c r="BJ183" s="39">
        <v>0.73333333333333328</v>
      </c>
      <c r="BK183" s="39">
        <v>0.82222222222222219</v>
      </c>
      <c r="BL183" s="37">
        <v>9</v>
      </c>
      <c r="BM183" s="37">
        <v>10</v>
      </c>
      <c r="BN183" s="37">
        <v>12</v>
      </c>
      <c r="BO183" s="37">
        <v>15</v>
      </c>
      <c r="BP183" s="37">
        <v>8</v>
      </c>
      <c r="BQ183" s="37">
        <v>15</v>
      </c>
      <c r="BR183" s="40">
        <f t="shared" si="89"/>
        <v>10.5</v>
      </c>
      <c r="BS183" s="36">
        <f>IFERROR(INDEX('Level Multiplier'!$D:$D,MATCH(BR183,'Level Multiplier'!$A:$A,0)),"")</f>
        <v>2.3098613438973334</v>
      </c>
      <c r="BT183" s="37">
        <f t="shared" si="90"/>
        <v>6</v>
      </c>
      <c r="BU183" s="37">
        <f t="shared" si="91"/>
        <v>7</v>
      </c>
      <c r="BV183" s="38">
        <f t="shared" si="92"/>
        <v>198404490.48700052</v>
      </c>
      <c r="BW183" s="38">
        <f t="shared" si="93"/>
        <v>199910401.52160257</v>
      </c>
      <c r="BX183" s="38" t="b">
        <f t="shared" si="94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5"/>
        <v>10</v>
      </c>
      <c r="CK183" s="41">
        <f t="shared" si="96"/>
        <v>10</v>
      </c>
      <c r="CL183" s="39">
        <f t="shared" si="97"/>
        <v>0.73333333333333328</v>
      </c>
      <c r="CM183" s="39">
        <f t="shared" si="98"/>
        <v>0.82222222222222219</v>
      </c>
      <c r="CN183" s="42">
        <f t="shared" si="99"/>
        <v>9</v>
      </c>
      <c r="CO183" s="42">
        <f t="shared" si="100"/>
        <v>10</v>
      </c>
      <c r="CP183" s="42">
        <f t="shared" si="101"/>
        <v>12</v>
      </c>
      <c r="CQ183" s="42">
        <f t="shared" si="102"/>
        <v>15</v>
      </c>
      <c r="CR183" s="42">
        <f t="shared" si="103"/>
        <v>8</v>
      </c>
      <c r="CS183" s="42">
        <f t="shared" si="104"/>
        <v>15</v>
      </c>
      <c r="CT183" s="43" t="str">
        <f t="shared" si="105"/>
        <v>9-10</v>
      </c>
      <c r="CU183" s="43" t="str">
        <f t="shared" si="106"/>
        <v>12-15</v>
      </c>
      <c r="CV183" s="43" t="str">
        <f t="shared" si="107"/>
        <v>8-15</v>
      </c>
      <c r="CW183" s="13" t="s">
        <v>411</v>
      </c>
    </row>
    <row r="184" spans="1:101" x14ac:dyDescent="0.25">
      <c r="A184" s="31" t="s">
        <v>177</v>
      </c>
      <c r="B184" s="13">
        <v>236</v>
      </c>
      <c r="C184" s="13">
        <v>46</v>
      </c>
      <c r="D184" s="13">
        <v>10</v>
      </c>
      <c r="E184" s="32"/>
      <c r="F184" s="32"/>
      <c r="G184" s="32"/>
      <c r="H184" s="32"/>
      <c r="I184" s="32"/>
      <c r="J184" s="13"/>
      <c r="K184" s="33">
        <v>9</v>
      </c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Multiplier'!$A:$A,MATCH($D184,'Level Multiplier'!$B:$B,0)),"")</f>
        <v>9</v>
      </c>
      <c r="Q184" s="36">
        <f>IFERROR(INDEX('Level Multiplier'!$D:$D,MATCH(P184,'Level Multiplier'!$A:$A,0)),"")</f>
        <v>2.50270742889658</v>
      </c>
      <c r="R184" s="37">
        <f t="shared" si="72"/>
        <v>6</v>
      </c>
      <c r="S184" s="37">
        <f t="shared" si="73"/>
        <v>7</v>
      </c>
      <c r="T184" s="38">
        <f t="shared" si="74"/>
        <v>218506488.0841001</v>
      </c>
      <c r="U184" s="38">
        <f t="shared" si="75"/>
        <v>220362161.18205652</v>
      </c>
      <c r="V184" s="38" t="b">
        <f t="shared" si="76"/>
        <v>0</v>
      </c>
      <c r="W184" s="37">
        <f t="array" ref="W184:AG184">IF(V184,"",IVSolution($M184,$N184,$O184,R184,S184,T184,U184,$E184,$F184,$G184,$H184,$I184))</f>
        <v>5</v>
      </c>
      <c r="X184" s="37">
        <v>33</v>
      </c>
      <c r="Y184" s="37">
        <v>35</v>
      </c>
      <c r="Z184" s="39">
        <v>0.73333333333333328</v>
      </c>
      <c r="AA184" s="39">
        <v>0.77777777777777779</v>
      </c>
      <c r="AB184" s="37">
        <v>6</v>
      </c>
      <c r="AC184" s="37">
        <v>7</v>
      </c>
      <c r="AD184" s="37">
        <v>14</v>
      </c>
      <c r="AE184" s="37">
        <v>15</v>
      </c>
      <c r="AF184" s="37">
        <v>11</v>
      </c>
      <c r="AG184" s="37">
        <v>15</v>
      </c>
      <c r="AH184" s="40">
        <f t="shared" si="77"/>
        <v>9.5</v>
      </c>
      <c r="AI184" s="36">
        <f>IFERROR(INDEX('Level Multiplier'!$D:$D,MATCH(AH184,'Level Multiplier'!$A:$A,0)),"")</f>
        <v>2.4319447558651035</v>
      </c>
      <c r="AJ184" s="37">
        <f t="shared" si="78"/>
        <v>2</v>
      </c>
      <c r="AK184" s="37">
        <f t="shared" si="79"/>
        <v>4</v>
      </c>
      <c r="AL184" s="38">
        <f t="shared" si="80"/>
        <v>194822372.15287882</v>
      </c>
      <c r="AM184" s="38">
        <f t="shared" si="81"/>
        <v>196476907.1648781</v>
      </c>
      <c r="AN184" s="38" t="b">
        <f t="shared" si="82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3"/>
        <v>10</v>
      </c>
      <c r="BA184" s="36">
        <f>IFERROR(INDEX('Level Multiplier'!$D:$D,MATCH(AZ184,'Level Multiplier'!$A:$A,0)),"")</f>
        <v>2.3668638493049978</v>
      </c>
      <c r="BB184" s="37">
        <f t="shared" si="84"/>
        <v>0</v>
      </c>
      <c r="BC184" s="37">
        <f t="shared" si="85"/>
        <v>1</v>
      </c>
      <c r="BD184" s="38">
        <f t="shared" si="86"/>
        <v>174790213.03297949</v>
      </c>
      <c r="BE184" s="38">
        <f t="shared" si="87"/>
        <v>176274624.31502128</v>
      </c>
      <c r="BF184" s="38" t="b">
        <f t="shared" si="88"/>
        <v>1</v>
      </c>
      <c r="BG184" s="37" t="str">
        <f t="array" ref="BG184:BQ184">IF(BF184,"",IVSolution($M184,$N184,$O184,BB184,BC184,BD184,BE184,$E184,$F184,$G184,$H184,$I184))</f>
        <v/>
      </c>
      <c r="BH184" s="37" t="str">
        <v/>
      </c>
      <c r="BI184" s="37" t="str">
        <v/>
      </c>
      <c r="BJ184" s="39" t="str">
        <v/>
      </c>
      <c r="BK184" s="39" t="str">
        <v/>
      </c>
      <c r="BL184" s="37" t="str">
        <v/>
      </c>
      <c r="BM184" s="37" t="str">
        <v/>
      </c>
      <c r="BN184" s="37" t="str">
        <v/>
      </c>
      <c r="BO184" s="37" t="str">
        <v/>
      </c>
      <c r="BP184" s="37" t="str">
        <v/>
      </c>
      <c r="BQ184" s="37" t="str">
        <v/>
      </c>
      <c r="BR184" s="40">
        <f t="shared" si="89"/>
        <v>10.5</v>
      </c>
      <c r="BS184" s="36">
        <f>IFERROR(INDEX('Level Multiplier'!$D:$D,MATCH(BR184,'Level Multiplier'!$A:$A,0)),"")</f>
        <v>2.3098613438973334</v>
      </c>
      <c r="BT184" s="37">
        <f t="shared" si="90"/>
        <v>0</v>
      </c>
      <c r="BU184" s="37">
        <f t="shared" si="91"/>
        <v>-1</v>
      </c>
      <c r="BV184" s="38">
        <f t="shared" si="92"/>
        <v>158550512.25556678</v>
      </c>
      <c r="BW184" s="38">
        <f t="shared" si="93"/>
        <v>159897007.37724307</v>
      </c>
      <c r="BX184" s="38" t="b">
        <f t="shared" si="94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5"/>
        <v>9</v>
      </c>
      <c r="CK184" s="41">
        <f t="shared" si="96"/>
        <v>9</v>
      </c>
      <c r="CL184" s="39">
        <f t="shared" si="97"/>
        <v>0.73333333333333328</v>
      </c>
      <c r="CM184" s="39">
        <f t="shared" si="98"/>
        <v>0.77777777777777779</v>
      </c>
      <c r="CN184" s="42">
        <f t="shared" si="99"/>
        <v>6</v>
      </c>
      <c r="CO184" s="42">
        <f t="shared" si="100"/>
        <v>7</v>
      </c>
      <c r="CP184" s="42">
        <f t="shared" si="101"/>
        <v>14</v>
      </c>
      <c r="CQ184" s="42">
        <f t="shared" si="102"/>
        <v>15</v>
      </c>
      <c r="CR184" s="42">
        <f t="shared" si="103"/>
        <v>11</v>
      </c>
      <c r="CS184" s="42">
        <f t="shared" si="104"/>
        <v>15</v>
      </c>
      <c r="CT184" s="43" t="str">
        <f t="shared" si="105"/>
        <v>6-7</v>
      </c>
      <c r="CU184" s="43" t="str">
        <f t="shared" si="106"/>
        <v>14-15</v>
      </c>
      <c r="CV184" s="43" t="str">
        <f t="shared" si="107"/>
        <v>11-15</v>
      </c>
      <c r="CW184" s="33" t="s">
        <v>411</v>
      </c>
    </row>
    <row r="185" spans="1:101" x14ac:dyDescent="0.25">
      <c r="A185" s="31" t="s">
        <v>177</v>
      </c>
      <c r="B185" s="13">
        <v>152</v>
      </c>
      <c r="C185" s="13">
        <v>37</v>
      </c>
      <c r="D185" s="13">
        <v>6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Multiplier'!$A:$A,MATCH($D185,'Level Multiplier'!$B:$B,0)),"")</f>
        <v>5</v>
      </c>
      <c r="Q185" s="36">
        <f>IFERROR(INDEX('Level Multiplier'!$D:$D,MATCH(P185,'Level Multiplier'!$A:$A,0)),"")</f>
        <v>3.4453071953035774</v>
      </c>
      <c r="R185" s="37">
        <f t="shared" si="72"/>
        <v>18</v>
      </c>
      <c r="S185" s="37">
        <f t="shared" si="73"/>
        <v>15</v>
      </c>
      <c r="T185" s="38">
        <f t="shared" si="74"/>
        <v>325535968.25004858</v>
      </c>
      <c r="U185" s="38">
        <f t="shared" si="75"/>
        <v>329833426.27966529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5.5</v>
      </c>
      <c r="AI185" s="36">
        <f>IFERROR(INDEX('Level Multiplier'!$D:$D,MATCH(AH185,'Level Multiplier'!$A:$A,0)),"")</f>
        <v>3.2673612046279805</v>
      </c>
      <c r="AJ185" s="37">
        <f t="shared" si="78"/>
        <v>11</v>
      </c>
      <c r="AK185" s="37">
        <f t="shared" si="79"/>
        <v>14</v>
      </c>
      <c r="AL185" s="38">
        <f t="shared" si="80"/>
        <v>263315102.13570237</v>
      </c>
      <c r="AM185" s="38">
        <f t="shared" si="81"/>
        <v>266791171.48089755</v>
      </c>
      <c r="AN185" s="38" t="b">
        <f t="shared" si="82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3"/>
        <v>6</v>
      </c>
      <c r="BA185" s="36">
        <f>IFERROR(INDEX('Level Multiplier'!$D:$D,MATCH(AZ185,'Level Multiplier'!$A:$A,0)),"")</f>
        <v>3.1144148824183806</v>
      </c>
      <c r="BB185" s="37">
        <f t="shared" si="84"/>
        <v>6</v>
      </c>
      <c r="BC185" s="37">
        <f t="shared" si="85"/>
        <v>8</v>
      </c>
      <c r="BD185" s="38">
        <f t="shared" si="86"/>
        <v>217366713.94988385</v>
      </c>
      <c r="BE185" s="38">
        <f t="shared" si="87"/>
        <v>220236210.47666338</v>
      </c>
      <c r="BF185" s="38" t="b">
        <f t="shared" si="88"/>
        <v>0</v>
      </c>
      <c r="BG185" s="37">
        <f t="array" ref="BG185:BQ185">IF(BF185,"",IVSolution($M185,$N185,$O185,BB185,BC185,BD185,BE185,$E185,$F185,$G185,$H185,$I185))</f>
        <v>13</v>
      </c>
      <c r="BH185" s="37">
        <v>33</v>
      </c>
      <c r="BI185" s="37">
        <v>36</v>
      </c>
      <c r="BJ185" s="39">
        <v>0.73333333333333328</v>
      </c>
      <c r="BK185" s="39">
        <v>0.8</v>
      </c>
      <c r="BL185" s="37">
        <v>6</v>
      </c>
      <c r="BM185" s="37">
        <v>8</v>
      </c>
      <c r="BN185" s="37">
        <v>13</v>
      </c>
      <c r="BO185" s="37">
        <v>15</v>
      </c>
      <c r="BP185" s="37">
        <v>10</v>
      </c>
      <c r="BQ185" s="37">
        <v>15</v>
      </c>
      <c r="BR185" s="40">
        <f t="shared" si="89"/>
        <v>6.5</v>
      </c>
      <c r="BS185" s="36">
        <f>IFERROR(INDEX('Level Multiplier'!$D:$D,MATCH(BR185,'Level Multiplier'!$A:$A,0)),"")</f>
        <v>2.9811143188298668</v>
      </c>
      <c r="BT185" s="37">
        <f t="shared" si="90"/>
        <v>1</v>
      </c>
      <c r="BU185" s="37">
        <f t="shared" si="91"/>
        <v>3</v>
      </c>
      <c r="BV185" s="38">
        <f t="shared" si="92"/>
        <v>182474296.53095782</v>
      </c>
      <c r="BW185" s="38">
        <f t="shared" si="93"/>
        <v>184883172.06947678</v>
      </c>
      <c r="BX185" s="38" t="b">
        <f t="shared" si="94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5"/>
        <v>6</v>
      </c>
      <c r="CK185" s="41">
        <f t="shared" si="96"/>
        <v>6</v>
      </c>
      <c r="CL185" s="39">
        <f t="shared" si="97"/>
        <v>0.73333333333333328</v>
      </c>
      <c r="CM185" s="39">
        <f t="shared" si="98"/>
        <v>0.8</v>
      </c>
      <c r="CN185" s="42">
        <f t="shared" si="99"/>
        <v>6</v>
      </c>
      <c r="CO185" s="42">
        <f t="shared" si="100"/>
        <v>8</v>
      </c>
      <c r="CP185" s="42">
        <f t="shared" si="101"/>
        <v>13</v>
      </c>
      <c r="CQ185" s="42">
        <f t="shared" si="102"/>
        <v>15</v>
      </c>
      <c r="CR185" s="42">
        <f t="shared" si="103"/>
        <v>10</v>
      </c>
      <c r="CS185" s="42">
        <f t="shared" si="104"/>
        <v>15</v>
      </c>
      <c r="CT185" s="43" t="str">
        <f t="shared" si="105"/>
        <v>6-8</v>
      </c>
      <c r="CU185" s="43" t="str">
        <f t="shared" si="106"/>
        <v>13-15</v>
      </c>
      <c r="CV185" s="43" t="str">
        <f t="shared" si="107"/>
        <v>10-15</v>
      </c>
      <c r="CW185" s="13" t="s">
        <v>411</v>
      </c>
    </row>
    <row r="186" spans="1:101" x14ac:dyDescent="0.25">
      <c r="A186" s="31" t="s">
        <v>177</v>
      </c>
      <c r="B186" s="13">
        <v>98</v>
      </c>
      <c r="C186" s="13">
        <v>30</v>
      </c>
      <c r="D186" s="13">
        <v>4</v>
      </c>
      <c r="E186" s="32"/>
      <c r="F186" s="32"/>
      <c r="G186" s="32"/>
      <c r="H186" s="32"/>
      <c r="I186" s="32"/>
      <c r="J186" s="13"/>
      <c r="K186" s="33"/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Multiplier'!$A:$A,MATCH($D186,'Level Multiplier'!$B:$B,0)),"")</f>
        <v>3</v>
      </c>
      <c r="Q186" s="36">
        <f>IFERROR(INDEX('Level Multiplier'!$D:$D,MATCH(P186,'Level Multiplier'!$A:$A,0)),"")</f>
        <v>4.6353708368517728</v>
      </c>
      <c r="R186" s="37">
        <f t="shared" si="72"/>
        <v>30</v>
      </c>
      <c r="S186" s="37">
        <f t="shared" si="73"/>
        <v>15</v>
      </c>
      <c r="T186" s="38">
        <f t="shared" si="74"/>
        <v>443394281.62023103</v>
      </c>
      <c r="U186" s="38">
        <f t="shared" si="75"/>
        <v>452489312.17824703</v>
      </c>
      <c r="V186" s="38" t="b">
        <f t="shared" si="76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7"/>
        <v>3.5</v>
      </c>
      <c r="AI186" s="36">
        <f>IFERROR(INDEX('Level Multiplier'!$D:$D,MATCH(AH186,'Level Multiplier'!$A:$A,0)),"")</f>
        <v>4.2270311192044296</v>
      </c>
      <c r="AJ186" s="37">
        <f t="shared" si="78"/>
        <v>17</v>
      </c>
      <c r="AK186" s="37">
        <f t="shared" si="79"/>
        <v>15</v>
      </c>
      <c r="AL186" s="38">
        <f t="shared" si="80"/>
        <v>306615377.35251462</v>
      </c>
      <c r="AM186" s="38">
        <f t="shared" si="81"/>
        <v>312904759.8325693</v>
      </c>
      <c r="AN186" s="38" t="b">
        <f t="shared" si="82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3"/>
        <v>4</v>
      </c>
      <c r="BA186" s="36">
        <f>IFERROR(INDEX('Level Multiplier'!$D:$D,MATCH(AZ186,'Level Multiplier'!$A:$A,0)),"")</f>
        <v>3.9105263744473695</v>
      </c>
      <c r="BB186" s="37">
        <f t="shared" si="84"/>
        <v>8</v>
      </c>
      <c r="BC186" s="37">
        <f t="shared" si="85"/>
        <v>11</v>
      </c>
      <c r="BD186" s="38">
        <f t="shared" si="86"/>
        <v>224591351.55938166</v>
      </c>
      <c r="BE186" s="38">
        <f t="shared" si="87"/>
        <v>229198233.7186068</v>
      </c>
      <c r="BF186" s="38" t="b">
        <f t="shared" si="88"/>
        <v>0</v>
      </c>
      <c r="BG186" s="37">
        <f t="array" ref="BG186:BQ186">IF(BF186,"",IVSolution($M186,$N186,$O186,BB186,BC186,BD186,BE186,$E186,$F186,$G186,$H186,$I186))</f>
        <v>16</v>
      </c>
      <c r="BH186" s="37">
        <v>37</v>
      </c>
      <c r="BI186" s="37">
        <v>40</v>
      </c>
      <c r="BJ186" s="39">
        <v>0.82222222222222219</v>
      </c>
      <c r="BK186" s="39">
        <v>0.88888888888888884</v>
      </c>
      <c r="BL186" s="37">
        <v>8</v>
      </c>
      <c r="BM186" s="37">
        <v>11</v>
      </c>
      <c r="BN186" s="37">
        <v>13</v>
      </c>
      <c r="BO186" s="37">
        <v>15</v>
      </c>
      <c r="BP186" s="37">
        <v>11</v>
      </c>
      <c r="BQ186" s="37">
        <v>15</v>
      </c>
      <c r="BR186" s="40">
        <f t="shared" si="89"/>
        <v>4.5</v>
      </c>
      <c r="BS186" s="36">
        <f>IFERROR(INDEX('Level Multiplier'!$D:$D,MATCH(BR186,'Level Multiplier'!$A:$A,0)),"")</f>
        <v>3.6559010240255545</v>
      </c>
      <c r="BT186" s="37">
        <f t="shared" si="90"/>
        <v>0</v>
      </c>
      <c r="BU186" s="37">
        <f t="shared" si="91"/>
        <v>3</v>
      </c>
      <c r="BV186" s="38">
        <f t="shared" si="92"/>
        <v>171565464.23969275</v>
      </c>
      <c r="BW186" s="38">
        <f t="shared" si="93"/>
        <v>175084664.20379308</v>
      </c>
      <c r="BX186" s="38" t="b">
        <f t="shared" si="94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5"/>
        <v>4</v>
      </c>
      <c r="CK186" s="41">
        <f t="shared" si="96"/>
        <v>4</v>
      </c>
      <c r="CL186" s="39">
        <f t="shared" si="97"/>
        <v>0.82222222222222219</v>
      </c>
      <c r="CM186" s="39">
        <f t="shared" si="98"/>
        <v>0.88888888888888884</v>
      </c>
      <c r="CN186" s="42">
        <f t="shared" si="99"/>
        <v>8</v>
      </c>
      <c r="CO186" s="42">
        <f t="shared" si="100"/>
        <v>11</v>
      </c>
      <c r="CP186" s="42">
        <f t="shared" si="101"/>
        <v>13</v>
      </c>
      <c r="CQ186" s="42">
        <f t="shared" si="102"/>
        <v>15</v>
      </c>
      <c r="CR186" s="42">
        <f t="shared" si="103"/>
        <v>11</v>
      </c>
      <c r="CS186" s="42">
        <f t="shared" si="104"/>
        <v>15</v>
      </c>
      <c r="CT186" s="43" t="str">
        <f t="shared" si="105"/>
        <v>8-11</v>
      </c>
      <c r="CU186" s="43" t="str">
        <f t="shared" si="106"/>
        <v>13-15</v>
      </c>
      <c r="CV186" s="43" t="str">
        <f t="shared" si="107"/>
        <v>11-15</v>
      </c>
      <c r="CW186" s="13" t="s">
        <v>411</v>
      </c>
    </row>
    <row r="187" spans="1:101" x14ac:dyDescent="0.25">
      <c r="A187" s="31" t="s">
        <v>178</v>
      </c>
      <c r="B187" s="13">
        <v>2909</v>
      </c>
      <c r="C187" s="13">
        <v>208</v>
      </c>
      <c r="D187" s="13">
        <v>70</v>
      </c>
      <c r="E187" s="32"/>
      <c r="F187" s="32"/>
      <c r="G187" s="32"/>
      <c r="H187" s="32"/>
      <c r="I187" s="32"/>
      <c r="J187" s="13">
        <v>1</v>
      </c>
      <c r="K187" s="33"/>
      <c r="L187" s="34">
        <f>IFERROR(INDEX('Pokemon Data'!A:A,MATCH($A187,'Pokemon Data'!$B:$B,0)),"")</f>
        <v>134</v>
      </c>
      <c r="M187" s="34">
        <f>IFERROR(INDEX('Pokemon Data'!I:I,MATCH($A187,'Pokemon Data'!$B:$B,0)),"")</f>
        <v>260</v>
      </c>
      <c r="N187" s="34">
        <f>IFERROR(INDEX('Pokemon Data'!J:J,MATCH($A187,'Pokemon Data'!$B:$B,0)),"")</f>
        <v>205</v>
      </c>
      <c r="O187" s="34">
        <f>IFERROR(INDEX('Pokemon Data'!K:K,MATCH($A187,'Pokemon Data'!$B:$B,0)),"")</f>
        <v>177</v>
      </c>
      <c r="P187" s="35">
        <f>IFERROR(INDEX('Level Multiplier'!$A:$A,MATCH($D187,'Level Multiplier'!$B:$B,0)),"")</f>
        <v>33</v>
      </c>
      <c r="Q187" s="36">
        <f>IFERROR(INDEX('Level Multiplier'!$D:$D,MATCH(P187,'Level Multiplier'!$A:$A,0)),"")</f>
        <v>1.3337582865068582</v>
      </c>
      <c r="R187" s="37">
        <f t="shared" si="72"/>
        <v>18</v>
      </c>
      <c r="S187" s="37">
        <f t="shared" si="73"/>
        <v>15</v>
      </c>
      <c r="T187" s="38">
        <f t="shared" si="74"/>
        <v>2677909926.9194903</v>
      </c>
      <c r="U187" s="38">
        <f t="shared" si="75"/>
        <v>2679751363.9817605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33.5</v>
      </c>
      <c r="AI187" s="36">
        <f>IFERROR(INDEX('Level Multiplier'!$D:$D,MATCH(AH187,'Level Multiplier'!$A:$A,0)),"")</f>
        <v>1.3284992134228499</v>
      </c>
      <c r="AJ187" s="37">
        <f t="shared" si="78"/>
        <v>17</v>
      </c>
      <c r="AK187" s="37">
        <f t="shared" si="79"/>
        <v>15</v>
      </c>
      <c r="AL187" s="38">
        <f t="shared" si="80"/>
        <v>2635922571.1294074</v>
      </c>
      <c r="AM187" s="38">
        <f t="shared" si="81"/>
        <v>2637735136.0207648</v>
      </c>
      <c r="AN187" s="38" t="b">
        <f t="shared" si="82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3"/>
        <v>34</v>
      </c>
      <c r="BA187" s="36">
        <f>IFERROR(INDEX('Level Multiplier'!$D:$D,MATCH(AZ187,'Level Multiplier'!$A:$A,0)),"")</f>
        <v>1.3233018058001405</v>
      </c>
      <c r="BB187" s="37">
        <f t="shared" si="84"/>
        <v>16</v>
      </c>
      <c r="BC187" s="37">
        <f t="shared" si="85"/>
        <v>15</v>
      </c>
      <c r="BD187" s="38">
        <f t="shared" si="86"/>
        <v>2594914561.2220731</v>
      </c>
      <c r="BE187" s="38">
        <f t="shared" si="87"/>
        <v>2596698927.3795843</v>
      </c>
      <c r="BF187" s="38" t="b">
        <f t="shared" si="88"/>
        <v>1</v>
      </c>
      <c r="BG187" s="37" t="str">
        <f t="array" ref="BG187:BQ187">IF(BF187,"",IVSolution($M187,$N187,$O187,BB187,BC187,BD187,BE187,$E187,$F187,$G187,$H187,$I187))</f>
        <v/>
      </c>
      <c r="BH187" s="37" t="str">
        <v/>
      </c>
      <c r="BI187" s="37" t="str">
        <v/>
      </c>
      <c r="BJ187" s="39" t="str">
        <v/>
      </c>
      <c r="BK187" s="39" t="str">
        <v/>
      </c>
      <c r="BL187" s="37" t="str">
        <v/>
      </c>
      <c r="BM187" s="37" t="str">
        <v/>
      </c>
      <c r="BN187" s="37" t="str">
        <v/>
      </c>
      <c r="BO187" s="37" t="str">
        <v/>
      </c>
      <c r="BP187" s="37" t="str">
        <v/>
      </c>
      <c r="BQ187" s="37" t="str">
        <v/>
      </c>
      <c r="BR187" s="40">
        <f t="shared" si="89"/>
        <v>34.5</v>
      </c>
      <c r="BS187" s="36">
        <f>IFERROR(INDEX('Level Multiplier'!$D:$D,MATCH(BR187,'Level Multiplier'!$A:$A,0)),"")</f>
        <v>1.3181649838968088</v>
      </c>
      <c r="BT187" s="37">
        <f t="shared" si="90"/>
        <v>15</v>
      </c>
      <c r="BU187" s="37">
        <f t="shared" si="91"/>
        <v>15</v>
      </c>
      <c r="BV187" s="38">
        <f t="shared" si="92"/>
        <v>2554856579.6504173</v>
      </c>
      <c r="BW187" s="38">
        <f t="shared" si="93"/>
        <v>2556613400.3512411</v>
      </c>
      <c r="BX187" s="38" t="b">
        <f t="shared" si="94"/>
        <v>0</v>
      </c>
      <c r="BY187" s="37">
        <f t="array" ref="BY187:CI187">IF(BX187,"",IVSolution($M187,$N187,$O187,BT187,BU187,BV187,BW187,$E187,$F187,$G187,$H187,$I187))</f>
        <v>1</v>
      </c>
      <c r="BZ187" s="37">
        <v>45</v>
      </c>
      <c r="CA187" s="37">
        <v>45</v>
      </c>
      <c r="CB187" s="39">
        <v>1</v>
      </c>
      <c r="CC187" s="39">
        <v>1</v>
      </c>
      <c r="CD187" s="37">
        <v>15</v>
      </c>
      <c r="CE187" s="37">
        <v>15</v>
      </c>
      <c r="CF187" s="37">
        <v>15</v>
      </c>
      <c r="CG187" s="37">
        <v>15</v>
      </c>
      <c r="CH187" s="37">
        <v>15</v>
      </c>
      <c r="CI187" s="37">
        <v>15</v>
      </c>
      <c r="CJ187" s="41">
        <f t="shared" si="95"/>
        <v>34.5</v>
      </c>
      <c r="CK187" s="41">
        <f t="shared" si="96"/>
        <v>34.5</v>
      </c>
      <c r="CL187" s="39">
        <f t="shared" si="97"/>
        <v>1</v>
      </c>
      <c r="CM187" s="39">
        <f t="shared" si="98"/>
        <v>1</v>
      </c>
      <c r="CN187" s="42">
        <f t="shared" si="99"/>
        <v>15</v>
      </c>
      <c r="CO187" s="42">
        <f t="shared" si="100"/>
        <v>15</v>
      </c>
      <c r="CP187" s="42">
        <f t="shared" si="101"/>
        <v>15</v>
      </c>
      <c r="CQ187" s="42">
        <f t="shared" si="102"/>
        <v>15</v>
      </c>
      <c r="CR187" s="42">
        <f t="shared" si="103"/>
        <v>15</v>
      </c>
      <c r="CS187" s="42">
        <f t="shared" si="104"/>
        <v>15</v>
      </c>
      <c r="CT187" s="43">
        <f t="shared" si="105"/>
        <v>15</v>
      </c>
      <c r="CU187" s="43">
        <f t="shared" si="106"/>
        <v>15</v>
      </c>
      <c r="CV187" s="43">
        <f t="shared" si="107"/>
        <v>15</v>
      </c>
      <c r="CW187" s="13" t="s">
        <v>399</v>
      </c>
    </row>
    <row r="188" spans="1:101" x14ac:dyDescent="0.25">
      <c r="A188" s="31" t="s">
        <v>178</v>
      </c>
      <c r="B188" s="13">
        <v>1569</v>
      </c>
      <c r="C188" s="13">
        <v>154</v>
      </c>
      <c r="D188" s="13">
        <v>22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134</v>
      </c>
      <c r="M188" s="34">
        <f>IFERROR(INDEX('Pokemon Data'!I:I,MATCH($A188,'Pokemon Data'!$B:$B,0)),"")</f>
        <v>260</v>
      </c>
      <c r="N188" s="34">
        <f>IFERROR(INDEX('Pokemon Data'!J:J,MATCH($A188,'Pokemon Data'!$B:$B,0)),"")</f>
        <v>205</v>
      </c>
      <c r="O188" s="34">
        <f>IFERROR(INDEX('Pokemon Data'!K:K,MATCH($A188,'Pokemon Data'!$B:$B,0)),"")</f>
        <v>177</v>
      </c>
      <c r="P188" s="35">
        <f>IFERROR(INDEX('Level Multiplier'!$A:$A,MATCH($D188,'Level Multiplier'!$B:$B,0)),"")</f>
        <v>17</v>
      </c>
      <c r="Q188" s="36">
        <f>IFERROR(INDEX('Level Multiplier'!$D:$D,MATCH(P188,'Level Multiplier'!$A:$A,0)),"")</f>
        <v>1.8155651266904069</v>
      </c>
      <c r="R188" s="37">
        <f t="shared" si="72"/>
        <v>20</v>
      </c>
      <c r="S188" s="37">
        <f t="shared" si="73"/>
        <v>15</v>
      </c>
      <c r="T188" s="38">
        <f t="shared" si="74"/>
        <v>2674811711.8852224</v>
      </c>
      <c r="U188" s="38">
        <f t="shared" si="75"/>
        <v>2678222373.5878034</v>
      </c>
      <c r="V188" s="38" t="b">
        <f t="shared" si="76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7"/>
        <v>17.5</v>
      </c>
      <c r="AI188" s="36">
        <f>IFERROR(INDEX('Level Multiplier'!$D:$D,MATCH(AH188,'Level Multiplier'!$A:$A,0)),"")</f>
        <v>1.7894511197969956</v>
      </c>
      <c r="AJ188" s="37">
        <f t="shared" si="78"/>
        <v>16</v>
      </c>
      <c r="AK188" s="37">
        <f t="shared" si="79"/>
        <v>15</v>
      </c>
      <c r="AL188" s="38">
        <f t="shared" si="80"/>
        <v>2524208625.3207345</v>
      </c>
      <c r="AM188" s="38">
        <f t="shared" si="81"/>
        <v>2527427252.5046411</v>
      </c>
      <c r="AN188" s="38" t="b">
        <f t="shared" si="82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3"/>
        <v>18</v>
      </c>
      <c r="BA188" s="36">
        <f>IFERROR(INDEX('Level Multiplier'!$D:$D,MATCH(AZ188,'Level Multiplier'!$A:$A,0)),"")</f>
        <v>1.7644323330672333</v>
      </c>
      <c r="BB188" s="37">
        <f t="shared" si="84"/>
        <v>12</v>
      </c>
      <c r="BC188" s="37">
        <f t="shared" si="85"/>
        <v>13</v>
      </c>
      <c r="BD188" s="38">
        <f t="shared" si="86"/>
        <v>2385975157.4462199</v>
      </c>
      <c r="BE188" s="38">
        <f t="shared" si="87"/>
        <v>2389017522.6552</v>
      </c>
      <c r="BF188" s="38" t="b">
        <f t="shared" si="88"/>
        <v>0</v>
      </c>
      <c r="BG188" s="37">
        <f t="array" ref="BG188:BQ188">IF(BF188,"",IVSolution($M188,$N188,$O188,BB188,BC188,BD188,BE188,$E188,$F188,$G188,$H188,$I188))</f>
        <v>4</v>
      </c>
      <c r="BH188" s="37">
        <v>32</v>
      </c>
      <c r="BI188" s="37">
        <v>36</v>
      </c>
      <c r="BJ188" s="39">
        <v>0.71111111111111114</v>
      </c>
      <c r="BK188" s="39">
        <v>0.8</v>
      </c>
      <c r="BL188" s="37">
        <v>12</v>
      </c>
      <c r="BM188" s="37">
        <v>13</v>
      </c>
      <c r="BN188" s="37">
        <v>9</v>
      </c>
      <c r="BO188" s="37">
        <v>14</v>
      </c>
      <c r="BP188" s="37">
        <v>6</v>
      </c>
      <c r="BQ188" s="37">
        <v>14</v>
      </c>
      <c r="BR188" s="40">
        <f t="shared" si="89"/>
        <v>18.5</v>
      </c>
      <c r="BS188" s="36">
        <f>IFERROR(INDEX('Level Multiplier'!$D:$D,MATCH(BR188,'Level Multiplier'!$A:$A,0)),"")</f>
        <v>1.7404345408706619</v>
      </c>
      <c r="BT188" s="37">
        <f t="shared" si="90"/>
        <v>9</v>
      </c>
      <c r="BU188" s="37">
        <f t="shared" si="91"/>
        <v>9</v>
      </c>
      <c r="BV188" s="38">
        <f t="shared" si="92"/>
        <v>2258794191.3038177</v>
      </c>
      <c r="BW188" s="38">
        <f t="shared" si="93"/>
        <v>2261674387.6212111</v>
      </c>
      <c r="BX188" s="38" t="b">
        <f t="shared" si="94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5"/>
        <v>18</v>
      </c>
      <c r="CK188" s="41">
        <f t="shared" si="96"/>
        <v>18</v>
      </c>
      <c r="CL188" s="39">
        <f t="shared" si="97"/>
        <v>0.71111111111111114</v>
      </c>
      <c r="CM188" s="39">
        <f t="shared" si="98"/>
        <v>0.8</v>
      </c>
      <c r="CN188" s="42">
        <f t="shared" si="99"/>
        <v>12</v>
      </c>
      <c r="CO188" s="42">
        <f t="shared" si="100"/>
        <v>13</v>
      </c>
      <c r="CP188" s="42">
        <f t="shared" si="101"/>
        <v>9</v>
      </c>
      <c r="CQ188" s="42">
        <f t="shared" si="102"/>
        <v>14</v>
      </c>
      <c r="CR188" s="42">
        <f t="shared" si="103"/>
        <v>6</v>
      </c>
      <c r="CS188" s="42">
        <f t="shared" si="104"/>
        <v>14</v>
      </c>
      <c r="CT188" s="43" t="str">
        <f t="shared" si="105"/>
        <v>12-13</v>
      </c>
      <c r="CU188" s="43" t="str">
        <f t="shared" si="106"/>
        <v>9-14</v>
      </c>
      <c r="CV188" s="43" t="str">
        <f t="shared" si="107"/>
        <v>6-14</v>
      </c>
      <c r="CW188" s="13" t="s">
        <v>403</v>
      </c>
    </row>
    <row r="189" spans="1:101" x14ac:dyDescent="0.25">
      <c r="A189" s="31" t="s">
        <v>178</v>
      </c>
      <c r="B189" s="13">
        <v>1247</v>
      </c>
      <c r="C189" s="13">
        <v>135</v>
      </c>
      <c r="D189" s="13">
        <v>16</v>
      </c>
      <c r="E189" s="32"/>
      <c r="F189" s="32"/>
      <c r="G189" s="32"/>
      <c r="H189" s="32"/>
      <c r="I189" s="32"/>
      <c r="J189" s="13"/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Multiplier'!$A:$A,MATCH($D189,'Level Multiplier'!$B:$B,0)),"")</f>
        <v>13</v>
      </c>
      <c r="Q189" s="36">
        <f>IFERROR(INDEX('Level Multiplier'!$D:$D,MATCH(P189,'Level Multiplier'!$A:$A,0)),"")</f>
        <v>2.0760457639376111</v>
      </c>
      <c r="R189" s="37">
        <f t="shared" si="72"/>
        <v>21</v>
      </c>
      <c r="S189" s="37">
        <f t="shared" si="73"/>
        <v>15</v>
      </c>
      <c r="T189" s="38">
        <f t="shared" si="74"/>
        <v>2888554713.1824937</v>
      </c>
      <c r="U189" s="38">
        <f t="shared" si="75"/>
        <v>2893189377.0393524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13.5</v>
      </c>
      <c r="AI189" s="36">
        <f>IFERROR(INDEX('Level Multiplier'!$D:$D,MATCH(AH189,'Level Multiplier'!$A:$A,0)),"")</f>
        <v>2.0372581927319593</v>
      </c>
      <c r="AJ189" s="37">
        <f t="shared" si="78"/>
        <v>16</v>
      </c>
      <c r="AK189" s="37">
        <f t="shared" si="79"/>
        <v>15</v>
      </c>
      <c r="AL189" s="38">
        <f t="shared" si="80"/>
        <v>2678657572.13274</v>
      </c>
      <c r="AM189" s="38">
        <f t="shared" si="81"/>
        <v>2682955457.6385288</v>
      </c>
      <c r="AN189" s="38" t="b">
        <f t="shared" si="82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3"/>
        <v>14</v>
      </c>
      <c r="BA189" s="36">
        <f>IFERROR(INDEX('Level Multiplier'!$D:$D,MATCH(AZ189,'Level Multiplier'!$A:$A,0)),"")</f>
        <v>2.0005664003592698</v>
      </c>
      <c r="BB189" s="37">
        <f t="shared" si="84"/>
        <v>11</v>
      </c>
      <c r="BC189" s="37">
        <f t="shared" si="85"/>
        <v>12</v>
      </c>
      <c r="BD189" s="38">
        <f t="shared" si="86"/>
        <v>2490834021.9936037</v>
      </c>
      <c r="BE189" s="38">
        <f t="shared" si="87"/>
        <v>2494830546.0554414</v>
      </c>
      <c r="BF189" s="38" t="b">
        <f t="shared" si="88"/>
        <v>0</v>
      </c>
      <c r="BG189" s="37">
        <f t="array" ref="BG189:BQ189">IF(BF189,"",IVSolution($M189,$N189,$O189,BB189,BC189,BD189,BE189,$E189,$F189,$G189,$H189,$I189))</f>
        <v>2</v>
      </c>
      <c r="BH189" s="37">
        <v>39</v>
      </c>
      <c r="BI189" s="37">
        <v>40</v>
      </c>
      <c r="BJ189" s="39">
        <v>0.8666666666666667</v>
      </c>
      <c r="BK189" s="39">
        <v>0.88888888888888884</v>
      </c>
      <c r="BL189" s="37">
        <v>11</v>
      </c>
      <c r="BM189" s="37">
        <v>12</v>
      </c>
      <c r="BN189" s="37">
        <v>14</v>
      </c>
      <c r="BO189" s="37">
        <v>15</v>
      </c>
      <c r="BP189" s="37">
        <v>13</v>
      </c>
      <c r="BQ189" s="37">
        <v>14</v>
      </c>
      <c r="BR189" s="40">
        <f t="shared" si="89"/>
        <v>14.5</v>
      </c>
      <c r="BS189" s="36">
        <f>IFERROR(INDEX('Level Multiplier'!$D:$D,MATCH(BR189,'Level Multiplier'!$A:$A,0)),"")</f>
        <v>1.9657883435887038</v>
      </c>
      <c r="BT189" s="37">
        <f t="shared" si="90"/>
        <v>6</v>
      </c>
      <c r="BU189" s="37">
        <f t="shared" si="91"/>
        <v>7</v>
      </c>
      <c r="BV189" s="38">
        <f t="shared" si="92"/>
        <v>2322094709.9258308</v>
      </c>
      <c r="BW189" s="38">
        <f t="shared" si="93"/>
        <v>2325820493.0571599</v>
      </c>
      <c r="BX189" s="38" t="b">
        <f t="shared" si="94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5"/>
        <v>14</v>
      </c>
      <c r="CK189" s="41">
        <f t="shared" si="96"/>
        <v>14</v>
      </c>
      <c r="CL189" s="39">
        <f t="shared" si="97"/>
        <v>0.8666666666666667</v>
      </c>
      <c r="CM189" s="39">
        <f t="shared" si="98"/>
        <v>0.88888888888888884</v>
      </c>
      <c r="CN189" s="42">
        <f t="shared" si="99"/>
        <v>11</v>
      </c>
      <c r="CO189" s="42">
        <f t="shared" si="100"/>
        <v>12</v>
      </c>
      <c r="CP189" s="42">
        <f t="shared" si="101"/>
        <v>14</v>
      </c>
      <c r="CQ189" s="42">
        <f t="shared" si="102"/>
        <v>15</v>
      </c>
      <c r="CR189" s="42">
        <f t="shared" si="103"/>
        <v>13</v>
      </c>
      <c r="CS189" s="42">
        <f t="shared" si="104"/>
        <v>14</v>
      </c>
      <c r="CT189" s="43" t="str">
        <f t="shared" si="105"/>
        <v>11-12</v>
      </c>
      <c r="CU189" s="43" t="str">
        <f t="shared" si="106"/>
        <v>14-15</v>
      </c>
      <c r="CV189" s="43" t="str">
        <f t="shared" si="107"/>
        <v>13-14</v>
      </c>
      <c r="CW189" s="13" t="s">
        <v>399</v>
      </c>
    </row>
    <row r="190" spans="1:101" x14ac:dyDescent="0.25">
      <c r="A190" s="31" t="s">
        <v>179</v>
      </c>
      <c r="B190" s="13">
        <v>1959</v>
      </c>
      <c r="C190" s="13">
        <v>98</v>
      </c>
      <c r="D190" s="13">
        <v>40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135</v>
      </c>
      <c r="M190" s="34">
        <f>IFERROR(INDEX('Pokemon Data'!I:I,MATCH($A190,'Pokemon Data'!$B:$B,0)),"")</f>
        <v>130</v>
      </c>
      <c r="N190" s="34">
        <f>IFERROR(INDEX('Pokemon Data'!J:J,MATCH($A190,'Pokemon Data'!$B:$B,0)),"")</f>
        <v>232</v>
      </c>
      <c r="O190" s="34">
        <f>IFERROR(INDEX('Pokemon Data'!K:K,MATCH($A190,'Pokemon Data'!$B:$B,0)),"")</f>
        <v>201</v>
      </c>
      <c r="P190" s="35">
        <f>IFERROR(INDEX('Level Multiplier'!$A:$A,MATCH($D190,'Level Multiplier'!$B:$B,0)),"")</f>
        <v>25</v>
      </c>
      <c r="Q190" s="36">
        <f>IFERROR(INDEX('Level Multiplier'!$D:$D,MATCH(P190,'Level Multiplier'!$A:$A,0)),"")</f>
        <v>1.4971539104162985</v>
      </c>
      <c r="R190" s="37">
        <f t="shared" si="72"/>
        <v>17</v>
      </c>
      <c r="S190" s="37">
        <f t="shared" si="73"/>
        <v>15</v>
      </c>
      <c r="T190" s="38">
        <f t="shared" si="74"/>
        <v>1928122701.1115494</v>
      </c>
      <c r="U190" s="38">
        <f t="shared" si="75"/>
        <v>1930091679.9989703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25.5</v>
      </c>
      <c r="AI190" s="36">
        <f>IFERROR(INDEX('Level Multiplier'!$D:$D,MATCH(AH190,'Level Multiplier'!$A:$A,0)),"")</f>
        <v>1.4824092786238152</v>
      </c>
      <c r="AJ190" s="37">
        <f t="shared" si="78"/>
        <v>16</v>
      </c>
      <c r="AK190" s="37">
        <f t="shared" si="79"/>
        <v>15</v>
      </c>
      <c r="AL190" s="38">
        <f t="shared" si="80"/>
        <v>1853281414.7353151</v>
      </c>
      <c r="AM190" s="38">
        <f t="shared" si="81"/>
        <v>1855173966.4779813</v>
      </c>
      <c r="AN190" s="38" t="b">
        <f t="shared" si="82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3"/>
        <v>26</v>
      </c>
      <c r="BA190" s="36">
        <f>IFERROR(INDEX('Level Multiplier'!$D:$D,MATCH(AZ190,'Level Multiplier'!$A:$A,0)),"")</f>
        <v>1.4680732530970622</v>
      </c>
      <c r="BB190" s="37">
        <f t="shared" si="84"/>
        <v>14</v>
      </c>
      <c r="BC190" s="37">
        <f t="shared" si="85"/>
        <v>15</v>
      </c>
      <c r="BD190" s="38">
        <f t="shared" si="86"/>
        <v>1782624114.6861427</v>
      </c>
      <c r="BE190" s="38">
        <f t="shared" si="87"/>
        <v>1784444511.9274597</v>
      </c>
      <c r="BF190" s="38" t="b">
        <f t="shared" si="88"/>
        <v>0</v>
      </c>
      <c r="BG190" s="37">
        <f t="array" ref="BG190:BQ190">IF(BF190,"",IVSolution($M190,$N190,$O190,BB190,BC190,BD190,BE190,$E190,$F190,$G190,$H190,$I190))</f>
        <v>5</v>
      </c>
      <c r="BH190" s="37">
        <v>31</v>
      </c>
      <c r="BI190" s="37">
        <v>36</v>
      </c>
      <c r="BJ190" s="39">
        <v>0.68888888888888888</v>
      </c>
      <c r="BK190" s="39">
        <v>0.8</v>
      </c>
      <c r="BL190" s="37">
        <v>14</v>
      </c>
      <c r="BM190" s="37">
        <v>15</v>
      </c>
      <c r="BN190" s="37">
        <v>8</v>
      </c>
      <c r="BO190" s="37">
        <v>15</v>
      </c>
      <c r="BP190" s="37">
        <v>2</v>
      </c>
      <c r="BQ190" s="37">
        <v>14</v>
      </c>
      <c r="BR190" s="40">
        <f t="shared" si="89"/>
        <v>26.5</v>
      </c>
      <c r="BS190" s="36">
        <f>IFERROR(INDEX('Level Multiplier'!$D:$D,MATCH(BR190,'Level Multiplier'!$A:$A,0)),"")</f>
        <v>1.4541633575240582</v>
      </c>
      <c r="BT190" s="37">
        <f t="shared" si="90"/>
        <v>13</v>
      </c>
      <c r="BU190" s="37">
        <f t="shared" si="91"/>
        <v>13</v>
      </c>
      <c r="BV190" s="38">
        <f t="shared" si="92"/>
        <v>1716017291.8480525</v>
      </c>
      <c r="BW190" s="38">
        <f t="shared" si="93"/>
        <v>1717769670.8933022</v>
      </c>
      <c r="BX190" s="38" t="b">
        <f t="shared" si="94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5"/>
        <v>26</v>
      </c>
      <c r="CK190" s="41">
        <f t="shared" si="96"/>
        <v>26</v>
      </c>
      <c r="CL190" s="39">
        <f t="shared" si="97"/>
        <v>0.68888888888888888</v>
      </c>
      <c r="CM190" s="39">
        <f t="shared" si="98"/>
        <v>0.8</v>
      </c>
      <c r="CN190" s="42">
        <f t="shared" si="99"/>
        <v>14</v>
      </c>
      <c r="CO190" s="42">
        <f t="shared" si="100"/>
        <v>15</v>
      </c>
      <c r="CP190" s="42">
        <f t="shared" si="101"/>
        <v>8</v>
      </c>
      <c r="CQ190" s="42">
        <f t="shared" si="102"/>
        <v>15</v>
      </c>
      <c r="CR190" s="42">
        <f t="shared" si="103"/>
        <v>2</v>
      </c>
      <c r="CS190" s="42">
        <f t="shared" si="104"/>
        <v>14</v>
      </c>
      <c r="CT190" s="43" t="str">
        <f t="shared" si="105"/>
        <v>14-15</v>
      </c>
      <c r="CU190" s="43" t="str">
        <f t="shared" si="106"/>
        <v>8-15</v>
      </c>
      <c r="CV190" s="43" t="str">
        <f t="shared" si="107"/>
        <v>2-14</v>
      </c>
      <c r="CW190" s="13" t="s">
        <v>399</v>
      </c>
    </row>
    <row r="191" spans="1:101" x14ac:dyDescent="0.25">
      <c r="A191" s="31" t="s">
        <v>179</v>
      </c>
      <c r="B191" s="13">
        <v>1920</v>
      </c>
      <c r="C191" s="13">
        <v>96</v>
      </c>
      <c r="D191" s="13">
        <v>40</v>
      </c>
      <c r="E191" s="32"/>
      <c r="F191" s="32"/>
      <c r="G191" s="32"/>
      <c r="H191" s="32"/>
      <c r="I191" s="32"/>
      <c r="J191" s="13"/>
      <c r="K191" s="33">
        <v>25</v>
      </c>
      <c r="L191" s="34">
        <f>IFERROR(INDEX('Pokemon Data'!A:A,MATCH($A191,'Pokemon Data'!$B:$B,0)),"")</f>
        <v>135</v>
      </c>
      <c r="M191" s="34">
        <f>IFERROR(INDEX('Pokemon Data'!I:I,MATCH($A191,'Pokemon Data'!$B:$B,0)),"")</f>
        <v>130</v>
      </c>
      <c r="N191" s="34">
        <f>IFERROR(INDEX('Pokemon Data'!J:J,MATCH($A191,'Pokemon Data'!$B:$B,0)),"")</f>
        <v>232</v>
      </c>
      <c r="O191" s="34">
        <f>IFERROR(INDEX('Pokemon Data'!K:K,MATCH($A191,'Pokemon Data'!$B:$B,0)),"")</f>
        <v>201</v>
      </c>
      <c r="P191" s="35">
        <f>IFERROR(INDEX('Level Multiplier'!$A:$A,MATCH($D191,'Level Multiplier'!$B:$B,0)),"")</f>
        <v>25</v>
      </c>
      <c r="Q191" s="36">
        <f>IFERROR(INDEX('Level Multiplier'!$D:$D,MATCH(P191,'Level Multiplier'!$A:$A,0)),"")</f>
        <v>1.4971539104162985</v>
      </c>
      <c r="R191" s="37">
        <f t="shared" si="72"/>
        <v>14</v>
      </c>
      <c r="S191" s="37">
        <f t="shared" si="73"/>
        <v>15</v>
      </c>
      <c r="T191" s="38">
        <f t="shared" si="74"/>
        <v>1852116297.6749802</v>
      </c>
      <c r="U191" s="38">
        <f t="shared" si="75"/>
        <v>1854046087.9037588</v>
      </c>
      <c r="V191" s="38" t="b">
        <f t="shared" si="76"/>
        <v>0</v>
      </c>
      <c r="W191" s="37">
        <f t="array" ref="W191:AG191">IF(V191,"",IVSolution($M191,$N191,$O191,R191,S191,T191,U191,$E191,$F191,$G191,$H191,$I191))</f>
        <v>2</v>
      </c>
      <c r="X191" s="37">
        <v>39</v>
      </c>
      <c r="Y191" s="37">
        <v>40</v>
      </c>
      <c r="Z191" s="39">
        <v>0.8666666666666667</v>
      </c>
      <c r="AA191" s="39">
        <v>0.88888888888888884</v>
      </c>
      <c r="AB191" s="37">
        <v>14</v>
      </c>
      <c r="AC191" s="37">
        <v>15</v>
      </c>
      <c r="AD191" s="37">
        <v>13</v>
      </c>
      <c r="AE191" s="37">
        <v>15</v>
      </c>
      <c r="AF191" s="37">
        <v>10</v>
      </c>
      <c r="AG191" s="37">
        <v>12</v>
      </c>
      <c r="AH191" s="40">
        <f t="shared" si="77"/>
        <v>25.5</v>
      </c>
      <c r="AI191" s="36">
        <f>IFERROR(INDEX('Level Multiplier'!$D:$D,MATCH(AH191,'Level Multiplier'!$A:$A,0)),"")</f>
        <v>1.4824092786238152</v>
      </c>
      <c r="AJ191" s="37">
        <f t="shared" si="78"/>
        <v>13</v>
      </c>
      <c r="AK191" s="37">
        <f t="shared" si="79"/>
        <v>13</v>
      </c>
      <c r="AL191" s="38">
        <f t="shared" si="80"/>
        <v>1780225247.2991543</v>
      </c>
      <c r="AM191" s="38">
        <f t="shared" si="81"/>
        <v>1782080131.5154293</v>
      </c>
      <c r="AN191" s="38" t="b">
        <f t="shared" si="82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3"/>
        <v>26</v>
      </c>
      <c r="BA191" s="36">
        <f>IFERROR(INDEX('Level Multiplier'!$D:$D,MATCH(AZ191,'Level Multiplier'!$A:$A,0)),"")</f>
        <v>1.4680732530970622</v>
      </c>
      <c r="BB191" s="37">
        <f t="shared" si="84"/>
        <v>11</v>
      </c>
      <c r="BC191" s="37">
        <f t="shared" si="85"/>
        <v>12</v>
      </c>
      <c r="BD191" s="38">
        <f t="shared" si="86"/>
        <v>1712353250.9291408</v>
      </c>
      <c r="BE191" s="38">
        <f t="shared" si="87"/>
        <v>1714137416.7377398</v>
      </c>
      <c r="BF191" s="38" t="b">
        <f t="shared" si="88"/>
        <v>1</v>
      </c>
      <c r="BG191" s="37" t="str">
        <f t="array" ref="BG191:BQ191">IF(BF191,"",IVSolution($M191,$N191,$O191,BB191,BC191,BD191,BE191,$E191,$F191,$G191,$H191,$I191))</f>
        <v/>
      </c>
      <c r="BH191" s="37" t="str">
        <v/>
      </c>
      <c r="BI191" s="37" t="str">
        <v/>
      </c>
      <c r="BJ191" s="39" t="str">
        <v/>
      </c>
      <c r="BK191" s="39" t="str">
        <v/>
      </c>
      <c r="BL191" s="37" t="str">
        <v/>
      </c>
      <c r="BM191" s="37" t="str">
        <v/>
      </c>
      <c r="BN191" s="37" t="str">
        <v/>
      </c>
      <c r="BO191" s="37" t="str">
        <v/>
      </c>
      <c r="BP191" s="37" t="str">
        <v/>
      </c>
      <c r="BQ191" s="37" t="str">
        <v/>
      </c>
      <c r="BR191" s="40">
        <f t="shared" si="89"/>
        <v>26.5</v>
      </c>
      <c r="BS191" s="36">
        <f>IFERROR(INDEX('Level Multiplier'!$D:$D,MATCH(BR191,'Level Multiplier'!$A:$A,0)),"")</f>
        <v>1.4541633575240582</v>
      </c>
      <c r="BT191" s="37">
        <f t="shared" si="90"/>
        <v>10</v>
      </c>
      <c r="BU191" s="37">
        <f t="shared" si="91"/>
        <v>11</v>
      </c>
      <c r="BV191" s="38">
        <f t="shared" si="92"/>
        <v>1648372062.364918</v>
      </c>
      <c r="BW191" s="38">
        <f t="shared" si="93"/>
        <v>1650089563.7460876</v>
      </c>
      <c r="BX191" s="38" t="b">
        <f t="shared" si="94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5"/>
        <v>25</v>
      </c>
      <c r="CK191" s="41">
        <f t="shared" si="96"/>
        <v>25</v>
      </c>
      <c r="CL191" s="39">
        <f t="shared" si="97"/>
        <v>0.8666666666666667</v>
      </c>
      <c r="CM191" s="39">
        <f t="shared" si="98"/>
        <v>0.88888888888888884</v>
      </c>
      <c r="CN191" s="42">
        <f t="shared" si="99"/>
        <v>14</v>
      </c>
      <c r="CO191" s="42">
        <f t="shared" si="100"/>
        <v>15</v>
      </c>
      <c r="CP191" s="42">
        <f t="shared" si="101"/>
        <v>13</v>
      </c>
      <c r="CQ191" s="42">
        <f t="shared" si="102"/>
        <v>15</v>
      </c>
      <c r="CR191" s="42">
        <f t="shared" si="103"/>
        <v>10</v>
      </c>
      <c r="CS191" s="42">
        <f t="shared" si="104"/>
        <v>12</v>
      </c>
      <c r="CT191" s="43" t="str">
        <f t="shared" si="105"/>
        <v>14-15</v>
      </c>
      <c r="CU191" s="43" t="str">
        <f t="shared" si="106"/>
        <v>13-15</v>
      </c>
      <c r="CV191" s="43" t="str">
        <f t="shared" si="107"/>
        <v>10-12</v>
      </c>
      <c r="CW191" s="13" t="s">
        <v>406</v>
      </c>
    </row>
    <row r="192" spans="1:101" x14ac:dyDescent="0.25">
      <c r="A192" s="31" t="s">
        <v>179</v>
      </c>
      <c r="B192" s="13">
        <v>1830</v>
      </c>
      <c r="C192" s="13">
        <v>92</v>
      </c>
      <c r="D192" s="13">
        <v>35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Multiplier'!$A:$A,MATCH($D192,'Level Multiplier'!$B:$B,0)),"")</f>
        <v>23</v>
      </c>
      <c r="Q192" s="36">
        <f>IFERROR(INDEX('Level Multiplier'!$D:$D,MATCH(P192,'Level Multiplier'!$A:$A,0)),"")</f>
        <v>1.560907508503629</v>
      </c>
      <c r="R192" s="37">
        <f t="shared" si="72"/>
        <v>14</v>
      </c>
      <c r="S192" s="37">
        <f t="shared" si="73"/>
        <v>15</v>
      </c>
      <c r="T192" s="38">
        <f t="shared" si="74"/>
        <v>1987974724.3975425</v>
      </c>
      <c r="U192" s="38">
        <f t="shared" si="75"/>
        <v>1990147967.9897726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23.5</v>
      </c>
      <c r="AI192" s="36">
        <f>IFERROR(INDEX('Level Multiplier'!$D:$D,MATCH(AH192,'Level Multiplier'!$A:$A,0)),"")</f>
        <v>1.5442192764441367</v>
      </c>
      <c r="AJ192" s="37">
        <f t="shared" si="78"/>
        <v>13</v>
      </c>
      <c r="AK192" s="37">
        <f t="shared" si="79"/>
        <v>13</v>
      </c>
      <c r="AL192" s="38">
        <f t="shared" si="80"/>
        <v>1904311794.3093281</v>
      </c>
      <c r="AM192" s="38">
        <f t="shared" si="81"/>
        <v>1906393578.0230746</v>
      </c>
      <c r="AN192" s="38" t="b">
        <f t="shared" si="82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3"/>
        <v>24</v>
      </c>
      <c r="BA192" s="36">
        <f>IFERROR(INDEX('Level Multiplier'!$D:$D,MATCH(AZ192,'Level Multiplier'!$A:$A,0)),"")</f>
        <v>1.5280341628098701</v>
      </c>
      <c r="BB192" s="37">
        <f t="shared" si="84"/>
        <v>11</v>
      </c>
      <c r="BC192" s="37">
        <f t="shared" si="85"/>
        <v>12</v>
      </c>
      <c r="BD192" s="38">
        <f t="shared" si="86"/>
        <v>1825721103.3742428</v>
      </c>
      <c r="BE192" s="38">
        <f t="shared" si="87"/>
        <v>1827716972.1548731</v>
      </c>
      <c r="BF192" s="38" t="b">
        <f t="shared" si="88"/>
        <v>0</v>
      </c>
      <c r="BG192" s="37">
        <f t="array" ref="BG192:BQ192">IF(BF192,"",IVSolution($M192,$N192,$O192,BB192,BC192,BD192,BE192,$E192,$F192,$G192,$H192,$I192))</f>
        <v>2</v>
      </c>
      <c r="BH192" s="37">
        <v>38</v>
      </c>
      <c r="BI192" s="37">
        <v>39</v>
      </c>
      <c r="BJ192" s="39">
        <v>0.84444444444444444</v>
      </c>
      <c r="BK192" s="39">
        <v>0.8666666666666667</v>
      </c>
      <c r="BL192" s="37">
        <v>11</v>
      </c>
      <c r="BM192" s="37">
        <v>12</v>
      </c>
      <c r="BN192" s="37">
        <v>12</v>
      </c>
      <c r="BO192" s="37">
        <v>14</v>
      </c>
      <c r="BP192" s="37">
        <v>13</v>
      </c>
      <c r="BQ192" s="37">
        <v>15</v>
      </c>
      <c r="BR192" s="40">
        <f t="shared" si="89"/>
        <v>24.5</v>
      </c>
      <c r="BS192" s="36">
        <f>IFERROR(INDEX('Level Multiplier'!$D:$D,MATCH(BR192,'Level Multiplier'!$A:$A,0)),"")</f>
        <v>1.5123678280126109</v>
      </c>
      <c r="BT192" s="37">
        <f t="shared" si="90"/>
        <v>10</v>
      </c>
      <c r="BU192" s="37">
        <f t="shared" si="91"/>
        <v>10</v>
      </c>
      <c r="BV192" s="38">
        <f t="shared" si="92"/>
        <v>1751991118.896956</v>
      </c>
      <c r="BW192" s="38">
        <f t="shared" si="93"/>
        <v>1753906386.4433987</v>
      </c>
      <c r="BX192" s="38" t="b">
        <f t="shared" si="94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5"/>
        <v>24</v>
      </c>
      <c r="CK192" s="41">
        <f t="shared" si="96"/>
        <v>24</v>
      </c>
      <c r="CL192" s="39">
        <f t="shared" si="97"/>
        <v>0.84444444444444444</v>
      </c>
      <c r="CM192" s="39">
        <f t="shared" si="98"/>
        <v>0.8666666666666667</v>
      </c>
      <c r="CN192" s="42">
        <f t="shared" si="99"/>
        <v>11</v>
      </c>
      <c r="CO192" s="42">
        <f t="shared" si="100"/>
        <v>12</v>
      </c>
      <c r="CP192" s="42">
        <f t="shared" si="101"/>
        <v>12</v>
      </c>
      <c r="CQ192" s="42">
        <f t="shared" si="102"/>
        <v>14</v>
      </c>
      <c r="CR192" s="42">
        <f t="shared" si="103"/>
        <v>13</v>
      </c>
      <c r="CS192" s="42">
        <f t="shared" si="104"/>
        <v>15</v>
      </c>
      <c r="CT192" s="43" t="str">
        <f t="shared" si="105"/>
        <v>11-12</v>
      </c>
      <c r="CU192" s="43" t="str">
        <f t="shared" si="106"/>
        <v>12-14</v>
      </c>
      <c r="CV192" s="43" t="str">
        <f t="shared" si="107"/>
        <v>13-15</v>
      </c>
      <c r="CW192" s="13" t="s">
        <v>399</v>
      </c>
    </row>
    <row r="193" spans="1:101" x14ac:dyDescent="0.25">
      <c r="A193" s="31" t="s">
        <v>180</v>
      </c>
      <c r="B193" s="13">
        <v>1620</v>
      </c>
      <c r="C193" s="13">
        <v>84</v>
      </c>
      <c r="D193" s="13">
        <v>25</v>
      </c>
      <c r="E193" s="32"/>
      <c r="F193" s="32"/>
      <c r="G193" s="32"/>
      <c r="H193" s="32"/>
      <c r="I193" s="32"/>
      <c r="J193" s="13"/>
      <c r="K193" s="33"/>
      <c r="L193" s="34">
        <f>IFERROR(INDEX('Pokemon Data'!A:A,MATCH($A193,'Pokemon Data'!$B:$B,0)),"")</f>
        <v>136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246</v>
      </c>
      <c r="O193" s="34">
        <f>IFERROR(INDEX('Pokemon Data'!K:K,MATCH($A193,'Pokemon Data'!$B:$B,0)),"")</f>
        <v>204</v>
      </c>
      <c r="P193" s="35">
        <f>IFERROR(INDEX('Level Multiplier'!$A:$A,MATCH($D193,'Level Multiplier'!$B:$B,0)),"")</f>
        <v>19</v>
      </c>
      <c r="Q193" s="36">
        <f>IFERROR(INDEX('Level Multiplier'!$D:$D,MATCH(P193,'Level Multiplier'!$A:$A,0)),"")</f>
        <v>1.7173900390793821</v>
      </c>
      <c r="R193" s="37">
        <f t="shared" si="72"/>
        <v>15</v>
      </c>
      <c r="S193" s="37">
        <f t="shared" si="73"/>
        <v>15</v>
      </c>
      <c r="T193" s="38">
        <f t="shared" si="74"/>
        <v>2282999349.1239867</v>
      </c>
      <c r="U193" s="38">
        <f t="shared" si="75"/>
        <v>2285818736.7518296</v>
      </c>
      <c r="V193" s="38" t="b">
        <f t="shared" si="76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7"/>
        <v>19.5</v>
      </c>
      <c r="AI193" s="36">
        <f>IFERROR(INDEX('Level Multiplier'!$D:$D,MATCH(AH193,'Level Multiplier'!$A:$A,0)),"")</f>
        <v>1.6952373004785586</v>
      </c>
      <c r="AJ193" s="37">
        <f t="shared" si="78"/>
        <v>13</v>
      </c>
      <c r="AK193" s="37">
        <f t="shared" si="79"/>
        <v>14</v>
      </c>
      <c r="AL193" s="38">
        <f t="shared" si="80"/>
        <v>2167464672.3885045</v>
      </c>
      <c r="AM193" s="38">
        <f t="shared" si="81"/>
        <v>2170141380.5896974</v>
      </c>
      <c r="AN193" s="38" t="b">
        <f t="shared" si="82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3"/>
        <v>20</v>
      </c>
      <c r="BA193" s="36">
        <f>IFERROR(INDEX('Level Multiplier'!$D:$D,MATCH(AZ193,'Level Multiplier'!$A:$A,0)),"")</f>
        <v>1.6739202933726098</v>
      </c>
      <c r="BB193" s="37">
        <f t="shared" si="84"/>
        <v>11</v>
      </c>
      <c r="BC193" s="37">
        <f t="shared" si="85"/>
        <v>12</v>
      </c>
      <c r="BD193" s="38">
        <f t="shared" si="86"/>
        <v>2060483432.7018716</v>
      </c>
      <c r="BE193" s="38">
        <f t="shared" si="87"/>
        <v>2063028024.5344379</v>
      </c>
      <c r="BF193" s="38" t="b">
        <f t="shared" si="88"/>
        <v>0</v>
      </c>
      <c r="BG193" s="37">
        <f t="array" ref="BG193:BQ193">IF(BF193,"",IVSolution($M193,$N193,$O193,BB193,BC193,BD193,BE193,$E193,$F193,$G193,$H193,$I193))</f>
        <v>2</v>
      </c>
      <c r="BH193" s="37">
        <v>38</v>
      </c>
      <c r="BI193" s="37">
        <v>38</v>
      </c>
      <c r="BJ193" s="39">
        <v>0.84444444444444444</v>
      </c>
      <c r="BK193" s="39">
        <v>0.84444444444444444</v>
      </c>
      <c r="BL193" s="37">
        <v>11</v>
      </c>
      <c r="BM193" s="37">
        <v>12</v>
      </c>
      <c r="BN193" s="37">
        <v>12</v>
      </c>
      <c r="BO193" s="37">
        <v>13</v>
      </c>
      <c r="BP193" s="37">
        <v>14</v>
      </c>
      <c r="BQ193" s="37">
        <v>14</v>
      </c>
      <c r="BR193" s="40">
        <f t="shared" si="89"/>
        <v>20.5</v>
      </c>
      <c r="BS193" s="36">
        <f>IFERROR(INDEX('Level Multiplier'!$D:$D,MATCH(BR193,'Level Multiplier'!$A:$A,0)),"")</f>
        <v>1.653387720177633</v>
      </c>
      <c r="BT193" s="37">
        <f t="shared" si="90"/>
        <v>9</v>
      </c>
      <c r="BU193" s="37">
        <f t="shared" si="91"/>
        <v>10</v>
      </c>
      <c r="BV193" s="38">
        <f t="shared" si="92"/>
        <v>1961231500.8223777</v>
      </c>
      <c r="BW193" s="38">
        <f t="shared" si="93"/>
        <v>1963653521.5868061</v>
      </c>
      <c r="BX193" s="38" t="b">
        <f t="shared" si="94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5"/>
        <v>20</v>
      </c>
      <c r="CK193" s="41">
        <f t="shared" si="96"/>
        <v>20</v>
      </c>
      <c r="CL193" s="39">
        <f t="shared" si="97"/>
        <v>0.84444444444444444</v>
      </c>
      <c r="CM193" s="39">
        <f t="shared" si="98"/>
        <v>0.84444444444444444</v>
      </c>
      <c r="CN193" s="42">
        <f t="shared" si="99"/>
        <v>11</v>
      </c>
      <c r="CO193" s="42">
        <f t="shared" si="100"/>
        <v>12</v>
      </c>
      <c r="CP193" s="42">
        <f t="shared" si="101"/>
        <v>12</v>
      </c>
      <c r="CQ193" s="42">
        <f t="shared" si="102"/>
        <v>13</v>
      </c>
      <c r="CR193" s="42">
        <f t="shared" si="103"/>
        <v>14</v>
      </c>
      <c r="CS193" s="42">
        <f t="shared" si="104"/>
        <v>14</v>
      </c>
      <c r="CT193" s="43" t="str">
        <f t="shared" si="105"/>
        <v>11-12</v>
      </c>
      <c r="CU193" s="43" t="str">
        <f t="shared" si="106"/>
        <v>12-13</v>
      </c>
      <c r="CV193" s="43">
        <f t="shared" si="107"/>
        <v>14</v>
      </c>
      <c r="CW193" s="13" t="s">
        <v>398</v>
      </c>
    </row>
    <row r="194" spans="1:101" x14ac:dyDescent="0.25">
      <c r="A194" s="31" t="s">
        <v>181</v>
      </c>
      <c r="B194" s="13">
        <v>1309</v>
      </c>
      <c r="C194" s="13">
        <v>103</v>
      </c>
      <c r="D194" s="13">
        <v>50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137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153</v>
      </c>
      <c r="O194" s="34">
        <f>IFERROR(INDEX('Pokemon Data'!K:K,MATCH($A194,'Pokemon Data'!$B:$B,0)),"")</f>
        <v>139</v>
      </c>
      <c r="P194" s="35">
        <f>IFERROR(INDEX('Level Multiplier'!$A:$A,MATCH($D194,'Level Multiplier'!$B:$B,0)),"")</f>
        <v>29</v>
      </c>
      <c r="Q194" s="36">
        <f>IFERROR(INDEX('Level Multiplier'!$D:$D,MATCH(P194,'Level Multiplier'!$A:$A,0)),"")</f>
        <v>1.3900490199396833</v>
      </c>
      <c r="R194" s="37">
        <f t="shared" si="72"/>
        <v>14</v>
      </c>
      <c r="S194" s="37">
        <f t="shared" si="73"/>
        <v>14</v>
      </c>
      <c r="T194" s="38">
        <f t="shared" si="74"/>
        <v>639734476.94976473</v>
      </c>
      <c r="U194" s="38">
        <f t="shared" si="75"/>
        <v>640712290.29880774</v>
      </c>
      <c r="V194" s="38" t="b">
        <f t="shared" si="76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7"/>
        <v>29.5</v>
      </c>
      <c r="AI194" s="36">
        <f>IFERROR(INDEX('Level Multiplier'!$D:$D,MATCH(AH194,'Level Multiplier'!$A:$A,0)),"")</f>
        <v>1.378223825401578</v>
      </c>
      <c r="AJ194" s="37">
        <f t="shared" si="78"/>
        <v>12</v>
      </c>
      <c r="AK194" s="37">
        <f t="shared" si="79"/>
        <v>13</v>
      </c>
      <c r="AL194" s="38">
        <f t="shared" si="80"/>
        <v>618241716.7036978</v>
      </c>
      <c r="AM194" s="38">
        <f t="shared" si="81"/>
        <v>619186679.06747484</v>
      </c>
      <c r="AN194" s="38" t="b">
        <f t="shared" si="82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3"/>
        <v>30</v>
      </c>
      <c r="BA194" s="36">
        <f>IFERROR(INDEX('Level Multiplier'!$D:$D,MATCH(AZ194,'Level Multiplier'!$A:$A,0)),"")</f>
        <v>1.3666803334700013</v>
      </c>
      <c r="BB194" s="37">
        <f t="shared" si="84"/>
        <v>11</v>
      </c>
      <c r="BC194" s="37">
        <f t="shared" si="85"/>
        <v>12</v>
      </c>
      <c r="BD194" s="38">
        <f t="shared" si="86"/>
        <v>597787835.11041296</v>
      </c>
      <c r="BE194" s="38">
        <f t="shared" si="87"/>
        <v>598701534.38116896</v>
      </c>
      <c r="BF194" s="38" t="b">
        <f t="shared" si="88"/>
        <v>0</v>
      </c>
      <c r="BG194" s="37">
        <f t="array" ref="BG194:BQ194">IF(BF194,"",IVSolution($M194,$N194,$O194,BB194,BC194,BD194,BE194,$E194,$F194,$G194,$H194,$I194))</f>
        <v>3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13</v>
      </c>
      <c r="BO194" s="37">
        <v>14</v>
      </c>
      <c r="BP194" s="37">
        <v>12</v>
      </c>
      <c r="BQ194" s="37">
        <v>15</v>
      </c>
      <c r="BR194" s="40">
        <f t="shared" si="89"/>
        <v>30.5</v>
      </c>
      <c r="BS194" s="36">
        <f>IFERROR(INDEX('Level Multiplier'!$D:$D,MATCH(BR194,'Level Multiplier'!$A:$A,0)),"")</f>
        <v>1.3610237998842938</v>
      </c>
      <c r="BT194" s="37">
        <f t="shared" si="90"/>
        <v>11</v>
      </c>
      <c r="BU194" s="37">
        <f t="shared" si="91"/>
        <v>11</v>
      </c>
      <c r="BV194" s="38">
        <f t="shared" si="92"/>
        <v>587952405.81817698</v>
      </c>
      <c r="BW194" s="38">
        <f t="shared" si="93"/>
        <v>588851071.95502818</v>
      </c>
      <c r="BX194" s="38" t="b">
        <f t="shared" si="94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5"/>
        <v>30</v>
      </c>
      <c r="CK194" s="41">
        <f t="shared" si="96"/>
        <v>30</v>
      </c>
      <c r="CL194" s="39">
        <f t="shared" si="97"/>
        <v>0.84444444444444444</v>
      </c>
      <c r="CM194" s="39">
        <f t="shared" si="98"/>
        <v>0.8666666666666667</v>
      </c>
      <c r="CN194" s="42">
        <f t="shared" si="99"/>
        <v>11</v>
      </c>
      <c r="CO194" s="42">
        <f t="shared" si="100"/>
        <v>12</v>
      </c>
      <c r="CP194" s="42">
        <f t="shared" si="101"/>
        <v>13</v>
      </c>
      <c r="CQ194" s="42">
        <f t="shared" si="102"/>
        <v>14</v>
      </c>
      <c r="CR194" s="42">
        <f t="shared" si="103"/>
        <v>12</v>
      </c>
      <c r="CS194" s="42">
        <f t="shared" si="104"/>
        <v>15</v>
      </c>
      <c r="CT194" s="43" t="str">
        <f t="shared" si="105"/>
        <v>11-12</v>
      </c>
      <c r="CU194" s="43" t="str">
        <f t="shared" si="106"/>
        <v>13-14</v>
      </c>
      <c r="CV194" s="43" t="str">
        <f t="shared" si="107"/>
        <v>12-15</v>
      </c>
      <c r="CW194" s="13" t="s">
        <v>399</v>
      </c>
    </row>
    <row r="195" spans="1:101" x14ac:dyDescent="0.25">
      <c r="A195" s="31" t="s">
        <v>183</v>
      </c>
      <c r="B195" s="13">
        <v>919</v>
      </c>
      <c r="C195" s="13">
        <v>54</v>
      </c>
      <c r="D195" s="13">
        <v>40</v>
      </c>
      <c r="E195" s="32" t="s">
        <v>3</v>
      </c>
      <c r="F195" s="32"/>
      <c r="G195" s="32">
        <v>1</v>
      </c>
      <c r="H195" s="32"/>
      <c r="I195" s="32" t="s">
        <v>3</v>
      </c>
      <c r="J195" s="13"/>
      <c r="K195" s="33"/>
      <c r="L195" s="34">
        <f>IFERROR(INDEX('Pokemon Data'!A:A,MATCH($A195,'Pokemon Data'!$B:$B,0)),"")</f>
        <v>138</v>
      </c>
      <c r="M195" s="34">
        <f>IFERROR(INDEX('Pokemon Data'!I:I,MATCH($A195,'Pokemon Data'!$B:$B,0)),"")</f>
        <v>70</v>
      </c>
      <c r="N195" s="34">
        <f>IFERROR(INDEX('Pokemon Data'!J:J,MATCH($A195,'Pokemon Data'!$B:$B,0)),"")</f>
        <v>155</v>
      </c>
      <c r="O195" s="34">
        <f>IFERROR(INDEX('Pokemon Data'!K:K,MATCH($A195,'Pokemon Data'!$B:$B,0)),"")</f>
        <v>174</v>
      </c>
      <c r="P195" s="35">
        <f>IFERROR(INDEX('Level Multiplier'!$A:$A,MATCH($D195,'Level Multiplier'!$B:$B,0)),"")</f>
        <v>25</v>
      </c>
      <c r="Q195" s="36">
        <f>IFERROR(INDEX('Level Multiplier'!$D:$D,MATCH(P195,'Level Multiplier'!$A:$A,0)),"")</f>
        <v>1.4971539104162985</v>
      </c>
      <c r="R195" s="37">
        <f t="shared" ref="R195:R258" si="108">IF(P195="","",IF($C195&gt;10,MAX(0,ROUNDUP(Q195*$C195-$M195,0)),0))</f>
        <v>11</v>
      </c>
      <c r="S195" s="37">
        <f t="shared" ref="S195:S258" si="109">IF(P195="","",MIN(15,ROUNDDOWN(Q195*($C195+1)-$M195,0)))</f>
        <v>12</v>
      </c>
      <c r="T195" s="38">
        <f t="shared" ref="T195:T258" si="110">IFERROR(IF($B195&gt;10,100*Q195^4*$B195^2,$N195^2*$O195*($M195+R195)),"")</f>
        <v>424323240.1477536</v>
      </c>
      <c r="U195" s="38">
        <f t="shared" ref="U195:U258" si="111">IFERROR(100*Q195^4*($B195+1)^2,"")</f>
        <v>425247188.13804883</v>
      </c>
      <c r="V195" s="38" t="b">
        <f t="shared" ref="V195:V258" si="112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0</v>
      </c>
      <c r="X195" s="37">
        <v>46</v>
      </c>
      <c r="Y195" s="37">
        <v>-1</v>
      </c>
      <c r="Z195" s="39">
        <v>1.0222222222222221</v>
      </c>
      <c r="AA195" s="39">
        <v>-2.2222222222222223E-2</v>
      </c>
      <c r="AB195" s="37">
        <v>16</v>
      </c>
      <c r="AC195" s="37">
        <v>-1</v>
      </c>
      <c r="AD195" s="37">
        <v>16</v>
      </c>
      <c r="AE195" s="37">
        <v>0</v>
      </c>
      <c r="AF195" s="37">
        <v>16</v>
      </c>
      <c r="AG195" s="37">
        <v>-1</v>
      </c>
      <c r="AH195" s="40">
        <f t="shared" ref="AH195:AH258" si="113">IFERROR(P195+0.5,"")</f>
        <v>25.5</v>
      </c>
      <c r="AI195" s="36">
        <f>IFERROR(INDEX('Level Multiplier'!$D:$D,MATCH(AH195,'Level Multiplier'!$A:$A,0)),"")</f>
        <v>1.4824092786238152</v>
      </c>
      <c r="AJ195" s="37">
        <f t="shared" ref="AJ195:AJ258" si="114">IF(AH195="","",IF($C195&gt;10,MAX(0,ROUNDUP(AI195*$C195-$M195,0)),0))</f>
        <v>11</v>
      </c>
      <c r="AK195" s="37">
        <f t="shared" ref="AK195:AK258" si="115">IF(AH195="","",MIN(15,ROUNDDOWN(AI195*($C195+1)-$M195,0)))</f>
        <v>11</v>
      </c>
      <c r="AL195" s="38">
        <f t="shared" ref="AL195:AL258" si="116">IFERROR(IF($B195&gt;10,100*AI195^4*$B195^2,$N195^2*$O195*($M195+AJ195)),"")</f>
        <v>407852868.67519015</v>
      </c>
      <c r="AM195" s="38">
        <f t="shared" ref="AM195:AM258" si="117">IFERROR(100*AI195^4*($B195+1)^2,"")</f>
        <v>408740953.04741865</v>
      </c>
      <c r="AN195" s="38" t="b">
        <f t="shared" ref="AN195:AN258" si="118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9">IFERROR(AH195+0.5,"")</f>
        <v>26</v>
      </c>
      <c r="BA195" s="36">
        <f>IFERROR(INDEX('Level Multiplier'!$D:$D,MATCH(AZ195,'Level Multiplier'!$A:$A,0)),"")</f>
        <v>1.4680732530970622</v>
      </c>
      <c r="BB195" s="37">
        <f t="shared" ref="BB195:BB258" si="120">IF(AZ195="","",IF($C195&gt;10,MAX(0,ROUNDUP(BA195*$C195-$M195,0)),0))</f>
        <v>10</v>
      </c>
      <c r="BC195" s="37">
        <f t="shared" ref="BC195:BC258" si="121">IF(AZ195="","",MIN(15,ROUNDDOWN(BA195*($C195+1)-$M195,0)))</f>
        <v>10</v>
      </c>
      <c r="BD195" s="38">
        <f t="shared" ref="BD195:BD258" si="122">IFERROR(IF($B195&gt;10,100*BA195^4*$B195^2,$N195^2*$O195*($M195+BB195)),"")</f>
        <v>392303269.84536844</v>
      </c>
      <c r="BE195" s="38">
        <f t="shared" ref="BE195:BE258" si="123">IFERROR(100*BA195^4*($B195+1)^2,"")</f>
        <v>393157495.5475328</v>
      </c>
      <c r="BF195" s="38" t="b">
        <f t="shared" ref="BF195:BF258" si="124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24</v>
      </c>
      <c r="BI195" s="37">
        <v>25</v>
      </c>
      <c r="BJ195" s="39">
        <v>0.53333333333333333</v>
      </c>
      <c r="BK195" s="39">
        <v>0.55555555555555558</v>
      </c>
      <c r="BL195" s="37">
        <v>10</v>
      </c>
      <c r="BM195" s="37">
        <v>10</v>
      </c>
      <c r="BN195" s="37">
        <v>11</v>
      </c>
      <c r="BO195" s="37">
        <v>12</v>
      </c>
      <c r="BP195" s="37">
        <v>2</v>
      </c>
      <c r="BQ195" s="37">
        <v>4</v>
      </c>
      <c r="BR195" s="40">
        <f t="shared" ref="BR195:BR258" si="125">IFERROR(AZ195+0.5,"")</f>
        <v>26.5</v>
      </c>
      <c r="BS195" s="36">
        <f>IFERROR(INDEX('Level Multiplier'!$D:$D,MATCH(BR195,'Level Multiplier'!$A:$A,0)),"")</f>
        <v>1.4541633575240582</v>
      </c>
      <c r="BT195" s="37">
        <f t="shared" ref="BT195:BT258" si="126">IF(BR195="","",IF($C195&gt;10,MAX(0,ROUNDUP(BS195*$C195-$M195,0)),0))</f>
        <v>9</v>
      </c>
      <c r="BU195" s="37">
        <f t="shared" ref="BU195:BU258" si="127">IF(BR195="","",MIN(15,ROUNDDOWN(BS195*($C195+1)-$M195,0)))</f>
        <v>9</v>
      </c>
      <c r="BV195" s="38">
        <f t="shared" ref="BV195:BV258" si="128">IFERROR(IF($B195&gt;10,100*BS195^4*$B195^2,$N195^2*$O195*($M195+BT195)),"")</f>
        <v>377645062.21868962</v>
      </c>
      <c r="BW195" s="38">
        <f t="shared" ref="BW195:BW258" si="129">IFERROR(100*BS195^4*($B195+1)^2,"")</f>
        <v>378467370.22180623</v>
      </c>
      <c r="BX195" s="38" t="b">
        <f t="shared" ref="BX195:BX258" si="130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1">IF(IFERROR(W195*1,0)&gt;0,P195,IF(IFERROR(AO195*1,0)&gt;0,AH195,IF(IFERROR(BG195*1,0)&gt;0,AZ195,IF(IFERROR(BY195*1,0)&gt;0,BR195,""))))</f>
        <v>26</v>
      </c>
      <c r="CK195" s="41">
        <f t="shared" ref="CK195:CK258" si="132">IF(IFERROR(BY195*1,0)&gt;0,BR195,IF(IFERROR(BG195*1,0)&gt;0,AZ195,IF(IFERROR(AO195*1,0)&gt;0,AH195,IF(IFERROR(W195*1,0)&gt;0,P195,""))))</f>
        <v>26</v>
      </c>
      <c r="CL195" s="39">
        <f t="shared" ref="CL195:CL258" si="133">IF(OR(CJ195="",CK195=""),"",MIN(Z195,AR195,BJ195,CB195))</f>
        <v>0.53333333333333333</v>
      </c>
      <c r="CM195" s="39">
        <f t="shared" ref="CM195:CM258" si="134">IF(OR(CJ195="",CK195=""),"",MAX(AA195,AS195,BK195,CC195))</f>
        <v>0.55555555555555558</v>
      </c>
      <c r="CN195" s="42">
        <f t="shared" ref="CN195:CN258" si="135">IF(OR(CJ195="",CK195=""),"",MIN(AB195,AT195,BL195,CD195))</f>
        <v>10</v>
      </c>
      <c r="CO195" s="42">
        <f t="shared" ref="CO195:CO258" si="136">IF(OR(CJ195="",CK195=""),"",MAX(AC195,AU195,BM195,CE195))</f>
        <v>10</v>
      </c>
      <c r="CP195" s="42">
        <f t="shared" ref="CP195:CP258" si="137">IF(OR(CJ195="",CK195=""),"",MIN(AD195,AV195,BN195,CF195))</f>
        <v>11</v>
      </c>
      <c r="CQ195" s="42">
        <f t="shared" ref="CQ195:CQ258" si="138">IF(OR(CJ195="",CK195=""),"",MAX(AE195,AW195,BO195,CG195))</f>
        <v>12</v>
      </c>
      <c r="CR195" s="42">
        <f t="shared" ref="CR195:CR258" si="139">IF(OR(CJ195="",CK195=""),"",MIN(AF195,AX195,BP195,CH195))</f>
        <v>2</v>
      </c>
      <c r="CS195" s="42">
        <f t="shared" ref="CS195:CS258" si="140">IF(OR(CJ195="",CK195=""),"",MAX(AG195,AY195,BQ195,CI195))</f>
        <v>4</v>
      </c>
      <c r="CT195" s="43">
        <f t="shared" ref="CT195:CT258" si="141">IF(CN195=CO195,CO195,CN195&amp;"-"&amp;CO195)</f>
        <v>10</v>
      </c>
      <c r="CU195" s="43" t="str">
        <f t="shared" ref="CU195:CU258" si="142">IF(CP195=CQ195,CQ195,CP195&amp;"-"&amp;CQ195)</f>
        <v>11-12</v>
      </c>
      <c r="CV195" s="43" t="str">
        <f t="shared" ref="CV195:CV258" si="143">IF(CR195=CS195,CS195,CR195&amp;"-"&amp;CS195)</f>
        <v>2-4</v>
      </c>
      <c r="CW195" s="13"/>
    </row>
    <row r="196" spans="1:101" x14ac:dyDescent="0.25">
      <c r="A196" s="31" t="s">
        <v>185</v>
      </c>
      <c r="B196" s="13">
        <v>373</v>
      </c>
      <c r="C196" s="13">
        <v>32</v>
      </c>
      <c r="D196" s="13">
        <v>13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140</v>
      </c>
      <c r="M196" s="34">
        <f>IFERROR(INDEX('Pokemon Data'!I:I,MATCH($A196,'Pokemon Data'!$B:$B,0)),"")</f>
        <v>60</v>
      </c>
      <c r="N196" s="34">
        <f>IFERROR(INDEX('Pokemon Data'!J:J,MATCH($A196,'Pokemon Data'!$B:$B,0)),"")</f>
        <v>148</v>
      </c>
      <c r="O196" s="34">
        <f>IFERROR(INDEX('Pokemon Data'!K:K,MATCH($A196,'Pokemon Data'!$B:$B,0)),"")</f>
        <v>162</v>
      </c>
      <c r="P196" s="35">
        <f>IFERROR(INDEX('Level Multiplier'!$A:$A,MATCH($D196,'Level Multiplier'!$B:$B,0)),"")</f>
        <v>11</v>
      </c>
      <c r="Q196" s="36">
        <f>IFERROR(INDEX('Level Multiplier'!$D:$D,MATCH(P196,'Level Multiplier'!$A:$A,0)),"")</f>
        <v>2.2567884478610214</v>
      </c>
      <c r="R196" s="37">
        <f t="shared" si="108"/>
        <v>13</v>
      </c>
      <c r="S196" s="37">
        <f t="shared" si="109"/>
        <v>14</v>
      </c>
      <c r="T196" s="38">
        <f t="shared" si="110"/>
        <v>360895165.11922085</v>
      </c>
      <c r="U196" s="38">
        <f t="shared" si="111"/>
        <v>362832853.79910827</v>
      </c>
      <c r="V196" s="38" t="b">
        <f t="shared" si="112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3"/>
        <v>11.5</v>
      </c>
      <c r="AI196" s="36">
        <f>IFERROR(INDEX('Level Multiplier'!$D:$D,MATCH(AH196,'Level Multiplier'!$A:$A,0)),"")</f>
        <v>2.2072133782377708</v>
      </c>
      <c r="AJ196" s="37">
        <f t="shared" si="114"/>
        <v>11</v>
      </c>
      <c r="AK196" s="37">
        <f t="shared" si="115"/>
        <v>12</v>
      </c>
      <c r="AL196" s="38">
        <f t="shared" si="116"/>
        <v>330213590.0430308</v>
      </c>
      <c r="AM196" s="38">
        <f t="shared" si="117"/>
        <v>331986545.72992676</v>
      </c>
      <c r="AN196" s="38" t="b">
        <f t="shared" si="118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9"/>
        <v>12</v>
      </c>
      <c r="BA196" s="36">
        <f>IFERROR(INDEX('Level Multiplier'!$D:$D,MATCH(AZ196,'Level Multiplier'!$A:$A,0)),"")</f>
        <v>2.1607681046600011</v>
      </c>
      <c r="BB196" s="37">
        <f t="shared" si="120"/>
        <v>10</v>
      </c>
      <c r="BC196" s="37">
        <f t="shared" si="121"/>
        <v>11</v>
      </c>
      <c r="BD196" s="38">
        <f t="shared" si="122"/>
        <v>303284563.20832533</v>
      </c>
      <c r="BE196" s="38">
        <f t="shared" si="123"/>
        <v>304912933.77604747</v>
      </c>
      <c r="BF196" s="38" t="b">
        <f t="shared" si="124"/>
        <v>0</v>
      </c>
      <c r="BG196" s="37">
        <f t="array" ref="BG196:BQ196">IF(BF196,"",IVSolution($M196,$N196,$O196,BB196,BC196,BD196,BE196,$E196,$F196,$G196,$H196,$I196))</f>
        <v>12</v>
      </c>
      <c r="BH196" s="37">
        <v>26</v>
      </c>
      <c r="BI196" s="37">
        <v>33</v>
      </c>
      <c r="BJ196" s="39">
        <v>0.57777777777777772</v>
      </c>
      <c r="BK196" s="39">
        <v>0.73333333333333328</v>
      </c>
      <c r="BL196" s="37">
        <v>10</v>
      </c>
      <c r="BM196" s="37">
        <v>11</v>
      </c>
      <c r="BN196" s="37">
        <v>8</v>
      </c>
      <c r="BO196" s="37">
        <v>14</v>
      </c>
      <c r="BP196" s="37">
        <v>1</v>
      </c>
      <c r="BQ196" s="37">
        <v>14</v>
      </c>
      <c r="BR196" s="40">
        <f t="shared" si="125"/>
        <v>12.5</v>
      </c>
      <c r="BS196" s="36">
        <f>IFERROR(INDEX('Level Multiplier'!$D:$D,MATCH(BR196,'Level Multiplier'!$A:$A,0)),"")</f>
        <v>2.1171365813269869</v>
      </c>
      <c r="BT196" s="37">
        <f t="shared" si="126"/>
        <v>8</v>
      </c>
      <c r="BU196" s="37">
        <f t="shared" si="127"/>
        <v>9</v>
      </c>
      <c r="BV196" s="38">
        <f t="shared" si="128"/>
        <v>279520180.85415053</v>
      </c>
      <c r="BW196" s="38">
        <f t="shared" si="129"/>
        <v>281020957.65192854</v>
      </c>
      <c r="BX196" s="38" t="b">
        <f t="shared" si="130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1"/>
        <v>12</v>
      </c>
      <c r="CK196" s="41">
        <f t="shared" si="132"/>
        <v>12</v>
      </c>
      <c r="CL196" s="39">
        <f t="shared" si="133"/>
        <v>0.57777777777777772</v>
      </c>
      <c r="CM196" s="39">
        <f t="shared" si="134"/>
        <v>0.73333333333333328</v>
      </c>
      <c r="CN196" s="42">
        <f t="shared" si="135"/>
        <v>10</v>
      </c>
      <c r="CO196" s="42">
        <f t="shared" si="136"/>
        <v>11</v>
      </c>
      <c r="CP196" s="42">
        <f t="shared" si="137"/>
        <v>8</v>
      </c>
      <c r="CQ196" s="42">
        <f t="shared" si="138"/>
        <v>14</v>
      </c>
      <c r="CR196" s="42">
        <f t="shared" si="139"/>
        <v>1</v>
      </c>
      <c r="CS196" s="42">
        <f t="shared" si="140"/>
        <v>14</v>
      </c>
      <c r="CT196" s="43" t="str">
        <f t="shared" si="141"/>
        <v>10-11</v>
      </c>
      <c r="CU196" s="43" t="str">
        <f t="shared" si="142"/>
        <v>8-14</v>
      </c>
      <c r="CV196" s="43" t="str">
        <f t="shared" si="143"/>
        <v>1-14</v>
      </c>
      <c r="CW196" s="13"/>
    </row>
    <row r="197" spans="1:101" x14ac:dyDescent="0.25">
      <c r="A197" s="31" t="s">
        <v>187</v>
      </c>
      <c r="B197" s="13">
        <v>1448</v>
      </c>
      <c r="C197" s="13">
        <v>101</v>
      </c>
      <c r="D197" s="13">
        <v>25</v>
      </c>
      <c r="E197" s="32"/>
      <c r="F197" s="32"/>
      <c r="G197" s="32"/>
      <c r="H197" s="32"/>
      <c r="I197" s="32"/>
      <c r="J197" s="13"/>
      <c r="K197" s="33"/>
      <c r="L197" s="34">
        <f>IFERROR(INDEX('Pokemon Data'!A:A,MATCH($A197,'Pokemon Data'!$B:$B,0)),"")</f>
        <v>142</v>
      </c>
      <c r="M197" s="34">
        <f>IFERROR(INDEX('Pokemon Data'!I:I,MATCH($A197,'Pokemon Data'!$B:$B,0)),"")</f>
        <v>160</v>
      </c>
      <c r="N197" s="34">
        <f>IFERROR(INDEX('Pokemon Data'!J:J,MATCH($A197,'Pokemon Data'!$B:$B,0)),"")</f>
        <v>221</v>
      </c>
      <c r="O197" s="34">
        <f>IFERROR(INDEX('Pokemon Data'!K:K,MATCH($A197,'Pokemon Data'!$B:$B,0)),"")</f>
        <v>164</v>
      </c>
      <c r="P197" s="35">
        <f>IFERROR(INDEX('Level Multiplier'!$A:$A,MATCH($D197,'Level Multiplier'!$B:$B,0)),"")</f>
        <v>19</v>
      </c>
      <c r="Q197" s="36">
        <f>IFERROR(INDEX('Level Multiplier'!$D:$D,MATCH(P197,'Level Multiplier'!$A:$A,0)),"")</f>
        <v>1.7173900390793821</v>
      </c>
      <c r="R197" s="37">
        <f t="shared" si="108"/>
        <v>14</v>
      </c>
      <c r="S197" s="37">
        <f t="shared" si="109"/>
        <v>15</v>
      </c>
      <c r="T197" s="38">
        <f t="shared" si="110"/>
        <v>1823949804.6432171</v>
      </c>
      <c r="U197" s="38">
        <f t="shared" si="111"/>
        <v>1826469942.2420635</v>
      </c>
      <c r="V197" s="38" t="b">
        <f t="shared" si="112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3"/>
        <v>19.5</v>
      </c>
      <c r="AI197" s="36">
        <f>IFERROR(INDEX('Level Multiplier'!$D:$D,MATCH(AH197,'Level Multiplier'!$A:$A,0)),"")</f>
        <v>1.6952373004785586</v>
      </c>
      <c r="AJ197" s="37">
        <f t="shared" si="114"/>
        <v>12</v>
      </c>
      <c r="AK197" s="37">
        <f t="shared" si="115"/>
        <v>12</v>
      </c>
      <c r="AL197" s="38">
        <f t="shared" si="116"/>
        <v>1731646032.790606</v>
      </c>
      <c r="AM197" s="38">
        <f t="shared" si="117"/>
        <v>1734038634.9685931</v>
      </c>
      <c r="AN197" s="38" t="b">
        <f t="shared" si="118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9"/>
        <v>20</v>
      </c>
      <c r="BA197" s="36">
        <f>IFERROR(INDEX('Level Multiplier'!$D:$D,MATCH(AZ197,'Level Multiplier'!$A:$A,0)),"")</f>
        <v>1.6739202933726098</v>
      </c>
      <c r="BB197" s="37">
        <f t="shared" si="120"/>
        <v>10</v>
      </c>
      <c r="BC197" s="37">
        <f t="shared" si="121"/>
        <v>10</v>
      </c>
      <c r="BD197" s="38">
        <f t="shared" si="122"/>
        <v>1646175832.6778483</v>
      </c>
      <c r="BE197" s="38">
        <f t="shared" si="123"/>
        <v>1648450341.3291733</v>
      </c>
      <c r="BF197" s="38" t="b">
        <f t="shared" si="124"/>
        <v>0</v>
      </c>
      <c r="BG197" s="37">
        <f t="array" ref="BG197:BQ197">IF(BF197,"",IVSolution($M197,$N197,$O197,BB197,BC197,BD197,BE197,$E197,$F197,$G197,$H197,$I197))</f>
        <v>2</v>
      </c>
      <c r="BH197" s="37">
        <v>35</v>
      </c>
      <c r="BI197" s="37">
        <v>36</v>
      </c>
      <c r="BJ197" s="39">
        <v>0.77777777777777779</v>
      </c>
      <c r="BK197" s="39">
        <v>0.8</v>
      </c>
      <c r="BL197" s="37">
        <v>10</v>
      </c>
      <c r="BM197" s="37">
        <v>10</v>
      </c>
      <c r="BN197" s="37">
        <v>13</v>
      </c>
      <c r="BO197" s="37">
        <v>15</v>
      </c>
      <c r="BP197" s="37">
        <v>10</v>
      </c>
      <c r="BQ197" s="37">
        <v>13</v>
      </c>
      <c r="BR197" s="40">
        <f t="shared" si="125"/>
        <v>20.5</v>
      </c>
      <c r="BS197" s="36">
        <f>IFERROR(INDEX('Level Multiplier'!$D:$D,MATCH(BR197,'Level Multiplier'!$A:$A,0)),"")</f>
        <v>1.653387720177633</v>
      </c>
      <c r="BT197" s="37">
        <f t="shared" si="126"/>
        <v>7</v>
      </c>
      <c r="BU197" s="37">
        <f t="shared" si="127"/>
        <v>8</v>
      </c>
      <c r="BV197" s="38">
        <f t="shared" si="128"/>
        <v>1566880785.2081554</v>
      </c>
      <c r="BW197" s="38">
        <f t="shared" si="129"/>
        <v>1569045732.4943473</v>
      </c>
      <c r="BX197" s="38" t="b">
        <f t="shared" si="130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1"/>
        <v>20</v>
      </c>
      <c r="CK197" s="41">
        <f t="shared" si="132"/>
        <v>20</v>
      </c>
      <c r="CL197" s="39">
        <f t="shared" si="133"/>
        <v>0.77777777777777779</v>
      </c>
      <c r="CM197" s="39">
        <f t="shared" si="134"/>
        <v>0.8</v>
      </c>
      <c r="CN197" s="42">
        <f t="shared" si="135"/>
        <v>10</v>
      </c>
      <c r="CO197" s="42">
        <f t="shared" si="136"/>
        <v>10</v>
      </c>
      <c r="CP197" s="42">
        <f t="shared" si="137"/>
        <v>13</v>
      </c>
      <c r="CQ197" s="42">
        <f t="shared" si="138"/>
        <v>15</v>
      </c>
      <c r="CR197" s="42">
        <f t="shared" si="139"/>
        <v>10</v>
      </c>
      <c r="CS197" s="42">
        <f t="shared" si="140"/>
        <v>13</v>
      </c>
      <c r="CT197" s="43">
        <f t="shared" si="141"/>
        <v>10</v>
      </c>
      <c r="CU197" s="43" t="str">
        <f t="shared" si="142"/>
        <v>13-15</v>
      </c>
      <c r="CV197" s="43" t="str">
        <f t="shared" si="143"/>
        <v>10-13</v>
      </c>
      <c r="CW197" s="13" t="s">
        <v>409</v>
      </c>
    </row>
    <row r="198" spans="1:101" x14ac:dyDescent="0.25">
      <c r="A198" s="31" t="s">
        <v>188</v>
      </c>
      <c r="B198" s="13">
        <v>2853</v>
      </c>
      <c r="C198" s="13">
        <v>243</v>
      </c>
      <c r="D198" s="13">
        <v>50</v>
      </c>
      <c r="E198" s="32"/>
      <c r="F198" s="32"/>
      <c r="G198" s="32"/>
      <c r="H198" s="32"/>
      <c r="I198" s="32"/>
      <c r="J198" s="13">
        <v>1</v>
      </c>
      <c r="K198" s="33"/>
      <c r="L198" s="34">
        <f>IFERROR(INDEX('Pokemon Data'!A:A,MATCH($A198,'Pokemon Data'!$B:$B,0)),"")</f>
        <v>143</v>
      </c>
      <c r="M198" s="34">
        <f>IFERROR(INDEX('Pokemon Data'!I:I,MATCH($A198,'Pokemon Data'!$B:$B,0)),"")</f>
        <v>320</v>
      </c>
      <c r="N198" s="34">
        <f>IFERROR(INDEX('Pokemon Data'!J:J,MATCH($A198,'Pokemon Data'!$B:$B,0)),"")</f>
        <v>190</v>
      </c>
      <c r="O198" s="34">
        <f>IFERROR(INDEX('Pokemon Data'!K:K,MATCH($A198,'Pokemon Data'!$B:$B,0)),"")</f>
        <v>190</v>
      </c>
      <c r="P198" s="35">
        <f>IFERROR(INDEX('Level Multiplier'!$A:$A,MATCH($D198,'Level Multiplier'!$B:$B,0)),"")</f>
        <v>29</v>
      </c>
      <c r="Q198" s="36">
        <f>IFERROR(INDEX('Level Multiplier'!$D:$D,MATCH(P198,'Level Multiplier'!$A:$A,0)),"")</f>
        <v>1.3900490199396833</v>
      </c>
      <c r="R198" s="37">
        <f t="shared" si="108"/>
        <v>18</v>
      </c>
      <c r="S198" s="37">
        <f t="shared" si="109"/>
        <v>15</v>
      </c>
      <c r="T198" s="38">
        <f t="shared" si="110"/>
        <v>3038953163.8755245</v>
      </c>
      <c r="U198" s="38">
        <f t="shared" si="111"/>
        <v>3041083893.4604759</v>
      </c>
      <c r="V198" s="38" t="b">
        <f t="shared" si="112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3"/>
        <v>29.5</v>
      </c>
      <c r="AI198" s="36">
        <f>IFERROR(INDEX('Level Multiplier'!$D:$D,MATCH(AH198,'Level Multiplier'!$A:$A,0)),"")</f>
        <v>1.378223825401578</v>
      </c>
      <c r="AJ198" s="37">
        <f t="shared" si="114"/>
        <v>15</v>
      </c>
      <c r="AK198" s="37">
        <f t="shared" si="115"/>
        <v>15</v>
      </c>
      <c r="AL198" s="38">
        <f t="shared" si="116"/>
        <v>2936855349.6985779</v>
      </c>
      <c r="AM198" s="38">
        <f t="shared" si="117"/>
        <v>2938914494.4905119</v>
      </c>
      <c r="AN198" s="38" t="b">
        <f t="shared" si="118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9"/>
        <v>30</v>
      </c>
      <c r="BA198" s="36">
        <f>IFERROR(INDEX('Level Multiplier'!$D:$D,MATCH(AZ198,'Level Multiplier'!$A:$A,0)),"")</f>
        <v>1.3666803334700013</v>
      </c>
      <c r="BB198" s="37">
        <f t="shared" si="120"/>
        <v>13</v>
      </c>
      <c r="BC198" s="37">
        <f t="shared" si="121"/>
        <v>13</v>
      </c>
      <c r="BD198" s="38">
        <f t="shared" si="122"/>
        <v>2839692557.2884865</v>
      </c>
      <c r="BE198" s="38">
        <f t="shared" si="123"/>
        <v>2841683577.4252582</v>
      </c>
      <c r="BF198" s="38" t="b">
        <f t="shared" si="124"/>
        <v>0</v>
      </c>
      <c r="BG198" s="37">
        <f t="array" ref="BG198:BQ198">IF(BF198,"",IVSolution($M198,$N198,$O198,BB198,BC198,BD198,BE198,$E198,$F198,$G198,$H198,$I198))</f>
        <v>2</v>
      </c>
      <c r="BH198" s="37">
        <v>41</v>
      </c>
      <c r="BI198" s="37">
        <v>42</v>
      </c>
      <c r="BJ198" s="39">
        <v>0.91111111111111109</v>
      </c>
      <c r="BK198" s="39">
        <v>0.93333333333333335</v>
      </c>
      <c r="BL198" s="37">
        <v>13</v>
      </c>
      <c r="BM198" s="37">
        <v>13</v>
      </c>
      <c r="BN198" s="37">
        <v>14</v>
      </c>
      <c r="BO198" s="37">
        <v>15</v>
      </c>
      <c r="BP198" s="37">
        <v>13</v>
      </c>
      <c r="BQ198" s="37">
        <v>15</v>
      </c>
      <c r="BR198" s="40">
        <f t="shared" si="125"/>
        <v>30.5</v>
      </c>
      <c r="BS198" s="36">
        <f>IFERROR(INDEX('Level Multiplier'!$D:$D,MATCH(BR198,'Level Multiplier'!$A:$A,0)),"")</f>
        <v>1.3610237998842938</v>
      </c>
      <c r="BT198" s="37">
        <f t="shared" si="126"/>
        <v>11</v>
      </c>
      <c r="BU198" s="37">
        <f t="shared" si="127"/>
        <v>12</v>
      </c>
      <c r="BV198" s="38">
        <f t="shared" si="128"/>
        <v>2792970971.9391613</v>
      </c>
      <c r="BW198" s="38">
        <f t="shared" si="129"/>
        <v>2794929233.7348886</v>
      </c>
      <c r="BX198" s="38" t="b">
        <f t="shared" si="130"/>
        <v>0</v>
      </c>
      <c r="BY198" s="37">
        <f t="array" ref="BY198:CI198">IF(BX198,"",IVSolution($M198,$N198,$O198,BT198,BU198,BV198,BW198,$E198,$F198,$G198,$H198,$I198))</f>
        <v>0</v>
      </c>
      <c r="BZ198" s="37">
        <v>46</v>
      </c>
      <c r="CA198" s="37">
        <v>-1</v>
      </c>
      <c r="CB198" s="39">
        <v>1.0222222222222221</v>
      </c>
      <c r="CC198" s="39">
        <v>-2.2222222222222223E-2</v>
      </c>
      <c r="CD198" s="37">
        <v>16</v>
      </c>
      <c r="CE198" s="37">
        <v>-1</v>
      </c>
      <c r="CF198" s="37">
        <v>16</v>
      </c>
      <c r="CG198" s="37">
        <v>0</v>
      </c>
      <c r="CH198" s="37">
        <v>16</v>
      </c>
      <c r="CI198" s="37">
        <v>-1</v>
      </c>
      <c r="CJ198" s="41">
        <f t="shared" si="131"/>
        <v>30</v>
      </c>
      <c r="CK198" s="41">
        <f t="shared" si="132"/>
        <v>30</v>
      </c>
      <c r="CL198" s="39">
        <f t="shared" si="133"/>
        <v>0.91111111111111109</v>
      </c>
      <c r="CM198" s="39">
        <f t="shared" si="134"/>
        <v>0.93333333333333335</v>
      </c>
      <c r="CN198" s="42">
        <f t="shared" si="135"/>
        <v>13</v>
      </c>
      <c r="CO198" s="42">
        <f t="shared" si="136"/>
        <v>13</v>
      </c>
      <c r="CP198" s="42">
        <f t="shared" si="137"/>
        <v>14</v>
      </c>
      <c r="CQ198" s="42">
        <f t="shared" si="138"/>
        <v>15</v>
      </c>
      <c r="CR198" s="42">
        <f t="shared" si="139"/>
        <v>13</v>
      </c>
      <c r="CS198" s="42">
        <f t="shared" si="140"/>
        <v>15</v>
      </c>
      <c r="CT198" s="43">
        <f t="shared" si="141"/>
        <v>13</v>
      </c>
      <c r="CU198" s="43" t="str">
        <f t="shared" si="142"/>
        <v>14-15</v>
      </c>
      <c r="CV198" s="43" t="str">
        <f t="shared" si="143"/>
        <v>13-15</v>
      </c>
      <c r="CW198" s="13" t="s">
        <v>403</v>
      </c>
    </row>
    <row r="199" spans="1:101" x14ac:dyDescent="0.25">
      <c r="A199" s="31" t="s">
        <v>192</v>
      </c>
      <c r="B199" s="13">
        <v>637</v>
      </c>
      <c r="C199" s="13">
        <v>66</v>
      </c>
      <c r="D199" s="13">
        <v>45</v>
      </c>
      <c r="E199" s="32"/>
      <c r="F199" s="32"/>
      <c r="G199" s="32"/>
      <c r="H199" s="32"/>
      <c r="I199" s="32"/>
      <c r="J199" s="13"/>
      <c r="K199" s="33">
        <v>28</v>
      </c>
      <c r="L199" s="34">
        <f>IFERROR(INDEX('Pokemon Data'!A:A,MATCH($A199,'Pokemon Data'!$B:$B,0)),"")</f>
        <v>147</v>
      </c>
      <c r="M199" s="34">
        <f>IFERROR(INDEX('Pokemon Data'!I:I,MATCH($A199,'Pokemon Data'!$B:$B,0)),"")</f>
        <v>82</v>
      </c>
      <c r="N199" s="34">
        <f>IFERROR(INDEX('Pokemon Data'!J:J,MATCH($A199,'Pokemon Data'!$B:$B,0)),"")</f>
        <v>119</v>
      </c>
      <c r="O199" s="34">
        <f>IFERROR(INDEX('Pokemon Data'!K:K,MATCH($A199,'Pokemon Data'!$B:$B,0)),"")</f>
        <v>94</v>
      </c>
      <c r="P199" s="35">
        <f>IFERROR(INDEX('Level Multiplier'!$A:$A,MATCH($D199,'Level Multiplier'!$B:$B,0)),"")</f>
        <v>27</v>
      </c>
      <c r="Q199" s="36">
        <f>IFERROR(INDEX('Level Multiplier'!$D:$D,MATCH(P199,'Level Multiplier'!$A:$A,0)),"")</f>
        <v>1.4406239976408342</v>
      </c>
      <c r="R199" s="37">
        <f t="shared" si="108"/>
        <v>14</v>
      </c>
      <c r="S199" s="37">
        <f t="shared" si="109"/>
        <v>14</v>
      </c>
      <c r="T199" s="38">
        <f t="shared" si="110"/>
        <v>174775858.57688034</v>
      </c>
      <c r="U199" s="38">
        <f t="shared" si="111"/>
        <v>175325036.11307833</v>
      </c>
      <c r="V199" s="38" t="b">
        <f t="shared" si="112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3"/>
        <v>27.5</v>
      </c>
      <c r="AI199" s="36">
        <f>IFERROR(INDEX('Level Multiplier'!$D:$D,MATCH(AH199,'Level Multiplier'!$A:$A,0)),"")</f>
        <v>1.4274729412404619</v>
      </c>
      <c r="AJ199" s="37">
        <f t="shared" si="114"/>
        <v>13</v>
      </c>
      <c r="AK199" s="37">
        <f t="shared" si="115"/>
        <v>13</v>
      </c>
      <c r="AL199" s="38">
        <f t="shared" si="116"/>
        <v>168480795.03595123</v>
      </c>
      <c r="AM199" s="38">
        <f t="shared" si="117"/>
        <v>169010192.33754605</v>
      </c>
      <c r="AN199" s="38" t="b">
        <f t="shared" si="118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9"/>
        <v>28</v>
      </c>
      <c r="BA199" s="36">
        <f>IFERROR(INDEX('Level Multiplier'!$D:$D,MATCH(AZ199,'Level Multiplier'!$A:$A,0)),"")</f>
        <v>1.4146588449047404</v>
      </c>
      <c r="BB199" s="37">
        <f t="shared" si="120"/>
        <v>12</v>
      </c>
      <c r="BC199" s="37">
        <f t="shared" si="121"/>
        <v>12</v>
      </c>
      <c r="BD199" s="38">
        <f t="shared" si="122"/>
        <v>162512114.74109328</v>
      </c>
      <c r="BE199" s="38">
        <f t="shared" si="123"/>
        <v>163022757.36360729</v>
      </c>
      <c r="BF199" s="38" t="b">
        <f t="shared" si="124"/>
        <v>0</v>
      </c>
      <c r="BG199" s="37">
        <f t="array" ref="BG199:BQ199">IF(BF199,"",IVSolution($M199,$N199,$O199,BB199,BC199,BD199,BE199,$E199,$F199,$G199,$H199,$I199))</f>
        <v>4</v>
      </c>
      <c r="BH199" s="37">
        <v>30</v>
      </c>
      <c r="BI199" s="37">
        <v>34</v>
      </c>
      <c r="BJ199" s="39">
        <v>0.66666666666666663</v>
      </c>
      <c r="BK199" s="39">
        <v>0.75555555555555554</v>
      </c>
      <c r="BL199" s="37">
        <v>12</v>
      </c>
      <c r="BM199" s="37">
        <v>12</v>
      </c>
      <c r="BN199" s="37">
        <v>7</v>
      </c>
      <c r="BO199" s="37">
        <v>14</v>
      </c>
      <c r="BP199" s="37">
        <v>4</v>
      </c>
      <c r="BQ199" s="37">
        <v>15</v>
      </c>
      <c r="BR199" s="40">
        <f t="shared" si="125"/>
        <v>28.5</v>
      </c>
      <c r="BS199" s="36">
        <f>IFERROR(INDEX('Level Multiplier'!$D:$D,MATCH(BR199,'Level Multiplier'!$A:$A,0)),"")</f>
        <v>1.4022000597460618</v>
      </c>
      <c r="BT199" s="37">
        <f t="shared" si="126"/>
        <v>11</v>
      </c>
      <c r="BU199" s="37">
        <f t="shared" si="127"/>
        <v>11</v>
      </c>
      <c r="BV199" s="38">
        <f t="shared" si="128"/>
        <v>156862376.28727603</v>
      </c>
      <c r="BW199" s="38">
        <f t="shared" si="129"/>
        <v>157355266.4039835</v>
      </c>
      <c r="BX199" s="38" t="b">
        <f t="shared" si="130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1"/>
        <v>28</v>
      </c>
      <c r="CK199" s="41">
        <f t="shared" si="132"/>
        <v>28</v>
      </c>
      <c r="CL199" s="39">
        <f t="shared" si="133"/>
        <v>0.66666666666666663</v>
      </c>
      <c r="CM199" s="39">
        <f t="shared" si="134"/>
        <v>0.75555555555555554</v>
      </c>
      <c r="CN199" s="42">
        <f t="shared" si="135"/>
        <v>12</v>
      </c>
      <c r="CO199" s="42">
        <f t="shared" si="136"/>
        <v>12</v>
      </c>
      <c r="CP199" s="42">
        <f t="shared" si="137"/>
        <v>7</v>
      </c>
      <c r="CQ199" s="42">
        <f t="shared" si="138"/>
        <v>14</v>
      </c>
      <c r="CR199" s="42">
        <f t="shared" si="139"/>
        <v>4</v>
      </c>
      <c r="CS199" s="42">
        <f t="shared" si="140"/>
        <v>15</v>
      </c>
      <c r="CT199" s="43">
        <f t="shared" si="141"/>
        <v>12</v>
      </c>
      <c r="CU199" s="43" t="str">
        <f t="shared" si="142"/>
        <v>7-14</v>
      </c>
      <c r="CV199" s="43" t="str">
        <f t="shared" si="143"/>
        <v>4-15</v>
      </c>
      <c r="CW199" s="13"/>
    </row>
    <row r="200" spans="1:101" x14ac:dyDescent="0.25">
      <c r="A200" s="31" t="s">
        <v>192</v>
      </c>
      <c r="B200" s="13">
        <v>421</v>
      </c>
      <c r="C200" s="13">
        <v>54</v>
      </c>
      <c r="D200" s="13">
        <v>22</v>
      </c>
      <c r="E200" s="32"/>
      <c r="F200" s="32"/>
      <c r="G200" s="32"/>
      <c r="H200" s="32"/>
      <c r="I200" s="32"/>
      <c r="J200" s="13"/>
      <c r="K200" s="33"/>
      <c r="L200" s="34">
        <f>IFERROR(INDEX('Pokemon Data'!A:A,MATCH($A200,'Pokemon Data'!$B:$B,0)),"")</f>
        <v>147</v>
      </c>
      <c r="M200" s="34">
        <f>IFERROR(INDEX('Pokemon Data'!I:I,MATCH($A200,'Pokemon Data'!$B:$B,0)),"")</f>
        <v>82</v>
      </c>
      <c r="N200" s="34">
        <f>IFERROR(INDEX('Pokemon Data'!J:J,MATCH($A200,'Pokemon Data'!$B:$B,0)),"")</f>
        <v>119</v>
      </c>
      <c r="O200" s="34">
        <f>IFERROR(INDEX('Pokemon Data'!K:K,MATCH($A200,'Pokemon Data'!$B:$B,0)),"")</f>
        <v>94</v>
      </c>
      <c r="P200" s="35">
        <f>IFERROR(INDEX('Level Multiplier'!$A:$A,MATCH($D200,'Level Multiplier'!$B:$B,0)),"")</f>
        <v>17</v>
      </c>
      <c r="Q200" s="36">
        <f>IFERROR(INDEX('Level Multiplier'!$D:$D,MATCH(P200,'Level Multiplier'!$A:$A,0)),"")</f>
        <v>1.8155651266904069</v>
      </c>
      <c r="R200" s="37">
        <f t="shared" si="108"/>
        <v>17</v>
      </c>
      <c r="S200" s="37">
        <f t="shared" si="109"/>
        <v>15</v>
      </c>
      <c r="T200" s="38">
        <f t="shared" si="110"/>
        <v>192580149.99272826</v>
      </c>
      <c r="U200" s="38">
        <f t="shared" si="111"/>
        <v>193496106.60798022</v>
      </c>
      <c r="V200" s="38" t="b">
        <f t="shared" si="112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3"/>
        <v>17.5</v>
      </c>
      <c r="AI200" s="36">
        <f>IFERROR(INDEX('Level Multiplier'!$D:$D,MATCH(AH200,'Level Multiplier'!$A:$A,0)),"")</f>
        <v>1.7894511197969956</v>
      </c>
      <c r="AJ200" s="37">
        <f t="shared" si="114"/>
        <v>15</v>
      </c>
      <c r="AK200" s="37">
        <f t="shared" si="115"/>
        <v>15</v>
      </c>
      <c r="AL200" s="38">
        <f t="shared" si="116"/>
        <v>181737082.09711352</v>
      </c>
      <c r="AM200" s="38">
        <f t="shared" si="117"/>
        <v>182601466.52401173</v>
      </c>
      <c r="AN200" s="38" t="b">
        <f t="shared" si="118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9"/>
        <v>18</v>
      </c>
      <c r="BA200" s="36">
        <f>IFERROR(INDEX('Level Multiplier'!$D:$D,MATCH(AZ200,'Level Multiplier'!$A:$A,0)),"")</f>
        <v>1.7644323330672333</v>
      </c>
      <c r="BB200" s="37">
        <f t="shared" si="120"/>
        <v>14</v>
      </c>
      <c r="BC200" s="37">
        <f t="shared" si="121"/>
        <v>15</v>
      </c>
      <c r="BD200" s="38">
        <f t="shared" si="122"/>
        <v>171784597.64409521</v>
      </c>
      <c r="BE200" s="38">
        <f t="shared" si="123"/>
        <v>172601645.7075454</v>
      </c>
      <c r="BF200" s="38" t="b">
        <f t="shared" si="124"/>
        <v>0</v>
      </c>
      <c r="BG200" s="37">
        <f t="array" ref="BG200:BQ200">IF(BF200,"",IVSolution($M200,$N200,$O200,BB200,BC200,BD200,BE200,$E200,$F200,$G200,$H200,$I200))</f>
        <v>7</v>
      </c>
      <c r="BH200" s="37">
        <v>35</v>
      </c>
      <c r="BI200" s="37">
        <v>38</v>
      </c>
      <c r="BJ200" s="39">
        <v>0.77777777777777779</v>
      </c>
      <c r="BK200" s="39">
        <v>0.84444444444444444</v>
      </c>
      <c r="BL200" s="37">
        <v>14</v>
      </c>
      <c r="BM200" s="37">
        <v>15</v>
      </c>
      <c r="BN200" s="37">
        <v>10</v>
      </c>
      <c r="BO200" s="37">
        <v>15</v>
      </c>
      <c r="BP200" s="37">
        <v>5</v>
      </c>
      <c r="BQ200" s="37">
        <v>14</v>
      </c>
      <c r="BR200" s="40">
        <f t="shared" si="125"/>
        <v>18.5</v>
      </c>
      <c r="BS200" s="36">
        <f>IFERROR(INDEX('Level Multiplier'!$D:$D,MATCH(BR200,'Level Multiplier'!$A:$A,0)),"")</f>
        <v>1.7404345408706619</v>
      </c>
      <c r="BT200" s="37">
        <f t="shared" si="126"/>
        <v>12</v>
      </c>
      <c r="BU200" s="37">
        <f t="shared" si="127"/>
        <v>13</v>
      </c>
      <c r="BV200" s="38">
        <f t="shared" si="128"/>
        <v>162627867.31160334</v>
      </c>
      <c r="BW200" s="38">
        <f t="shared" si="129"/>
        <v>163401363.80588898</v>
      </c>
      <c r="BX200" s="38" t="b">
        <f t="shared" si="130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1"/>
        <v>18</v>
      </c>
      <c r="CK200" s="41">
        <f t="shared" si="132"/>
        <v>18</v>
      </c>
      <c r="CL200" s="39">
        <f t="shared" si="133"/>
        <v>0.77777777777777779</v>
      </c>
      <c r="CM200" s="39">
        <f t="shared" si="134"/>
        <v>0.84444444444444444</v>
      </c>
      <c r="CN200" s="42">
        <f t="shared" si="135"/>
        <v>14</v>
      </c>
      <c r="CO200" s="42">
        <f t="shared" si="136"/>
        <v>15</v>
      </c>
      <c r="CP200" s="42">
        <f t="shared" si="137"/>
        <v>10</v>
      </c>
      <c r="CQ200" s="42">
        <f t="shared" si="138"/>
        <v>15</v>
      </c>
      <c r="CR200" s="42">
        <f t="shared" si="139"/>
        <v>5</v>
      </c>
      <c r="CS200" s="42">
        <f t="shared" si="140"/>
        <v>14</v>
      </c>
      <c r="CT200" s="43" t="str">
        <f t="shared" si="141"/>
        <v>14-15</v>
      </c>
      <c r="CU200" s="43" t="str">
        <f t="shared" si="142"/>
        <v>10-15</v>
      </c>
      <c r="CV200" s="43" t="str">
        <f t="shared" si="143"/>
        <v>5-14</v>
      </c>
      <c r="CW200" s="13"/>
    </row>
    <row r="201" spans="1:101" x14ac:dyDescent="0.25">
      <c r="A201" s="31"/>
      <c r="B201" s="13"/>
      <c r="C201" s="13"/>
      <c r="D201" s="13"/>
      <c r="E201" s="32"/>
      <c r="F201" s="32"/>
      <c r="G201" s="32"/>
      <c r="H201" s="32"/>
      <c r="I201" s="32"/>
      <c r="J201" s="13"/>
      <c r="K201" s="33"/>
      <c r="L201" s="34" t="str">
        <f>IFERROR(INDEX('Pokemon Data'!A:A,MATCH($A201,'Pokemon Data'!$B:$B,0)),"")</f>
        <v/>
      </c>
      <c r="M201" s="34" t="str">
        <f>IFERROR(INDEX('Pokemon Data'!I:I,MATCH($A201,'Pokemon Data'!$B:$B,0)),"")</f>
        <v/>
      </c>
      <c r="N201" s="34" t="str">
        <f>IFERROR(INDEX('Pokemon Data'!J:J,MATCH($A201,'Pokemon Data'!$B:$B,0)),"")</f>
        <v/>
      </c>
      <c r="O201" s="34" t="str">
        <f>IFERROR(INDEX('Pokemon Data'!K:K,MATCH($A201,'Pokemon Data'!$B:$B,0)),"")</f>
        <v/>
      </c>
      <c r="P201" s="35" t="str">
        <f>IFERROR(INDEX('Level Multiplier'!$A:$A,MATCH($D201,'Level Multiplier'!$B:$B,0)),"")</f>
        <v/>
      </c>
      <c r="Q201" s="36" t="str">
        <f>IFERROR(INDEX('Level Multiplier'!$D:$D,MATCH(P201,'Level Multiplier'!$A:$A,0)),"")</f>
        <v/>
      </c>
      <c r="R201" s="37" t="str">
        <f t="shared" si="108"/>
        <v/>
      </c>
      <c r="S201" s="37" t="str">
        <f t="shared" si="109"/>
        <v/>
      </c>
      <c r="T201" s="38" t="str">
        <f t="shared" si="110"/>
        <v/>
      </c>
      <c r="U201" s="38" t="str">
        <f t="shared" si="111"/>
        <v/>
      </c>
      <c r="V201" s="38" t="b">
        <f t="shared" si="112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 t="str">
        <f t="shared" si="113"/>
        <v/>
      </c>
      <c r="AI201" s="36" t="str">
        <f>IFERROR(INDEX('Level Multiplier'!$D:$D,MATCH(AH201,'Level Multiplier'!$A:$A,0)),"")</f>
        <v/>
      </c>
      <c r="AJ201" s="37" t="str">
        <f t="shared" si="114"/>
        <v/>
      </c>
      <c r="AK201" s="37" t="str">
        <f t="shared" si="115"/>
        <v/>
      </c>
      <c r="AL201" s="38" t="str">
        <f t="shared" si="116"/>
        <v/>
      </c>
      <c r="AM201" s="38" t="str">
        <f t="shared" si="117"/>
        <v/>
      </c>
      <c r="AN201" s="38" t="b">
        <f t="shared" si="118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 t="str">
        <f t="shared" si="119"/>
        <v/>
      </c>
      <c r="BA201" s="36" t="str">
        <f>IFERROR(INDEX('Level Multiplier'!$D:$D,MATCH(AZ201,'Level Multiplier'!$A:$A,0)),"")</f>
        <v/>
      </c>
      <c r="BB201" s="37" t="str">
        <f t="shared" si="120"/>
        <v/>
      </c>
      <c r="BC201" s="37" t="str">
        <f t="shared" si="121"/>
        <v/>
      </c>
      <c r="BD201" s="38" t="str">
        <f t="shared" si="122"/>
        <v/>
      </c>
      <c r="BE201" s="38" t="str">
        <f t="shared" si="123"/>
        <v/>
      </c>
      <c r="BF201" s="38" t="b">
        <f t="shared" si="124"/>
        <v>1</v>
      </c>
      <c r="BG201" s="37" t="str">
        <f t="array" ref="BG201:BQ201">IF(BF201,"",IVSolution($M201,$N201,$O201,BB201,BC201,BD201,BE201,$E201,$F201,$G201,$H201,$I201))</f>
        <v/>
      </c>
      <c r="BH201" s="37" t="str">
        <v/>
      </c>
      <c r="BI201" s="37" t="str">
        <v/>
      </c>
      <c r="BJ201" s="39" t="str">
        <v/>
      </c>
      <c r="BK201" s="39" t="str">
        <v/>
      </c>
      <c r="BL201" s="37" t="str">
        <v/>
      </c>
      <c r="BM201" s="37" t="str">
        <v/>
      </c>
      <c r="BN201" s="37" t="str">
        <v/>
      </c>
      <c r="BO201" s="37" t="str">
        <v/>
      </c>
      <c r="BP201" s="37" t="str">
        <v/>
      </c>
      <c r="BQ201" s="37" t="str">
        <v/>
      </c>
      <c r="BR201" s="40" t="str">
        <f t="shared" si="125"/>
        <v/>
      </c>
      <c r="BS201" s="36" t="str">
        <f>IFERROR(INDEX('Level Multiplier'!$D:$D,MATCH(BR201,'Level Multiplier'!$A:$A,0)),"")</f>
        <v/>
      </c>
      <c r="BT201" s="37" t="str">
        <f t="shared" si="126"/>
        <v/>
      </c>
      <c r="BU201" s="37" t="str">
        <f t="shared" si="127"/>
        <v/>
      </c>
      <c r="BV201" s="38" t="str">
        <f t="shared" si="128"/>
        <v/>
      </c>
      <c r="BW201" s="38" t="str">
        <f t="shared" si="129"/>
        <v/>
      </c>
      <c r="BX201" s="38" t="b">
        <f t="shared" si="130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 t="str">
        <f t="shared" si="131"/>
        <v/>
      </c>
      <c r="CK201" s="41" t="str">
        <f t="shared" si="132"/>
        <v/>
      </c>
      <c r="CL201" s="39" t="str">
        <f t="shared" si="133"/>
        <v/>
      </c>
      <c r="CM201" s="39" t="str">
        <f t="shared" si="134"/>
        <v/>
      </c>
      <c r="CN201" s="42" t="str">
        <f t="shared" si="135"/>
        <v/>
      </c>
      <c r="CO201" s="42" t="str">
        <f t="shared" si="136"/>
        <v/>
      </c>
      <c r="CP201" s="42" t="str">
        <f t="shared" si="137"/>
        <v/>
      </c>
      <c r="CQ201" s="42" t="str">
        <f t="shared" si="138"/>
        <v/>
      </c>
      <c r="CR201" s="42" t="str">
        <f t="shared" si="139"/>
        <v/>
      </c>
      <c r="CS201" s="42" t="str">
        <f t="shared" si="140"/>
        <v/>
      </c>
      <c r="CT201" s="43" t="str">
        <f t="shared" si="141"/>
        <v/>
      </c>
      <c r="CU201" s="43" t="str">
        <f t="shared" si="142"/>
        <v/>
      </c>
      <c r="CV201" s="43" t="str">
        <f t="shared" si="143"/>
        <v/>
      </c>
      <c r="CW201" s="13"/>
    </row>
    <row r="202" spans="1:101" x14ac:dyDescent="0.25">
      <c r="A202" s="31"/>
      <c r="B202" s="13"/>
      <c r="C202" s="13"/>
      <c r="D202" s="13"/>
      <c r="E202" s="32"/>
      <c r="F202" s="32"/>
      <c r="G202" s="32"/>
      <c r="H202" s="32"/>
      <c r="I202" s="32"/>
      <c r="J202" s="13"/>
      <c r="K202" s="33"/>
      <c r="L202" s="34" t="str">
        <f>IFERROR(INDEX('Pokemon Data'!A:A,MATCH($A202,'Pokemon Data'!$B:$B,0)),"")</f>
        <v/>
      </c>
      <c r="M202" s="34" t="str">
        <f>IFERROR(INDEX('Pokemon Data'!I:I,MATCH($A202,'Pokemon Data'!$B:$B,0)),"")</f>
        <v/>
      </c>
      <c r="N202" s="34" t="str">
        <f>IFERROR(INDEX('Pokemon Data'!J:J,MATCH($A202,'Pokemon Data'!$B:$B,0)),"")</f>
        <v/>
      </c>
      <c r="O202" s="34" t="str">
        <f>IFERROR(INDEX('Pokemon Data'!K:K,MATCH($A202,'Pokemon Data'!$B:$B,0)),"")</f>
        <v/>
      </c>
      <c r="P202" s="35" t="str">
        <f>IFERROR(INDEX('Level Multiplier'!$A:$A,MATCH($D202,'Level Multiplier'!$B:$B,0)),"")</f>
        <v/>
      </c>
      <c r="Q202" s="36" t="str">
        <f>IFERROR(INDEX('Level Multiplier'!$D:$D,MATCH(P202,'Level Multiplier'!$A:$A,0)),"")</f>
        <v/>
      </c>
      <c r="R202" s="37" t="str">
        <f t="shared" si="108"/>
        <v/>
      </c>
      <c r="S202" s="37" t="str">
        <f t="shared" si="109"/>
        <v/>
      </c>
      <c r="T202" s="38" t="str">
        <f t="shared" si="110"/>
        <v/>
      </c>
      <c r="U202" s="38" t="str">
        <f t="shared" si="111"/>
        <v/>
      </c>
      <c r="V202" s="38" t="b">
        <f t="shared" si="112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 t="str">
        <f t="shared" si="113"/>
        <v/>
      </c>
      <c r="AI202" s="36" t="str">
        <f>IFERROR(INDEX('Level Multiplier'!$D:$D,MATCH(AH202,'Level Multiplier'!$A:$A,0)),"")</f>
        <v/>
      </c>
      <c r="AJ202" s="37" t="str">
        <f t="shared" si="114"/>
        <v/>
      </c>
      <c r="AK202" s="37" t="str">
        <f t="shared" si="115"/>
        <v/>
      </c>
      <c r="AL202" s="38" t="str">
        <f t="shared" si="116"/>
        <v/>
      </c>
      <c r="AM202" s="38" t="str">
        <f t="shared" si="117"/>
        <v/>
      </c>
      <c r="AN202" s="38" t="b">
        <f t="shared" si="118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 t="str">
        <f t="shared" si="119"/>
        <v/>
      </c>
      <c r="BA202" s="36" t="str">
        <f>IFERROR(INDEX('Level Multiplier'!$D:$D,MATCH(AZ202,'Level Multiplier'!$A:$A,0)),"")</f>
        <v/>
      </c>
      <c r="BB202" s="37" t="str">
        <f t="shared" si="120"/>
        <v/>
      </c>
      <c r="BC202" s="37" t="str">
        <f t="shared" si="121"/>
        <v/>
      </c>
      <c r="BD202" s="38" t="str">
        <f t="shared" si="122"/>
        <v/>
      </c>
      <c r="BE202" s="38" t="str">
        <f t="shared" si="123"/>
        <v/>
      </c>
      <c r="BF202" s="38" t="b">
        <f t="shared" si="124"/>
        <v>1</v>
      </c>
      <c r="BG202" s="37" t="str">
        <f t="array" ref="BG202:BQ202">IF(BF202,"",IVSolution($M202,$N202,$O202,BB202,BC202,BD202,BE202,$E202,$F202,$G202,$H202,$I202))</f>
        <v/>
      </c>
      <c r="BH202" s="37" t="str">
        <v/>
      </c>
      <c r="BI202" s="37" t="str">
        <v/>
      </c>
      <c r="BJ202" s="39" t="str">
        <v/>
      </c>
      <c r="BK202" s="39" t="str">
        <v/>
      </c>
      <c r="BL202" s="37" t="str">
        <v/>
      </c>
      <c r="BM202" s="37" t="str">
        <v/>
      </c>
      <c r="BN202" s="37" t="str">
        <v/>
      </c>
      <c r="BO202" s="37" t="str">
        <v/>
      </c>
      <c r="BP202" s="37" t="str">
        <v/>
      </c>
      <c r="BQ202" s="37" t="str">
        <v/>
      </c>
      <c r="BR202" s="40" t="str">
        <f t="shared" si="125"/>
        <v/>
      </c>
      <c r="BS202" s="36" t="str">
        <f>IFERROR(INDEX('Level Multiplier'!$D:$D,MATCH(BR202,'Level Multiplier'!$A:$A,0)),"")</f>
        <v/>
      </c>
      <c r="BT202" s="37" t="str">
        <f t="shared" si="126"/>
        <v/>
      </c>
      <c r="BU202" s="37" t="str">
        <f t="shared" si="127"/>
        <v/>
      </c>
      <c r="BV202" s="38" t="str">
        <f t="shared" si="128"/>
        <v/>
      </c>
      <c r="BW202" s="38" t="str">
        <f t="shared" si="129"/>
        <v/>
      </c>
      <c r="BX202" s="38" t="b">
        <f t="shared" si="130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 t="str">
        <f t="shared" si="131"/>
        <v/>
      </c>
      <c r="CK202" s="41" t="str">
        <f t="shared" si="132"/>
        <v/>
      </c>
      <c r="CL202" s="39" t="str">
        <f t="shared" si="133"/>
        <v/>
      </c>
      <c r="CM202" s="39" t="str">
        <f t="shared" si="134"/>
        <v/>
      </c>
      <c r="CN202" s="42" t="str">
        <f t="shared" si="135"/>
        <v/>
      </c>
      <c r="CO202" s="42" t="str">
        <f t="shared" si="136"/>
        <v/>
      </c>
      <c r="CP202" s="42" t="str">
        <f t="shared" si="137"/>
        <v/>
      </c>
      <c r="CQ202" s="42" t="str">
        <f t="shared" si="138"/>
        <v/>
      </c>
      <c r="CR202" s="42" t="str">
        <f t="shared" si="139"/>
        <v/>
      </c>
      <c r="CS202" s="42" t="str">
        <f t="shared" si="140"/>
        <v/>
      </c>
      <c r="CT202" s="43" t="str">
        <f t="shared" si="141"/>
        <v/>
      </c>
      <c r="CU202" s="43" t="str">
        <f t="shared" si="142"/>
        <v/>
      </c>
      <c r="CV202" s="43" t="str">
        <f t="shared" si="143"/>
        <v/>
      </c>
      <c r="CW202" s="13"/>
    </row>
    <row r="203" spans="1:101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Multiplier'!$A:$A,MATCH($D203,'Level Multiplier'!$B:$B,0)),"")</f>
        <v/>
      </c>
      <c r="Q203" s="36" t="str">
        <f>IFERROR(INDEX('Level Multiplier'!$D:$D,MATCH(P203,'Level Multiplier'!$A:$A,0)),"")</f>
        <v/>
      </c>
      <c r="R203" s="37" t="str">
        <f t="shared" si="108"/>
        <v/>
      </c>
      <c r="S203" s="37" t="str">
        <f t="shared" si="109"/>
        <v/>
      </c>
      <c r="T203" s="38" t="str">
        <f t="shared" si="110"/>
        <v/>
      </c>
      <c r="U203" s="38" t="str">
        <f t="shared" si="111"/>
        <v/>
      </c>
      <c r="V203" s="38" t="b">
        <f t="shared" si="112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 t="str">
        <f t="shared" si="113"/>
        <v/>
      </c>
      <c r="AI203" s="36" t="str">
        <f>IFERROR(INDEX('Level Multiplier'!$D:$D,MATCH(AH203,'Level Multiplier'!$A:$A,0)),"")</f>
        <v/>
      </c>
      <c r="AJ203" s="37" t="str">
        <f t="shared" si="114"/>
        <v/>
      </c>
      <c r="AK203" s="37" t="str">
        <f t="shared" si="115"/>
        <v/>
      </c>
      <c r="AL203" s="38" t="str">
        <f t="shared" si="116"/>
        <v/>
      </c>
      <c r="AM203" s="38" t="str">
        <f t="shared" si="117"/>
        <v/>
      </c>
      <c r="AN203" s="38" t="b">
        <f t="shared" si="118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 t="str">
        <f t="shared" si="119"/>
        <v/>
      </c>
      <c r="BA203" s="36" t="str">
        <f>IFERROR(INDEX('Level Multiplier'!$D:$D,MATCH(AZ203,'Level Multiplier'!$A:$A,0)),"")</f>
        <v/>
      </c>
      <c r="BB203" s="37" t="str">
        <f t="shared" si="120"/>
        <v/>
      </c>
      <c r="BC203" s="37" t="str">
        <f t="shared" si="121"/>
        <v/>
      </c>
      <c r="BD203" s="38" t="str">
        <f t="shared" si="122"/>
        <v/>
      </c>
      <c r="BE203" s="38" t="str">
        <f t="shared" si="123"/>
        <v/>
      </c>
      <c r="BF203" s="38" t="b">
        <f t="shared" si="124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 t="str">
        <f t="shared" si="125"/>
        <v/>
      </c>
      <c r="BS203" s="36" t="str">
        <f>IFERROR(INDEX('Level Multiplier'!$D:$D,MATCH(BR203,'Level Multiplier'!$A:$A,0)),"")</f>
        <v/>
      </c>
      <c r="BT203" s="37" t="str">
        <f t="shared" si="126"/>
        <v/>
      </c>
      <c r="BU203" s="37" t="str">
        <f t="shared" si="127"/>
        <v/>
      </c>
      <c r="BV203" s="38" t="str">
        <f t="shared" si="128"/>
        <v/>
      </c>
      <c r="BW203" s="38" t="str">
        <f t="shared" si="129"/>
        <v/>
      </c>
      <c r="BX203" s="38" t="b">
        <f t="shared" si="130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31"/>
        <v/>
      </c>
      <c r="CK203" s="41" t="str">
        <f t="shared" si="132"/>
        <v/>
      </c>
      <c r="CL203" s="39" t="str">
        <f t="shared" si="133"/>
        <v/>
      </c>
      <c r="CM203" s="39" t="str">
        <f t="shared" si="134"/>
        <v/>
      </c>
      <c r="CN203" s="42" t="str">
        <f t="shared" si="135"/>
        <v/>
      </c>
      <c r="CO203" s="42" t="str">
        <f t="shared" si="136"/>
        <v/>
      </c>
      <c r="CP203" s="42" t="str">
        <f t="shared" si="137"/>
        <v/>
      </c>
      <c r="CQ203" s="42" t="str">
        <f t="shared" si="138"/>
        <v/>
      </c>
      <c r="CR203" s="42" t="str">
        <f t="shared" si="139"/>
        <v/>
      </c>
      <c r="CS203" s="42" t="str">
        <f t="shared" si="140"/>
        <v/>
      </c>
      <c r="CT203" s="43" t="str">
        <f t="shared" si="141"/>
        <v/>
      </c>
      <c r="CU203" s="43" t="str">
        <f t="shared" si="142"/>
        <v/>
      </c>
      <c r="CV203" s="43" t="str">
        <f t="shared" si="143"/>
        <v/>
      </c>
      <c r="CW203" s="13"/>
    </row>
    <row r="204" spans="1:101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Multiplier'!$A:$A,MATCH($D204,'Level Multiplier'!$B:$B,0)),"")</f>
        <v/>
      </c>
      <c r="Q204" s="36" t="str">
        <f>IFERROR(INDEX('Level Multiplier'!$D:$D,MATCH(P204,'Level Multiplier'!$A:$A,0)),"")</f>
        <v/>
      </c>
      <c r="R204" s="37" t="str">
        <f t="shared" si="108"/>
        <v/>
      </c>
      <c r="S204" s="37" t="str">
        <f t="shared" si="109"/>
        <v/>
      </c>
      <c r="T204" s="38" t="str">
        <f t="shared" si="110"/>
        <v/>
      </c>
      <c r="U204" s="38" t="str">
        <f t="shared" si="111"/>
        <v/>
      </c>
      <c r="V204" s="38" t="b">
        <f t="shared" si="112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 t="str">
        <f t="shared" si="113"/>
        <v/>
      </c>
      <c r="AI204" s="36" t="str">
        <f>IFERROR(INDEX('Level Multiplier'!$D:$D,MATCH(AH204,'Level Multiplier'!$A:$A,0)),"")</f>
        <v/>
      </c>
      <c r="AJ204" s="37" t="str">
        <f t="shared" si="114"/>
        <v/>
      </c>
      <c r="AK204" s="37" t="str">
        <f t="shared" si="115"/>
        <v/>
      </c>
      <c r="AL204" s="38" t="str">
        <f t="shared" si="116"/>
        <v/>
      </c>
      <c r="AM204" s="38" t="str">
        <f t="shared" si="117"/>
        <v/>
      </c>
      <c r="AN204" s="38" t="b">
        <f t="shared" si="118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 t="str">
        <f t="shared" si="119"/>
        <v/>
      </c>
      <c r="BA204" s="36" t="str">
        <f>IFERROR(INDEX('Level Multiplier'!$D:$D,MATCH(AZ204,'Level Multiplier'!$A:$A,0)),"")</f>
        <v/>
      </c>
      <c r="BB204" s="37" t="str">
        <f t="shared" si="120"/>
        <v/>
      </c>
      <c r="BC204" s="37" t="str">
        <f t="shared" si="121"/>
        <v/>
      </c>
      <c r="BD204" s="38" t="str">
        <f t="shared" si="122"/>
        <v/>
      </c>
      <c r="BE204" s="38" t="str">
        <f t="shared" si="123"/>
        <v/>
      </c>
      <c r="BF204" s="38" t="b">
        <f t="shared" si="124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 t="str">
        <f t="shared" si="125"/>
        <v/>
      </c>
      <c r="BS204" s="36" t="str">
        <f>IFERROR(INDEX('Level Multiplier'!$D:$D,MATCH(BR204,'Level Multiplier'!$A:$A,0)),"")</f>
        <v/>
      </c>
      <c r="BT204" s="37" t="str">
        <f t="shared" si="126"/>
        <v/>
      </c>
      <c r="BU204" s="37" t="str">
        <f t="shared" si="127"/>
        <v/>
      </c>
      <c r="BV204" s="38" t="str">
        <f t="shared" si="128"/>
        <v/>
      </c>
      <c r="BW204" s="38" t="str">
        <f t="shared" si="129"/>
        <v/>
      </c>
      <c r="BX204" s="38" t="b">
        <f t="shared" si="130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31"/>
        <v/>
      </c>
      <c r="CK204" s="41" t="str">
        <f t="shared" si="132"/>
        <v/>
      </c>
      <c r="CL204" s="39" t="str">
        <f t="shared" si="133"/>
        <v/>
      </c>
      <c r="CM204" s="39" t="str">
        <f t="shared" si="134"/>
        <v/>
      </c>
      <c r="CN204" s="42" t="str">
        <f t="shared" si="135"/>
        <v/>
      </c>
      <c r="CO204" s="42" t="str">
        <f t="shared" si="136"/>
        <v/>
      </c>
      <c r="CP204" s="42" t="str">
        <f t="shared" si="137"/>
        <v/>
      </c>
      <c r="CQ204" s="42" t="str">
        <f t="shared" si="138"/>
        <v/>
      </c>
      <c r="CR204" s="42" t="str">
        <f t="shared" si="139"/>
        <v/>
      </c>
      <c r="CS204" s="42" t="str">
        <f t="shared" si="140"/>
        <v/>
      </c>
      <c r="CT204" s="43" t="str">
        <f t="shared" si="141"/>
        <v/>
      </c>
      <c r="CU204" s="43" t="str">
        <f t="shared" si="142"/>
        <v/>
      </c>
      <c r="CV204" s="43" t="str">
        <f t="shared" si="143"/>
        <v/>
      </c>
      <c r="CW204" s="13"/>
    </row>
    <row r="205" spans="1:101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Multiplier'!$A:$A,MATCH($D205,'Level Multiplier'!$B:$B,0)),"")</f>
        <v/>
      </c>
      <c r="Q205" s="36" t="str">
        <f>IFERROR(INDEX('Level Multiplier'!$D:$D,MATCH(P205,'Level Multiplier'!$A:$A,0)),"")</f>
        <v/>
      </c>
      <c r="R205" s="37" t="str">
        <f t="shared" si="108"/>
        <v/>
      </c>
      <c r="S205" s="37" t="str">
        <f t="shared" si="109"/>
        <v/>
      </c>
      <c r="T205" s="38" t="str">
        <f t="shared" si="110"/>
        <v/>
      </c>
      <c r="U205" s="38" t="str">
        <f t="shared" si="111"/>
        <v/>
      </c>
      <c r="V205" s="38" t="b">
        <f t="shared" si="112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3"/>
        <v/>
      </c>
      <c r="AI205" s="36" t="str">
        <f>IFERROR(INDEX('Level Multiplier'!$D:$D,MATCH(AH205,'Level Multiplier'!$A:$A,0)),"")</f>
        <v/>
      </c>
      <c r="AJ205" s="37" t="str">
        <f t="shared" si="114"/>
        <v/>
      </c>
      <c r="AK205" s="37" t="str">
        <f t="shared" si="115"/>
        <v/>
      </c>
      <c r="AL205" s="38" t="str">
        <f t="shared" si="116"/>
        <v/>
      </c>
      <c r="AM205" s="38" t="str">
        <f t="shared" si="117"/>
        <v/>
      </c>
      <c r="AN205" s="38" t="b">
        <f t="shared" si="118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19"/>
        <v/>
      </c>
      <c r="BA205" s="36" t="str">
        <f>IFERROR(INDEX('Level Multiplier'!$D:$D,MATCH(AZ205,'Level Multiplier'!$A:$A,0)),"")</f>
        <v/>
      </c>
      <c r="BB205" s="37" t="str">
        <f t="shared" si="120"/>
        <v/>
      </c>
      <c r="BC205" s="37" t="str">
        <f t="shared" si="121"/>
        <v/>
      </c>
      <c r="BD205" s="38" t="str">
        <f t="shared" si="122"/>
        <v/>
      </c>
      <c r="BE205" s="38" t="str">
        <f t="shared" si="123"/>
        <v/>
      </c>
      <c r="BF205" s="38" t="b">
        <f t="shared" si="124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5"/>
        <v/>
      </c>
      <c r="BS205" s="36" t="str">
        <f>IFERROR(INDEX('Level Multiplier'!$D:$D,MATCH(BR205,'Level Multiplier'!$A:$A,0)),"")</f>
        <v/>
      </c>
      <c r="BT205" s="37" t="str">
        <f t="shared" si="126"/>
        <v/>
      </c>
      <c r="BU205" s="37" t="str">
        <f t="shared" si="127"/>
        <v/>
      </c>
      <c r="BV205" s="38" t="str">
        <f t="shared" si="128"/>
        <v/>
      </c>
      <c r="BW205" s="38" t="str">
        <f t="shared" si="129"/>
        <v/>
      </c>
      <c r="BX205" s="38" t="b">
        <f t="shared" si="130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1"/>
        <v/>
      </c>
      <c r="CK205" s="41" t="str">
        <f t="shared" si="132"/>
        <v/>
      </c>
      <c r="CL205" s="39" t="str">
        <f t="shared" si="133"/>
        <v/>
      </c>
      <c r="CM205" s="39" t="str">
        <f t="shared" si="134"/>
        <v/>
      </c>
      <c r="CN205" s="42" t="str">
        <f t="shared" si="135"/>
        <v/>
      </c>
      <c r="CO205" s="42" t="str">
        <f t="shared" si="136"/>
        <v/>
      </c>
      <c r="CP205" s="42" t="str">
        <f t="shared" si="137"/>
        <v/>
      </c>
      <c r="CQ205" s="42" t="str">
        <f t="shared" si="138"/>
        <v/>
      </c>
      <c r="CR205" s="42" t="str">
        <f t="shared" si="139"/>
        <v/>
      </c>
      <c r="CS205" s="42" t="str">
        <f t="shared" si="140"/>
        <v/>
      </c>
      <c r="CT205" s="43" t="str">
        <f t="shared" si="141"/>
        <v/>
      </c>
      <c r="CU205" s="43" t="str">
        <f t="shared" si="142"/>
        <v/>
      </c>
      <c r="CV205" s="43" t="str">
        <f t="shared" si="143"/>
        <v/>
      </c>
      <c r="CW205" s="13"/>
    </row>
    <row r="206" spans="1:101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Multiplier'!$A:$A,MATCH($D206,'Level Multiplier'!$B:$B,0)),"")</f>
        <v/>
      </c>
      <c r="Q206" s="36" t="str">
        <f>IFERROR(INDEX('Level Multiplier'!$D:$D,MATCH(P206,'Level Multiplier'!$A:$A,0)),"")</f>
        <v/>
      </c>
      <c r="R206" s="37" t="str">
        <f t="shared" si="108"/>
        <v/>
      </c>
      <c r="S206" s="37" t="str">
        <f t="shared" si="109"/>
        <v/>
      </c>
      <c r="T206" s="38" t="str">
        <f t="shared" si="110"/>
        <v/>
      </c>
      <c r="U206" s="38" t="str">
        <f t="shared" si="111"/>
        <v/>
      </c>
      <c r="V206" s="38" t="b">
        <f t="shared" si="112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3"/>
        <v/>
      </c>
      <c r="AI206" s="36" t="str">
        <f>IFERROR(INDEX('Level Multiplier'!$D:$D,MATCH(AH206,'Level Multiplier'!$A:$A,0)),"")</f>
        <v/>
      </c>
      <c r="AJ206" s="37" t="str">
        <f t="shared" si="114"/>
        <v/>
      </c>
      <c r="AK206" s="37" t="str">
        <f t="shared" si="115"/>
        <v/>
      </c>
      <c r="AL206" s="38" t="str">
        <f t="shared" si="116"/>
        <v/>
      </c>
      <c r="AM206" s="38" t="str">
        <f t="shared" si="117"/>
        <v/>
      </c>
      <c r="AN206" s="38" t="b">
        <f t="shared" si="118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19"/>
        <v/>
      </c>
      <c r="BA206" s="36" t="str">
        <f>IFERROR(INDEX('Level Multiplier'!$D:$D,MATCH(AZ206,'Level Multiplier'!$A:$A,0)),"")</f>
        <v/>
      </c>
      <c r="BB206" s="37" t="str">
        <f t="shared" si="120"/>
        <v/>
      </c>
      <c r="BC206" s="37" t="str">
        <f t="shared" si="121"/>
        <v/>
      </c>
      <c r="BD206" s="38" t="str">
        <f t="shared" si="122"/>
        <v/>
      </c>
      <c r="BE206" s="38" t="str">
        <f t="shared" si="123"/>
        <v/>
      </c>
      <c r="BF206" s="38" t="b">
        <f t="shared" si="124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5"/>
        <v/>
      </c>
      <c r="BS206" s="36" t="str">
        <f>IFERROR(INDEX('Level Multiplier'!$D:$D,MATCH(BR206,'Level Multiplier'!$A:$A,0)),"")</f>
        <v/>
      </c>
      <c r="BT206" s="37" t="str">
        <f t="shared" si="126"/>
        <v/>
      </c>
      <c r="BU206" s="37" t="str">
        <f t="shared" si="127"/>
        <v/>
      </c>
      <c r="BV206" s="38" t="str">
        <f t="shared" si="128"/>
        <v/>
      </c>
      <c r="BW206" s="38" t="str">
        <f t="shared" si="129"/>
        <v/>
      </c>
      <c r="BX206" s="38" t="b">
        <f t="shared" si="130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1"/>
        <v/>
      </c>
      <c r="CK206" s="41" t="str">
        <f t="shared" si="132"/>
        <v/>
      </c>
      <c r="CL206" s="39" t="str">
        <f t="shared" si="133"/>
        <v/>
      </c>
      <c r="CM206" s="39" t="str">
        <f t="shared" si="134"/>
        <v/>
      </c>
      <c r="CN206" s="42" t="str">
        <f t="shared" si="135"/>
        <v/>
      </c>
      <c r="CO206" s="42" t="str">
        <f t="shared" si="136"/>
        <v/>
      </c>
      <c r="CP206" s="42" t="str">
        <f t="shared" si="137"/>
        <v/>
      </c>
      <c r="CQ206" s="42" t="str">
        <f t="shared" si="138"/>
        <v/>
      </c>
      <c r="CR206" s="42" t="str">
        <f t="shared" si="139"/>
        <v/>
      </c>
      <c r="CS206" s="42" t="str">
        <f t="shared" si="140"/>
        <v/>
      </c>
      <c r="CT206" s="43" t="str">
        <f t="shared" si="141"/>
        <v/>
      </c>
      <c r="CU206" s="43" t="str">
        <f t="shared" si="142"/>
        <v/>
      </c>
      <c r="CV206" s="43" t="str">
        <f t="shared" si="143"/>
        <v/>
      </c>
      <c r="CW206" s="13"/>
    </row>
    <row r="207" spans="1:101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Multiplier'!$A:$A,MATCH($D207,'Level Multiplier'!$B:$B,0)),"")</f>
        <v/>
      </c>
      <c r="Q207" s="36" t="str">
        <f>IFERROR(INDEX('Level Multiplier'!$D:$D,MATCH(P207,'Level Multiplier'!$A:$A,0)),"")</f>
        <v/>
      </c>
      <c r="R207" s="37" t="str">
        <f t="shared" si="108"/>
        <v/>
      </c>
      <c r="S207" s="37" t="str">
        <f t="shared" si="109"/>
        <v/>
      </c>
      <c r="T207" s="38" t="str">
        <f t="shared" si="110"/>
        <v/>
      </c>
      <c r="U207" s="38" t="str">
        <f t="shared" si="111"/>
        <v/>
      </c>
      <c r="V207" s="38" t="b">
        <f t="shared" si="112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3"/>
        <v/>
      </c>
      <c r="AI207" s="36" t="str">
        <f>IFERROR(INDEX('Level Multiplier'!$D:$D,MATCH(AH207,'Level Multiplier'!$A:$A,0)),"")</f>
        <v/>
      </c>
      <c r="AJ207" s="37" t="str">
        <f t="shared" si="114"/>
        <v/>
      </c>
      <c r="AK207" s="37" t="str">
        <f t="shared" si="115"/>
        <v/>
      </c>
      <c r="AL207" s="38" t="str">
        <f t="shared" si="116"/>
        <v/>
      </c>
      <c r="AM207" s="38" t="str">
        <f t="shared" si="117"/>
        <v/>
      </c>
      <c r="AN207" s="38" t="b">
        <f t="shared" si="118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19"/>
        <v/>
      </c>
      <c r="BA207" s="36" t="str">
        <f>IFERROR(INDEX('Level Multiplier'!$D:$D,MATCH(AZ207,'Level Multiplier'!$A:$A,0)),"")</f>
        <v/>
      </c>
      <c r="BB207" s="37" t="str">
        <f t="shared" si="120"/>
        <v/>
      </c>
      <c r="BC207" s="37" t="str">
        <f t="shared" si="121"/>
        <v/>
      </c>
      <c r="BD207" s="38" t="str">
        <f t="shared" si="122"/>
        <v/>
      </c>
      <c r="BE207" s="38" t="str">
        <f t="shared" si="123"/>
        <v/>
      </c>
      <c r="BF207" s="38" t="b">
        <f t="shared" si="124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5"/>
        <v/>
      </c>
      <c r="BS207" s="36" t="str">
        <f>IFERROR(INDEX('Level Multiplier'!$D:$D,MATCH(BR207,'Level Multiplier'!$A:$A,0)),"")</f>
        <v/>
      </c>
      <c r="BT207" s="37" t="str">
        <f t="shared" si="126"/>
        <v/>
      </c>
      <c r="BU207" s="37" t="str">
        <f t="shared" si="127"/>
        <v/>
      </c>
      <c r="BV207" s="38" t="str">
        <f t="shared" si="128"/>
        <v/>
      </c>
      <c r="BW207" s="38" t="str">
        <f t="shared" si="129"/>
        <v/>
      </c>
      <c r="BX207" s="38" t="b">
        <f t="shared" si="130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1"/>
        <v/>
      </c>
      <c r="CK207" s="41" t="str">
        <f t="shared" si="132"/>
        <v/>
      </c>
      <c r="CL207" s="39" t="str">
        <f t="shared" si="133"/>
        <v/>
      </c>
      <c r="CM207" s="39" t="str">
        <f t="shared" si="134"/>
        <v/>
      </c>
      <c r="CN207" s="42" t="str">
        <f t="shared" si="135"/>
        <v/>
      </c>
      <c r="CO207" s="42" t="str">
        <f t="shared" si="136"/>
        <v/>
      </c>
      <c r="CP207" s="42" t="str">
        <f t="shared" si="137"/>
        <v/>
      </c>
      <c r="CQ207" s="42" t="str">
        <f t="shared" si="138"/>
        <v/>
      </c>
      <c r="CR207" s="42" t="str">
        <f t="shared" si="139"/>
        <v/>
      </c>
      <c r="CS207" s="42" t="str">
        <f t="shared" si="140"/>
        <v/>
      </c>
      <c r="CT207" s="43" t="str">
        <f t="shared" si="141"/>
        <v/>
      </c>
      <c r="CU207" s="43" t="str">
        <f t="shared" si="142"/>
        <v/>
      </c>
      <c r="CV207" s="43" t="str">
        <f t="shared" si="143"/>
        <v/>
      </c>
      <c r="CW207" s="13"/>
    </row>
    <row r="208" spans="1:101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Multiplier'!$A:$A,MATCH($D208,'Level Multiplier'!$B:$B,0)),"")</f>
        <v/>
      </c>
      <c r="Q208" s="36" t="str">
        <f>IFERROR(INDEX('Level Multiplier'!$D:$D,MATCH(P208,'Level Multiplier'!$A:$A,0)),"")</f>
        <v/>
      </c>
      <c r="R208" s="37" t="str">
        <f t="shared" si="108"/>
        <v/>
      </c>
      <c r="S208" s="37" t="str">
        <f t="shared" si="109"/>
        <v/>
      </c>
      <c r="T208" s="38" t="str">
        <f t="shared" si="110"/>
        <v/>
      </c>
      <c r="U208" s="38" t="str">
        <f t="shared" si="111"/>
        <v/>
      </c>
      <c r="V208" s="38" t="b">
        <f t="shared" si="112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3"/>
        <v/>
      </c>
      <c r="AI208" s="36" t="str">
        <f>IFERROR(INDEX('Level Multiplier'!$D:$D,MATCH(AH208,'Level Multiplier'!$A:$A,0)),"")</f>
        <v/>
      </c>
      <c r="AJ208" s="37" t="str">
        <f t="shared" si="114"/>
        <v/>
      </c>
      <c r="AK208" s="37" t="str">
        <f t="shared" si="115"/>
        <v/>
      </c>
      <c r="AL208" s="38" t="str">
        <f t="shared" si="116"/>
        <v/>
      </c>
      <c r="AM208" s="38" t="str">
        <f t="shared" si="117"/>
        <v/>
      </c>
      <c r="AN208" s="38" t="b">
        <f t="shared" si="118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19"/>
        <v/>
      </c>
      <c r="BA208" s="36" t="str">
        <f>IFERROR(INDEX('Level Multiplier'!$D:$D,MATCH(AZ208,'Level Multiplier'!$A:$A,0)),"")</f>
        <v/>
      </c>
      <c r="BB208" s="37" t="str">
        <f t="shared" si="120"/>
        <v/>
      </c>
      <c r="BC208" s="37" t="str">
        <f t="shared" si="121"/>
        <v/>
      </c>
      <c r="BD208" s="38" t="str">
        <f t="shared" si="122"/>
        <v/>
      </c>
      <c r="BE208" s="38" t="str">
        <f t="shared" si="123"/>
        <v/>
      </c>
      <c r="BF208" s="38" t="b">
        <f t="shared" si="124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5"/>
        <v/>
      </c>
      <c r="BS208" s="36" t="str">
        <f>IFERROR(INDEX('Level Multiplier'!$D:$D,MATCH(BR208,'Level Multiplier'!$A:$A,0)),"")</f>
        <v/>
      </c>
      <c r="BT208" s="37" t="str">
        <f t="shared" si="126"/>
        <v/>
      </c>
      <c r="BU208" s="37" t="str">
        <f t="shared" si="127"/>
        <v/>
      </c>
      <c r="BV208" s="38" t="str">
        <f t="shared" si="128"/>
        <v/>
      </c>
      <c r="BW208" s="38" t="str">
        <f t="shared" si="129"/>
        <v/>
      </c>
      <c r="BX208" s="38" t="b">
        <f t="shared" si="130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1"/>
        <v/>
      </c>
      <c r="CK208" s="41" t="str">
        <f t="shared" si="132"/>
        <v/>
      </c>
      <c r="CL208" s="39" t="str">
        <f t="shared" si="133"/>
        <v/>
      </c>
      <c r="CM208" s="39" t="str">
        <f t="shared" si="134"/>
        <v/>
      </c>
      <c r="CN208" s="42" t="str">
        <f t="shared" si="135"/>
        <v/>
      </c>
      <c r="CO208" s="42" t="str">
        <f t="shared" si="136"/>
        <v/>
      </c>
      <c r="CP208" s="42" t="str">
        <f t="shared" si="137"/>
        <v/>
      </c>
      <c r="CQ208" s="42" t="str">
        <f t="shared" si="138"/>
        <v/>
      </c>
      <c r="CR208" s="42" t="str">
        <f t="shared" si="139"/>
        <v/>
      </c>
      <c r="CS208" s="42" t="str">
        <f t="shared" si="140"/>
        <v/>
      </c>
      <c r="CT208" s="43" t="str">
        <f t="shared" si="141"/>
        <v/>
      </c>
      <c r="CU208" s="43" t="str">
        <f t="shared" si="142"/>
        <v/>
      </c>
      <c r="CV208" s="43" t="str">
        <f t="shared" si="143"/>
        <v/>
      </c>
      <c r="CW208" s="13"/>
    </row>
    <row r="209" spans="1:101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Multiplier'!$A:$A,MATCH($D209,'Level Multiplier'!$B:$B,0)),"")</f>
        <v/>
      </c>
      <c r="Q209" s="36" t="str">
        <f>IFERROR(INDEX('Level Multiplier'!$D:$D,MATCH(P209,'Level Multiplier'!$A:$A,0)),"")</f>
        <v/>
      </c>
      <c r="R209" s="37" t="str">
        <f t="shared" si="108"/>
        <v/>
      </c>
      <c r="S209" s="37" t="str">
        <f t="shared" si="109"/>
        <v/>
      </c>
      <c r="T209" s="38" t="str">
        <f t="shared" si="110"/>
        <v/>
      </c>
      <c r="U209" s="38" t="str">
        <f t="shared" si="111"/>
        <v/>
      </c>
      <c r="V209" s="38" t="b">
        <f t="shared" si="112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3"/>
        <v/>
      </c>
      <c r="AI209" s="36" t="str">
        <f>IFERROR(INDEX('Level Multiplier'!$D:$D,MATCH(AH209,'Level Multiplier'!$A:$A,0)),"")</f>
        <v/>
      </c>
      <c r="AJ209" s="37" t="str">
        <f t="shared" si="114"/>
        <v/>
      </c>
      <c r="AK209" s="37" t="str">
        <f t="shared" si="115"/>
        <v/>
      </c>
      <c r="AL209" s="38" t="str">
        <f t="shared" si="116"/>
        <v/>
      </c>
      <c r="AM209" s="38" t="str">
        <f t="shared" si="117"/>
        <v/>
      </c>
      <c r="AN209" s="38" t="b">
        <f t="shared" si="118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19"/>
        <v/>
      </c>
      <c r="BA209" s="36" t="str">
        <f>IFERROR(INDEX('Level Multiplier'!$D:$D,MATCH(AZ209,'Level Multiplier'!$A:$A,0)),"")</f>
        <v/>
      </c>
      <c r="BB209" s="37" t="str">
        <f t="shared" si="120"/>
        <v/>
      </c>
      <c r="BC209" s="37" t="str">
        <f t="shared" si="121"/>
        <v/>
      </c>
      <c r="BD209" s="38" t="str">
        <f t="shared" si="122"/>
        <v/>
      </c>
      <c r="BE209" s="38" t="str">
        <f t="shared" si="123"/>
        <v/>
      </c>
      <c r="BF209" s="38" t="b">
        <f t="shared" si="124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5"/>
        <v/>
      </c>
      <c r="BS209" s="36" t="str">
        <f>IFERROR(INDEX('Level Multiplier'!$D:$D,MATCH(BR209,'Level Multiplier'!$A:$A,0)),"")</f>
        <v/>
      </c>
      <c r="BT209" s="37" t="str">
        <f t="shared" si="126"/>
        <v/>
      </c>
      <c r="BU209" s="37" t="str">
        <f t="shared" si="127"/>
        <v/>
      </c>
      <c r="BV209" s="38" t="str">
        <f t="shared" si="128"/>
        <v/>
      </c>
      <c r="BW209" s="38" t="str">
        <f t="shared" si="129"/>
        <v/>
      </c>
      <c r="BX209" s="38" t="b">
        <f t="shared" si="130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1"/>
        <v/>
      </c>
      <c r="CK209" s="41" t="str">
        <f t="shared" si="132"/>
        <v/>
      </c>
      <c r="CL209" s="39" t="str">
        <f t="shared" si="133"/>
        <v/>
      </c>
      <c r="CM209" s="39" t="str">
        <f t="shared" si="134"/>
        <v/>
      </c>
      <c r="CN209" s="42" t="str">
        <f t="shared" si="135"/>
        <v/>
      </c>
      <c r="CO209" s="42" t="str">
        <f t="shared" si="136"/>
        <v/>
      </c>
      <c r="CP209" s="42" t="str">
        <f t="shared" si="137"/>
        <v/>
      </c>
      <c r="CQ209" s="42" t="str">
        <f t="shared" si="138"/>
        <v/>
      </c>
      <c r="CR209" s="42" t="str">
        <f t="shared" si="139"/>
        <v/>
      </c>
      <c r="CS209" s="42" t="str">
        <f t="shared" si="140"/>
        <v/>
      </c>
      <c r="CT209" s="43" t="str">
        <f t="shared" si="141"/>
        <v/>
      </c>
      <c r="CU209" s="43" t="str">
        <f t="shared" si="142"/>
        <v/>
      </c>
      <c r="CV209" s="43" t="str">
        <f t="shared" si="143"/>
        <v/>
      </c>
      <c r="CW209" s="13"/>
    </row>
    <row r="210" spans="1:101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Multiplier'!$A:$A,MATCH($D210,'Level Multiplier'!$B:$B,0)),"")</f>
        <v/>
      </c>
      <c r="Q210" s="36" t="str">
        <f>IFERROR(INDEX('Level Multiplier'!$D:$D,MATCH(P210,'Level Multiplier'!$A:$A,0)),"")</f>
        <v/>
      </c>
      <c r="R210" s="37" t="str">
        <f t="shared" si="108"/>
        <v/>
      </c>
      <c r="S210" s="37" t="str">
        <f t="shared" si="109"/>
        <v/>
      </c>
      <c r="T210" s="38" t="str">
        <f t="shared" si="110"/>
        <v/>
      </c>
      <c r="U210" s="38" t="str">
        <f t="shared" si="111"/>
        <v/>
      </c>
      <c r="V210" s="38" t="b">
        <f t="shared" si="112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3"/>
        <v/>
      </c>
      <c r="AI210" s="36" t="str">
        <f>IFERROR(INDEX('Level Multiplier'!$D:$D,MATCH(AH210,'Level Multiplier'!$A:$A,0)),"")</f>
        <v/>
      </c>
      <c r="AJ210" s="37" t="str">
        <f t="shared" si="114"/>
        <v/>
      </c>
      <c r="AK210" s="37" t="str">
        <f t="shared" si="115"/>
        <v/>
      </c>
      <c r="AL210" s="38" t="str">
        <f t="shared" si="116"/>
        <v/>
      </c>
      <c r="AM210" s="38" t="str">
        <f t="shared" si="117"/>
        <v/>
      </c>
      <c r="AN210" s="38" t="b">
        <f t="shared" si="118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19"/>
        <v/>
      </c>
      <c r="BA210" s="36" t="str">
        <f>IFERROR(INDEX('Level Multiplier'!$D:$D,MATCH(AZ210,'Level Multiplier'!$A:$A,0)),"")</f>
        <v/>
      </c>
      <c r="BB210" s="37" t="str">
        <f t="shared" si="120"/>
        <v/>
      </c>
      <c r="BC210" s="37" t="str">
        <f t="shared" si="121"/>
        <v/>
      </c>
      <c r="BD210" s="38" t="str">
        <f t="shared" si="122"/>
        <v/>
      </c>
      <c r="BE210" s="38" t="str">
        <f t="shared" si="123"/>
        <v/>
      </c>
      <c r="BF210" s="38" t="b">
        <f t="shared" si="124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5"/>
        <v/>
      </c>
      <c r="BS210" s="36" t="str">
        <f>IFERROR(INDEX('Level Multiplier'!$D:$D,MATCH(BR210,'Level Multiplier'!$A:$A,0)),"")</f>
        <v/>
      </c>
      <c r="BT210" s="37" t="str">
        <f t="shared" si="126"/>
        <v/>
      </c>
      <c r="BU210" s="37" t="str">
        <f t="shared" si="127"/>
        <v/>
      </c>
      <c r="BV210" s="38" t="str">
        <f t="shared" si="128"/>
        <v/>
      </c>
      <c r="BW210" s="38" t="str">
        <f t="shared" si="129"/>
        <v/>
      </c>
      <c r="BX210" s="38" t="b">
        <f t="shared" si="130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1"/>
        <v/>
      </c>
      <c r="CK210" s="41" t="str">
        <f t="shared" si="132"/>
        <v/>
      </c>
      <c r="CL210" s="39" t="str">
        <f t="shared" si="133"/>
        <v/>
      </c>
      <c r="CM210" s="39" t="str">
        <f t="shared" si="134"/>
        <v/>
      </c>
      <c r="CN210" s="42" t="str">
        <f t="shared" si="135"/>
        <v/>
      </c>
      <c r="CO210" s="42" t="str">
        <f t="shared" si="136"/>
        <v/>
      </c>
      <c r="CP210" s="42" t="str">
        <f t="shared" si="137"/>
        <v/>
      </c>
      <c r="CQ210" s="42" t="str">
        <f t="shared" si="138"/>
        <v/>
      </c>
      <c r="CR210" s="42" t="str">
        <f t="shared" si="139"/>
        <v/>
      </c>
      <c r="CS210" s="42" t="str">
        <f t="shared" si="140"/>
        <v/>
      </c>
      <c r="CT210" s="43" t="str">
        <f t="shared" si="141"/>
        <v/>
      </c>
      <c r="CU210" s="43" t="str">
        <f t="shared" si="142"/>
        <v/>
      </c>
      <c r="CV210" s="43" t="str">
        <f t="shared" si="143"/>
        <v/>
      </c>
      <c r="CW210" s="13"/>
    </row>
    <row r="211" spans="1:101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Multiplier'!$A:$A,MATCH($D211,'Level Multiplier'!$B:$B,0)),"")</f>
        <v/>
      </c>
      <c r="Q211" s="36" t="str">
        <f>IFERROR(INDEX('Level Multiplier'!$D:$D,MATCH(P211,'Level Multiplier'!$A:$A,0)),"")</f>
        <v/>
      </c>
      <c r="R211" s="37" t="str">
        <f t="shared" si="108"/>
        <v/>
      </c>
      <c r="S211" s="37" t="str">
        <f t="shared" si="109"/>
        <v/>
      </c>
      <c r="T211" s="38" t="str">
        <f t="shared" si="110"/>
        <v/>
      </c>
      <c r="U211" s="38" t="str">
        <f t="shared" si="111"/>
        <v/>
      </c>
      <c r="V211" s="38" t="b">
        <f t="shared" si="112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3"/>
        <v/>
      </c>
      <c r="AI211" s="36" t="str">
        <f>IFERROR(INDEX('Level Multiplier'!$D:$D,MATCH(AH211,'Level Multiplier'!$A:$A,0)),"")</f>
        <v/>
      </c>
      <c r="AJ211" s="37" t="str">
        <f t="shared" si="114"/>
        <v/>
      </c>
      <c r="AK211" s="37" t="str">
        <f t="shared" si="115"/>
        <v/>
      </c>
      <c r="AL211" s="38" t="str">
        <f t="shared" si="116"/>
        <v/>
      </c>
      <c r="AM211" s="38" t="str">
        <f t="shared" si="117"/>
        <v/>
      </c>
      <c r="AN211" s="38" t="b">
        <f t="shared" si="118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19"/>
        <v/>
      </c>
      <c r="BA211" s="36" t="str">
        <f>IFERROR(INDEX('Level Multiplier'!$D:$D,MATCH(AZ211,'Level Multiplier'!$A:$A,0)),"")</f>
        <v/>
      </c>
      <c r="BB211" s="37" t="str">
        <f t="shared" si="120"/>
        <v/>
      </c>
      <c r="BC211" s="37" t="str">
        <f t="shared" si="121"/>
        <v/>
      </c>
      <c r="BD211" s="38" t="str">
        <f t="shared" si="122"/>
        <v/>
      </c>
      <c r="BE211" s="38" t="str">
        <f t="shared" si="123"/>
        <v/>
      </c>
      <c r="BF211" s="38" t="b">
        <f t="shared" si="124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5"/>
        <v/>
      </c>
      <c r="BS211" s="36" t="str">
        <f>IFERROR(INDEX('Level Multiplier'!$D:$D,MATCH(BR211,'Level Multiplier'!$A:$A,0)),"")</f>
        <v/>
      </c>
      <c r="BT211" s="37" t="str">
        <f t="shared" si="126"/>
        <v/>
      </c>
      <c r="BU211" s="37" t="str">
        <f t="shared" si="127"/>
        <v/>
      </c>
      <c r="BV211" s="38" t="str">
        <f t="shared" si="128"/>
        <v/>
      </c>
      <c r="BW211" s="38" t="str">
        <f t="shared" si="129"/>
        <v/>
      </c>
      <c r="BX211" s="38" t="b">
        <f t="shared" si="130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1"/>
        <v/>
      </c>
      <c r="CK211" s="41" t="str">
        <f t="shared" si="132"/>
        <v/>
      </c>
      <c r="CL211" s="39" t="str">
        <f t="shared" si="133"/>
        <v/>
      </c>
      <c r="CM211" s="39" t="str">
        <f t="shared" si="134"/>
        <v/>
      </c>
      <c r="CN211" s="42" t="str">
        <f t="shared" si="135"/>
        <v/>
      </c>
      <c r="CO211" s="42" t="str">
        <f t="shared" si="136"/>
        <v/>
      </c>
      <c r="CP211" s="42" t="str">
        <f t="shared" si="137"/>
        <v/>
      </c>
      <c r="CQ211" s="42" t="str">
        <f t="shared" si="138"/>
        <v/>
      </c>
      <c r="CR211" s="42" t="str">
        <f t="shared" si="139"/>
        <v/>
      </c>
      <c r="CS211" s="42" t="str">
        <f t="shared" si="140"/>
        <v/>
      </c>
      <c r="CT211" s="43" t="str">
        <f t="shared" si="141"/>
        <v/>
      </c>
      <c r="CU211" s="43" t="str">
        <f t="shared" si="142"/>
        <v/>
      </c>
      <c r="CV211" s="43" t="str">
        <f t="shared" si="143"/>
        <v/>
      </c>
      <c r="CW211" s="13"/>
    </row>
    <row r="212" spans="1:101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Multiplier'!$A:$A,MATCH($D212,'Level Multiplier'!$B:$B,0)),"")</f>
        <v/>
      </c>
      <c r="Q212" s="36" t="str">
        <f>IFERROR(INDEX('Level Multiplier'!$D:$D,MATCH(P212,'Level Multiplier'!$A:$A,0)),"")</f>
        <v/>
      </c>
      <c r="R212" s="37" t="str">
        <f t="shared" si="108"/>
        <v/>
      </c>
      <c r="S212" s="37" t="str">
        <f t="shared" si="109"/>
        <v/>
      </c>
      <c r="T212" s="38" t="str">
        <f t="shared" si="110"/>
        <v/>
      </c>
      <c r="U212" s="38" t="str">
        <f t="shared" si="111"/>
        <v/>
      </c>
      <c r="V212" s="38" t="b">
        <f t="shared" si="112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3"/>
        <v/>
      </c>
      <c r="AI212" s="36" t="str">
        <f>IFERROR(INDEX('Level Multiplier'!$D:$D,MATCH(AH212,'Level Multiplier'!$A:$A,0)),"")</f>
        <v/>
      </c>
      <c r="AJ212" s="37" t="str">
        <f t="shared" si="114"/>
        <v/>
      </c>
      <c r="AK212" s="37" t="str">
        <f t="shared" si="115"/>
        <v/>
      </c>
      <c r="AL212" s="38" t="str">
        <f t="shared" si="116"/>
        <v/>
      </c>
      <c r="AM212" s="38" t="str">
        <f t="shared" si="117"/>
        <v/>
      </c>
      <c r="AN212" s="38" t="b">
        <f t="shared" si="118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19"/>
        <v/>
      </c>
      <c r="BA212" s="36" t="str">
        <f>IFERROR(INDEX('Level Multiplier'!$D:$D,MATCH(AZ212,'Level Multiplier'!$A:$A,0)),"")</f>
        <v/>
      </c>
      <c r="BB212" s="37" t="str">
        <f t="shared" si="120"/>
        <v/>
      </c>
      <c r="BC212" s="37" t="str">
        <f t="shared" si="121"/>
        <v/>
      </c>
      <c r="BD212" s="38" t="str">
        <f t="shared" si="122"/>
        <v/>
      </c>
      <c r="BE212" s="38" t="str">
        <f t="shared" si="123"/>
        <v/>
      </c>
      <c r="BF212" s="38" t="b">
        <f t="shared" si="124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5"/>
        <v/>
      </c>
      <c r="BS212" s="36" t="str">
        <f>IFERROR(INDEX('Level Multiplier'!$D:$D,MATCH(BR212,'Level Multiplier'!$A:$A,0)),"")</f>
        <v/>
      </c>
      <c r="BT212" s="37" t="str">
        <f t="shared" si="126"/>
        <v/>
      </c>
      <c r="BU212" s="37" t="str">
        <f t="shared" si="127"/>
        <v/>
      </c>
      <c r="BV212" s="38" t="str">
        <f t="shared" si="128"/>
        <v/>
      </c>
      <c r="BW212" s="38" t="str">
        <f t="shared" si="129"/>
        <v/>
      </c>
      <c r="BX212" s="38" t="b">
        <f t="shared" si="130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1"/>
        <v/>
      </c>
      <c r="CK212" s="41" t="str">
        <f t="shared" si="132"/>
        <v/>
      </c>
      <c r="CL212" s="39" t="str">
        <f t="shared" si="133"/>
        <v/>
      </c>
      <c r="CM212" s="39" t="str">
        <f t="shared" si="134"/>
        <v/>
      </c>
      <c r="CN212" s="42" t="str">
        <f t="shared" si="135"/>
        <v/>
      </c>
      <c r="CO212" s="42" t="str">
        <f t="shared" si="136"/>
        <v/>
      </c>
      <c r="CP212" s="42" t="str">
        <f t="shared" si="137"/>
        <v/>
      </c>
      <c r="CQ212" s="42" t="str">
        <f t="shared" si="138"/>
        <v/>
      </c>
      <c r="CR212" s="42" t="str">
        <f t="shared" si="139"/>
        <v/>
      </c>
      <c r="CS212" s="42" t="str">
        <f t="shared" si="140"/>
        <v/>
      </c>
      <c r="CT212" s="43" t="str">
        <f t="shared" si="141"/>
        <v/>
      </c>
      <c r="CU212" s="43" t="str">
        <f t="shared" si="142"/>
        <v/>
      </c>
      <c r="CV212" s="43" t="str">
        <f t="shared" si="143"/>
        <v/>
      </c>
      <c r="CW212" s="13"/>
    </row>
    <row r="213" spans="1:101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Multiplier'!$A:$A,MATCH($D213,'Level Multiplier'!$B:$B,0)),"")</f>
        <v/>
      </c>
      <c r="Q213" s="36" t="str">
        <f>IFERROR(INDEX('Level Multiplier'!$D:$D,MATCH(P213,'Level Multiplier'!$A:$A,0)),"")</f>
        <v/>
      </c>
      <c r="R213" s="37" t="str">
        <f t="shared" si="108"/>
        <v/>
      </c>
      <c r="S213" s="37" t="str">
        <f t="shared" si="109"/>
        <v/>
      </c>
      <c r="T213" s="38" t="str">
        <f t="shared" si="110"/>
        <v/>
      </c>
      <c r="U213" s="38" t="str">
        <f t="shared" si="111"/>
        <v/>
      </c>
      <c r="V213" s="38" t="b">
        <f t="shared" si="112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3"/>
        <v/>
      </c>
      <c r="AI213" s="36" t="str">
        <f>IFERROR(INDEX('Level Multiplier'!$D:$D,MATCH(AH213,'Level Multiplier'!$A:$A,0)),"")</f>
        <v/>
      </c>
      <c r="AJ213" s="37" t="str">
        <f t="shared" si="114"/>
        <v/>
      </c>
      <c r="AK213" s="37" t="str">
        <f t="shared" si="115"/>
        <v/>
      </c>
      <c r="AL213" s="38" t="str">
        <f t="shared" si="116"/>
        <v/>
      </c>
      <c r="AM213" s="38" t="str">
        <f t="shared" si="117"/>
        <v/>
      </c>
      <c r="AN213" s="38" t="b">
        <f t="shared" si="118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19"/>
        <v/>
      </c>
      <c r="BA213" s="36" t="str">
        <f>IFERROR(INDEX('Level Multiplier'!$D:$D,MATCH(AZ213,'Level Multiplier'!$A:$A,0)),"")</f>
        <v/>
      </c>
      <c r="BB213" s="37" t="str">
        <f t="shared" si="120"/>
        <v/>
      </c>
      <c r="BC213" s="37" t="str">
        <f t="shared" si="121"/>
        <v/>
      </c>
      <c r="BD213" s="38" t="str">
        <f t="shared" si="122"/>
        <v/>
      </c>
      <c r="BE213" s="38" t="str">
        <f t="shared" si="123"/>
        <v/>
      </c>
      <c r="BF213" s="38" t="b">
        <f t="shared" si="124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5"/>
        <v/>
      </c>
      <c r="BS213" s="36" t="str">
        <f>IFERROR(INDEX('Level Multiplier'!$D:$D,MATCH(BR213,'Level Multiplier'!$A:$A,0)),"")</f>
        <v/>
      </c>
      <c r="BT213" s="37" t="str">
        <f t="shared" si="126"/>
        <v/>
      </c>
      <c r="BU213" s="37" t="str">
        <f t="shared" si="127"/>
        <v/>
      </c>
      <c r="BV213" s="38" t="str">
        <f t="shared" si="128"/>
        <v/>
      </c>
      <c r="BW213" s="38" t="str">
        <f t="shared" si="129"/>
        <v/>
      </c>
      <c r="BX213" s="38" t="b">
        <f t="shared" si="130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1"/>
        <v/>
      </c>
      <c r="CK213" s="41" t="str">
        <f t="shared" si="132"/>
        <v/>
      </c>
      <c r="CL213" s="39" t="str">
        <f t="shared" si="133"/>
        <v/>
      </c>
      <c r="CM213" s="39" t="str">
        <f t="shared" si="134"/>
        <v/>
      </c>
      <c r="CN213" s="42" t="str">
        <f t="shared" si="135"/>
        <v/>
      </c>
      <c r="CO213" s="42" t="str">
        <f t="shared" si="136"/>
        <v/>
      </c>
      <c r="CP213" s="42" t="str">
        <f t="shared" si="137"/>
        <v/>
      </c>
      <c r="CQ213" s="42" t="str">
        <f t="shared" si="138"/>
        <v/>
      </c>
      <c r="CR213" s="42" t="str">
        <f t="shared" si="139"/>
        <v/>
      </c>
      <c r="CS213" s="42" t="str">
        <f t="shared" si="140"/>
        <v/>
      </c>
      <c r="CT213" s="43" t="str">
        <f t="shared" si="141"/>
        <v/>
      </c>
      <c r="CU213" s="43" t="str">
        <f t="shared" si="142"/>
        <v/>
      </c>
      <c r="CV213" s="43" t="str">
        <f t="shared" si="143"/>
        <v/>
      </c>
      <c r="CW213" s="13"/>
    </row>
    <row r="214" spans="1:101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Multiplier'!$A:$A,MATCH($D214,'Level Multiplier'!$B:$B,0)),"")</f>
        <v/>
      </c>
      <c r="Q214" s="36" t="str">
        <f>IFERROR(INDEX('Level Multiplier'!$D:$D,MATCH(P214,'Level Multiplier'!$A:$A,0)),"")</f>
        <v/>
      </c>
      <c r="R214" s="37" t="str">
        <f t="shared" si="108"/>
        <v/>
      </c>
      <c r="S214" s="37" t="str">
        <f t="shared" si="109"/>
        <v/>
      </c>
      <c r="T214" s="38" t="str">
        <f t="shared" si="110"/>
        <v/>
      </c>
      <c r="U214" s="38" t="str">
        <f t="shared" si="111"/>
        <v/>
      </c>
      <c r="V214" s="38" t="b">
        <f t="shared" si="112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3"/>
        <v/>
      </c>
      <c r="AI214" s="36" t="str">
        <f>IFERROR(INDEX('Level Multiplier'!$D:$D,MATCH(AH214,'Level Multiplier'!$A:$A,0)),"")</f>
        <v/>
      </c>
      <c r="AJ214" s="37" t="str">
        <f t="shared" si="114"/>
        <v/>
      </c>
      <c r="AK214" s="37" t="str">
        <f t="shared" si="115"/>
        <v/>
      </c>
      <c r="AL214" s="38" t="str">
        <f t="shared" si="116"/>
        <v/>
      </c>
      <c r="AM214" s="38" t="str">
        <f t="shared" si="117"/>
        <v/>
      </c>
      <c r="AN214" s="38" t="b">
        <f t="shared" si="118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19"/>
        <v/>
      </c>
      <c r="BA214" s="36" t="str">
        <f>IFERROR(INDEX('Level Multiplier'!$D:$D,MATCH(AZ214,'Level Multiplier'!$A:$A,0)),"")</f>
        <v/>
      </c>
      <c r="BB214" s="37" t="str">
        <f t="shared" si="120"/>
        <v/>
      </c>
      <c r="BC214" s="37" t="str">
        <f t="shared" si="121"/>
        <v/>
      </c>
      <c r="BD214" s="38" t="str">
        <f t="shared" si="122"/>
        <v/>
      </c>
      <c r="BE214" s="38" t="str">
        <f t="shared" si="123"/>
        <v/>
      </c>
      <c r="BF214" s="38" t="b">
        <f t="shared" si="124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5"/>
        <v/>
      </c>
      <c r="BS214" s="36" t="str">
        <f>IFERROR(INDEX('Level Multiplier'!$D:$D,MATCH(BR214,'Level Multiplier'!$A:$A,0)),"")</f>
        <v/>
      </c>
      <c r="BT214" s="37" t="str">
        <f t="shared" si="126"/>
        <v/>
      </c>
      <c r="BU214" s="37" t="str">
        <f t="shared" si="127"/>
        <v/>
      </c>
      <c r="BV214" s="38" t="str">
        <f t="shared" si="128"/>
        <v/>
      </c>
      <c r="BW214" s="38" t="str">
        <f t="shared" si="129"/>
        <v/>
      </c>
      <c r="BX214" s="38" t="b">
        <f t="shared" si="130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1"/>
        <v/>
      </c>
      <c r="CK214" s="41" t="str">
        <f t="shared" si="132"/>
        <v/>
      </c>
      <c r="CL214" s="39" t="str">
        <f t="shared" si="133"/>
        <v/>
      </c>
      <c r="CM214" s="39" t="str">
        <f t="shared" si="134"/>
        <v/>
      </c>
      <c r="CN214" s="42" t="str">
        <f t="shared" si="135"/>
        <v/>
      </c>
      <c r="CO214" s="42" t="str">
        <f t="shared" si="136"/>
        <v/>
      </c>
      <c r="CP214" s="42" t="str">
        <f t="shared" si="137"/>
        <v/>
      </c>
      <c r="CQ214" s="42" t="str">
        <f t="shared" si="138"/>
        <v/>
      </c>
      <c r="CR214" s="42" t="str">
        <f t="shared" si="139"/>
        <v/>
      </c>
      <c r="CS214" s="42" t="str">
        <f t="shared" si="140"/>
        <v/>
      </c>
      <c r="CT214" s="43" t="str">
        <f t="shared" si="141"/>
        <v/>
      </c>
      <c r="CU214" s="43" t="str">
        <f t="shared" si="142"/>
        <v/>
      </c>
      <c r="CV214" s="43" t="str">
        <f t="shared" si="143"/>
        <v/>
      </c>
      <c r="CW214" s="13"/>
    </row>
    <row r="215" spans="1:101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Multiplier'!$A:$A,MATCH($D215,'Level Multiplier'!$B:$B,0)),"")</f>
        <v/>
      </c>
      <c r="Q215" s="36" t="str">
        <f>IFERROR(INDEX('Level Multiplier'!$D:$D,MATCH(P215,'Level Multiplier'!$A:$A,0)),"")</f>
        <v/>
      </c>
      <c r="R215" s="37" t="str">
        <f t="shared" si="108"/>
        <v/>
      </c>
      <c r="S215" s="37" t="str">
        <f t="shared" si="109"/>
        <v/>
      </c>
      <c r="T215" s="38" t="str">
        <f t="shared" si="110"/>
        <v/>
      </c>
      <c r="U215" s="38" t="str">
        <f t="shared" si="111"/>
        <v/>
      </c>
      <c r="V215" s="38" t="b">
        <f t="shared" si="112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3"/>
        <v/>
      </c>
      <c r="AI215" s="36" t="str">
        <f>IFERROR(INDEX('Level Multiplier'!$D:$D,MATCH(AH215,'Level Multiplier'!$A:$A,0)),"")</f>
        <v/>
      </c>
      <c r="AJ215" s="37" t="str">
        <f t="shared" si="114"/>
        <v/>
      </c>
      <c r="AK215" s="37" t="str">
        <f t="shared" si="115"/>
        <v/>
      </c>
      <c r="AL215" s="38" t="str">
        <f t="shared" si="116"/>
        <v/>
      </c>
      <c r="AM215" s="38" t="str">
        <f t="shared" si="117"/>
        <v/>
      </c>
      <c r="AN215" s="38" t="b">
        <f t="shared" si="118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19"/>
        <v/>
      </c>
      <c r="BA215" s="36" t="str">
        <f>IFERROR(INDEX('Level Multiplier'!$D:$D,MATCH(AZ215,'Level Multiplier'!$A:$A,0)),"")</f>
        <v/>
      </c>
      <c r="BB215" s="37" t="str">
        <f t="shared" si="120"/>
        <v/>
      </c>
      <c r="BC215" s="37" t="str">
        <f t="shared" si="121"/>
        <v/>
      </c>
      <c r="BD215" s="38" t="str">
        <f t="shared" si="122"/>
        <v/>
      </c>
      <c r="BE215" s="38" t="str">
        <f t="shared" si="123"/>
        <v/>
      </c>
      <c r="BF215" s="38" t="b">
        <f t="shared" si="124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5"/>
        <v/>
      </c>
      <c r="BS215" s="36" t="str">
        <f>IFERROR(INDEX('Level Multiplier'!$D:$D,MATCH(BR215,'Level Multiplier'!$A:$A,0)),"")</f>
        <v/>
      </c>
      <c r="BT215" s="37" t="str">
        <f t="shared" si="126"/>
        <v/>
      </c>
      <c r="BU215" s="37" t="str">
        <f t="shared" si="127"/>
        <v/>
      </c>
      <c r="BV215" s="38" t="str">
        <f t="shared" si="128"/>
        <v/>
      </c>
      <c r="BW215" s="38" t="str">
        <f t="shared" si="129"/>
        <v/>
      </c>
      <c r="BX215" s="38" t="b">
        <f t="shared" si="130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1"/>
        <v/>
      </c>
      <c r="CK215" s="41" t="str">
        <f t="shared" si="132"/>
        <v/>
      </c>
      <c r="CL215" s="39" t="str">
        <f t="shared" si="133"/>
        <v/>
      </c>
      <c r="CM215" s="39" t="str">
        <f t="shared" si="134"/>
        <v/>
      </c>
      <c r="CN215" s="42" t="str">
        <f t="shared" si="135"/>
        <v/>
      </c>
      <c r="CO215" s="42" t="str">
        <f t="shared" si="136"/>
        <v/>
      </c>
      <c r="CP215" s="42" t="str">
        <f t="shared" si="137"/>
        <v/>
      </c>
      <c r="CQ215" s="42" t="str">
        <f t="shared" si="138"/>
        <v/>
      </c>
      <c r="CR215" s="42" t="str">
        <f t="shared" si="139"/>
        <v/>
      </c>
      <c r="CS215" s="42" t="str">
        <f t="shared" si="140"/>
        <v/>
      </c>
      <c r="CT215" s="43" t="str">
        <f t="shared" si="141"/>
        <v/>
      </c>
      <c r="CU215" s="43" t="str">
        <f t="shared" si="142"/>
        <v/>
      </c>
      <c r="CV215" s="43" t="str">
        <f t="shared" si="143"/>
        <v/>
      </c>
      <c r="CW215" s="13"/>
    </row>
    <row r="216" spans="1:101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Multiplier'!$A:$A,MATCH($D216,'Level Multiplier'!$B:$B,0)),"")</f>
        <v/>
      </c>
      <c r="Q216" s="36" t="str">
        <f>IFERROR(INDEX('Level Multiplier'!$D:$D,MATCH(P216,'Level Multiplier'!$A:$A,0)),"")</f>
        <v/>
      </c>
      <c r="R216" s="37" t="str">
        <f t="shared" si="108"/>
        <v/>
      </c>
      <c r="S216" s="37" t="str">
        <f t="shared" si="109"/>
        <v/>
      </c>
      <c r="T216" s="38" t="str">
        <f t="shared" si="110"/>
        <v/>
      </c>
      <c r="U216" s="38" t="str">
        <f t="shared" si="111"/>
        <v/>
      </c>
      <c r="V216" s="38" t="b">
        <f t="shared" si="112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3"/>
        <v/>
      </c>
      <c r="AI216" s="36" t="str">
        <f>IFERROR(INDEX('Level Multiplier'!$D:$D,MATCH(AH216,'Level Multiplier'!$A:$A,0)),"")</f>
        <v/>
      </c>
      <c r="AJ216" s="37" t="str">
        <f t="shared" si="114"/>
        <v/>
      </c>
      <c r="AK216" s="37" t="str">
        <f t="shared" si="115"/>
        <v/>
      </c>
      <c r="AL216" s="38" t="str">
        <f t="shared" si="116"/>
        <v/>
      </c>
      <c r="AM216" s="38" t="str">
        <f t="shared" si="117"/>
        <v/>
      </c>
      <c r="AN216" s="38" t="b">
        <f t="shared" si="118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19"/>
        <v/>
      </c>
      <c r="BA216" s="36" t="str">
        <f>IFERROR(INDEX('Level Multiplier'!$D:$D,MATCH(AZ216,'Level Multiplier'!$A:$A,0)),"")</f>
        <v/>
      </c>
      <c r="BB216" s="37" t="str">
        <f t="shared" si="120"/>
        <v/>
      </c>
      <c r="BC216" s="37" t="str">
        <f t="shared" si="121"/>
        <v/>
      </c>
      <c r="BD216" s="38" t="str">
        <f t="shared" si="122"/>
        <v/>
      </c>
      <c r="BE216" s="38" t="str">
        <f t="shared" si="123"/>
        <v/>
      </c>
      <c r="BF216" s="38" t="b">
        <f t="shared" si="124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5"/>
        <v/>
      </c>
      <c r="BS216" s="36" t="str">
        <f>IFERROR(INDEX('Level Multiplier'!$D:$D,MATCH(BR216,'Level Multiplier'!$A:$A,0)),"")</f>
        <v/>
      </c>
      <c r="BT216" s="37" t="str">
        <f t="shared" si="126"/>
        <v/>
      </c>
      <c r="BU216" s="37" t="str">
        <f t="shared" si="127"/>
        <v/>
      </c>
      <c r="BV216" s="38" t="str">
        <f t="shared" si="128"/>
        <v/>
      </c>
      <c r="BW216" s="38" t="str">
        <f t="shared" si="129"/>
        <v/>
      </c>
      <c r="BX216" s="38" t="b">
        <f t="shared" si="130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1"/>
        <v/>
      </c>
      <c r="CK216" s="41" t="str">
        <f t="shared" si="132"/>
        <v/>
      </c>
      <c r="CL216" s="39" t="str">
        <f t="shared" si="133"/>
        <v/>
      </c>
      <c r="CM216" s="39" t="str">
        <f t="shared" si="134"/>
        <v/>
      </c>
      <c r="CN216" s="42" t="str">
        <f t="shared" si="135"/>
        <v/>
      </c>
      <c r="CO216" s="42" t="str">
        <f t="shared" si="136"/>
        <v/>
      </c>
      <c r="CP216" s="42" t="str">
        <f t="shared" si="137"/>
        <v/>
      </c>
      <c r="CQ216" s="42" t="str">
        <f t="shared" si="138"/>
        <v/>
      </c>
      <c r="CR216" s="42" t="str">
        <f t="shared" si="139"/>
        <v/>
      </c>
      <c r="CS216" s="42" t="str">
        <f t="shared" si="140"/>
        <v/>
      </c>
      <c r="CT216" s="43" t="str">
        <f t="shared" si="141"/>
        <v/>
      </c>
      <c r="CU216" s="43" t="str">
        <f t="shared" si="142"/>
        <v/>
      </c>
      <c r="CV216" s="43" t="str">
        <f t="shared" si="143"/>
        <v/>
      </c>
      <c r="CW216" s="13"/>
    </row>
    <row r="217" spans="1:101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Multiplier'!$A:$A,MATCH($D217,'Level Multiplier'!$B:$B,0)),"")</f>
        <v/>
      </c>
      <c r="Q217" s="36" t="str">
        <f>IFERROR(INDEX('Level Multiplier'!$D:$D,MATCH(P217,'Level Multiplier'!$A:$A,0)),"")</f>
        <v/>
      </c>
      <c r="R217" s="37" t="str">
        <f t="shared" si="108"/>
        <v/>
      </c>
      <c r="S217" s="37" t="str">
        <f t="shared" si="109"/>
        <v/>
      </c>
      <c r="T217" s="38" t="str">
        <f t="shared" si="110"/>
        <v/>
      </c>
      <c r="U217" s="38" t="str">
        <f t="shared" si="111"/>
        <v/>
      </c>
      <c r="V217" s="38" t="b">
        <f t="shared" si="112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3"/>
        <v/>
      </c>
      <c r="AI217" s="36" t="str">
        <f>IFERROR(INDEX('Level Multiplier'!$D:$D,MATCH(AH217,'Level Multiplier'!$A:$A,0)),"")</f>
        <v/>
      </c>
      <c r="AJ217" s="37" t="str">
        <f t="shared" si="114"/>
        <v/>
      </c>
      <c r="AK217" s="37" t="str">
        <f t="shared" si="115"/>
        <v/>
      </c>
      <c r="AL217" s="38" t="str">
        <f t="shared" si="116"/>
        <v/>
      </c>
      <c r="AM217" s="38" t="str">
        <f t="shared" si="117"/>
        <v/>
      </c>
      <c r="AN217" s="38" t="b">
        <f t="shared" si="118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19"/>
        <v/>
      </c>
      <c r="BA217" s="36" t="str">
        <f>IFERROR(INDEX('Level Multiplier'!$D:$D,MATCH(AZ217,'Level Multiplier'!$A:$A,0)),"")</f>
        <v/>
      </c>
      <c r="BB217" s="37" t="str">
        <f t="shared" si="120"/>
        <v/>
      </c>
      <c r="BC217" s="37" t="str">
        <f t="shared" si="121"/>
        <v/>
      </c>
      <c r="BD217" s="38" t="str">
        <f t="shared" si="122"/>
        <v/>
      </c>
      <c r="BE217" s="38" t="str">
        <f t="shared" si="123"/>
        <v/>
      </c>
      <c r="BF217" s="38" t="b">
        <f t="shared" si="124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5"/>
        <v/>
      </c>
      <c r="BS217" s="36" t="str">
        <f>IFERROR(INDEX('Level Multiplier'!$D:$D,MATCH(BR217,'Level Multiplier'!$A:$A,0)),"")</f>
        <v/>
      </c>
      <c r="BT217" s="37" t="str">
        <f t="shared" si="126"/>
        <v/>
      </c>
      <c r="BU217" s="37" t="str">
        <f t="shared" si="127"/>
        <v/>
      </c>
      <c r="BV217" s="38" t="str">
        <f t="shared" si="128"/>
        <v/>
      </c>
      <c r="BW217" s="38" t="str">
        <f t="shared" si="129"/>
        <v/>
      </c>
      <c r="BX217" s="38" t="b">
        <f t="shared" si="130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1"/>
        <v/>
      </c>
      <c r="CK217" s="41" t="str">
        <f t="shared" si="132"/>
        <v/>
      </c>
      <c r="CL217" s="39" t="str">
        <f t="shared" si="133"/>
        <v/>
      </c>
      <c r="CM217" s="39" t="str">
        <f t="shared" si="134"/>
        <v/>
      </c>
      <c r="CN217" s="42" t="str">
        <f t="shared" si="135"/>
        <v/>
      </c>
      <c r="CO217" s="42" t="str">
        <f t="shared" si="136"/>
        <v/>
      </c>
      <c r="CP217" s="42" t="str">
        <f t="shared" si="137"/>
        <v/>
      </c>
      <c r="CQ217" s="42" t="str">
        <f t="shared" si="138"/>
        <v/>
      </c>
      <c r="CR217" s="42" t="str">
        <f t="shared" si="139"/>
        <v/>
      </c>
      <c r="CS217" s="42" t="str">
        <f t="shared" si="140"/>
        <v/>
      </c>
      <c r="CT217" s="43" t="str">
        <f t="shared" si="141"/>
        <v/>
      </c>
      <c r="CU217" s="43" t="str">
        <f t="shared" si="142"/>
        <v/>
      </c>
      <c r="CV217" s="43" t="str">
        <f t="shared" si="143"/>
        <v/>
      </c>
      <c r="CW217" s="13"/>
    </row>
    <row r="218" spans="1:101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Multiplier'!$A:$A,MATCH($D218,'Level Multiplier'!$B:$B,0)),"")</f>
        <v/>
      </c>
      <c r="Q218" s="36" t="str">
        <f>IFERROR(INDEX('Level Multiplier'!$D:$D,MATCH(P218,'Level Multiplier'!$A:$A,0)),"")</f>
        <v/>
      </c>
      <c r="R218" s="37" t="str">
        <f t="shared" si="108"/>
        <v/>
      </c>
      <c r="S218" s="37" t="str">
        <f t="shared" si="109"/>
        <v/>
      </c>
      <c r="T218" s="38" t="str">
        <f t="shared" si="110"/>
        <v/>
      </c>
      <c r="U218" s="38" t="str">
        <f t="shared" si="111"/>
        <v/>
      </c>
      <c r="V218" s="38" t="b">
        <f t="shared" si="112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3"/>
        <v/>
      </c>
      <c r="AI218" s="36" t="str">
        <f>IFERROR(INDEX('Level Multiplier'!$D:$D,MATCH(AH218,'Level Multiplier'!$A:$A,0)),"")</f>
        <v/>
      </c>
      <c r="AJ218" s="37" t="str">
        <f t="shared" si="114"/>
        <v/>
      </c>
      <c r="AK218" s="37" t="str">
        <f t="shared" si="115"/>
        <v/>
      </c>
      <c r="AL218" s="38" t="str">
        <f t="shared" si="116"/>
        <v/>
      </c>
      <c r="AM218" s="38" t="str">
        <f t="shared" si="117"/>
        <v/>
      </c>
      <c r="AN218" s="38" t="b">
        <f t="shared" si="118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19"/>
        <v/>
      </c>
      <c r="BA218" s="36" t="str">
        <f>IFERROR(INDEX('Level Multiplier'!$D:$D,MATCH(AZ218,'Level Multiplier'!$A:$A,0)),"")</f>
        <v/>
      </c>
      <c r="BB218" s="37" t="str">
        <f t="shared" si="120"/>
        <v/>
      </c>
      <c r="BC218" s="37" t="str">
        <f t="shared" si="121"/>
        <v/>
      </c>
      <c r="BD218" s="38" t="str">
        <f t="shared" si="122"/>
        <v/>
      </c>
      <c r="BE218" s="38" t="str">
        <f t="shared" si="123"/>
        <v/>
      </c>
      <c r="BF218" s="38" t="b">
        <f t="shared" si="124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5"/>
        <v/>
      </c>
      <c r="BS218" s="36" t="str">
        <f>IFERROR(INDEX('Level Multiplier'!$D:$D,MATCH(BR218,'Level Multiplier'!$A:$A,0)),"")</f>
        <v/>
      </c>
      <c r="BT218" s="37" t="str">
        <f t="shared" si="126"/>
        <v/>
      </c>
      <c r="BU218" s="37" t="str">
        <f t="shared" si="127"/>
        <v/>
      </c>
      <c r="BV218" s="38" t="str">
        <f t="shared" si="128"/>
        <v/>
      </c>
      <c r="BW218" s="38" t="str">
        <f t="shared" si="129"/>
        <v/>
      </c>
      <c r="BX218" s="38" t="b">
        <f t="shared" si="130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1"/>
        <v/>
      </c>
      <c r="CK218" s="41" t="str">
        <f t="shared" si="132"/>
        <v/>
      </c>
      <c r="CL218" s="39" t="str">
        <f t="shared" si="133"/>
        <v/>
      </c>
      <c r="CM218" s="39" t="str">
        <f t="shared" si="134"/>
        <v/>
      </c>
      <c r="CN218" s="42" t="str">
        <f t="shared" si="135"/>
        <v/>
      </c>
      <c r="CO218" s="42" t="str">
        <f t="shared" si="136"/>
        <v/>
      </c>
      <c r="CP218" s="42" t="str">
        <f t="shared" si="137"/>
        <v/>
      </c>
      <c r="CQ218" s="42" t="str">
        <f t="shared" si="138"/>
        <v/>
      </c>
      <c r="CR218" s="42" t="str">
        <f t="shared" si="139"/>
        <v/>
      </c>
      <c r="CS218" s="42" t="str">
        <f t="shared" si="140"/>
        <v/>
      </c>
      <c r="CT218" s="43" t="str">
        <f t="shared" si="141"/>
        <v/>
      </c>
      <c r="CU218" s="43" t="str">
        <f t="shared" si="142"/>
        <v/>
      </c>
      <c r="CV218" s="43" t="str">
        <f t="shared" si="143"/>
        <v/>
      </c>
      <c r="CW218" s="13"/>
    </row>
    <row r="219" spans="1:101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Multiplier'!$A:$A,MATCH($D219,'Level Multiplier'!$B:$B,0)),"")</f>
        <v/>
      </c>
      <c r="Q219" s="36" t="str">
        <f>IFERROR(INDEX('Level Multiplier'!$D:$D,MATCH(P219,'Level Multiplier'!$A:$A,0)),"")</f>
        <v/>
      </c>
      <c r="R219" s="37" t="str">
        <f t="shared" si="108"/>
        <v/>
      </c>
      <c r="S219" s="37" t="str">
        <f t="shared" si="109"/>
        <v/>
      </c>
      <c r="T219" s="38" t="str">
        <f t="shared" si="110"/>
        <v/>
      </c>
      <c r="U219" s="38" t="str">
        <f t="shared" si="111"/>
        <v/>
      </c>
      <c r="V219" s="38" t="b">
        <f t="shared" si="112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3"/>
        <v/>
      </c>
      <c r="AI219" s="36" t="str">
        <f>IFERROR(INDEX('Level Multiplier'!$D:$D,MATCH(AH219,'Level Multiplier'!$A:$A,0)),"")</f>
        <v/>
      </c>
      <c r="AJ219" s="37" t="str">
        <f t="shared" si="114"/>
        <v/>
      </c>
      <c r="AK219" s="37" t="str">
        <f t="shared" si="115"/>
        <v/>
      </c>
      <c r="AL219" s="38" t="str">
        <f t="shared" si="116"/>
        <v/>
      </c>
      <c r="AM219" s="38" t="str">
        <f t="shared" si="117"/>
        <v/>
      </c>
      <c r="AN219" s="38" t="b">
        <f t="shared" si="118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19"/>
        <v/>
      </c>
      <c r="BA219" s="36" t="str">
        <f>IFERROR(INDEX('Level Multiplier'!$D:$D,MATCH(AZ219,'Level Multiplier'!$A:$A,0)),"")</f>
        <v/>
      </c>
      <c r="BB219" s="37" t="str">
        <f t="shared" si="120"/>
        <v/>
      </c>
      <c r="BC219" s="37" t="str">
        <f t="shared" si="121"/>
        <v/>
      </c>
      <c r="BD219" s="38" t="str">
        <f t="shared" si="122"/>
        <v/>
      </c>
      <c r="BE219" s="38" t="str">
        <f t="shared" si="123"/>
        <v/>
      </c>
      <c r="BF219" s="38" t="b">
        <f t="shared" si="124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5"/>
        <v/>
      </c>
      <c r="BS219" s="36" t="str">
        <f>IFERROR(INDEX('Level Multiplier'!$D:$D,MATCH(BR219,'Level Multiplier'!$A:$A,0)),"")</f>
        <v/>
      </c>
      <c r="BT219" s="37" t="str">
        <f t="shared" si="126"/>
        <v/>
      </c>
      <c r="BU219" s="37" t="str">
        <f t="shared" si="127"/>
        <v/>
      </c>
      <c r="BV219" s="38" t="str">
        <f t="shared" si="128"/>
        <v/>
      </c>
      <c r="BW219" s="38" t="str">
        <f t="shared" si="129"/>
        <v/>
      </c>
      <c r="BX219" s="38" t="b">
        <f t="shared" si="130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1"/>
        <v/>
      </c>
      <c r="CK219" s="41" t="str">
        <f t="shared" si="132"/>
        <v/>
      </c>
      <c r="CL219" s="39" t="str">
        <f t="shared" si="133"/>
        <v/>
      </c>
      <c r="CM219" s="39" t="str">
        <f t="shared" si="134"/>
        <v/>
      </c>
      <c r="CN219" s="42" t="str">
        <f t="shared" si="135"/>
        <v/>
      </c>
      <c r="CO219" s="42" t="str">
        <f t="shared" si="136"/>
        <v/>
      </c>
      <c r="CP219" s="42" t="str">
        <f t="shared" si="137"/>
        <v/>
      </c>
      <c r="CQ219" s="42" t="str">
        <f t="shared" si="138"/>
        <v/>
      </c>
      <c r="CR219" s="42" t="str">
        <f t="shared" si="139"/>
        <v/>
      </c>
      <c r="CS219" s="42" t="str">
        <f t="shared" si="140"/>
        <v/>
      </c>
      <c r="CT219" s="43" t="str">
        <f t="shared" si="141"/>
        <v/>
      </c>
      <c r="CU219" s="43" t="str">
        <f t="shared" si="142"/>
        <v/>
      </c>
      <c r="CV219" s="43" t="str">
        <f t="shared" si="143"/>
        <v/>
      </c>
      <c r="CW219" s="13"/>
    </row>
    <row r="220" spans="1:101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Multiplier'!$A:$A,MATCH($D220,'Level Multiplier'!$B:$B,0)),"")</f>
        <v/>
      </c>
      <c r="Q220" s="36" t="str">
        <f>IFERROR(INDEX('Level Multiplier'!$D:$D,MATCH(P220,'Level Multiplier'!$A:$A,0)),"")</f>
        <v/>
      </c>
      <c r="R220" s="37" t="str">
        <f t="shared" si="108"/>
        <v/>
      </c>
      <c r="S220" s="37" t="str">
        <f t="shared" si="109"/>
        <v/>
      </c>
      <c r="T220" s="38" t="str">
        <f t="shared" si="110"/>
        <v/>
      </c>
      <c r="U220" s="38" t="str">
        <f t="shared" si="111"/>
        <v/>
      </c>
      <c r="V220" s="38" t="b">
        <f t="shared" si="112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3"/>
        <v/>
      </c>
      <c r="AI220" s="36" t="str">
        <f>IFERROR(INDEX('Level Multiplier'!$D:$D,MATCH(AH220,'Level Multiplier'!$A:$A,0)),"")</f>
        <v/>
      </c>
      <c r="AJ220" s="37" t="str">
        <f t="shared" si="114"/>
        <v/>
      </c>
      <c r="AK220" s="37" t="str">
        <f t="shared" si="115"/>
        <v/>
      </c>
      <c r="AL220" s="38" t="str">
        <f t="shared" si="116"/>
        <v/>
      </c>
      <c r="AM220" s="38" t="str">
        <f t="shared" si="117"/>
        <v/>
      </c>
      <c r="AN220" s="38" t="b">
        <f t="shared" si="118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19"/>
        <v/>
      </c>
      <c r="BA220" s="36" t="str">
        <f>IFERROR(INDEX('Level Multiplier'!$D:$D,MATCH(AZ220,'Level Multiplier'!$A:$A,0)),"")</f>
        <v/>
      </c>
      <c r="BB220" s="37" t="str">
        <f t="shared" si="120"/>
        <v/>
      </c>
      <c r="BC220" s="37" t="str">
        <f t="shared" si="121"/>
        <v/>
      </c>
      <c r="BD220" s="38" t="str">
        <f t="shared" si="122"/>
        <v/>
      </c>
      <c r="BE220" s="38" t="str">
        <f t="shared" si="123"/>
        <v/>
      </c>
      <c r="BF220" s="38" t="b">
        <f t="shared" si="124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5"/>
        <v/>
      </c>
      <c r="BS220" s="36" t="str">
        <f>IFERROR(INDEX('Level Multiplier'!$D:$D,MATCH(BR220,'Level Multiplier'!$A:$A,0)),"")</f>
        <v/>
      </c>
      <c r="BT220" s="37" t="str">
        <f t="shared" si="126"/>
        <v/>
      </c>
      <c r="BU220" s="37" t="str">
        <f t="shared" si="127"/>
        <v/>
      </c>
      <c r="BV220" s="38" t="str">
        <f t="shared" si="128"/>
        <v/>
      </c>
      <c r="BW220" s="38" t="str">
        <f t="shared" si="129"/>
        <v/>
      </c>
      <c r="BX220" s="38" t="b">
        <f t="shared" si="130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1"/>
        <v/>
      </c>
      <c r="CK220" s="41" t="str">
        <f t="shared" si="132"/>
        <v/>
      </c>
      <c r="CL220" s="39" t="str">
        <f t="shared" si="133"/>
        <v/>
      </c>
      <c r="CM220" s="39" t="str">
        <f t="shared" si="134"/>
        <v/>
      </c>
      <c r="CN220" s="42" t="str">
        <f t="shared" si="135"/>
        <v/>
      </c>
      <c r="CO220" s="42" t="str">
        <f t="shared" si="136"/>
        <v/>
      </c>
      <c r="CP220" s="42" t="str">
        <f t="shared" si="137"/>
        <v/>
      </c>
      <c r="CQ220" s="42" t="str">
        <f t="shared" si="138"/>
        <v/>
      </c>
      <c r="CR220" s="42" t="str">
        <f t="shared" si="139"/>
        <v/>
      </c>
      <c r="CS220" s="42" t="str">
        <f t="shared" si="140"/>
        <v/>
      </c>
      <c r="CT220" s="43" t="str">
        <f t="shared" si="141"/>
        <v/>
      </c>
      <c r="CU220" s="43" t="str">
        <f t="shared" si="142"/>
        <v/>
      </c>
      <c r="CV220" s="43" t="str">
        <f t="shared" si="143"/>
        <v/>
      </c>
      <c r="CW220" s="13"/>
    </row>
    <row r="221" spans="1:101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Multiplier'!$A:$A,MATCH($D221,'Level Multiplier'!$B:$B,0)),"")</f>
        <v/>
      </c>
      <c r="Q221" s="36" t="str">
        <f>IFERROR(INDEX('Level Multiplier'!$D:$D,MATCH(P221,'Level Multiplier'!$A:$A,0)),"")</f>
        <v/>
      </c>
      <c r="R221" s="37" t="str">
        <f t="shared" si="108"/>
        <v/>
      </c>
      <c r="S221" s="37" t="str">
        <f t="shared" si="109"/>
        <v/>
      </c>
      <c r="T221" s="38" t="str">
        <f t="shared" si="110"/>
        <v/>
      </c>
      <c r="U221" s="38" t="str">
        <f t="shared" si="111"/>
        <v/>
      </c>
      <c r="V221" s="38" t="b">
        <f t="shared" si="112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3"/>
        <v/>
      </c>
      <c r="AI221" s="36" t="str">
        <f>IFERROR(INDEX('Level Multiplier'!$D:$D,MATCH(AH221,'Level Multiplier'!$A:$A,0)),"")</f>
        <v/>
      </c>
      <c r="AJ221" s="37" t="str">
        <f t="shared" si="114"/>
        <v/>
      </c>
      <c r="AK221" s="37" t="str">
        <f t="shared" si="115"/>
        <v/>
      </c>
      <c r="AL221" s="38" t="str">
        <f t="shared" si="116"/>
        <v/>
      </c>
      <c r="AM221" s="38" t="str">
        <f t="shared" si="117"/>
        <v/>
      </c>
      <c r="AN221" s="38" t="b">
        <f t="shared" si="118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19"/>
        <v/>
      </c>
      <c r="BA221" s="36" t="str">
        <f>IFERROR(INDEX('Level Multiplier'!$D:$D,MATCH(AZ221,'Level Multiplier'!$A:$A,0)),"")</f>
        <v/>
      </c>
      <c r="BB221" s="37" t="str">
        <f t="shared" si="120"/>
        <v/>
      </c>
      <c r="BC221" s="37" t="str">
        <f t="shared" si="121"/>
        <v/>
      </c>
      <c r="BD221" s="38" t="str">
        <f t="shared" si="122"/>
        <v/>
      </c>
      <c r="BE221" s="38" t="str">
        <f t="shared" si="123"/>
        <v/>
      </c>
      <c r="BF221" s="38" t="b">
        <f t="shared" si="124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5"/>
        <v/>
      </c>
      <c r="BS221" s="36" t="str">
        <f>IFERROR(INDEX('Level Multiplier'!$D:$D,MATCH(BR221,'Level Multiplier'!$A:$A,0)),"")</f>
        <v/>
      </c>
      <c r="BT221" s="37" t="str">
        <f t="shared" si="126"/>
        <v/>
      </c>
      <c r="BU221" s="37" t="str">
        <f t="shared" si="127"/>
        <v/>
      </c>
      <c r="BV221" s="38" t="str">
        <f t="shared" si="128"/>
        <v/>
      </c>
      <c r="BW221" s="38" t="str">
        <f t="shared" si="129"/>
        <v/>
      </c>
      <c r="BX221" s="38" t="b">
        <f t="shared" si="130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1"/>
        <v/>
      </c>
      <c r="CK221" s="41" t="str">
        <f t="shared" si="132"/>
        <v/>
      </c>
      <c r="CL221" s="39" t="str">
        <f t="shared" si="133"/>
        <v/>
      </c>
      <c r="CM221" s="39" t="str">
        <f t="shared" si="134"/>
        <v/>
      </c>
      <c r="CN221" s="42" t="str">
        <f t="shared" si="135"/>
        <v/>
      </c>
      <c r="CO221" s="42" t="str">
        <f t="shared" si="136"/>
        <v/>
      </c>
      <c r="CP221" s="42" t="str">
        <f t="shared" si="137"/>
        <v/>
      </c>
      <c r="CQ221" s="42" t="str">
        <f t="shared" si="138"/>
        <v/>
      </c>
      <c r="CR221" s="42" t="str">
        <f t="shared" si="139"/>
        <v/>
      </c>
      <c r="CS221" s="42" t="str">
        <f t="shared" si="140"/>
        <v/>
      </c>
      <c r="CT221" s="43" t="str">
        <f t="shared" si="141"/>
        <v/>
      </c>
      <c r="CU221" s="43" t="str">
        <f t="shared" si="142"/>
        <v/>
      </c>
      <c r="CV221" s="43" t="str">
        <f t="shared" si="143"/>
        <v/>
      </c>
      <c r="CW221" s="13"/>
    </row>
    <row r="222" spans="1:101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Multiplier'!$A:$A,MATCH($D222,'Level Multiplier'!$B:$B,0)),"")</f>
        <v/>
      </c>
      <c r="Q222" s="36" t="str">
        <f>IFERROR(INDEX('Level Multiplier'!$D:$D,MATCH(P222,'Level Multiplier'!$A:$A,0)),"")</f>
        <v/>
      </c>
      <c r="R222" s="37" t="str">
        <f t="shared" si="108"/>
        <v/>
      </c>
      <c r="S222" s="37" t="str">
        <f t="shared" si="109"/>
        <v/>
      </c>
      <c r="T222" s="38" t="str">
        <f t="shared" si="110"/>
        <v/>
      </c>
      <c r="U222" s="38" t="str">
        <f t="shared" si="111"/>
        <v/>
      </c>
      <c r="V222" s="38" t="b">
        <f t="shared" si="112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3"/>
        <v/>
      </c>
      <c r="AI222" s="36" t="str">
        <f>IFERROR(INDEX('Level Multiplier'!$D:$D,MATCH(AH222,'Level Multiplier'!$A:$A,0)),"")</f>
        <v/>
      </c>
      <c r="AJ222" s="37" t="str">
        <f t="shared" si="114"/>
        <v/>
      </c>
      <c r="AK222" s="37" t="str">
        <f t="shared" si="115"/>
        <v/>
      </c>
      <c r="AL222" s="38" t="str">
        <f t="shared" si="116"/>
        <v/>
      </c>
      <c r="AM222" s="38" t="str">
        <f t="shared" si="117"/>
        <v/>
      </c>
      <c r="AN222" s="38" t="b">
        <f t="shared" si="118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19"/>
        <v/>
      </c>
      <c r="BA222" s="36" t="str">
        <f>IFERROR(INDEX('Level Multiplier'!$D:$D,MATCH(AZ222,'Level Multiplier'!$A:$A,0)),"")</f>
        <v/>
      </c>
      <c r="BB222" s="37" t="str">
        <f t="shared" si="120"/>
        <v/>
      </c>
      <c r="BC222" s="37" t="str">
        <f t="shared" si="121"/>
        <v/>
      </c>
      <c r="BD222" s="38" t="str">
        <f t="shared" si="122"/>
        <v/>
      </c>
      <c r="BE222" s="38" t="str">
        <f t="shared" si="123"/>
        <v/>
      </c>
      <c r="BF222" s="38" t="b">
        <f t="shared" si="124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5"/>
        <v/>
      </c>
      <c r="BS222" s="36" t="str">
        <f>IFERROR(INDEX('Level Multiplier'!$D:$D,MATCH(BR222,'Level Multiplier'!$A:$A,0)),"")</f>
        <v/>
      </c>
      <c r="BT222" s="37" t="str">
        <f t="shared" si="126"/>
        <v/>
      </c>
      <c r="BU222" s="37" t="str">
        <f t="shared" si="127"/>
        <v/>
      </c>
      <c r="BV222" s="38" t="str">
        <f t="shared" si="128"/>
        <v/>
      </c>
      <c r="BW222" s="38" t="str">
        <f t="shared" si="129"/>
        <v/>
      </c>
      <c r="BX222" s="38" t="b">
        <f t="shared" si="130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1"/>
        <v/>
      </c>
      <c r="CK222" s="41" t="str">
        <f t="shared" si="132"/>
        <v/>
      </c>
      <c r="CL222" s="39" t="str">
        <f t="shared" si="133"/>
        <v/>
      </c>
      <c r="CM222" s="39" t="str">
        <f t="shared" si="134"/>
        <v/>
      </c>
      <c r="CN222" s="42" t="str">
        <f t="shared" si="135"/>
        <v/>
      </c>
      <c r="CO222" s="42" t="str">
        <f t="shared" si="136"/>
        <v/>
      </c>
      <c r="CP222" s="42" t="str">
        <f t="shared" si="137"/>
        <v/>
      </c>
      <c r="CQ222" s="42" t="str">
        <f t="shared" si="138"/>
        <v/>
      </c>
      <c r="CR222" s="42" t="str">
        <f t="shared" si="139"/>
        <v/>
      </c>
      <c r="CS222" s="42" t="str">
        <f t="shared" si="140"/>
        <v/>
      </c>
      <c r="CT222" s="43" t="str">
        <f t="shared" si="141"/>
        <v/>
      </c>
      <c r="CU222" s="43" t="str">
        <f t="shared" si="142"/>
        <v/>
      </c>
      <c r="CV222" s="43" t="str">
        <f t="shared" si="143"/>
        <v/>
      </c>
      <c r="CW222" s="13"/>
    </row>
    <row r="223" spans="1:101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Multiplier'!$A:$A,MATCH($D223,'Level Multiplier'!$B:$B,0)),"")</f>
        <v/>
      </c>
      <c r="Q223" s="36" t="str">
        <f>IFERROR(INDEX('Level Multiplier'!$D:$D,MATCH(P223,'Level Multiplier'!$A:$A,0)),"")</f>
        <v/>
      </c>
      <c r="R223" s="37" t="str">
        <f t="shared" si="108"/>
        <v/>
      </c>
      <c r="S223" s="37" t="str">
        <f t="shared" si="109"/>
        <v/>
      </c>
      <c r="T223" s="38" t="str">
        <f t="shared" si="110"/>
        <v/>
      </c>
      <c r="U223" s="38" t="str">
        <f t="shared" si="111"/>
        <v/>
      </c>
      <c r="V223" s="38" t="b">
        <f t="shared" si="112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3"/>
        <v/>
      </c>
      <c r="AI223" s="36" t="str">
        <f>IFERROR(INDEX('Level Multiplier'!$D:$D,MATCH(AH223,'Level Multiplier'!$A:$A,0)),"")</f>
        <v/>
      </c>
      <c r="AJ223" s="37" t="str">
        <f t="shared" si="114"/>
        <v/>
      </c>
      <c r="AK223" s="37" t="str">
        <f t="shared" si="115"/>
        <v/>
      </c>
      <c r="AL223" s="38" t="str">
        <f t="shared" si="116"/>
        <v/>
      </c>
      <c r="AM223" s="38" t="str">
        <f t="shared" si="117"/>
        <v/>
      </c>
      <c r="AN223" s="38" t="b">
        <f t="shared" si="118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19"/>
        <v/>
      </c>
      <c r="BA223" s="36" t="str">
        <f>IFERROR(INDEX('Level Multiplier'!$D:$D,MATCH(AZ223,'Level Multiplier'!$A:$A,0)),"")</f>
        <v/>
      </c>
      <c r="BB223" s="37" t="str">
        <f t="shared" si="120"/>
        <v/>
      </c>
      <c r="BC223" s="37" t="str">
        <f t="shared" si="121"/>
        <v/>
      </c>
      <c r="BD223" s="38" t="str">
        <f t="shared" si="122"/>
        <v/>
      </c>
      <c r="BE223" s="38" t="str">
        <f t="shared" si="123"/>
        <v/>
      </c>
      <c r="BF223" s="38" t="b">
        <f t="shared" si="124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5"/>
        <v/>
      </c>
      <c r="BS223" s="36" t="str">
        <f>IFERROR(INDEX('Level Multiplier'!$D:$D,MATCH(BR223,'Level Multiplier'!$A:$A,0)),"")</f>
        <v/>
      </c>
      <c r="BT223" s="37" t="str">
        <f t="shared" si="126"/>
        <v/>
      </c>
      <c r="BU223" s="37" t="str">
        <f t="shared" si="127"/>
        <v/>
      </c>
      <c r="BV223" s="38" t="str">
        <f t="shared" si="128"/>
        <v/>
      </c>
      <c r="BW223" s="38" t="str">
        <f t="shared" si="129"/>
        <v/>
      </c>
      <c r="BX223" s="38" t="b">
        <f t="shared" si="130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1"/>
        <v/>
      </c>
      <c r="CK223" s="41" t="str">
        <f t="shared" si="132"/>
        <v/>
      </c>
      <c r="CL223" s="39" t="str">
        <f t="shared" si="133"/>
        <v/>
      </c>
      <c r="CM223" s="39" t="str">
        <f t="shared" si="134"/>
        <v/>
      </c>
      <c r="CN223" s="42" t="str">
        <f t="shared" si="135"/>
        <v/>
      </c>
      <c r="CO223" s="42" t="str">
        <f t="shared" si="136"/>
        <v/>
      </c>
      <c r="CP223" s="42" t="str">
        <f t="shared" si="137"/>
        <v/>
      </c>
      <c r="CQ223" s="42" t="str">
        <f t="shared" si="138"/>
        <v/>
      </c>
      <c r="CR223" s="42" t="str">
        <f t="shared" si="139"/>
        <v/>
      </c>
      <c r="CS223" s="42" t="str">
        <f t="shared" si="140"/>
        <v/>
      </c>
      <c r="CT223" s="43" t="str">
        <f t="shared" si="141"/>
        <v/>
      </c>
      <c r="CU223" s="43" t="str">
        <f t="shared" si="142"/>
        <v/>
      </c>
      <c r="CV223" s="43" t="str">
        <f t="shared" si="143"/>
        <v/>
      </c>
      <c r="CW223" s="13"/>
    </row>
    <row r="224" spans="1:101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Multiplier'!$A:$A,MATCH($D224,'Level Multiplier'!$B:$B,0)),"")</f>
        <v/>
      </c>
      <c r="Q224" s="36" t="str">
        <f>IFERROR(INDEX('Level Multiplier'!$D:$D,MATCH(P224,'Level Multiplier'!$A:$A,0)),"")</f>
        <v/>
      </c>
      <c r="R224" s="37" t="str">
        <f t="shared" si="108"/>
        <v/>
      </c>
      <c r="S224" s="37" t="str">
        <f t="shared" si="109"/>
        <v/>
      </c>
      <c r="T224" s="38" t="str">
        <f t="shared" si="110"/>
        <v/>
      </c>
      <c r="U224" s="38" t="str">
        <f t="shared" si="111"/>
        <v/>
      </c>
      <c r="V224" s="38" t="b">
        <f t="shared" si="112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3"/>
        <v/>
      </c>
      <c r="AI224" s="36" t="str">
        <f>IFERROR(INDEX('Level Multiplier'!$D:$D,MATCH(AH224,'Level Multiplier'!$A:$A,0)),"")</f>
        <v/>
      </c>
      <c r="AJ224" s="37" t="str">
        <f t="shared" si="114"/>
        <v/>
      </c>
      <c r="AK224" s="37" t="str">
        <f t="shared" si="115"/>
        <v/>
      </c>
      <c r="AL224" s="38" t="str">
        <f t="shared" si="116"/>
        <v/>
      </c>
      <c r="AM224" s="38" t="str">
        <f t="shared" si="117"/>
        <v/>
      </c>
      <c r="AN224" s="38" t="b">
        <f t="shared" si="118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19"/>
        <v/>
      </c>
      <c r="BA224" s="36" t="str">
        <f>IFERROR(INDEX('Level Multiplier'!$D:$D,MATCH(AZ224,'Level Multiplier'!$A:$A,0)),"")</f>
        <v/>
      </c>
      <c r="BB224" s="37" t="str">
        <f t="shared" si="120"/>
        <v/>
      </c>
      <c r="BC224" s="37" t="str">
        <f t="shared" si="121"/>
        <v/>
      </c>
      <c r="BD224" s="38" t="str">
        <f t="shared" si="122"/>
        <v/>
      </c>
      <c r="BE224" s="38" t="str">
        <f t="shared" si="123"/>
        <v/>
      </c>
      <c r="BF224" s="38" t="b">
        <f t="shared" si="124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5"/>
        <v/>
      </c>
      <c r="BS224" s="36" t="str">
        <f>IFERROR(INDEX('Level Multiplier'!$D:$D,MATCH(BR224,'Level Multiplier'!$A:$A,0)),"")</f>
        <v/>
      </c>
      <c r="BT224" s="37" t="str">
        <f t="shared" si="126"/>
        <v/>
      </c>
      <c r="BU224" s="37" t="str">
        <f t="shared" si="127"/>
        <v/>
      </c>
      <c r="BV224" s="38" t="str">
        <f t="shared" si="128"/>
        <v/>
      </c>
      <c r="BW224" s="38" t="str">
        <f t="shared" si="129"/>
        <v/>
      </c>
      <c r="BX224" s="38" t="b">
        <f t="shared" si="130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1"/>
        <v/>
      </c>
      <c r="CK224" s="41" t="str">
        <f t="shared" si="132"/>
        <v/>
      </c>
      <c r="CL224" s="39" t="str">
        <f t="shared" si="133"/>
        <v/>
      </c>
      <c r="CM224" s="39" t="str">
        <f t="shared" si="134"/>
        <v/>
      </c>
      <c r="CN224" s="42" t="str">
        <f t="shared" si="135"/>
        <v/>
      </c>
      <c r="CO224" s="42" t="str">
        <f t="shared" si="136"/>
        <v/>
      </c>
      <c r="CP224" s="42" t="str">
        <f t="shared" si="137"/>
        <v/>
      </c>
      <c r="CQ224" s="42" t="str">
        <f t="shared" si="138"/>
        <v/>
      </c>
      <c r="CR224" s="42" t="str">
        <f t="shared" si="139"/>
        <v/>
      </c>
      <c r="CS224" s="42" t="str">
        <f t="shared" si="140"/>
        <v/>
      </c>
      <c r="CT224" s="43" t="str">
        <f t="shared" si="141"/>
        <v/>
      </c>
      <c r="CU224" s="43" t="str">
        <f t="shared" si="142"/>
        <v/>
      </c>
      <c r="CV224" s="43" t="str">
        <f t="shared" si="143"/>
        <v/>
      </c>
      <c r="CW224" s="13"/>
    </row>
    <row r="225" spans="1:101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Multiplier'!$A:$A,MATCH($D225,'Level Multiplier'!$B:$B,0)),"")</f>
        <v/>
      </c>
      <c r="Q225" s="36" t="str">
        <f>IFERROR(INDEX('Level Multiplier'!$D:$D,MATCH(P225,'Level Multiplier'!$A:$A,0)),"")</f>
        <v/>
      </c>
      <c r="R225" s="37" t="str">
        <f t="shared" si="108"/>
        <v/>
      </c>
      <c r="S225" s="37" t="str">
        <f t="shared" si="109"/>
        <v/>
      </c>
      <c r="T225" s="38" t="str">
        <f t="shared" si="110"/>
        <v/>
      </c>
      <c r="U225" s="38" t="str">
        <f t="shared" si="111"/>
        <v/>
      </c>
      <c r="V225" s="38" t="b">
        <f t="shared" si="112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3"/>
        <v/>
      </c>
      <c r="AI225" s="36" t="str">
        <f>IFERROR(INDEX('Level Multiplier'!$D:$D,MATCH(AH225,'Level Multiplier'!$A:$A,0)),"")</f>
        <v/>
      </c>
      <c r="AJ225" s="37" t="str">
        <f t="shared" si="114"/>
        <v/>
      </c>
      <c r="AK225" s="37" t="str">
        <f t="shared" si="115"/>
        <v/>
      </c>
      <c r="AL225" s="38" t="str">
        <f t="shared" si="116"/>
        <v/>
      </c>
      <c r="AM225" s="38" t="str">
        <f t="shared" si="117"/>
        <v/>
      </c>
      <c r="AN225" s="38" t="b">
        <f t="shared" si="118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19"/>
        <v/>
      </c>
      <c r="BA225" s="36" t="str">
        <f>IFERROR(INDEX('Level Multiplier'!$D:$D,MATCH(AZ225,'Level Multiplier'!$A:$A,0)),"")</f>
        <v/>
      </c>
      <c r="BB225" s="37" t="str">
        <f t="shared" si="120"/>
        <v/>
      </c>
      <c r="BC225" s="37" t="str">
        <f t="shared" si="121"/>
        <v/>
      </c>
      <c r="BD225" s="38" t="str">
        <f t="shared" si="122"/>
        <v/>
      </c>
      <c r="BE225" s="38" t="str">
        <f t="shared" si="123"/>
        <v/>
      </c>
      <c r="BF225" s="38" t="b">
        <f t="shared" si="124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5"/>
        <v/>
      </c>
      <c r="BS225" s="36" t="str">
        <f>IFERROR(INDEX('Level Multiplier'!$D:$D,MATCH(BR225,'Level Multiplier'!$A:$A,0)),"")</f>
        <v/>
      </c>
      <c r="BT225" s="37" t="str">
        <f t="shared" si="126"/>
        <v/>
      </c>
      <c r="BU225" s="37" t="str">
        <f t="shared" si="127"/>
        <v/>
      </c>
      <c r="BV225" s="38" t="str">
        <f t="shared" si="128"/>
        <v/>
      </c>
      <c r="BW225" s="38" t="str">
        <f t="shared" si="129"/>
        <v/>
      </c>
      <c r="BX225" s="38" t="b">
        <f t="shared" si="130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1"/>
        <v/>
      </c>
      <c r="CK225" s="41" t="str">
        <f t="shared" si="132"/>
        <v/>
      </c>
      <c r="CL225" s="39" t="str">
        <f t="shared" si="133"/>
        <v/>
      </c>
      <c r="CM225" s="39" t="str">
        <f t="shared" si="134"/>
        <v/>
      </c>
      <c r="CN225" s="42" t="str">
        <f t="shared" si="135"/>
        <v/>
      </c>
      <c r="CO225" s="42" t="str">
        <f t="shared" si="136"/>
        <v/>
      </c>
      <c r="CP225" s="42" t="str">
        <f t="shared" si="137"/>
        <v/>
      </c>
      <c r="CQ225" s="42" t="str">
        <f t="shared" si="138"/>
        <v/>
      </c>
      <c r="CR225" s="42" t="str">
        <f t="shared" si="139"/>
        <v/>
      </c>
      <c r="CS225" s="42" t="str">
        <f t="shared" si="140"/>
        <v/>
      </c>
      <c r="CT225" s="43" t="str">
        <f t="shared" si="141"/>
        <v/>
      </c>
      <c r="CU225" s="43" t="str">
        <f t="shared" si="142"/>
        <v/>
      </c>
      <c r="CV225" s="43" t="str">
        <f t="shared" si="143"/>
        <v/>
      </c>
      <c r="CW225" s="13"/>
    </row>
    <row r="226" spans="1:101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Multiplier'!$A:$A,MATCH($D226,'Level Multiplier'!$B:$B,0)),"")</f>
        <v/>
      </c>
      <c r="Q226" s="36" t="str">
        <f>IFERROR(INDEX('Level Multiplier'!$D:$D,MATCH(P226,'Level Multiplier'!$A:$A,0)),"")</f>
        <v/>
      </c>
      <c r="R226" s="37" t="str">
        <f t="shared" si="108"/>
        <v/>
      </c>
      <c r="S226" s="37" t="str">
        <f t="shared" si="109"/>
        <v/>
      </c>
      <c r="T226" s="38" t="str">
        <f t="shared" si="110"/>
        <v/>
      </c>
      <c r="U226" s="38" t="str">
        <f t="shared" si="111"/>
        <v/>
      </c>
      <c r="V226" s="38" t="b">
        <f t="shared" si="112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3"/>
        <v/>
      </c>
      <c r="AI226" s="36" t="str">
        <f>IFERROR(INDEX('Level Multiplier'!$D:$D,MATCH(AH226,'Level Multiplier'!$A:$A,0)),"")</f>
        <v/>
      </c>
      <c r="AJ226" s="37" t="str">
        <f t="shared" si="114"/>
        <v/>
      </c>
      <c r="AK226" s="37" t="str">
        <f t="shared" si="115"/>
        <v/>
      </c>
      <c r="AL226" s="38" t="str">
        <f t="shared" si="116"/>
        <v/>
      </c>
      <c r="AM226" s="38" t="str">
        <f t="shared" si="117"/>
        <v/>
      </c>
      <c r="AN226" s="38" t="b">
        <f t="shared" si="118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19"/>
        <v/>
      </c>
      <c r="BA226" s="36" t="str">
        <f>IFERROR(INDEX('Level Multiplier'!$D:$D,MATCH(AZ226,'Level Multiplier'!$A:$A,0)),"")</f>
        <v/>
      </c>
      <c r="BB226" s="37" t="str">
        <f t="shared" si="120"/>
        <v/>
      </c>
      <c r="BC226" s="37" t="str">
        <f t="shared" si="121"/>
        <v/>
      </c>
      <c r="BD226" s="38" t="str">
        <f t="shared" si="122"/>
        <v/>
      </c>
      <c r="BE226" s="38" t="str">
        <f t="shared" si="123"/>
        <v/>
      </c>
      <c r="BF226" s="38" t="b">
        <f t="shared" si="124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5"/>
        <v/>
      </c>
      <c r="BS226" s="36" t="str">
        <f>IFERROR(INDEX('Level Multiplier'!$D:$D,MATCH(BR226,'Level Multiplier'!$A:$A,0)),"")</f>
        <v/>
      </c>
      <c r="BT226" s="37" t="str">
        <f t="shared" si="126"/>
        <v/>
      </c>
      <c r="BU226" s="37" t="str">
        <f t="shared" si="127"/>
        <v/>
      </c>
      <c r="BV226" s="38" t="str">
        <f t="shared" si="128"/>
        <v/>
      </c>
      <c r="BW226" s="38" t="str">
        <f t="shared" si="129"/>
        <v/>
      </c>
      <c r="BX226" s="38" t="b">
        <f t="shared" si="130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1"/>
        <v/>
      </c>
      <c r="CK226" s="41" t="str">
        <f t="shared" si="132"/>
        <v/>
      </c>
      <c r="CL226" s="39" t="str">
        <f t="shared" si="133"/>
        <v/>
      </c>
      <c r="CM226" s="39" t="str">
        <f t="shared" si="134"/>
        <v/>
      </c>
      <c r="CN226" s="42" t="str">
        <f t="shared" si="135"/>
        <v/>
      </c>
      <c r="CO226" s="42" t="str">
        <f t="shared" si="136"/>
        <v/>
      </c>
      <c r="CP226" s="42" t="str">
        <f t="shared" si="137"/>
        <v/>
      </c>
      <c r="CQ226" s="42" t="str">
        <f t="shared" si="138"/>
        <v/>
      </c>
      <c r="CR226" s="42" t="str">
        <f t="shared" si="139"/>
        <v/>
      </c>
      <c r="CS226" s="42" t="str">
        <f t="shared" si="140"/>
        <v/>
      </c>
      <c r="CT226" s="43" t="str">
        <f t="shared" si="141"/>
        <v/>
      </c>
      <c r="CU226" s="43" t="str">
        <f t="shared" si="142"/>
        <v/>
      </c>
      <c r="CV226" s="43" t="str">
        <f t="shared" si="143"/>
        <v/>
      </c>
      <c r="CW226" s="33"/>
    </row>
    <row r="227" spans="1:101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Multiplier'!$A:$A,MATCH($D227,'Level Multiplier'!$B:$B,0)),"")</f>
        <v/>
      </c>
      <c r="Q227" s="36" t="str">
        <f>IFERROR(INDEX('Level Multiplier'!$D:$D,MATCH(P227,'Level Multiplier'!$A:$A,0)),"")</f>
        <v/>
      </c>
      <c r="R227" s="37" t="str">
        <f t="shared" si="108"/>
        <v/>
      </c>
      <c r="S227" s="37" t="str">
        <f t="shared" si="109"/>
        <v/>
      </c>
      <c r="T227" s="38" t="str">
        <f t="shared" si="110"/>
        <v/>
      </c>
      <c r="U227" s="38" t="str">
        <f t="shared" si="111"/>
        <v/>
      </c>
      <c r="V227" s="38" t="b">
        <f t="shared" si="112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3"/>
        <v/>
      </c>
      <c r="AI227" s="36" t="str">
        <f>IFERROR(INDEX('Level Multiplier'!$D:$D,MATCH(AH227,'Level Multiplier'!$A:$A,0)),"")</f>
        <v/>
      </c>
      <c r="AJ227" s="37" t="str">
        <f t="shared" si="114"/>
        <v/>
      </c>
      <c r="AK227" s="37" t="str">
        <f t="shared" si="115"/>
        <v/>
      </c>
      <c r="AL227" s="38" t="str">
        <f t="shared" si="116"/>
        <v/>
      </c>
      <c r="AM227" s="38" t="str">
        <f t="shared" si="117"/>
        <v/>
      </c>
      <c r="AN227" s="38" t="b">
        <f t="shared" si="118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19"/>
        <v/>
      </c>
      <c r="BA227" s="36" t="str">
        <f>IFERROR(INDEX('Level Multiplier'!$D:$D,MATCH(AZ227,'Level Multiplier'!$A:$A,0)),"")</f>
        <v/>
      </c>
      <c r="BB227" s="37" t="str">
        <f t="shared" si="120"/>
        <v/>
      </c>
      <c r="BC227" s="37" t="str">
        <f t="shared" si="121"/>
        <v/>
      </c>
      <c r="BD227" s="38" t="str">
        <f t="shared" si="122"/>
        <v/>
      </c>
      <c r="BE227" s="38" t="str">
        <f t="shared" si="123"/>
        <v/>
      </c>
      <c r="BF227" s="38" t="b">
        <f t="shared" si="124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5"/>
        <v/>
      </c>
      <c r="BS227" s="36" t="str">
        <f>IFERROR(INDEX('Level Multiplier'!$D:$D,MATCH(BR227,'Level Multiplier'!$A:$A,0)),"")</f>
        <v/>
      </c>
      <c r="BT227" s="37" t="str">
        <f t="shared" si="126"/>
        <v/>
      </c>
      <c r="BU227" s="37" t="str">
        <f t="shared" si="127"/>
        <v/>
      </c>
      <c r="BV227" s="38" t="str">
        <f t="shared" si="128"/>
        <v/>
      </c>
      <c r="BW227" s="38" t="str">
        <f t="shared" si="129"/>
        <v/>
      </c>
      <c r="BX227" s="38" t="b">
        <f t="shared" si="130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1"/>
        <v/>
      </c>
      <c r="CK227" s="41" t="str">
        <f t="shared" si="132"/>
        <v/>
      </c>
      <c r="CL227" s="39" t="str">
        <f t="shared" si="133"/>
        <v/>
      </c>
      <c r="CM227" s="39" t="str">
        <f t="shared" si="134"/>
        <v/>
      </c>
      <c r="CN227" s="42" t="str">
        <f t="shared" si="135"/>
        <v/>
      </c>
      <c r="CO227" s="42" t="str">
        <f t="shared" si="136"/>
        <v/>
      </c>
      <c r="CP227" s="42" t="str">
        <f t="shared" si="137"/>
        <v/>
      </c>
      <c r="CQ227" s="42" t="str">
        <f t="shared" si="138"/>
        <v/>
      </c>
      <c r="CR227" s="42" t="str">
        <f t="shared" si="139"/>
        <v/>
      </c>
      <c r="CS227" s="42" t="str">
        <f t="shared" si="140"/>
        <v/>
      </c>
      <c r="CT227" s="43" t="str">
        <f t="shared" si="141"/>
        <v/>
      </c>
      <c r="CU227" s="43" t="str">
        <f t="shared" si="142"/>
        <v/>
      </c>
      <c r="CV227" s="43" t="str">
        <f t="shared" si="143"/>
        <v/>
      </c>
      <c r="CW227" s="13"/>
    </row>
    <row r="228" spans="1:101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Multiplier'!$A:$A,MATCH($D228,'Level Multiplier'!$B:$B,0)),"")</f>
        <v/>
      </c>
      <c r="Q228" s="36" t="str">
        <f>IFERROR(INDEX('Level Multiplier'!$D:$D,MATCH(P228,'Level Multiplier'!$A:$A,0)),"")</f>
        <v/>
      </c>
      <c r="R228" s="37" t="str">
        <f t="shared" si="108"/>
        <v/>
      </c>
      <c r="S228" s="37" t="str">
        <f t="shared" si="109"/>
        <v/>
      </c>
      <c r="T228" s="38" t="str">
        <f t="shared" si="110"/>
        <v/>
      </c>
      <c r="U228" s="38" t="str">
        <f t="shared" si="111"/>
        <v/>
      </c>
      <c r="V228" s="38" t="b">
        <f t="shared" si="112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3"/>
        <v/>
      </c>
      <c r="AI228" s="36" t="str">
        <f>IFERROR(INDEX('Level Multiplier'!$D:$D,MATCH(AH228,'Level Multiplier'!$A:$A,0)),"")</f>
        <v/>
      </c>
      <c r="AJ228" s="37" t="str">
        <f t="shared" si="114"/>
        <v/>
      </c>
      <c r="AK228" s="37" t="str">
        <f t="shared" si="115"/>
        <v/>
      </c>
      <c r="AL228" s="38" t="str">
        <f t="shared" si="116"/>
        <v/>
      </c>
      <c r="AM228" s="38" t="str">
        <f t="shared" si="117"/>
        <v/>
      </c>
      <c r="AN228" s="38" t="b">
        <f t="shared" si="118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19"/>
        <v/>
      </c>
      <c r="BA228" s="36" t="str">
        <f>IFERROR(INDEX('Level Multiplier'!$D:$D,MATCH(AZ228,'Level Multiplier'!$A:$A,0)),"")</f>
        <v/>
      </c>
      <c r="BB228" s="37" t="str">
        <f t="shared" si="120"/>
        <v/>
      </c>
      <c r="BC228" s="37" t="str">
        <f t="shared" si="121"/>
        <v/>
      </c>
      <c r="BD228" s="38" t="str">
        <f t="shared" si="122"/>
        <v/>
      </c>
      <c r="BE228" s="38" t="str">
        <f t="shared" si="123"/>
        <v/>
      </c>
      <c r="BF228" s="38" t="b">
        <f t="shared" si="124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5"/>
        <v/>
      </c>
      <c r="BS228" s="36" t="str">
        <f>IFERROR(INDEX('Level Multiplier'!$D:$D,MATCH(BR228,'Level Multiplier'!$A:$A,0)),"")</f>
        <v/>
      </c>
      <c r="BT228" s="37" t="str">
        <f t="shared" si="126"/>
        <v/>
      </c>
      <c r="BU228" s="37" t="str">
        <f t="shared" si="127"/>
        <v/>
      </c>
      <c r="BV228" s="38" t="str">
        <f t="shared" si="128"/>
        <v/>
      </c>
      <c r="BW228" s="38" t="str">
        <f t="shared" si="129"/>
        <v/>
      </c>
      <c r="BX228" s="38" t="b">
        <f t="shared" si="130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1"/>
        <v/>
      </c>
      <c r="CK228" s="41" t="str">
        <f t="shared" si="132"/>
        <v/>
      </c>
      <c r="CL228" s="39" t="str">
        <f t="shared" si="133"/>
        <v/>
      </c>
      <c r="CM228" s="39" t="str">
        <f t="shared" si="134"/>
        <v/>
      </c>
      <c r="CN228" s="42" t="str">
        <f t="shared" si="135"/>
        <v/>
      </c>
      <c r="CO228" s="42" t="str">
        <f t="shared" si="136"/>
        <v/>
      </c>
      <c r="CP228" s="42" t="str">
        <f t="shared" si="137"/>
        <v/>
      </c>
      <c r="CQ228" s="42" t="str">
        <f t="shared" si="138"/>
        <v/>
      </c>
      <c r="CR228" s="42" t="str">
        <f t="shared" si="139"/>
        <v/>
      </c>
      <c r="CS228" s="42" t="str">
        <f t="shared" si="140"/>
        <v/>
      </c>
      <c r="CT228" s="43" t="str">
        <f t="shared" si="141"/>
        <v/>
      </c>
      <c r="CU228" s="43" t="str">
        <f t="shared" si="142"/>
        <v/>
      </c>
      <c r="CV228" s="43" t="str">
        <f t="shared" si="143"/>
        <v/>
      </c>
      <c r="CW228" s="13"/>
    </row>
    <row r="229" spans="1:101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Multiplier'!$A:$A,MATCH($D229,'Level Multiplier'!$B:$B,0)),"")</f>
        <v/>
      </c>
      <c r="Q229" s="36" t="str">
        <f>IFERROR(INDEX('Level Multiplier'!$D:$D,MATCH(P229,'Level Multiplier'!$A:$A,0)),"")</f>
        <v/>
      </c>
      <c r="R229" s="37" t="str">
        <f t="shared" si="108"/>
        <v/>
      </c>
      <c r="S229" s="37" t="str">
        <f t="shared" si="109"/>
        <v/>
      </c>
      <c r="T229" s="38" t="str">
        <f t="shared" si="110"/>
        <v/>
      </c>
      <c r="U229" s="38" t="str">
        <f t="shared" si="111"/>
        <v/>
      </c>
      <c r="V229" s="38" t="b">
        <f t="shared" si="112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3"/>
        <v/>
      </c>
      <c r="AI229" s="36" t="str">
        <f>IFERROR(INDEX('Level Multiplier'!$D:$D,MATCH(AH229,'Level Multiplier'!$A:$A,0)),"")</f>
        <v/>
      </c>
      <c r="AJ229" s="37" t="str">
        <f t="shared" si="114"/>
        <v/>
      </c>
      <c r="AK229" s="37" t="str">
        <f t="shared" si="115"/>
        <v/>
      </c>
      <c r="AL229" s="38" t="str">
        <f t="shared" si="116"/>
        <v/>
      </c>
      <c r="AM229" s="38" t="str">
        <f t="shared" si="117"/>
        <v/>
      </c>
      <c r="AN229" s="38" t="b">
        <f t="shared" si="118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19"/>
        <v/>
      </c>
      <c r="BA229" s="36" t="str">
        <f>IFERROR(INDEX('Level Multiplier'!$D:$D,MATCH(AZ229,'Level Multiplier'!$A:$A,0)),"")</f>
        <v/>
      </c>
      <c r="BB229" s="37" t="str">
        <f t="shared" si="120"/>
        <v/>
      </c>
      <c r="BC229" s="37" t="str">
        <f t="shared" si="121"/>
        <v/>
      </c>
      <c r="BD229" s="38" t="str">
        <f t="shared" si="122"/>
        <v/>
      </c>
      <c r="BE229" s="38" t="str">
        <f t="shared" si="123"/>
        <v/>
      </c>
      <c r="BF229" s="38" t="b">
        <f t="shared" si="124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5"/>
        <v/>
      </c>
      <c r="BS229" s="36" t="str">
        <f>IFERROR(INDEX('Level Multiplier'!$D:$D,MATCH(BR229,'Level Multiplier'!$A:$A,0)),"")</f>
        <v/>
      </c>
      <c r="BT229" s="37" t="str">
        <f t="shared" si="126"/>
        <v/>
      </c>
      <c r="BU229" s="37" t="str">
        <f t="shared" si="127"/>
        <v/>
      </c>
      <c r="BV229" s="38" t="str">
        <f t="shared" si="128"/>
        <v/>
      </c>
      <c r="BW229" s="38" t="str">
        <f t="shared" si="129"/>
        <v/>
      </c>
      <c r="BX229" s="38" t="b">
        <f t="shared" si="130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1"/>
        <v/>
      </c>
      <c r="CK229" s="41" t="str">
        <f t="shared" si="132"/>
        <v/>
      </c>
      <c r="CL229" s="39" t="str">
        <f t="shared" si="133"/>
        <v/>
      </c>
      <c r="CM229" s="39" t="str">
        <f t="shared" si="134"/>
        <v/>
      </c>
      <c r="CN229" s="42" t="str">
        <f t="shared" si="135"/>
        <v/>
      </c>
      <c r="CO229" s="42" t="str">
        <f t="shared" si="136"/>
        <v/>
      </c>
      <c r="CP229" s="42" t="str">
        <f t="shared" si="137"/>
        <v/>
      </c>
      <c r="CQ229" s="42" t="str">
        <f t="shared" si="138"/>
        <v/>
      </c>
      <c r="CR229" s="42" t="str">
        <f t="shared" si="139"/>
        <v/>
      </c>
      <c r="CS229" s="42" t="str">
        <f t="shared" si="140"/>
        <v/>
      </c>
      <c r="CT229" s="43" t="str">
        <f t="shared" si="141"/>
        <v/>
      </c>
      <c r="CU229" s="43" t="str">
        <f t="shared" si="142"/>
        <v/>
      </c>
      <c r="CV229" s="43" t="str">
        <f t="shared" si="143"/>
        <v/>
      </c>
      <c r="CW229" s="13"/>
    </row>
    <row r="230" spans="1:101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Multiplier'!$A:$A,MATCH($D230,'Level Multiplier'!$B:$B,0)),"")</f>
        <v/>
      </c>
      <c r="Q230" s="36" t="str">
        <f>IFERROR(INDEX('Level Multiplier'!$D:$D,MATCH(P230,'Level Multiplier'!$A:$A,0)),"")</f>
        <v/>
      </c>
      <c r="R230" s="37" t="str">
        <f t="shared" si="108"/>
        <v/>
      </c>
      <c r="S230" s="37" t="str">
        <f t="shared" si="109"/>
        <v/>
      </c>
      <c r="T230" s="38" t="str">
        <f t="shared" si="110"/>
        <v/>
      </c>
      <c r="U230" s="38" t="str">
        <f t="shared" si="111"/>
        <v/>
      </c>
      <c r="V230" s="38" t="b">
        <f t="shared" si="112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3"/>
        <v/>
      </c>
      <c r="AI230" s="36" t="str">
        <f>IFERROR(INDEX('Level Multiplier'!$D:$D,MATCH(AH230,'Level Multiplier'!$A:$A,0)),"")</f>
        <v/>
      </c>
      <c r="AJ230" s="37" t="str">
        <f t="shared" si="114"/>
        <v/>
      </c>
      <c r="AK230" s="37" t="str">
        <f t="shared" si="115"/>
        <v/>
      </c>
      <c r="AL230" s="38" t="str">
        <f t="shared" si="116"/>
        <v/>
      </c>
      <c r="AM230" s="38" t="str">
        <f t="shared" si="117"/>
        <v/>
      </c>
      <c r="AN230" s="38" t="b">
        <f t="shared" si="118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19"/>
        <v/>
      </c>
      <c r="BA230" s="36" t="str">
        <f>IFERROR(INDEX('Level Multiplier'!$D:$D,MATCH(AZ230,'Level Multiplier'!$A:$A,0)),"")</f>
        <v/>
      </c>
      <c r="BB230" s="37" t="str">
        <f t="shared" si="120"/>
        <v/>
      </c>
      <c r="BC230" s="37" t="str">
        <f t="shared" si="121"/>
        <v/>
      </c>
      <c r="BD230" s="38" t="str">
        <f t="shared" si="122"/>
        <v/>
      </c>
      <c r="BE230" s="38" t="str">
        <f t="shared" si="123"/>
        <v/>
      </c>
      <c r="BF230" s="38" t="b">
        <f t="shared" si="124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5"/>
        <v/>
      </c>
      <c r="BS230" s="36" t="str">
        <f>IFERROR(INDEX('Level Multiplier'!$D:$D,MATCH(BR230,'Level Multiplier'!$A:$A,0)),"")</f>
        <v/>
      </c>
      <c r="BT230" s="37" t="str">
        <f t="shared" si="126"/>
        <v/>
      </c>
      <c r="BU230" s="37" t="str">
        <f t="shared" si="127"/>
        <v/>
      </c>
      <c r="BV230" s="38" t="str">
        <f t="shared" si="128"/>
        <v/>
      </c>
      <c r="BW230" s="38" t="str">
        <f t="shared" si="129"/>
        <v/>
      </c>
      <c r="BX230" s="38" t="b">
        <f t="shared" si="130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1"/>
        <v/>
      </c>
      <c r="CK230" s="41" t="str">
        <f t="shared" si="132"/>
        <v/>
      </c>
      <c r="CL230" s="39" t="str">
        <f t="shared" si="133"/>
        <v/>
      </c>
      <c r="CM230" s="39" t="str">
        <f t="shared" si="134"/>
        <v/>
      </c>
      <c r="CN230" s="42" t="str">
        <f t="shared" si="135"/>
        <v/>
      </c>
      <c r="CO230" s="42" t="str">
        <f t="shared" si="136"/>
        <v/>
      </c>
      <c r="CP230" s="42" t="str">
        <f t="shared" si="137"/>
        <v/>
      </c>
      <c r="CQ230" s="42" t="str">
        <f t="shared" si="138"/>
        <v/>
      </c>
      <c r="CR230" s="42" t="str">
        <f t="shared" si="139"/>
        <v/>
      </c>
      <c r="CS230" s="42" t="str">
        <f t="shared" si="140"/>
        <v/>
      </c>
      <c r="CT230" s="43" t="str">
        <f t="shared" si="141"/>
        <v/>
      </c>
      <c r="CU230" s="43" t="str">
        <f t="shared" si="142"/>
        <v/>
      </c>
      <c r="CV230" s="43" t="str">
        <f t="shared" si="143"/>
        <v/>
      </c>
      <c r="CW230" s="13"/>
    </row>
    <row r="231" spans="1:101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Multiplier'!$A:$A,MATCH($D231,'Level Multiplier'!$B:$B,0)),"")</f>
        <v/>
      </c>
      <c r="Q231" s="36" t="str">
        <f>IFERROR(INDEX('Level Multiplier'!$D:$D,MATCH(P231,'Level Multiplier'!$A:$A,0)),"")</f>
        <v/>
      </c>
      <c r="R231" s="37" t="str">
        <f t="shared" si="108"/>
        <v/>
      </c>
      <c r="S231" s="37" t="str">
        <f t="shared" si="109"/>
        <v/>
      </c>
      <c r="T231" s="38" t="str">
        <f t="shared" si="110"/>
        <v/>
      </c>
      <c r="U231" s="38" t="str">
        <f t="shared" si="111"/>
        <v/>
      </c>
      <c r="V231" s="38" t="b">
        <f t="shared" si="112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3"/>
        <v/>
      </c>
      <c r="AI231" s="36" t="str">
        <f>IFERROR(INDEX('Level Multiplier'!$D:$D,MATCH(AH231,'Level Multiplier'!$A:$A,0)),"")</f>
        <v/>
      </c>
      <c r="AJ231" s="37" t="str">
        <f t="shared" si="114"/>
        <v/>
      </c>
      <c r="AK231" s="37" t="str">
        <f t="shared" si="115"/>
        <v/>
      </c>
      <c r="AL231" s="38" t="str">
        <f t="shared" si="116"/>
        <v/>
      </c>
      <c r="AM231" s="38" t="str">
        <f t="shared" si="117"/>
        <v/>
      </c>
      <c r="AN231" s="38" t="b">
        <f t="shared" si="118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19"/>
        <v/>
      </c>
      <c r="BA231" s="36" t="str">
        <f>IFERROR(INDEX('Level Multiplier'!$D:$D,MATCH(AZ231,'Level Multiplier'!$A:$A,0)),"")</f>
        <v/>
      </c>
      <c r="BB231" s="37" t="str">
        <f t="shared" si="120"/>
        <v/>
      </c>
      <c r="BC231" s="37" t="str">
        <f t="shared" si="121"/>
        <v/>
      </c>
      <c r="BD231" s="38" t="str">
        <f t="shared" si="122"/>
        <v/>
      </c>
      <c r="BE231" s="38" t="str">
        <f t="shared" si="123"/>
        <v/>
      </c>
      <c r="BF231" s="38" t="b">
        <f t="shared" si="124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5"/>
        <v/>
      </c>
      <c r="BS231" s="36" t="str">
        <f>IFERROR(INDEX('Level Multiplier'!$D:$D,MATCH(BR231,'Level Multiplier'!$A:$A,0)),"")</f>
        <v/>
      </c>
      <c r="BT231" s="37" t="str">
        <f t="shared" si="126"/>
        <v/>
      </c>
      <c r="BU231" s="37" t="str">
        <f t="shared" si="127"/>
        <v/>
      </c>
      <c r="BV231" s="38" t="str">
        <f t="shared" si="128"/>
        <v/>
      </c>
      <c r="BW231" s="38" t="str">
        <f t="shared" si="129"/>
        <v/>
      </c>
      <c r="BX231" s="38" t="b">
        <f t="shared" si="130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1"/>
        <v/>
      </c>
      <c r="CK231" s="41" t="str">
        <f t="shared" si="132"/>
        <v/>
      </c>
      <c r="CL231" s="39" t="str">
        <f t="shared" si="133"/>
        <v/>
      </c>
      <c r="CM231" s="39" t="str">
        <f t="shared" si="134"/>
        <v/>
      </c>
      <c r="CN231" s="42" t="str">
        <f t="shared" si="135"/>
        <v/>
      </c>
      <c r="CO231" s="42" t="str">
        <f t="shared" si="136"/>
        <v/>
      </c>
      <c r="CP231" s="42" t="str">
        <f t="shared" si="137"/>
        <v/>
      </c>
      <c r="CQ231" s="42" t="str">
        <f t="shared" si="138"/>
        <v/>
      </c>
      <c r="CR231" s="42" t="str">
        <f t="shared" si="139"/>
        <v/>
      </c>
      <c r="CS231" s="42" t="str">
        <f t="shared" si="140"/>
        <v/>
      </c>
      <c r="CT231" s="43" t="str">
        <f t="shared" si="141"/>
        <v/>
      </c>
      <c r="CU231" s="43" t="str">
        <f t="shared" si="142"/>
        <v/>
      </c>
      <c r="CV231" s="43" t="str">
        <f t="shared" si="143"/>
        <v/>
      </c>
      <c r="CW231" s="13"/>
    </row>
    <row r="232" spans="1:101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Multiplier'!$A:$A,MATCH($D232,'Level Multiplier'!$B:$B,0)),"")</f>
        <v/>
      </c>
      <c r="Q232" s="36" t="str">
        <f>IFERROR(INDEX('Level Multiplier'!$D:$D,MATCH(P232,'Level Multiplier'!$A:$A,0)),"")</f>
        <v/>
      </c>
      <c r="R232" s="37" t="str">
        <f t="shared" si="108"/>
        <v/>
      </c>
      <c r="S232" s="37" t="str">
        <f t="shared" si="109"/>
        <v/>
      </c>
      <c r="T232" s="38" t="str">
        <f t="shared" si="110"/>
        <v/>
      </c>
      <c r="U232" s="38" t="str">
        <f t="shared" si="111"/>
        <v/>
      </c>
      <c r="V232" s="38" t="b">
        <f t="shared" si="112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3"/>
        <v/>
      </c>
      <c r="AI232" s="36" t="str">
        <f>IFERROR(INDEX('Level Multiplier'!$D:$D,MATCH(AH232,'Level Multiplier'!$A:$A,0)),"")</f>
        <v/>
      </c>
      <c r="AJ232" s="37" t="str">
        <f t="shared" si="114"/>
        <v/>
      </c>
      <c r="AK232" s="37" t="str">
        <f t="shared" si="115"/>
        <v/>
      </c>
      <c r="AL232" s="38" t="str">
        <f t="shared" si="116"/>
        <v/>
      </c>
      <c r="AM232" s="38" t="str">
        <f t="shared" si="117"/>
        <v/>
      </c>
      <c r="AN232" s="38" t="b">
        <f t="shared" si="118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19"/>
        <v/>
      </c>
      <c r="BA232" s="36" t="str">
        <f>IFERROR(INDEX('Level Multiplier'!$D:$D,MATCH(AZ232,'Level Multiplier'!$A:$A,0)),"")</f>
        <v/>
      </c>
      <c r="BB232" s="37" t="str">
        <f t="shared" si="120"/>
        <v/>
      </c>
      <c r="BC232" s="37" t="str">
        <f t="shared" si="121"/>
        <v/>
      </c>
      <c r="BD232" s="38" t="str">
        <f t="shared" si="122"/>
        <v/>
      </c>
      <c r="BE232" s="38" t="str">
        <f t="shared" si="123"/>
        <v/>
      </c>
      <c r="BF232" s="38" t="b">
        <f t="shared" si="124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5"/>
        <v/>
      </c>
      <c r="BS232" s="36" t="str">
        <f>IFERROR(INDEX('Level Multiplier'!$D:$D,MATCH(BR232,'Level Multiplier'!$A:$A,0)),"")</f>
        <v/>
      </c>
      <c r="BT232" s="37" t="str">
        <f t="shared" si="126"/>
        <v/>
      </c>
      <c r="BU232" s="37" t="str">
        <f t="shared" si="127"/>
        <v/>
      </c>
      <c r="BV232" s="38" t="str">
        <f t="shared" si="128"/>
        <v/>
      </c>
      <c r="BW232" s="38" t="str">
        <f t="shared" si="129"/>
        <v/>
      </c>
      <c r="BX232" s="38" t="b">
        <f t="shared" si="130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1"/>
        <v/>
      </c>
      <c r="CK232" s="41" t="str">
        <f t="shared" si="132"/>
        <v/>
      </c>
      <c r="CL232" s="39" t="str">
        <f t="shared" si="133"/>
        <v/>
      </c>
      <c r="CM232" s="39" t="str">
        <f t="shared" si="134"/>
        <v/>
      </c>
      <c r="CN232" s="42" t="str">
        <f t="shared" si="135"/>
        <v/>
      </c>
      <c r="CO232" s="42" t="str">
        <f t="shared" si="136"/>
        <v/>
      </c>
      <c r="CP232" s="42" t="str">
        <f t="shared" si="137"/>
        <v/>
      </c>
      <c r="CQ232" s="42" t="str">
        <f t="shared" si="138"/>
        <v/>
      </c>
      <c r="CR232" s="42" t="str">
        <f t="shared" si="139"/>
        <v/>
      </c>
      <c r="CS232" s="42" t="str">
        <f t="shared" si="140"/>
        <v/>
      </c>
      <c r="CT232" s="43" t="str">
        <f t="shared" si="141"/>
        <v/>
      </c>
      <c r="CU232" s="43" t="str">
        <f t="shared" si="142"/>
        <v/>
      </c>
      <c r="CV232" s="43" t="str">
        <f t="shared" si="143"/>
        <v/>
      </c>
      <c r="CW232" s="13"/>
    </row>
    <row r="233" spans="1:101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Multiplier'!$A:$A,MATCH($D233,'Level Multiplier'!$B:$B,0)),"")</f>
        <v/>
      </c>
      <c r="Q233" s="36" t="str">
        <f>IFERROR(INDEX('Level Multiplier'!$D:$D,MATCH(P233,'Level Multiplier'!$A:$A,0)),"")</f>
        <v/>
      </c>
      <c r="R233" s="37" t="str">
        <f t="shared" si="108"/>
        <v/>
      </c>
      <c r="S233" s="37" t="str">
        <f t="shared" si="109"/>
        <v/>
      </c>
      <c r="T233" s="38" t="str">
        <f t="shared" si="110"/>
        <v/>
      </c>
      <c r="U233" s="38" t="str">
        <f t="shared" si="111"/>
        <v/>
      </c>
      <c r="V233" s="38" t="b">
        <f t="shared" si="112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3"/>
        <v/>
      </c>
      <c r="AI233" s="36" t="str">
        <f>IFERROR(INDEX('Level Multiplier'!$D:$D,MATCH(AH233,'Level Multiplier'!$A:$A,0)),"")</f>
        <v/>
      </c>
      <c r="AJ233" s="37" t="str">
        <f t="shared" si="114"/>
        <v/>
      </c>
      <c r="AK233" s="37" t="str">
        <f t="shared" si="115"/>
        <v/>
      </c>
      <c r="AL233" s="38" t="str">
        <f t="shared" si="116"/>
        <v/>
      </c>
      <c r="AM233" s="38" t="str">
        <f t="shared" si="117"/>
        <v/>
      </c>
      <c r="AN233" s="38" t="b">
        <f t="shared" si="118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19"/>
        <v/>
      </c>
      <c r="BA233" s="36" t="str">
        <f>IFERROR(INDEX('Level Multiplier'!$D:$D,MATCH(AZ233,'Level Multiplier'!$A:$A,0)),"")</f>
        <v/>
      </c>
      <c r="BB233" s="37" t="str">
        <f t="shared" si="120"/>
        <v/>
      </c>
      <c r="BC233" s="37" t="str">
        <f t="shared" si="121"/>
        <v/>
      </c>
      <c r="BD233" s="38" t="str">
        <f t="shared" si="122"/>
        <v/>
      </c>
      <c r="BE233" s="38" t="str">
        <f t="shared" si="123"/>
        <v/>
      </c>
      <c r="BF233" s="38" t="b">
        <f t="shared" si="124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5"/>
        <v/>
      </c>
      <c r="BS233" s="36" t="str">
        <f>IFERROR(INDEX('Level Multiplier'!$D:$D,MATCH(BR233,'Level Multiplier'!$A:$A,0)),"")</f>
        <v/>
      </c>
      <c r="BT233" s="37" t="str">
        <f t="shared" si="126"/>
        <v/>
      </c>
      <c r="BU233" s="37" t="str">
        <f t="shared" si="127"/>
        <v/>
      </c>
      <c r="BV233" s="38" t="str">
        <f t="shared" si="128"/>
        <v/>
      </c>
      <c r="BW233" s="38" t="str">
        <f t="shared" si="129"/>
        <v/>
      </c>
      <c r="BX233" s="38" t="b">
        <f t="shared" si="130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1"/>
        <v/>
      </c>
      <c r="CK233" s="41" t="str">
        <f t="shared" si="132"/>
        <v/>
      </c>
      <c r="CL233" s="39" t="str">
        <f t="shared" si="133"/>
        <v/>
      </c>
      <c r="CM233" s="39" t="str">
        <f t="shared" si="134"/>
        <v/>
      </c>
      <c r="CN233" s="42" t="str">
        <f t="shared" si="135"/>
        <v/>
      </c>
      <c r="CO233" s="42" t="str">
        <f t="shared" si="136"/>
        <v/>
      </c>
      <c r="CP233" s="42" t="str">
        <f t="shared" si="137"/>
        <v/>
      </c>
      <c r="CQ233" s="42" t="str">
        <f t="shared" si="138"/>
        <v/>
      </c>
      <c r="CR233" s="42" t="str">
        <f t="shared" si="139"/>
        <v/>
      </c>
      <c r="CS233" s="42" t="str">
        <f t="shared" si="140"/>
        <v/>
      </c>
      <c r="CT233" s="43" t="str">
        <f t="shared" si="141"/>
        <v/>
      </c>
      <c r="CU233" s="43" t="str">
        <f t="shared" si="142"/>
        <v/>
      </c>
      <c r="CV233" s="43" t="str">
        <f t="shared" si="143"/>
        <v/>
      </c>
      <c r="CW233" s="13"/>
    </row>
    <row r="234" spans="1:101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Multiplier'!$A:$A,MATCH($D234,'Level Multiplier'!$B:$B,0)),"")</f>
        <v/>
      </c>
      <c r="Q234" s="36" t="str">
        <f>IFERROR(INDEX('Level Multiplier'!$D:$D,MATCH(P234,'Level Multiplier'!$A:$A,0)),"")</f>
        <v/>
      </c>
      <c r="R234" s="37" t="str">
        <f t="shared" si="108"/>
        <v/>
      </c>
      <c r="S234" s="37" t="str">
        <f t="shared" si="109"/>
        <v/>
      </c>
      <c r="T234" s="38" t="str">
        <f t="shared" si="110"/>
        <v/>
      </c>
      <c r="U234" s="38" t="str">
        <f t="shared" si="111"/>
        <v/>
      </c>
      <c r="V234" s="38" t="b">
        <f t="shared" si="112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3"/>
        <v/>
      </c>
      <c r="AI234" s="36" t="str">
        <f>IFERROR(INDEX('Level Multiplier'!$D:$D,MATCH(AH234,'Level Multiplier'!$A:$A,0)),"")</f>
        <v/>
      </c>
      <c r="AJ234" s="37" t="str">
        <f t="shared" si="114"/>
        <v/>
      </c>
      <c r="AK234" s="37" t="str">
        <f t="shared" si="115"/>
        <v/>
      </c>
      <c r="AL234" s="38" t="str">
        <f t="shared" si="116"/>
        <v/>
      </c>
      <c r="AM234" s="38" t="str">
        <f t="shared" si="117"/>
        <v/>
      </c>
      <c r="AN234" s="38" t="b">
        <f t="shared" si="118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19"/>
        <v/>
      </c>
      <c r="BA234" s="36" t="str">
        <f>IFERROR(INDEX('Level Multiplier'!$D:$D,MATCH(AZ234,'Level Multiplier'!$A:$A,0)),"")</f>
        <v/>
      </c>
      <c r="BB234" s="37" t="str">
        <f t="shared" si="120"/>
        <v/>
      </c>
      <c r="BC234" s="37" t="str">
        <f t="shared" si="121"/>
        <v/>
      </c>
      <c r="BD234" s="38" t="str">
        <f t="shared" si="122"/>
        <v/>
      </c>
      <c r="BE234" s="38" t="str">
        <f t="shared" si="123"/>
        <v/>
      </c>
      <c r="BF234" s="38" t="b">
        <f t="shared" si="124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5"/>
        <v/>
      </c>
      <c r="BS234" s="36" t="str">
        <f>IFERROR(INDEX('Level Multiplier'!$D:$D,MATCH(BR234,'Level Multiplier'!$A:$A,0)),"")</f>
        <v/>
      </c>
      <c r="BT234" s="37" t="str">
        <f t="shared" si="126"/>
        <v/>
      </c>
      <c r="BU234" s="37" t="str">
        <f t="shared" si="127"/>
        <v/>
      </c>
      <c r="BV234" s="38" t="str">
        <f t="shared" si="128"/>
        <v/>
      </c>
      <c r="BW234" s="38" t="str">
        <f t="shared" si="129"/>
        <v/>
      </c>
      <c r="BX234" s="38" t="b">
        <f t="shared" si="130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1"/>
        <v/>
      </c>
      <c r="CK234" s="41" t="str">
        <f t="shared" si="132"/>
        <v/>
      </c>
      <c r="CL234" s="39" t="str">
        <f t="shared" si="133"/>
        <v/>
      </c>
      <c r="CM234" s="39" t="str">
        <f t="shared" si="134"/>
        <v/>
      </c>
      <c r="CN234" s="42" t="str">
        <f t="shared" si="135"/>
        <v/>
      </c>
      <c r="CO234" s="42" t="str">
        <f t="shared" si="136"/>
        <v/>
      </c>
      <c r="CP234" s="42" t="str">
        <f t="shared" si="137"/>
        <v/>
      </c>
      <c r="CQ234" s="42" t="str">
        <f t="shared" si="138"/>
        <v/>
      </c>
      <c r="CR234" s="42" t="str">
        <f t="shared" si="139"/>
        <v/>
      </c>
      <c r="CS234" s="42" t="str">
        <f t="shared" si="140"/>
        <v/>
      </c>
      <c r="CT234" s="43" t="str">
        <f t="shared" si="141"/>
        <v/>
      </c>
      <c r="CU234" s="43" t="str">
        <f t="shared" si="142"/>
        <v/>
      </c>
      <c r="CV234" s="43" t="str">
        <f t="shared" si="143"/>
        <v/>
      </c>
      <c r="CW234" s="13"/>
    </row>
    <row r="235" spans="1:101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Multiplier'!$A:$A,MATCH($D235,'Level Multiplier'!$B:$B,0)),"")</f>
        <v/>
      </c>
      <c r="Q235" s="36" t="str">
        <f>IFERROR(INDEX('Level Multiplier'!$D:$D,MATCH(P235,'Level Multiplier'!$A:$A,0)),"")</f>
        <v/>
      </c>
      <c r="R235" s="37" t="str">
        <f t="shared" si="108"/>
        <v/>
      </c>
      <c r="S235" s="37" t="str">
        <f t="shared" si="109"/>
        <v/>
      </c>
      <c r="T235" s="38" t="str">
        <f t="shared" si="110"/>
        <v/>
      </c>
      <c r="U235" s="38" t="str">
        <f t="shared" si="111"/>
        <v/>
      </c>
      <c r="V235" s="38" t="b">
        <f t="shared" si="112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3"/>
        <v/>
      </c>
      <c r="AI235" s="36" t="str">
        <f>IFERROR(INDEX('Level Multiplier'!$D:$D,MATCH(AH235,'Level Multiplier'!$A:$A,0)),"")</f>
        <v/>
      </c>
      <c r="AJ235" s="37" t="str">
        <f t="shared" si="114"/>
        <v/>
      </c>
      <c r="AK235" s="37" t="str">
        <f t="shared" si="115"/>
        <v/>
      </c>
      <c r="AL235" s="38" t="str">
        <f t="shared" si="116"/>
        <v/>
      </c>
      <c r="AM235" s="38" t="str">
        <f t="shared" si="117"/>
        <v/>
      </c>
      <c r="AN235" s="38" t="b">
        <f t="shared" si="118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19"/>
        <v/>
      </c>
      <c r="BA235" s="36" t="str">
        <f>IFERROR(INDEX('Level Multiplier'!$D:$D,MATCH(AZ235,'Level Multiplier'!$A:$A,0)),"")</f>
        <v/>
      </c>
      <c r="BB235" s="37" t="str">
        <f t="shared" si="120"/>
        <v/>
      </c>
      <c r="BC235" s="37" t="str">
        <f t="shared" si="121"/>
        <v/>
      </c>
      <c r="BD235" s="38" t="str">
        <f t="shared" si="122"/>
        <v/>
      </c>
      <c r="BE235" s="38" t="str">
        <f t="shared" si="123"/>
        <v/>
      </c>
      <c r="BF235" s="38" t="b">
        <f t="shared" si="124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5"/>
        <v/>
      </c>
      <c r="BS235" s="36" t="str">
        <f>IFERROR(INDEX('Level Multiplier'!$D:$D,MATCH(BR235,'Level Multiplier'!$A:$A,0)),"")</f>
        <v/>
      </c>
      <c r="BT235" s="37" t="str">
        <f t="shared" si="126"/>
        <v/>
      </c>
      <c r="BU235" s="37" t="str">
        <f t="shared" si="127"/>
        <v/>
      </c>
      <c r="BV235" s="38" t="str">
        <f t="shared" si="128"/>
        <v/>
      </c>
      <c r="BW235" s="38" t="str">
        <f t="shared" si="129"/>
        <v/>
      </c>
      <c r="BX235" s="38" t="b">
        <f t="shared" si="130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1"/>
        <v/>
      </c>
      <c r="CK235" s="41" t="str">
        <f t="shared" si="132"/>
        <v/>
      </c>
      <c r="CL235" s="39" t="str">
        <f t="shared" si="133"/>
        <v/>
      </c>
      <c r="CM235" s="39" t="str">
        <f t="shared" si="134"/>
        <v/>
      </c>
      <c r="CN235" s="42" t="str">
        <f t="shared" si="135"/>
        <v/>
      </c>
      <c r="CO235" s="42" t="str">
        <f t="shared" si="136"/>
        <v/>
      </c>
      <c r="CP235" s="42" t="str">
        <f t="shared" si="137"/>
        <v/>
      </c>
      <c r="CQ235" s="42" t="str">
        <f t="shared" si="138"/>
        <v/>
      </c>
      <c r="CR235" s="42" t="str">
        <f t="shared" si="139"/>
        <v/>
      </c>
      <c r="CS235" s="42" t="str">
        <f t="shared" si="140"/>
        <v/>
      </c>
      <c r="CT235" s="43" t="str">
        <f t="shared" si="141"/>
        <v/>
      </c>
      <c r="CU235" s="43" t="str">
        <f t="shared" si="142"/>
        <v/>
      </c>
      <c r="CV235" s="43" t="str">
        <f t="shared" si="143"/>
        <v/>
      </c>
      <c r="CW235" s="13"/>
    </row>
    <row r="236" spans="1:101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Multiplier'!$A:$A,MATCH($D236,'Level Multiplier'!$B:$B,0)),"")</f>
        <v/>
      </c>
      <c r="Q236" s="36" t="str">
        <f>IFERROR(INDEX('Level Multiplier'!$D:$D,MATCH(P236,'Level Multiplier'!$A:$A,0)),"")</f>
        <v/>
      </c>
      <c r="R236" s="37" t="str">
        <f t="shared" si="108"/>
        <v/>
      </c>
      <c r="S236" s="37" t="str">
        <f t="shared" si="109"/>
        <v/>
      </c>
      <c r="T236" s="38" t="str">
        <f t="shared" si="110"/>
        <v/>
      </c>
      <c r="U236" s="38" t="str">
        <f t="shared" si="111"/>
        <v/>
      </c>
      <c r="V236" s="38" t="b">
        <f t="shared" si="112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3"/>
        <v/>
      </c>
      <c r="AI236" s="36" t="str">
        <f>IFERROR(INDEX('Level Multiplier'!$D:$D,MATCH(AH236,'Level Multiplier'!$A:$A,0)),"")</f>
        <v/>
      </c>
      <c r="AJ236" s="37" t="str">
        <f t="shared" si="114"/>
        <v/>
      </c>
      <c r="AK236" s="37" t="str">
        <f t="shared" si="115"/>
        <v/>
      </c>
      <c r="AL236" s="38" t="str">
        <f t="shared" si="116"/>
        <v/>
      </c>
      <c r="AM236" s="38" t="str">
        <f t="shared" si="117"/>
        <v/>
      </c>
      <c r="AN236" s="38" t="b">
        <f t="shared" si="118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19"/>
        <v/>
      </c>
      <c r="BA236" s="36" t="str">
        <f>IFERROR(INDEX('Level Multiplier'!$D:$D,MATCH(AZ236,'Level Multiplier'!$A:$A,0)),"")</f>
        <v/>
      </c>
      <c r="BB236" s="37" t="str">
        <f t="shared" si="120"/>
        <v/>
      </c>
      <c r="BC236" s="37" t="str">
        <f t="shared" si="121"/>
        <v/>
      </c>
      <c r="BD236" s="38" t="str">
        <f t="shared" si="122"/>
        <v/>
      </c>
      <c r="BE236" s="38" t="str">
        <f t="shared" si="123"/>
        <v/>
      </c>
      <c r="BF236" s="38" t="b">
        <f t="shared" si="124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5"/>
        <v/>
      </c>
      <c r="BS236" s="36" t="str">
        <f>IFERROR(INDEX('Level Multiplier'!$D:$D,MATCH(BR236,'Level Multiplier'!$A:$A,0)),"")</f>
        <v/>
      </c>
      <c r="BT236" s="37" t="str">
        <f t="shared" si="126"/>
        <v/>
      </c>
      <c r="BU236" s="37" t="str">
        <f t="shared" si="127"/>
        <v/>
      </c>
      <c r="BV236" s="38" t="str">
        <f t="shared" si="128"/>
        <v/>
      </c>
      <c r="BW236" s="38" t="str">
        <f t="shared" si="129"/>
        <v/>
      </c>
      <c r="BX236" s="38" t="b">
        <f t="shared" si="130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1"/>
        <v/>
      </c>
      <c r="CK236" s="41" t="str">
        <f t="shared" si="132"/>
        <v/>
      </c>
      <c r="CL236" s="39" t="str">
        <f t="shared" si="133"/>
        <v/>
      </c>
      <c r="CM236" s="39" t="str">
        <f t="shared" si="134"/>
        <v/>
      </c>
      <c r="CN236" s="42" t="str">
        <f t="shared" si="135"/>
        <v/>
      </c>
      <c r="CO236" s="42" t="str">
        <f t="shared" si="136"/>
        <v/>
      </c>
      <c r="CP236" s="42" t="str">
        <f t="shared" si="137"/>
        <v/>
      </c>
      <c r="CQ236" s="42" t="str">
        <f t="shared" si="138"/>
        <v/>
      </c>
      <c r="CR236" s="42" t="str">
        <f t="shared" si="139"/>
        <v/>
      </c>
      <c r="CS236" s="42" t="str">
        <f t="shared" si="140"/>
        <v/>
      </c>
      <c r="CT236" s="43" t="str">
        <f t="shared" si="141"/>
        <v/>
      </c>
      <c r="CU236" s="43" t="str">
        <f t="shared" si="142"/>
        <v/>
      </c>
      <c r="CV236" s="43" t="str">
        <f t="shared" si="143"/>
        <v/>
      </c>
      <c r="CW236" s="13"/>
    </row>
    <row r="237" spans="1:101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Multiplier'!$A:$A,MATCH($D237,'Level Multiplier'!$B:$B,0)),"")</f>
        <v/>
      </c>
      <c r="Q237" s="36" t="str">
        <f>IFERROR(INDEX('Level Multiplier'!$D:$D,MATCH(P237,'Level Multiplier'!$A:$A,0)),"")</f>
        <v/>
      </c>
      <c r="R237" s="37" t="str">
        <f t="shared" si="108"/>
        <v/>
      </c>
      <c r="S237" s="37" t="str">
        <f t="shared" si="109"/>
        <v/>
      </c>
      <c r="T237" s="38" t="str">
        <f t="shared" si="110"/>
        <v/>
      </c>
      <c r="U237" s="38" t="str">
        <f t="shared" si="111"/>
        <v/>
      </c>
      <c r="V237" s="38" t="b">
        <f t="shared" si="112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3"/>
        <v/>
      </c>
      <c r="AI237" s="36" t="str">
        <f>IFERROR(INDEX('Level Multiplier'!$D:$D,MATCH(AH237,'Level Multiplier'!$A:$A,0)),"")</f>
        <v/>
      </c>
      <c r="AJ237" s="37" t="str">
        <f t="shared" si="114"/>
        <v/>
      </c>
      <c r="AK237" s="37" t="str">
        <f t="shared" si="115"/>
        <v/>
      </c>
      <c r="AL237" s="38" t="str">
        <f t="shared" si="116"/>
        <v/>
      </c>
      <c r="AM237" s="38" t="str">
        <f t="shared" si="117"/>
        <v/>
      </c>
      <c r="AN237" s="38" t="b">
        <f t="shared" si="118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19"/>
        <v/>
      </c>
      <c r="BA237" s="36" t="str">
        <f>IFERROR(INDEX('Level Multiplier'!$D:$D,MATCH(AZ237,'Level Multiplier'!$A:$A,0)),"")</f>
        <v/>
      </c>
      <c r="BB237" s="37" t="str">
        <f t="shared" si="120"/>
        <v/>
      </c>
      <c r="BC237" s="37" t="str">
        <f t="shared" si="121"/>
        <v/>
      </c>
      <c r="BD237" s="38" t="str">
        <f t="shared" si="122"/>
        <v/>
      </c>
      <c r="BE237" s="38" t="str">
        <f t="shared" si="123"/>
        <v/>
      </c>
      <c r="BF237" s="38" t="b">
        <f t="shared" si="124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5"/>
        <v/>
      </c>
      <c r="BS237" s="36" t="str">
        <f>IFERROR(INDEX('Level Multiplier'!$D:$D,MATCH(BR237,'Level Multiplier'!$A:$A,0)),"")</f>
        <v/>
      </c>
      <c r="BT237" s="37" t="str">
        <f t="shared" si="126"/>
        <v/>
      </c>
      <c r="BU237" s="37" t="str">
        <f t="shared" si="127"/>
        <v/>
      </c>
      <c r="BV237" s="38" t="str">
        <f t="shared" si="128"/>
        <v/>
      </c>
      <c r="BW237" s="38" t="str">
        <f t="shared" si="129"/>
        <v/>
      </c>
      <c r="BX237" s="38" t="b">
        <f t="shared" si="130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1"/>
        <v/>
      </c>
      <c r="CK237" s="41" t="str">
        <f t="shared" si="132"/>
        <v/>
      </c>
      <c r="CL237" s="39" t="str">
        <f t="shared" si="133"/>
        <v/>
      </c>
      <c r="CM237" s="39" t="str">
        <f t="shared" si="134"/>
        <v/>
      </c>
      <c r="CN237" s="42" t="str">
        <f t="shared" si="135"/>
        <v/>
      </c>
      <c r="CO237" s="42" t="str">
        <f t="shared" si="136"/>
        <v/>
      </c>
      <c r="CP237" s="42" t="str">
        <f t="shared" si="137"/>
        <v/>
      </c>
      <c r="CQ237" s="42" t="str">
        <f t="shared" si="138"/>
        <v/>
      </c>
      <c r="CR237" s="42" t="str">
        <f t="shared" si="139"/>
        <v/>
      </c>
      <c r="CS237" s="42" t="str">
        <f t="shared" si="140"/>
        <v/>
      </c>
      <c r="CT237" s="43" t="str">
        <f t="shared" si="141"/>
        <v/>
      </c>
      <c r="CU237" s="43" t="str">
        <f t="shared" si="142"/>
        <v/>
      </c>
      <c r="CV237" s="43" t="str">
        <f t="shared" si="143"/>
        <v/>
      </c>
      <c r="CW237" s="13"/>
    </row>
    <row r="238" spans="1:101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Multiplier'!$A:$A,MATCH($D238,'Level Multiplier'!$B:$B,0)),"")</f>
        <v/>
      </c>
      <c r="Q238" s="36" t="str">
        <f>IFERROR(INDEX('Level Multiplier'!$D:$D,MATCH(P238,'Level Multiplier'!$A:$A,0)),"")</f>
        <v/>
      </c>
      <c r="R238" s="37" t="str">
        <f t="shared" si="108"/>
        <v/>
      </c>
      <c r="S238" s="37" t="str">
        <f t="shared" si="109"/>
        <v/>
      </c>
      <c r="T238" s="38" t="str">
        <f t="shared" si="110"/>
        <v/>
      </c>
      <c r="U238" s="38" t="str">
        <f t="shared" si="111"/>
        <v/>
      </c>
      <c r="V238" s="38" t="b">
        <f t="shared" si="112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3"/>
        <v/>
      </c>
      <c r="AI238" s="36" t="str">
        <f>IFERROR(INDEX('Level Multiplier'!$D:$D,MATCH(AH238,'Level Multiplier'!$A:$A,0)),"")</f>
        <v/>
      </c>
      <c r="AJ238" s="37" t="str">
        <f t="shared" si="114"/>
        <v/>
      </c>
      <c r="AK238" s="37" t="str">
        <f t="shared" si="115"/>
        <v/>
      </c>
      <c r="AL238" s="38" t="str">
        <f t="shared" si="116"/>
        <v/>
      </c>
      <c r="AM238" s="38" t="str">
        <f t="shared" si="117"/>
        <v/>
      </c>
      <c r="AN238" s="38" t="b">
        <f t="shared" si="118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19"/>
        <v/>
      </c>
      <c r="BA238" s="36" t="str">
        <f>IFERROR(INDEX('Level Multiplier'!$D:$D,MATCH(AZ238,'Level Multiplier'!$A:$A,0)),"")</f>
        <v/>
      </c>
      <c r="BB238" s="37" t="str">
        <f t="shared" si="120"/>
        <v/>
      </c>
      <c r="BC238" s="37" t="str">
        <f t="shared" si="121"/>
        <v/>
      </c>
      <c r="BD238" s="38" t="str">
        <f t="shared" si="122"/>
        <v/>
      </c>
      <c r="BE238" s="38" t="str">
        <f t="shared" si="123"/>
        <v/>
      </c>
      <c r="BF238" s="38" t="b">
        <f t="shared" si="124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5"/>
        <v/>
      </c>
      <c r="BS238" s="36" t="str">
        <f>IFERROR(INDEX('Level Multiplier'!$D:$D,MATCH(BR238,'Level Multiplier'!$A:$A,0)),"")</f>
        <v/>
      </c>
      <c r="BT238" s="37" t="str">
        <f t="shared" si="126"/>
        <v/>
      </c>
      <c r="BU238" s="37" t="str">
        <f t="shared" si="127"/>
        <v/>
      </c>
      <c r="BV238" s="38" t="str">
        <f t="shared" si="128"/>
        <v/>
      </c>
      <c r="BW238" s="38" t="str">
        <f t="shared" si="129"/>
        <v/>
      </c>
      <c r="BX238" s="38" t="b">
        <f t="shared" si="130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1"/>
        <v/>
      </c>
      <c r="CK238" s="41" t="str">
        <f t="shared" si="132"/>
        <v/>
      </c>
      <c r="CL238" s="39" t="str">
        <f t="shared" si="133"/>
        <v/>
      </c>
      <c r="CM238" s="39" t="str">
        <f t="shared" si="134"/>
        <v/>
      </c>
      <c r="CN238" s="42" t="str">
        <f t="shared" si="135"/>
        <v/>
      </c>
      <c r="CO238" s="42" t="str">
        <f t="shared" si="136"/>
        <v/>
      </c>
      <c r="CP238" s="42" t="str">
        <f t="shared" si="137"/>
        <v/>
      </c>
      <c r="CQ238" s="42" t="str">
        <f t="shared" si="138"/>
        <v/>
      </c>
      <c r="CR238" s="42" t="str">
        <f t="shared" si="139"/>
        <v/>
      </c>
      <c r="CS238" s="42" t="str">
        <f t="shared" si="140"/>
        <v/>
      </c>
      <c r="CT238" s="43" t="str">
        <f t="shared" si="141"/>
        <v/>
      </c>
      <c r="CU238" s="43" t="str">
        <f t="shared" si="142"/>
        <v/>
      </c>
      <c r="CV238" s="43" t="str">
        <f t="shared" si="143"/>
        <v/>
      </c>
      <c r="CW238" s="13"/>
    </row>
    <row r="239" spans="1:101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Multiplier'!$A:$A,MATCH($D239,'Level Multiplier'!$B:$B,0)),"")</f>
        <v/>
      </c>
      <c r="Q239" s="36" t="str">
        <f>IFERROR(INDEX('Level Multiplier'!$D:$D,MATCH(P239,'Level Multiplier'!$A:$A,0)),"")</f>
        <v/>
      </c>
      <c r="R239" s="37" t="str">
        <f t="shared" si="108"/>
        <v/>
      </c>
      <c r="S239" s="37" t="str">
        <f t="shared" si="109"/>
        <v/>
      </c>
      <c r="T239" s="38" t="str">
        <f t="shared" si="110"/>
        <v/>
      </c>
      <c r="U239" s="38" t="str">
        <f t="shared" si="111"/>
        <v/>
      </c>
      <c r="V239" s="38" t="b">
        <f t="shared" si="112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3"/>
        <v/>
      </c>
      <c r="AI239" s="36" t="str">
        <f>IFERROR(INDEX('Level Multiplier'!$D:$D,MATCH(AH239,'Level Multiplier'!$A:$A,0)),"")</f>
        <v/>
      </c>
      <c r="AJ239" s="37" t="str">
        <f t="shared" si="114"/>
        <v/>
      </c>
      <c r="AK239" s="37" t="str">
        <f t="shared" si="115"/>
        <v/>
      </c>
      <c r="AL239" s="38" t="str">
        <f t="shared" si="116"/>
        <v/>
      </c>
      <c r="AM239" s="38" t="str">
        <f t="shared" si="117"/>
        <v/>
      </c>
      <c r="AN239" s="38" t="b">
        <f t="shared" si="118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19"/>
        <v/>
      </c>
      <c r="BA239" s="36" t="str">
        <f>IFERROR(INDEX('Level Multiplier'!$D:$D,MATCH(AZ239,'Level Multiplier'!$A:$A,0)),"")</f>
        <v/>
      </c>
      <c r="BB239" s="37" t="str">
        <f t="shared" si="120"/>
        <v/>
      </c>
      <c r="BC239" s="37" t="str">
        <f t="shared" si="121"/>
        <v/>
      </c>
      <c r="BD239" s="38" t="str">
        <f t="shared" si="122"/>
        <v/>
      </c>
      <c r="BE239" s="38" t="str">
        <f t="shared" si="123"/>
        <v/>
      </c>
      <c r="BF239" s="38" t="b">
        <f t="shared" si="124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5"/>
        <v/>
      </c>
      <c r="BS239" s="36" t="str">
        <f>IFERROR(INDEX('Level Multiplier'!$D:$D,MATCH(BR239,'Level Multiplier'!$A:$A,0)),"")</f>
        <v/>
      </c>
      <c r="BT239" s="37" t="str">
        <f t="shared" si="126"/>
        <v/>
      </c>
      <c r="BU239" s="37" t="str">
        <f t="shared" si="127"/>
        <v/>
      </c>
      <c r="BV239" s="38" t="str">
        <f t="shared" si="128"/>
        <v/>
      </c>
      <c r="BW239" s="38" t="str">
        <f t="shared" si="129"/>
        <v/>
      </c>
      <c r="BX239" s="38" t="b">
        <f t="shared" si="130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1"/>
        <v/>
      </c>
      <c r="CK239" s="41" t="str">
        <f t="shared" si="132"/>
        <v/>
      </c>
      <c r="CL239" s="39" t="str">
        <f t="shared" si="133"/>
        <v/>
      </c>
      <c r="CM239" s="39" t="str">
        <f t="shared" si="134"/>
        <v/>
      </c>
      <c r="CN239" s="42" t="str">
        <f t="shared" si="135"/>
        <v/>
      </c>
      <c r="CO239" s="42" t="str">
        <f t="shared" si="136"/>
        <v/>
      </c>
      <c r="CP239" s="42" t="str">
        <f t="shared" si="137"/>
        <v/>
      </c>
      <c r="CQ239" s="42" t="str">
        <f t="shared" si="138"/>
        <v/>
      </c>
      <c r="CR239" s="42" t="str">
        <f t="shared" si="139"/>
        <v/>
      </c>
      <c r="CS239" s="42" t="str">
        <f t="shared" si="140"/>
        <v/>
      </c>
      <c r="CT239" s="43" t="str">
        <f t="shared" si="141"/>
        <v/>
      </c>
      <c r="CU239" s="43" t="str">
        <f t="shared" si="142"/>
        <v/>
      </c>
      <c r="CV239" s="43" t="str">
        <f t="shared" si="143"/>
        <v/>
      </c>
      <c r="CW239" s="13"/>
    </row>
    <row r="240" spans="1:101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Multiplier'!$A:$A,MATCH($D240,'Level Multiplier'!$B:$B,0)),"")</f>
        <v/>
      </c>
      <c r="Q240" s="36" t="str">
        <f>IFERROR(INDEX('Level Multiplier'!$D:$D,MATCH(P240,'Level Multiplier'!$A:$A,0)),"")</f>
        <v/>
      </c>
      <c r="R240" s="37" t="str">
        <f t="shared" si="108"/>
        <v/>
      </c>
      <c r="S240" s="37" t="str">
        <f t="shared" si="109"/>
        <v/>
      </c>
      <c r="T240" s="38" t="str">
        <f t="shared" si="110"/>
        <v/>
      </c>
      <c r="U240" s="38" t="str">
        <f t="shared" si="111"/>
        <v/>
      </c>
      <c r="V240" s="38" t="b">
        <f t="shared" si="112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3"/>
        <v/>
      </c>
      <c r="AI240" s="36" t="str">
        <f>IFERROR(INDEX('Level Multiplier'!$D:$D,MATCH(AH240,'Level Multiplier'!$A:$A,0)),"")</f>
        <v/>
      </c>
      <c r="AJ240" s="37" t="str">
        <f t="shared" si="114"/>
        <v/>
      </c>
      <c r="AK240" s="37" t="str">
        <f t="shared" si="115"/>
        <v/>
      </c>
      <c r="AL240" s="38" t="str">
        <f t="shared" si="116"/>
        <v/>
      </c>
      <c r="AM240" s="38" t="str">
        <f t="shared" si="117"/>
        <v/>
      </c>
      <c r="AN240" s="38" t="b">
        <f t="shared" si="118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19"/>
        <v/>
      </c>
      <c r="BA240" s="36" t="str">
        <f>IFERROR(INDEX('Level Multiplier'!$D:$D,MATCH(AZ240,'Level Multiplier'!$A:$A,0)),"")</f>
        <v/>
      </c>
      <c r="BB240" s="37" t="str">
        <f t="shared" si="120"/>
        <v/>
      </c>
      <c r="BC240" s="37" t="str">
        <f t="shared" si="121"/>
        <v/>
      </c>
      <c r="BD240" s="38" t="str">
        <f t="shared" si="122"/>
        <v/>
      </c>
      <c r="BE240" s="38" t="str">
        <f t="shared" si="123"/>
        <v/>
      </c>
      <c r="BF240" s="38" t="b">
        <f t="shared" si="124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5"/>
        <v/>
      </c>
      <c r="BS240" s="36" t="str">
        <f>IFERROR(INDEX('Level Multiplier'!$D:$D,MATCH(BR240,'Level Multiplier'!$A:$A,0)),"")</f>
        <v/>
      </c>
      <c r="BT240" s="37" t="str">
        <f t="shared" si="126"/>
        <v/>
      </c>
      <c r="BU240" s="37" t="str">
        <f t="shared" si="127"/>
        <v/>
      </c>
      <c r="BV240" s="38" t="str">
        <f t="shared" si="128"/>
        <v/>
      </c>
      <c r="BW240" s="38" t="str">
        <f t="shared" si="129"/>
        <v/>
      </c>
      <c r="BX240" s="38" t="b">
        <f t="shared" si="130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1"/>
        <v/>
      </c>
      <c r="CK240" s="41" t="str">
        <f t="shared" si="132"/>
        <v/>
      </c>
      <c r="CL240" s="39" t="str">
        <f t="shared" si="133"/>
        <v/>
      </c>
      <c r="CM240" s="39" t="str">
        <f t="shared" si="134"/>
        <v/>
      </c>
      <c r="CN240" s="42" t="str">
        <f t="shared" si="135"/>
        <v/>
      </c>
      <c r="CO240" s="42" t="str">
        <f t="shared" si="136"/>
        <v/>
      </c>
      <c r="CP240" s="42" t="str">
        <f t="shared" si="137"/>
        <v/>
      </c>
      <c r="CQ240" s="42" t="str">
        <f t="shared" si="138"/>
        <v/>
      </c>
      <c r="CR240" s="42" t="str">
        <f t="shared" si="139"/>
        <v/>
      </c>
      <c r="CS240" s="42" t="str">
        <f t="shared" si="140"/>
        <v/>
      </c>
      <c r="CT240" s="43" t="str">
        <f t="shared" si="141"/>
        <v/>
      </c>
      <c r="CU240" s="43" t="str">
        <f t="shared" si="142"/>
        <v/>
      </c>
      <c r="CV240" s="43" t="str">
        <f t="shared" si="143"/>
        <v/>
      </c>
      <c r="CW240" s="13"/>
    </row>
    <row r="241" spans="1:101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Multiplier'!$A:$A,MATCH($D241,'Level Multiplier'!$B:$B,0)),"")</f>
        <v/>
      </c>
      <c r="Q241" s="36" t="str">
        <f>IFERROR(INDEX('Level Multiplier'!$D:$D,MATCH(P241,'Level Multiplier'!$A:$A,0)),"")</f>
        <v/>
      </c>
      <c r="R241" s="37" t="str">
        <f t="shared" si="108"/>
        <v/>
      </c>
      <c r="S241" s="37" t="str">
        <f t="shared" si="109"/>
        <v/>
      </c>
      <c r="T241" s="38" t="str">
        <f t="shared" si="110"/>
        <v/>
      </c>
      <c r="U241" s="38" t="str">
        <f t="shared" si="111"/>
        <v/>
      </c>
      <c r="V241" s="38" t="b">
        <f t="shared" si="112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3"/>
        <v/>
      </c>
      <c r="AI241" s="36" t="str">
        <f>IFERROR(INDEX('Level Multiplier'!$D:$D,MATCH(AH241,'Level Multiplier'!$A:$A,0)),"")</f>
        <v/>
      </c>
      <c r="AJ241" s="37" t="str">
        <f t="shared" si="114"/>
        <v/>
      </c>
      <c r="AK241" s="37" t="str">
        <f t="shared" si="115"/>
        <v/>
      </c>
      <c r="AL241" s="38" t="str">
        <f t="shared" si="116"/>
        <v/>
      </c>
      <c r="AM241" s="38" t="str">
        <f t="shared" si="117"/>
        <v/>
      </c>
      <c r="AN241" s="38" t="b">
        <f t="shared" si="118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19"/>
        <v/>
      </c>
      <c r="BA241" s="36" t="str">
        <f>IFERROR(INDEX('Level Multiplier'!$D:$D,MATCH(AZ241,'Level Multiplier'!$A:$A,0)),"")</f>
        <v/>
      </c>
      <c r="BB241" s="37" t="str">
        <f t="shared" si="120"/>
        <v/>
      </c>
      <c r="BC241" s="37" t="str">
        <f t="shared" si="121"/>
        <v/>
      </c>
      <c r="BD241" s="38" t="str">
        <f t="shared" si="122"/>
        <v/>
      </c>
      <c r="BE241" s="38" t="str">
        <f t="shared" si="123"/>
        <v/>
      </c>
      <c r="BF241" s="38" t="b">
        <f t="shared" si="124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5"/>
        <v/>
      </c>
      <c r="BS241" s="36" t="str">
        <f>IFERROR(INDEX('Level Multiplier'!$D:$D,MATCH(BR241,'Level Multiplier'!$A:$A,0)),"")</f>
        <v/>
      </c>
      <c r="BT241" s="37" t="str">
        <f t="shared" si="126"/>
        <v/>
      </c>
      <c r="BU241" s="37" t="str">
        <f t="shared" si="127"/>
        <v/>
      </c>
      <c r="BV241" s="38" t="str">
        <f t="shared" si="128"/>
        <v/>
      </c>
      <c r="BW241" s="38" t="str">
        <f t="shared" si="129"/>
        <v/>
      </c>
      <c r="BX241" s="38" t="b">
        <f t="shared" si="130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1"/>
        <v/>
      </c>
      <c r="CK241" s="41" t="str">
        <f t="shared" si="132"/>
        <v/>
      </c>
      <c r="CL241" s="39" t="str">
        <f t="shared" si="133"/>
        <v/>
      </c>
      <c r="CM241" s="39" t="str">
        <f t="shared" si="134"/>
        <v/>
      </c>
      <c r="CN241" s="42" t="str">
        <f t="shared" si="135"/>
        <v/>
      </c>
      <c r="CO241" s="42" t="str">
        <f t="shared" si="136"/>
        <v/>
      </c>
      <c r="CP241" s="42" t="str">
        <f t="shared" si="137"/>
        <v/>
      </c>
      <c r="CQ241" s="42" t="str">
        <f t="shared" si="138"/>
        <v/>
      </c>
      <c r="CR241" s="42" t="str">
        <f t="shared" si="139"/>
        <v/>
      </c>
      <c r="CS241" s="42" t="str">
        <f t="shared" si="140"/>
        <v/>
      </c>
      <c r="CT241" s="43" t="str">
        <f t="shared" si="141"/>
        <v/>
      </c>
      <c r="CU241" s="43" t="str">
        <f t="shared" si="142"/>
        <v/>
      </c>
      <c r="CV241" s="43" t="str">
        <f t="shared" si="143"/>
        <v/>
      </c>
      <c r="CW241" s="13"/>
    </row>
    <row r="242" spans="1:101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Multiplier'!$A:$A,MATCH($D242,'Level Multiplier'!$B:$B,0)),"")</f>
        <v/>
      </c>
      <c r="Q242" s="36" t="str">
        <f>IFERROR(INDEX('Level Multiplier'!$D:$D,MATCH(P242,'Level Multiplier'!$A:$A,0)),"")</f>
        <v/>
      </c>
      <c r="R242" s="37" t="str">
        <f t="shared" si="108"/>
        <v/>
      </c>
      <c r="S242" s="37" t="str">
        <f t="shared" si="109"/>
        <v/>
      </c>
      <c r="T242" s="38" t="str">
        <f t="shared" si="110"/>
        <v/>
      </c>
      <c r="U242" s="38" t="str">
        <f t="shared" si="111"/>
        <v/>
      </c>
      <c r="V242" s="38" t="b">
        <f t="shared" si="112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3"/>
        <v/>
      </c>
      <c r="AI242" s="36" t="str">
        <f>IFERROR(INDEX('Level Multiplier'!$D:$D,MATCH(AH242,'Level Multiplier'!$A:$A,0)),"")</f>
        <v/>
      </c>
      <c r="AJ242" s="37" t="str">
        <f t="shared" si="114"/>
        <v/>
      </c>
      <c r="AK242" s="37" t="str">
        <f t="shared" si="115"/>
        <v/>
      </c>
      <c r="AL242" s="38" t="str">
        <f t="shared" si="116"/>
        <v/>
      </c>
      <c r="AM242" s="38" t="str">
        <f t="shared" si="117"/>
        <v/>
      </c>
      <c r="AN242" s="38" t="b">
        <f t="shared" si="118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19"/>
        <v/>
      </c>
      <c r="BA242" s="36" t="str">
        <f>IFERROR(INDEX('Level Multiplier'!$D:$D,MATCH(AZ242,'Level Multiplier'!$A:$A,0)),"")</f>
        <v/>
      </c>
      <c r="BB242" s="37" t="str">
        <f t="shared" si="120"/>
        <v/>
      </c>
      <c r="BC242" s="37" t="str">
        <f t="shared" si="121"/>
        <v/>
      </c>
      <c r="BD242" s="38" t="str">
        <f t="shared" si="122"/>
        <v/>
      </c>
      <c r="BE242" s="38" t="str">
        <f t="shared" si="123"/>
        <v/>
      </c>
      <c r="BF242" s="38" t="b">
        <f t="shared" si="124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5"/>
        <v/>
      </c>
      <c r="BS242" s="36" t="str">
        <f>IFERROR(INDEX('Level Multiplier'!$D:$D,MATCH(BR242,'Level Multiplier'!$A:$A,0)),"")</f>
        <v/>
      </c>
      <c r="BT242" s="37" t="str">
        <f t="shared" si="126"/>
        <v/>
      </c>
      <c r="BU242" s="37" t="str">
        <f t="shared" si="127"/>
        <v/>
      </c>
      <c r="BV242" s="38" t="str">
        <f t="shared" si="128"/>
        <v/>
      </c>
      <c r="BW242" s="38" t="str">
        <f t="shared" si="129"/>
        <v/>
      </c>
      <c r="BX242" s="38" t="b">
        <f t="shared" si="130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1"/>
        <v/>
      </c>
      <c r="CK242" s="41" t="str">
        <f t="shared" si="132"/>
        <v/>
      </c>
      <c r="CL242" s="39" t="str">
        <f t="shared" si="133"/>
        <v/>
      </c>
      <c r="CM242" s="39" t="str">
        <f t="shared" si="134"/>
        <v/>
      </c>
      <c r="CN242" s="42" t="str">
        <f t="shared" si="135"/>
        <v/>
      </c>
      <c r="CO242" s="42" t="str">
        <f t="shared" si="136"/>
        <v/>
      </c>
      <c r="CP242" s="42" t="str">
        <f t="shared" si="137"/>
        <v/>
      </c>
      <c r="CQ242" s="42" t="str">
        <f t="shared" si="138"/>
        <v/>
      </c>
      <c r="CR242" s="42" t="str">
        <f t="shared" si="139"/>
        <v/>
      </c>
      <c r="CS242" s="42" t="str">
        <f t="shared" si="140"/>
        <v/>
      </c>
      <c r="CT242" s="43" t="str">
        <f t="shared" si="141"/>
        <v/>
      </c>
      <c r="CU242" s="43" t="str">
        <f t="shared" si="142"/>
        <v/>
      </c>
      <c r="CV242" s="43" t="str">
        <f t="shared" si="143"/>
        <v/>
      </c>
      <c r="CW242" s="13"/>
    </row>
    <row r="243" spans="1:101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Multiplier'!$A:$A,MATCH($D243,'Level Multiplier'!$B:$B,0)),"")</f>
        <v/>
      </c>
      <c r="Q243" s="36" t="str">
        <f>IFERROR(INDEX('Level Multiplier'!$D:$D,MATCH(P243,'Level Multiplier'!$A:$A,0)),"")</f>
        <v/>
      </c>
      <c r="R243" s="37" t="str">
        <f t="shared" si="108"/>
        <v/>
      </c>
      <c r="S243" s="37" t="str">
        <f t="shared" si="109"/>
        <v/>
      </c>
      <c r="T243" s="38" t="str">
        <f t="shared" si="110"/>
        <v/>
      </c>
      <c r="U243" s="38" t="str">
        <f t="shared" si="111"/>
        <v/>
      </c>
      <c r="V243" s="38" t="b">
        <f t="shared" si="112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3"/>
        <v/>
      </c>
      <c r="AI243" s="36" t="str">
        <f>IFERROR(INDEX('Level Multiplier'!$D:$D,MATCH(AH243,'Level Multiplier'!$A:$A,0)),"")</f>
        <v/>
      </c>
      <c r="AJ243" s="37" t="str">
        <f t="shared" si="114"/>
        <v/>
      </c>
      <c r="AK243" s="37" t="str">
        <f t="shared" si="115"/>
        <v/>
      </c>
      <c r="AL243" s="38" t="str">
        <f t="shared" si="116"/>
        <v/>
      </c>
      <c r="AM243" s="38" t="str">
        <f t="shared" si="117"/>
        <v/>
      </c>
      <c r="AN243" s="38" t="b">
        <f t="shared" si="118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19"/>
        <v/>
      </c>
      <c r="BA243" s="36" t="str">
        <f>IFERROR(INDEX('Level Multiplier'!$D:$D,MATCH(AZ243,'Level Multiplier'!$A:$A,0)),"")</f>
        <v/>
      </c>
      <c r="BB243" s="37" t="str">
        <f t="shared" si="120"/>
        <v/>
      </c>
      <c r="BC243" s="37" t="str">
        <f t="shared" si="121"/>
        <v/>
      </c>
      <c r="BD243" s="38" t="str">
        <f t="shared" si="122"/>
        <v/>
      </c>
      <c r="BE243" s="38" t="str">
        <f t="shared" si="123"/>
        <v/>
      </c>
      <c r="BF243" s="38" t="b">
        <f t="shared" si="124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5"/>
        <v/>
      </c>
      <c r="BS243" s="36" t="str">
        <f>IFERROR(INDEX('Level Multiplier'!$D:$D,MATCH(BR243,'Level Multiplier'!$A:$A,0)),"")</f>
        <v/>
      </c>
      <c r="BT243" s="37" t="str">
        <f t="shared" si="126"/>
        <v/>
      </c>
      <c r="BU243" s="37" t="str">
        <f t="shared" si="127"/>
        <v/>
      </c>
      <c r="BV243" s="38" t="str">
        <f t="shared" si="128"/>
        <v/>
      </c>
      <c r="BW243" s="38" t="str">
        <f t="shared" si="129"/>
        <v/>
      </c>
      <c r="BX243" s="38" t="b">
        <f t="shared" si="130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1"/>
        <v/>
      </c>
      <c r="CK243" s="41" t="str">
        <f t="shared" si="132"/>
        <v/>
      </c>
      <c r="CL243" s="39" t="str">
        <f t="shared" si="133"/>
        <v/>
      </c>
      <c r="CM243" s="39" t="str">
        <f t="shared" si="134"/>
        <v/>
      </c>
      <c r="CN243" s="42" t="str">
        <f t="shared" si="135"/>
        <v/>
      </c>
      <c r="CO243" s="42" t="str">
        <f t="shared" si="136"/>
        <v/>
      </c>
      <c r="CP243" s="42" t="str">
        <f t="shared" si="137"/>
        <v/>
      </c>
      <c r="CQ243" s="42" t="str">
        <f t="shared" si="138"/>
        <v/>
      </c>
      <c r="CR243" s="42" t="str">
        <f t="shared" si="139"/>
        <v/>
      </c>
      <c r="CS243" s="42" t="str">
        <f t="shared" si="140"/>
        <v/>
      </c>
      <c r="CT243" s="43" t="str">
        <f t="shared" si="141"/>
        <v/>
      </c>
      <c r="CU243" s="43" t="str">
        <f t="shared" si="142"/>
        <v/>
      </c>
      <c r="CV243" s="43" t="str">
        <f t="shared" si="143"/>
        <v/>
      </c>
      <c r="CW243" s="13"/>
    </row>
    <row r="244" spans="1:101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Multiplier'!$A:$A,MATCH($D244,'Level Multiplier'!$B:$B,0)),"")</f>
        <v/>
      </c>
      <c r="Q244" s="36" t="str">
        <f>IFERROR(INDEX('Level Multiplier'!$D:$D,MATCH(P244,'Level Multiplier'!$A:$A,0)),"")</f>
        <v/>
      </c>
      <c r="R244" s="37" t="str">
        <f t="shared" si="108"/>
        <v/>
      </c>
      <c r="S244" s="37" t="str">
        <f t="shared" si="109"/>
        <v/>
      </c>
      <c r="T244" s="38" t="str">
        <f t="shared" si="110"/>
        <v/>
      </c>
      <c r="U244" s="38" t="str">
        <f t="shared" si="111"/>
        <v/>
      </c>
      <c r="V244" s="38" t="b">
        <f t="shared" si="112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3"/>
        <v/>
      </c>
      <c r="AI244" s="36" t="str">
        <f>IFERROR(INDEX('Level Multiplier'!$D:$D,MATCH(AH244,'Level Multiplier'!$A:$A,0)),"")</f>
        <v/>
      </c>
      <c r="AJ244" s="37" t="str">
        <f t="shared" si="114"/>
        <v/>
      </c>
      <c r="AK244" s="37" t="str">
        <f t="shared" si="115"/>
        <v/>
      </c>
      <c r="AL244" s="38" t="str">
        <f t="shared" si="116"/>
        <v/>
      </c>
      <c r="AM244" s="38" t="str">
        <f t="shared" si="117"/>
        <v/>
      </c>
      <c r="AN244" s="38" t="b">
        <f t="shared" si="118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19"/>
        <v/>
      </c>
      <c r="BA244" s="36" t="str">
        <f>IFERROR(INDEX('Level Multiplier'!$D:$D,MATCH(AZ244,'Level Multiplier'!$A:$A,0)),"")</f>
        <v/>
      </c>
      <c r="BB244" s="37" t="str">
        <f t="shared" si="120"/>
        <v/>
      </c>
      <c r="BC244" s="37" t="str">
        <f t="shared" si="121"/>
        <v/>
      </c>
      <c r="BD244" s="38" t="str">
        <f t="shared" si="122"/>
        <v/>
      </c>
      <c r="BE244" s="38" t="str">
        <f t="shared" si="123"/>
        <v/>
      </c>
      <c r="BF244" s="38" t="b">
        <f t="shared" si="124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5"/>
        <v/>
      </c>
      <c r="BS244" s="36" t="str">
        <f>IFERROR(INDEX('Level Multiplier'!$D:$D,MATCH(BR244,'Level Multiplier'!$A:$A,0)),"")</f>
        <v/>
      </c>
      <c r="BT244" s="37" t="str">
        <f t="shared" si="126"/>
        <v/>
      </c>
      <c r="BU244" s="37" t="str">
        <f t="shared" si="127"/>
        <v/>
      </c>
      <c r="BV244" s="38" t="str">
        <f t="shared" si="128"/>
        <v/>
      </c>
      <c r="BW244" s="38" t="str">
        <f t="shared" si="129"/>
        <v/>
      </c>
      <c r="BX244" s="38" t="b">
        <f t="shared" si="130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1"/>
        <v/>
      </c>
      <c r="CK244" s="41" t="str">
        <f t="shared" si="132"/>
        <v/>
      </c>
      <c r="CL244" s="39" t="str">
        <f t="shared" si="133"/>
        <v/>
      </c>
      <c r="CM244" s="39" t="str">
        <f t="shared" si="134"/>
        <v/>
      </c>
      <c r="CN244" s="42" t="str">
        <f t="shared" si="135"/>
        <v/>
      </c>
      <c r="CO244" s="42" t="str">
        <f t="shared" si="136"/>
        <v/>
      </c>
      <c r="CP244" s="42" t="str">
        <f t="shared" si="137"/>
        <v/>
      </c>
      <c r="CQ244" s="42" t="str">
        <f t="shared" si="138"/>
        <v/>
      </c>
      <c r="CR244" s="42" t="str">
        <f t="shared" si="139"/>
        <v/>
      </c>
      <c r="CS244" s="42" t="str">
        <f t="shared" si="140"/>
        <v/>
      </c>
      <c r="CT244" s="43" t="str">
        <f t="shared" si="141"/>
        <v/>
      </c>
      <c r="CU244" s="43" t="str">
        <f t="shared" si="142"/>
        <v/>
      </c>
      <c r="CV244" s="43" t="str">
        <f t="shared" si="143"/>
        <v/>
      </c>
      <c r="CW244" s="13"/>
    </row>
    <row r="245" spans="1:101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Multiplier'!$A:$A,MATCH($D245,'Level Multiplier'!$B:$B,0)),"")</f>
        <v/>
      </c>
      <c r="Q245" s="36" t="str">
        <f>IFERROR(INDEX('Level Multiplier'!$D:$D,MATCH(P245,'Level Multiplier'!$A:$A,0)),"")</f>
        <v/>
      </c>
      <c r="R245" s="37" t="str">
        <f t="shared" si="108"/>
        <v/>
      </c>
      <c r="S245" s="37" t="str">
        <f t="shared" si="109"/>
        <v/>
      </c>
      <c r="T245" s="38" t="str">
        <f t="shared" si="110"/>
        <v/>
      </c>
      <c r="U245" s="38" t="str">
        <f t="shared" si="111"/>
        <v/>
      </c>
      <c r="V245" s="38" t="b">
        <f t="shared" si="112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3"/>
        <v/>
      </c>
      <c r="AI245" s="36" t="str">
        <f>IFERROR(INDEX('Level Multiplier'!$D:$D,MATCH(AH245,'Level Multiplier'!$A:$A,0)),"")</f>
        <v/>
      </c>
      <c r="AJ245" s="37" t="str">
        <f t="shared" si="114"/>
        <v/>
      </c>
      <c r="AK245" s="37" t="str">
        <f t="shared" si="115"/>
        <v/>
      </c>
      <c r="AL245" s="38" t="str">
        <f t="shared" si="116"/>
        <v/>
      </c>
      <c r="AM245" s="38" t="str">
        <f t="shared" si="117"/>
        <v/>
      </c>
      <c r="AN245" s="38" t="b">
        <f t="shared" si="118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19"/>
        <v/>
      </c>
      <c r="BA245" s="36" t="str">
        <f>IFERROR(INDEX('Level Multiplier'!$D:$D,MATCH(AZ245,'Level Multiplier'!$A:$A,0)),"")</f>
        <v/>
      </c>
      <c r="BB245" s="37" t="str">
        <f t="shared" si="120"/>
        <v/>
      </c>
      <c r="BC245" s="37" t="str">
        <f t="shared" si="121"/>
        <v/>
      </c>
      <c r="BD245" s="38" t="str">
        <f t="shared" si="122"/>
        <v/>
      </c>
      <c r="BE245" s="38" t="str">
        <f t="shared" si="123"/>
        <v/>
      </c>
      <c r="BF245" s="38" t="b">
        <f t="shared" si="124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5"/>
        <v/>
      </c>
      <c r="BS245" s="36" t="str">
        <f>IFERROR(INDEX('Level Multiplier'!$D:$D,MATCH(BR245,'Level Multiplier'!$A:$A,0)),"")</f>
        <v/>
      </c>
      <c r="BT245" s="37" t="str">
        <f t="shared" si="126"/>
        <v/>
      </c>
      <c r="BU245" s="37" t="str">
        <f t="shared" si="127"/>
        <v/>
      </c>
      <c r="BV245" s="38" t="str">
        <f t="shared" si="128"/>
        <v/>
      </c>
      <c r="BW245" s="38" t="str">
        <f t="shared" si="129"/>
        <v/>
      </c>
      <c r="BX245" s="38" t="b">
        <f t="shared" si="130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1"/>
        <v/>
      </c>
      <c r="CK245" s="41" t="str">
        <f t="shared" si="132"/>
        <v/>
      </c>
      <c r="CL245" s="39" t="str">
        <f t="shared" si="133"/>
        <v/>
      </c>
      <c r="CM245" s="39" t="str">
        <f t="shared" si="134"/>
        <v/>
      </c>
      <c r="CN245" s="42" t="str">
        <f t="shared" si="135"/>
        <v/>
      </c>
      <c r="CO245" s="42" t="str">
        <f t="shared" si="136"/>
        <v/>
      </c>
      <c r="CP245" s="42" t="str">
        <f t="shared" si="137"/>
        <v/>
      </c>
      <c r="CQ245" s="42" t="str">
        <f t="shared" si="138"/>
        <v/>
      </c>
      <c r="CR245" s="42" t="str">
        <f t="shared" si="139"/>
        <v/>
      </c>
      <c r="CS245" s="42" t="str">
        <f t="shared" si="140"/>
        <v/>
      </c>
      <c r="CT245" s="43" t="str">
        <f t="shared" si="141"/>
        <v/>
      </c>
      <c r="CU245" s="43" t="str">
        <f t="shared" si="142"/>
        <v/>
      </c>
      <c r="CV245" s="43" t="str">
        <f t="shared" si="143"/>
        <v/>
      </c>
      <c r="CW245" s="13"/>
    </row>
    <row r="246" spans="1:101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Multiplier'!$A:$A,MATCH($D246,'Level Multiplier'!$B:$B,0)),"")</f>
        <v/>
      </c>
      <c r="Q246" s="36" t="str">
        <f>IFERROR(INDEX('Level Multiplier'!$D:$D,MATCH(P246,'Level Multiplier'!$A:$A,0)),"")</f>
        <v/>
      </c>
      <c r="R246" s="37" t="str">
        <f t="shared" si="108"/>
        <v/>
      </c>
      <c r="S246" s="37" t="str">
        <f t="shared" si="109"/>
        <v/>
      </c>
      <c r="T246" s="38" t="str">
        <f t="shared" si="110"/>
        <v/>
      </c>
      <c r="U246" s="38" t="str">
        <f t="shared" si="111"/>
        <v/>
      </c>
      <c r="V246" s="38" t="b">
        <f t="shared" si="112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3"/>
        <v/>
      </c>
      <c r="AI246" s="36" t="str">
        <f>IFERROR(INDEX('Level Multiplier'!$D:$D,MATCH(AH246,'Level Multiplier'!$A:$A,0)),"")</f>
        <v/>
      </c>
      <c r="AJ246" s="37" t="str">
        <f t="shared" si="114"/>
        <v/>
      </c>
      <c r="AK246" s="37" t="str">
        <f t="shared" si="115"/>
        <v/>
      </c>
      <c r="AL246" s="38" t="str">
        <f t="shared" si="116"/>
        <v/>
      </c>
      <c r="AM246" s="38" t="str">
        <f t="shared" si="117"/>
        <v/>
      </c>
      <c r="AN246" s="38" t="b">
        <f t="shared" si="118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19"/>
        <v/>
      </c>
      <c r="BA246" s="36" t="str">
        <f>IFERROR(INDEX('Level Multiplier'!$D:$D,MATCH(AZ246,'Level Multiplier'!$A:$A,0)),"")</f>
        <v/>
      </c>
      <c r="BB246" s="37" t="str">
        <f t="shared" si="120"/>
        <v/>
      </c>
      <c r="BC246" s="37" t="str">
        <f t="shared" si="121"/>
        <v/>
      </c>
      <c r="BD246" s="38" t="str">
        <f t="shared" si="122"/>
        <v/>
      </c>
      <c r="BE246" s="38" t="str">
        <f t="shared" si="123"/>
        <v/>
      </c>
      <c r="BF246" s="38" t="b">
        <f t="shared" si="124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5"/>
        <v/>
      </c>
      <c r="BS246" s="36" t="str">
        <f>IFERROR(INDEX('Level Multiplier'!$D:$D,MATCH(BR246,'Level Multiplier'!$A:$A,0)),"")</f>
        <v/>
      </c>
      <c r="BT246" s="37" t="str">
        <f t="shared" si="126"/>
        <v/>
      </c>
      <c r="BU246" s="37" t="str">
        <f t="shared" si="127"/>
        <v/>
      </c>
      <c r="BV246" s="38" t="str">
        <f t="shared" si="128"/>
        <v/>
      </c>
      <c r="BW246" s="38" t="str">
        <f t="shared" si="129"/>
        <v/>
      </c>
      <c r="BX246" s="38" t="b">
        <f t="shared" si="130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1"/>
        <v/>
      </c>
      <c r="CK246" s="41" t="str">
        <f t="shared" si="132"/>
        <v/>
      </c>
      <c r="CL246" s="39" t="str">
        <f t="shared" si="133"/>
        <v/>
      </c>
      <c r="CM246" s="39" t="str">
        <f t="shared" si="134"/>
        <v/>
      </c>
      <c r="CN246" s="42" t="str">
        <f t="shared" si="135"/>
        <v/>
      </c>
      <c r="CO246" s="42" t="str">
        <f t="shared" si="136"/>
        <v/>
      </c>
      <c r="CP246" s="42" t="str">
        <f t="shared" si="137"/>
        <v/>
      </c>
      <c r="CQ246" s="42" t="str">
        <f t="shared" si="138"/>
        <v/>
      </c>
      <c r="CR246" s="42" t="str">
        <f t="shared" si="139"/>
        <v/>
      </c>
      <c r="CS246" s="42" t="str">
        <f t="shared" si="140"/>
        <v/>
      </c>
      <c r="CT246" s="43" t="str">
        <f t="shared" si="141"/>
        <v/>
      </c>
      <c r="CU246" s="43" t="str">
        <f t="shared" si="142"/>
        <v/>
      </c>
      <c r="CV246" s="43" t="str">
        <f t="shared" si="143"/>
        <v/>
      </c>
      <c r="CW246" s="13"/>
    </row>
    <row r="247" spans="1:101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Multiplier'!$A:$A,MATCH($D247,'Level Multiplier'!$B:$B,0)),"")</f>
        <v/>
      </c>
      <c r="Q247" s="36" t="str">
        <f>IFERROR(INDEX('Level Multiplier'!$D:$D,MATCH(P247,'Level Multiplier'!$A:$A,0)),"")</f>
        <v/>
      </c>
      <c r="R247" s="37" t="str">
        <f t="shared" si="108"/>
        <v/>
      </c>
      <c r="S247" s="37" t="str">
        <f t="shared" si="109"/>
        <v/>
      </c>
      <c r="T247" s="38" t="str">
        <f t="shared" si="110"/>
        <v/>
      </c>
      <c r="U247" s="38" t="str">
        <f t="shared" si="111"/>
        <v/>
      </c>
      <c r="V247" s="38" t="b">
        <f t="shared" si="112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3"/>
        <v/>
      </c>
      <c r="AI247" s="36" t="str">
        <f>IFERROR(INDEX('Level Multiplier'!$D:$D,MATCH(AH247,'Level Multiplier'!$A:$A,0)),"")</f>
        <v/>
      </c>
      <c r="AJ247" s="37" t="str">
        <f t="shared" si="114"/>
        <v/>
      </c>
      <c r="AK247" s="37" t="str">
        <f t="shared" si="115"/>
        <v/>
      </c>
      <c r="AL247" s="38" t="str">
        <f t="shared" si="116"/>
        <v/>
      </c>
      <c r="AM247" s="38" t="str">
        <f t="shared" si="117"/>
        <v/>
      </c>
      <c r="AN247" s="38" t="b">
        <f t="shared" si="118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19"/>
        <v/>
      </c>
      <c r="BA247" s="36" t="str">
        <f>IFERROR(INDEX('Level Multiplier'!$D:$D,MATCH(AZ247,'Level Multiplier'!$A:$A,0)),"")</f>
        <v/>
      </c>
      <c r="BB247" s="37" t="str">
        <f t="shared" si="120"/>
        <v/>
      </c>
      <c r="BC247" s="37" t="str">
        <f t="shared" si="121"/>
        <v/>
      </c>
      <c r="BD247" s="38" t="str">
        <f t="shared" si="122"/>
        <v/>
      </c>
      <c r="BE247" s="38" t="str">
        <f t="shared" si="123"/>
        <v/>
      </c>
      <c r="BF247" s="38" t="b">
        <f t="shared" si="124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5"/>
        <v/>
      </c>
      <c r="BS247" s="36" t="str">
        <f>IFERROR(INDEX('Level Multiplier'!$D:$D,MATCH(BR247,'Level Multiplier'!$A:$A,0)),"")</f>
        <v/>
      </c>
      <c r="BT247" s="37" t="str">
        <f t="shared" si="126"/>
        <v/>
      </c>
      <c r="BU247" s="37" t="str">
        <f t="shared" si="127"/>
        <v/>
      </c>
      <c r="BV247" s="38" t="str">
        <f t="shared" si="128"/>
        <v/>
      </c>
      <c r="BW247" s="38" t="str">
        <f t="shared" si="129"/>
        <v/>
      </c>
      <c r="BX247" s="38" t="b">
        <f t="shared" si="130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1"/>
        <v/>
      </c>
      <c r="CK247" s="41" t="str">
        <f t="shared" si="132"/>
        <v/>
      </c>
      <c r="CL247" s="39" t="str">
        <f t="shared" si="133"/>
        <v/>
      </c>
      <c r="CM247" s="39" t="str">
        <f t="shared" si="134"/>
        <v/>
      </c>
      <c r="CN247" s="42" t="str">
        <f t="shared" si="135"/>
        <v/>
      </c>
      <c r="CO247" s="42" t="str">
        <f t="shared" si="136"/>
        <v/>
      </c>
      <c r="CP247" s="42" t="str">
        <f t="shared" si="137"/>
        <v/>
      </c>
      <c r="CQ247" s="42" t="str">
        <f t="shared" si="138"/>
        <v/>
      </c>
      <c r="CR247" s="42" t="str">
        <f t="shared" si="139"/>
        <v/>
      </c>
      <c r="CS247" s="42" t="str">
        <f t="shared" si="140"/>
        <v/>
      </c>
      <c r="CT247" s="43" t="str">
        <f t="shared" si="141"/>
        <v/>
      </c>
      <c r="CU247" s="43" t="str">
        <f t="shared" si="142"/>
        <v/>
      </c>
      <c r="CV247" s="43" t="str">
        <f t="shared" si="143"/>
        <v/>
      </c>
      <c r="CW247" s="13"/>
    </row>
    <row r="248" spans="1:101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Multiplier'!$A:$A,MATCH($D248,'Level Multiplier'!$B:$B,0)),"")</f>
        <v/>
      </c>
      <c r="Q248" s="36" t="str">
        <f>IFERROR(INDEX('Level Multiplier'!$D:$D,MATCH(P248,'Level Multiplier'!$A:$A,0)),"")</f>
        <v/>
      </c>
      <c r="R248" s="37" t="str">
        <f t="shared" si="108"/>
        <v/>
      </c>
      <c r="S248" s="37" t="str">
        <f t="shared" si="109"/>
        <v/>
      </c>
      <c r="T248" s="38" t="str">
        <f t="shared" si="110"/>
        <v/>
      </c>
      <c r="U248" s="38" t="str">
        <f t="shared" si="111"/>
        <v/>
      </c>
      <c r="V248" s="38" t="b">
        <f t="shared" si="112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3"/>
        <v/>
      </c>
      <c r="AI248" s="36" t="str">
        <f>IFERROR(INDEX('Level Multiplier'!$D:$D,MATCH(AH248,'Level Multiplier'!$A:$A,0)),"")</f>
        <v/>
      </c>
      <c r="AJ248" s="37" t="str">
        <f t="shared" si="114"/>
        <v/>
      </c>
      <c r="AK248" s="37" t="str">
        <f t="shared" si="115"/>
        <v/>
      </c>
      <c r="AL248" s="38" t="str">
        <f t="shared" si="116"/>
        <v/>
      </c>
      <c r="AM248" s="38" t="str">
        <f t="shared" si="117"/>
        <v/>
      </c>
      <c r="AN248" s="38" t="b">
        <f t="shared" si="118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19"/>
        <v/>
      </c>
      <c r="BA248" s="36" t="str">
        <f>IFERROR(INDEX('Level Multiplier'!$D:$D,MATCH(AZ248,'Level Multiplier'!$A:$A,0)),"")</f>
        <v/>
      </c>
      <c r="BB248" s="37" t="str">
        <f t="shared" si="120"/>
        <v/>
      </c>
      <c r="BC248" s="37" t="str">
        <f t="shared" si="121"/>
        <v/>
      </c>
      <c r="BD248" s="38" t="str">
        <f t="shared" si="122"/>
        <v/>
      </c>
      <c r="BE248" s="38" t="str">
        <f t="shared" si="123"/>
        <v/>
      </c>
      <c r="BF248" s="38" t="b">
        <f t="shared" si="124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5"/>
        <v/>
      </c>
      <c r="BS248" s="36" t="str">
        <f>IFERROR(INDEX('Level Multiplier'!$D:$D,MATCH(BR248,'Level Multiplier'!$A:$A,0)),"")</f>
        <v/>
      </c>
      <c r="BT248" s="37" t="str">
        <f t="shared" si="126"/>
        <v/>
      </c>
      <c r="BU248" s="37" t="str">
        <f t="shared" si="127"/>
        <v/>
      </c>
      <c r="BV248" s="38" t="str">
        <f t="shared" si="128"/>
        <v/>
      </c>
      <c r="BW248" s="38" t="str">
        <f t="shared" si="129"/>
        <v/>
      </c>
      <c r="BX248" s="38" t="b">
        <f t="shared" si="130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1"/>
        <v/>
      </c>
      <c r="CK248" s="41" t="str">
        <f t="shared" si="132"/>
        <v/>
      </c>
      <c r="CL248" s="39" t="str">
        <f t="shared" si="133"/>
        <v/>
      </c>
      <c r="CM248" s="39" t="str">
        <f t="shared" si="134"/>
        <v/>
      </c>
      <c r="CN248" s="42" t="str">
        <f t="shared" si="135"/>
        <v/>
      </c>
      <c r="CO248" s="42" t="str">
        <f t="shared" si="136"/>
        <v/>
      </c>
      <c r="CP248" s="42" t="str">
        <f t="shared" si="137"/>
        <v/>
      </c>
      <c r="CQ248" s="42" t="str">
        <f t="shared" si="138"/>
        <v/>
      </c>
      <c r="CR248" s="42" t="str">
        <f t="shared" si="139"/>
        <v/>
      </c>
      <c r="CS248" s="42" t="str">
        <f t="shared" si="140"/>
        <v/>
      </c>
      <c r="CT248" s="43" t="str">
        <f t="shared" si="141"/>
        <v/>
      </c>
      <c r="CU248" s="43" t="str">
        <f t="shared" si="142"/>
        <v/>
      </c>
      <c r="CV248" s="43" t="str">
        <f t="shared" si="143"/>
        <v/>
      </c>
      <c r="CW248" s="13"/>
    </row>
    <row r="249" spans="1:101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Multiplier'!$A:$A,MATCH($D249,'Level Multiplier'!$B:$B,0)),"")</f>
        <v/>
      </c>
      <c r="Q249" s="36" t="str">
        <f>IFERROR(INDEX('Level Multiplier'!$D:$D,MATCH(P249,'Level Multiplier'!$A:$A,0)),"")</f>
        <v/>
      </c>
      <c r="R249" s="37" t="str">
        <f t="shared" si="108"/>
        <v/>
      </c>
      <c r="S249" s="37" t="str">
        <f t="shared" si="109"/>
        <v/>
      </c>
      <c r="T249" s="38" t="str">
        <f t="shared" si="110"/>
        <v/>
      </c>
      <c r="U249" s="38" t="str">
        <f t="shared" si="111"/>
        <v/>
      </c>
      <c r="V249" s="38" t="b">
        <f t="shared" si="112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3"/>
        <v/>
      </c>
      <c r="AI249" s="36" t="str">
        <f>IFERROR(INDEX('Level Multiplier'!$D:$D,MATCH(AH249,'Level Multiplier'!$A:$A,0)),"")</f>
        <v/>
      </c>
      <c r="AJ249" s="37" t="str">
        <f t="shared" si="114"/>
        <v/>
      </c>
      <c r="AK249" s="37" t="str">
        <f t="shared" si="115"/>
        <v/>
      </c>
      <c r="AL249" s="38" t="str">
        <f t="shared" si="116"/>
        <v/>
      </c>
      <c r="AM249" s="38" t="str">
        <f t="shared" si="117"/>
        <v/>
      </c>
      <c r="AN249" s="38" t="b">
        <f t="shared" si="118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19"/>
        <v/>
      </c>
      <c r="BA249" s="36" t="str">
        <f>IFERROR(INDEX('Level Multiplier'!$D:$D,MATCH(AZ249,'Level Multiplier'!$A:$A,0)),"")</f>
        <v/>
      </c>
      <c r="BB249" s="37" t="str">
        <f t="shared" si="120"/>
        <v/>
      </c>
      <c r="BC249" s="37" t="str">
        <f t="shared" si="121"/>
        <v/>
      </c>
      <c r="BD249" s="38" t="str">
        <f t="shared" si="122"/>
        <v/>
      </c>
      <c r="BE249" s="38" t="str">
        <f t="shared" si="123"/>
        <v/>
      </c>
      <c r="BF249" s="38" t="b">
        <f t="shared" si="124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5"/>
        <v/>
      </c>
      <c r="BS249" s="36" t="str">
        <f>IFERROR(INDEX('Level Multiplier'!$D:$D,MATCH(BR249,'Level Multiplier'!$A:$A,0)),"")</f>
        <v/>
      </c>
      <c r="BT249" s="37" t="str">
        <f t="shared" si="126"/>
        <v/>
      </c>
      <c r="BU249" s="37" t="str">
        <f t="shared" si="127"/>
        <v/>
      </c>
      <c r="BV249" s="38" t="str">
        <f t="shared" si="128"/>
        <v/>
      </c>
      <c r="BW249" s="38" t="str">
        <f t="shared" si="129"/>
        <v/>
      </c>
      <c r="BX249" s="38" t="b">
        <f t="shared" si="130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1"/>
        <v/>
      </c>
      <c r="CK249" s="41" t="str">
        <f t="shared" si="132"/>
        <v/>
      </c>
      <c r="CL249" s="39" t="str">
        <f t="shared" si="133"/>
        <v/>
      </c>
      <c r="CM249" s="39" t="str">
        <f t="shared" si="134"/>
        <v/>
      </c>
      <c r="CN249" s="42" t="str">
        <f t="shared" si="135"/>
        <v/>
      </c>
      <c r="CO249" s="42" t="str">
        <f t="shared" si="136"/>
        <v/>
      </c>
      <c r="CP249" s="42" t="str">
        <f t="shared" si="137"/>
        <v/>
      </c>
      <c r="CQ249" s="42" t="str">
        <f t="shared" si="138"/>
        <v/>
      </c>
      <c r="CR249" s="42" t="str">
        <f t="shared" si="139"/>
        <v/>
      </c>
      <c r="CS249" s="42" t="str">
        <f t="shared" si="140"/>
        <v/>
      </c>
      <c r="CT249" s="43" t="str">
        <f t="shared" si="141"/>
        <v/>
      </c>
      <c r="CU249" s="43" t="str">
        <f t="shared" si="142"/>
        <v/>
      </c>
      <c r="CV249" s="43" t="str">
        <f t="shared" si="143"/>
        <v/>
      </c>
      <c r="CW249" s="13"/>
    </row>
    <row r="250" spans="1:101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Multiplier'!$A:$A,MATCH($D250,'Level Multiplier'!$B:$B,0)),"")</f>
        <v/>
      </c>
      <c r="Q250" s="36" t="str">
        <f>IFERROR(INDEX('Level Multiplier'!$D:$D,MATCH(P250,'Level Multiplier'!$A:$A,0)),"")</f>
        <v/>
      </c>
      <c r="R250" s="37" t="str">
        <f t="shared" si="108"/>
        <v/>
      </c>
      <c r="S250" s="37" t="str">
        <f t="shared" si="109"/>
        <v/>
      </c>
      <c r="T250" s="38" t="str">
        <f t="shared" si="110"/>
        <v/>
      </c>
      <c r="U250" s="38" t="str">
        <f t="shared" si="111"/>
        <v/>
      </c>
      <c r="V250" s="38" t="b">
        <f t="shared" si="112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3"/>
        <v/>
      </c>
      <c r="AI250" s="36" t="str">
        <f>IFERROR(INDEX('Level Multiplier'!$D:$D,MATCH(AH250,'Level Multiplier'!$A:$A,0)),"")</f>
        <v/>
      </c>
      <c r="AJ250" s="37" t="str">
        <f t="shared" si="114"/>
        <v/>
      </c>
      <c r="AK250" s="37" t="str">
        <f t="shared" si="115"/>
        <v/>
      </c>
      <c r="AL250" s="38" t="str">
        <f t="shared" si="116"/>
        <v/>
      </c>
      <c r="AM250" s="38" t="str">
        <f t="shared" si="117"/>
        <v/>
      </c>
      <c r="AN250" s="38" t="b">
        <f t="shared" si="118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19"/>
        <v/>
      </c>
      <c r="BA250" s="36" t="str">
        <f>IFERROR(INDEX('Level Multiplier'!$D:$D,MATCH(AZ250,'Level Multiplier'!$A:$A,0)),"")</f>
        <v/>
      </c>
      <c r="BB250" s="37" t="str">
        <f t="shared" si="120"/>
        <v/>
      </c>
      <c r="BC250" s="37" t="str">
        <f t="shared" si="121"/>
        <v/>
      </c>
      <c r="BD250" s="38" t="str">
        <f t="shared" si="122"/>
        <v/>
      </c>
      <c r="BE250" s="38" t="str">
        <f t="shared" si="123"/>
        <v/>
      </c>
      <c r="BF250" s="38" t="b">
        <f t="shared" si="124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5"/>
        <v/>
      </c>
      <c r="BS250" s="36" t="str">
        <f>IFERROR(INDEX('Level Multiplier'!$D:$D,MATCH(BR250,'Level Multiplier'!$A:$A,0)),"")</f>
        <v/>
      </c>
      <c r="BT250" s="37" t="str">
        <f t="shared" si="126"/>
        <v/>
      </c>
      <c r="BU250" s="37" t="str">
        <f t="shared" si="127"/>
        <v/>
      </c>
      <c r="BV250" s="38" t="str">
        <f t="shared" si="128"/>
        <v/>
      </c>
      <c r="BW250" s="38" t="str">
        <f t="shared" si="129"/>
        <v/>
      </c>
      <c r="BX250" s="38" t="b">
        <f t="shared" si="130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1"/>
        <v/>
      </c>
      <c r="CK250" s="41" t="str">
        <f t="shared" si="132"/>
        <v/>
      </c>
      <c r="CL250" s="39" t="str">
        <f t="shared" si="133"/>
        <v/>
      </c>
      <c r="CM250" s="39" t="str">
        <f t="shared" si="134"/>
        <v/>
      </c>
      <c r="CN250" s="42" t="str">
        <f t="shared" si="135"/>
        <v/>
      </c>
      <c r="CO250" s="42" t="str">
        <f t="shared" si="136"/>
        <v/>
      </c>
      <c r="CP250" s="42" t="str">
        <f t="shared" si="137"/>
        <v/>
      </c>
      <c r="CQ250" s="42" t="str">
        <f t="shared" si="138"/>
        <v/>
      </c>
      <c r="CR250" s="42" t="str">
        <f t="shared" si="139"/>
        <v/>
      </c>
      <c r="CS250" s="42" t="str">
        <f t="shared" si="140"/>
        <v/>
      </c>
      <c r="CT250" s="43" t="str">
        <f t="shared" si="141"/>
        <v/>
      </c>
      <c r="CU250" s="43" t="str">
        <f t="shared" si="142"/>
        <v/>
      </c>
      <c r="CV250" s="43" t="str">
        <f t="shared" si="143"/>
        <v/>
      </c>
      <c r="CW250" s="13"/>
    </row>
    <row r="251" spans="1:101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Multiplier'!$A:$A,MATCH($D251,'Level Multiplier'!$B:$B,0)),"")</f>
        <v/>
      </c>
      <c r="Q251" s="36" t="str">
        <f>IFERROR(INDEX('Level Multiplier'!$D:$D,MATCH(P251,'Level Multiplier'!$A:$A,0)),"")</f>
        <v/>
      </c>
      <c r="R251" s="37" t="str">
        <f t="shared" si="108"/>
        <v/>
      </c>
      <c r="S251" s="37" t="str">
        <f t="shared" si="109"/>
        <v/>
      </c>
      <c r="T251" s="38" t="str">
        <f t="shared" si="110"/>
        <v/>
      </c>
      <c r="U251" s="38" t="str">
        <f t="shared" si="111"/>
        <v/>
      </c>
      <c r="V251" s="38" t="b">
        <f t="shared" si="112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3"/>
        <v/>
      </c>
      <c r="AI251" s="36" t="str">
        <f>IFERROR(INDEX('Level Multiplier'!$D:$D,MATCH(AH251,'Level Multiplier'!$A:$A,0)),"")</f>
        <v/>
      </c>
      <c r="AJ251" s="37" t="str">
        <f t="shared" si="114"/>
        <v/>
      </c>
      <c r="AK251" s="37" t="str">
        <f t="shared" si="115"/>
        <v/>
      </c>
      <c r="AL251" s="38" t="str">
        <f t="shared" si="116"/>
        <v/>
      </c>
      <c r="AM251" s="38" t="str">
        <f t="shared" si="117"/>
        <v/>
      </c>
      <c r="AN251" s="38" t="b">
        <f t="shared" si="118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19"/>
        <v/>
      </c>
      <c r="BA251" s="36" t="str">
        <f>IFERROR(INDEX('Level Multiplier'!$D:$D,MATCH(AZ251,'Level Multiplier'!$A:$A,0)),"")</f>
        <v/>
      </c>
      <c r="BB251" s="37" t="str">
        <f t="shared" si="120"/>
        <v/>
      </c>
      <c r="BC251" s="37" t="str">
        <f t="shared" si="121"/>
        <v/>
      </c>
      <c r="BD251" s="38" t="str">
        <f t="shared" si="122"/>
        <v/>
      </c>
      <c r="BE251" s="38" t="str">
        <f t="shared" si="123"/>
        <v/>
      </c>
      <c r="BF251" s="38" t="b">
        <f t="shared" si="124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5"/>
        <v/>
      </c>
      <c r="BS251" s="36" t="str">
        <f>IFERROR(INDEX('Level Multiplier'!$D:$D,MATCH(BR251,'Level Multiplier'!$A:$A,0)),"")</f>
        <v/>
      </c>
      <c r="BT251" s="37" t="str">
        <f t="shared" si="126"/>
        <v/>
      </c>
      <c r="BU251" s="37" t="str">
        <f t="shared" si="127"/>
        <v/>
      </c>
      <c r="BV251" s="38" t="str">
        <f t="shared" si="128"/>
        <v/>
      </c>
      <c r="BW251" s="38" t="str">
        <f t="shared" si="129"/>
        <v/>
      </c>
      <c r="BX251" s="38" t="b">
        <f t="shared" si="130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1"/>
        <v/>
      </c>
      <c r="CK251" s="41" t="str">
        <f t="shared" si="132"/>
        <v/>
      </c>
      <c r="CL251" s="39" t="str">
        <f t="shared" si="133"/>
        <v/>
      </c>
      <c r="CM251" s="39" t="str">
        <f t="shared" si="134"/>
        <v/>
      </c>
      <c r="CN251" s="42" t="str">
        <f t="shared" si="135"/>
        <v/>
      </c>
      <c r="CO251" s="42" t="str">
        <f t="shared" si="136"/>
        <v/>
      </c>
      <c r="CP251" s="42" t="str">
        <f t="shared" si="137"/>
        <v/>
      </c>
      <c r="CQ251" s="42" t="str">
        <f t="shared" si="138"/>
        <v/>
      </c>
      <c r="CR251" s="42" t="str">
        <f t="shared" si="139"/>
        <v/>
      </c>
      <c r="CS251" s="42" t="str">
        <f t="shared" si="140"/>
        <v/>
      </c>
      <c r="CT251" s="43" t="str">
        <f t="shared" si="141"/>
        <v/>
      </c>
      <c r="CU251" s="43" t="str">
        <f t="shared" si="142"/>
        <v/>
      </c>
      <c r="CV251" s="43" t="str">
        <f t="shared" si="143"/>
        <v/>
      </c>
      <c r="CW251" s="13"/>
    </row>
    <row r="252" spans="1:101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Multiplier'!$A:$A,MATCH($D252,'Level Multiplier'!$B:$B,0)),"")</f>
        <v/>
      </c>
      <c r="Q252" s="36" t="str">
        <f>IFERROR(INDEX('Level Multiplier'!$D:$D,MATCH(P252,'Level Multiplier'!$A:$A,0)),"")</f>
        <v/>
      </c>
      <c r="R252" s="37" t="str">
        <f t="shared" si="108"/>
        <v/>
      </c>
      <c r="S252" s="37" t="str">
        <f t="shared" si="109"/>
        <v/>
      </c>
      <c r="T252" s="38" t="str">
        <f t="shared" si="110"/>
        <v/>
      </c>
      <c r="U252" s="38" t="str">
        <f t="shared" si="111"/>
        <v/>
      </c>
      <c r="V252" s="38" t="b">
        <f t="shared" si="112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3"/>
        <v/>
      </c>
      <c r="AI252" s="36" t="str">
        <f>IFERROR(INDEX('Level Multiplier'!$D:$D,MATCH(AH252,'Level Multiplier'!$A:$A,0)),"")</f>
        <v/>
      </c>
      <c r="AJ252" s="37" t="str">
        <f t="shared" si="114"/>
        <v/>
      </c>
      <c r="AK252" s="37" t="str">
        <f t="shared" si="115"/>
        <v/>
      </c>
      <c r="AL252" s="38" t="str">
        <f t="shared" si="116"/>
        <v/>
      </c>
      <c r="AM252" s="38" t="str">
        <f t="shared" si="117"/>
        <v/>
      </c>
      <c r="AN252" s="38" t="b">
        <f t="shared" si="118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19"/>
        <v/>
      </c>
      <c r="BA252" s="36" t="str">
        <f>IFERROR(INDEX('Level Multiplier'!$D:$D,MATCH(AZ252,'Level Multiplier'!$A:$A,0)),"")</f>
        <v/>
      </c>
      <c r="BB252" s="37" t="str">
        <f t="shared" si="120"/>
        <v/>
      </c>
      <c r="BC252" s="37" t="str">
        <f t="shared" si="121"/>
        <v/>
      </c>
      <c r="BD252" s="38" t="str">
        <f t="shared" si="122"/>
        <v/>
      </c>
      <c r="BE252" s="38" t="str">
        <f t="shared" si="123"/>
        <v/>
      </c>
      <c r="BF252" s="38" t="b">
        <f t="shared" si="124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5"/>
        <v/>
      </c>
      <c r="BS252" s="36" t="str">
        <f>IFERROR(INDEX('Level Multiplier'!$D:$D,MATCH(BR252,'Level Multiplier'!$A:$A,0)),"")</f>
        <v/>
      </c>
      <c r="BT252" s="37" t="str">
        <f t="shared" si="126"/>
        <v/>
      </c>
      <c r="BU252" s="37" t="str">
        <f t="shared" si="127"/>
        <v/>
      </c>
      <c r="BV252" s="38" t="str">
        <f t="shared" si="128"/>
        <v/>
      </c>
      <c r="BW252" s="38" t="str">
        <f t="shared" si="129"/>
        <v/>
      </c>
      <c r="BX252" s="38" t="b">
        <f t="shared" si="130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1"/>
        <v/>
      </c>
      <c r="CK252" s="41" t="str">
        <f t="shared" si="132"/>
        <v/>
      </c>
      <c r="CL252" s="39" t="str">
        <f t="shared" si="133"/>
        <v/>
      </c>
      <c r="CM252" s="39" t="str">
        <f t="shared" si="134"/>
        <v/>
      </c>
      <c r="CN252" s="42" t="str">
        <f t="shared" si="135"/>
        <v/>
      </c>
      <c r="CO252" s="42" t="str">
        <f t="shared" si="136"/>
        <v/>
      </c>
      <c r="CP252" s="42" t="str">
        <f t="shared" si="137"/>
        <v/>
      </c>
      <c r="CQ252" s="42" t="str">
        <f t="shared" si="138"/>
        <v/>
      </c>
      <c r="CR252" s="42" t="str">
        <f t="shared" si="139"/>
        <v/>
      </c>
      <c r="CS252" s="42" t="str">
        <f t="shared" si="140"/>
        <v/>
      </c>
      <c r="CT252" s="43" t="str">
        <f t="shared" si="141"/>
        <v/>
      </c>
      <c r="CU252" s="43" t="str">
        <f t="shared" si="142"/>
        <v/>
      </c>
      <c r="CV252" s="43" t="str">
        <f t="shared" si="143"/>
        <v/>
      </c>
      <c r="CW252" s="13"/>
    </row>
    <row r="253" spans="1:101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Multiplier'!$A:$A,MATCH($D253,'Level Multiplier'!$B:$B,0)),"")</f>
        <v/>
      </c>
      <c r="Q253" s="36" t="str">
        <f>IFERROR(INDEX('Level Multiplier'!$D:$D,MATCH(P253,'Level Multiplier'!$A:$A,0)),"")</f>
        <v/>
      </c>
      <c r="R253" s="37" t="str">
        <f t="shared" si="108"/>
        <v/>
      </c>
      <c r="S253" s="37" t="str">
        <f t="shared" si="109"/>
        <v/>
      </c>
      <c r="T253" s="38" t="str">
        <f t="shared" si="110"/>
        <v/>
      </c>
      <c r="U253" s="38" t="str">
        <f t="shared" si="111"/>
        <v/>
      </c>
      <c r="V253" s="38" t="b">
        <f t="shared" si="112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3"/>
        <v/>
      </c>
      <c r="AI253" s="36" t="str">
        <f>IFERROR(INDEX('Level Multiplier'!$D:$D,MATCH(AH253,'Level Multiplier'!$A:$A,0)),"")</f>
        <v/>
      </c>
      <c r="AJ253" s="37" t="str">
        <f t="shared" si="114"/>
        <v/>
      </c>
      <c r="AK253" s="37" t="str">
        <f t="shared" si="115"/>
        <v/>
      </c>
      <c r="AL253" s="38" t="str">
        <f t="shared" si="116"/>
        <v/>
      </c>
      <c r="AM253" s="38" t="str">
        <f t="shared" si="117"/>
        <v/>
      </c>
      <c r="AN253" s="38" t="b">
        <f t="shared" si="118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19"/>
        <v/>
      </c>
      <c r="BA253" s="36" t="str">
        <f>IFERROR(INDEX('Level Multiplier'!$D:$D,MATCH(AZ253,'Level Multiplier'!$A:$A,0)),"")</f>
        <v/>
      </c>
      <c r="BB253" s="37" t="str">
        <f t="shared" si="120"/>
        <v/>
      </c>
      <c r="BC253" s="37" t="str">
        <f t="shared" si="121"/>
        <v/>
      </c>
      <c r="BD253" s="38" t="str">
        <f t="shared" si="122"/>
        <v/>
      </c>
      <c r="BE253" s="38" t="str">
        <f t="shared" si="123"/>
        <v/>
      </c>
      <c r="BF253" s="38" t="b">
        <f t="shared" si="124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5"/>
        <v/>
      </c>
      <c r="BS253" s="36" t="str">
        <f>IFERROR(INDEX('Level Multiplier'!$D:$D,MATCH(BR253,'Level Multiplier'!$A:$A,0)),"")</f>
        <v/>
      </c>
      <c r="BT253" s="37" t="str">
        <f t="shared" si="126"/>
        <v/>
      </c>
      <c r="BU253" s="37" t="str">
        <f t="shared" si="127"/>
        <v/>
      </c>
      <c r="BV253" s="38" t="str">
        <f t="shared" si="128"/>
        <v/>
      </c>
      <c r="BW253" s="38" t="str">
        <f t="shared" si="129"/>
        <v/>
      </c>
      <c r="BX253" s="38" t="b">
        <f t="shared" si="130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1"/>
        <v/>
      </c>
      <c r="CK253" s="41" t="str">
        <f t="shared" si="132"/>
        <v/>
      </c>
      <c r="CL253" s="39" t="str">
        <f t="shared" si="133"/>
        <v/>
      </c>
      <c r="CM253" s="39" t="str">
        <f t="shared" si="134"/>
        <v/>
      </c>
      <c r="CN253" s="42" t="str">
        <f t="shared" si="135"/>
        <v/>
      </c>
      <c r="CO253" s="42" t="str">
        <f t="shared" si="136"/>
        <v/>
      </c>
      <c r="CP253" s="42" t="str">
        <f t="shared" si="137"/>
        <v/>
      </c>
      <c r="CQ253" s="42" t="str">
        <f t="shared" si="138"/>
        <v/>
      </c>
      <c r="CR253" s="42" t="str">
        <f t="shared" si="139"/>
        <v/>
      </c>
      <c r="CS253" s="42" t="str">
        <f t="shared" si="140"/>
        <v/>
      </c>
      <c r="CT253" s="43" t="str">
        <f t="shared" si="141"/>
        <v/>
      </c>
      <c r="CU253" s="43" t="str">
        <f t="shared" si="142"/>
        <v/>
      </c>
      <c r="CV253" s="43" t="str">
        <f t="shared" si="143"/>
        <v/>
      </c>
      <c r="CW253" s="13"/>
    </row>
    <row r="254" spans="1:101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Multiplier'!$A:$A,MATCH($D254,'Level Multiplier'!$B:$B,0)),"")</f>
        <v/>
      </c>
      <c r="Q254" s="36" t="str">
        <f>IFERROR(INDEX('Level Multiplier'!$D:$D,MATCH(P254,'Level Multiplier'!$A:$A,0)),"")</f>
        <v/>
      </c>
      <c r="R254" s="37" t="str">
        <f t="shared" si="108"/>
        <v/>
      </c>
      <c r="S254" s="37" t="str">
        <f t="shared" si="109"/>
        <v/>
      </c>
      <c r="T254" s="38" t="str">
        <f t="shared" si="110"/>
        <v/>
      </c>
      <c r="U254" s="38" t="str">
        <f t="shared" si="111"/>
        <v/>
      </c>
      <c r="V254" s="38" t="b">
        <f t="shared" si="112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3"/>
        <v/>
      </c>
      <c r="AI254" s="36" t="str">
        <f>IFERROR(INDEX('Level Multiplier'!$D:$D,MATCH(AH254,'Level Multiplier'!$A:$A,0)),"")</f>
        <v/>
      </c>
      <c r="AJ254" s="37" t="str">
        <f t="shared" si="114"/>
        <v/>
      </c>
      <c r="AK254" s="37" t="str">
        <f t="shared" si="115"/>
        <v/>
      </c>
      <c r="AL254" s="38" t="str">
        <f t="shared" si="116"/>
        <v/>
      </c>
      <c r="AM254" s="38" t="str">
        <f t="shared" si="117"/>
        <v/>
      </c>
      <c r="AN254" s="38" t="b">
        <f t="shared" si="118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19"/>
        <v/>
      </c>
      <c r="BA254" s="36" t="str">
        <f>IFERROR(INDEX('Level Multiplier'!$D:$D,MATCH(AZ254,'Level Multiplier'!$A:$A,0)),"")</f>
        <v/>
      </c>
      <c r="BB254" s="37" t="str">
        <f t="shared" si="120"/>
        <v/>
      </c>
      <c r="BC254" s="37" t="str">
        <f t="shared" si="121"/>
        <v/>
      </c>
      <c r="BD254" s="38" t="str">
        <f t="shared" si="122"/>
        <v/>
      </c>
      <c r="BE254" s="38" t="str">
        <f t="shared" si="123"/>
        <v/>
      </c>
      <c r="BF254" s="38" t="b">
        <f t="shared" si="124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5"/>
        <v/>
      </c>
      <c r="BS254" s="36" t="str">
        <f>IFERROR(INDEX('Level Multiplier'!$D:$D,MATCH(BR254,'Level Multiplier'!$A:$A,0)),"")</f>
        <v/>
      </c>
      <c r="BT254" s="37" t="str">
        <f t="shared" si="126"/>
        <v/>
      </c>
      <c r="BU254" s="37" t="str">
        <f t="shared" si="127"/>
        <v/>
      </c>
      <c r="BV254" s="38" t="str">
        <f t="shared" si="128"/>
        <v/>
      </c>
      <c r="BW254" s="38" t="str">
        <f t="shared" si="129"/>
        <v/>
      </c>
      <c r="BX254" s="38" t="b">
        <f t="shared" si="130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1"/>
        <v/>
      </c>
      <c r="CK254" s="41" t="str">
        <f t="shared" si="132"/>
        <v/>
      </c>
      <c r="CL254" s="39" t="str">
        <f t="shared" si="133"/>
        <v/>
      </c>
      <c r="CM254" s="39" t="str">
        <f t="shared" si="134"/>
        <v/>
      </c>
      <c r="CN254" s="42" t="str">
        <f t="shared" si="135"/>
        <v/>
      </c>
      <c r="CO254" s="42" t="str">
        <f t="shared" si="136"/>
        <v/>
      </c>
      <c r="CP254" s="42" t="str">
        <f t="shared" si="137"/>
        <v/>
      </c>
      <c r="CQ254" s="42" t="str">
        <f t="shared" si="138"/>
        <v/>
      </c>
      <c r="CR254" s="42" t="str">
        <f t="shared" si="139"/>
        <v/>
      </c>
      <c r="CS254" s="42" t="str">
        <f t="shared" si="140"/>
        <v/>
      </c>
      <c r="CT254" s="43" t="str">
        <f t="shared" si="141"/>
        <v/>
      </c>
      <c r="CU254" s="43" t="str">
        <f t="shared" si="142"/>
        <v/>
      </c>
      <c r="CV254" s="43" t="str">
        <f t="shared" si="143"/>
        <v/>
      </c>
      <c r="CW254" s="13"/>
    </row>
    <row r="255" spans="1:101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Multiplier'!$A:$A,MATCH($D255,'Level Multiplier'!$B:$B,0)),"")</f>
        <v/>
      </c>
      <c r="Q255" s="36" t="str">
        <f>IFERROR(INDEX('Level Multiplier'!$D:$D,MATCH(P255,'Level Multiplier'!$A:$A,0)),"")</f>
        <v/>
      </c>
      <c r="R255" s="37" t="str">
        <f t="shared" si="108"/>
        <v/>
      </c>
      <c r="S255" s="37" t="str">
        <f t="shared" si="109"/>
        <v/>
      </c>
      <c r="T255" s="38" t="str">
        <f t="shared" si="110"/>
        <v/>
      </c>
      <c r="U255" s="38" t="str">
        <f t="shared" si="111"/>
        <v/>
      </c>
      <c r="V255" s="38" t="b">
        <f t="shared" si="112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3"/>
        <v/>
      </c>
      <c r="AI255" s="36" t="str">
        <f>IFERROR(INDEX('Level Multiplier'!$D:$D,MATCH(AH255,'Level Multiplier'!$A:$A,0)),"")</f>
        <v/>
      </c>
      <c r="AJ255" s="37" t="str">
        <f t="shared" si="114"/>
        <v/>
      </c>
      <c r="AK255" s="37" t="str">
        <f t="shared" si="115"/>
        <v/>
      </c>
      <c r="AL255" s="38" t="str">
        <f t="shared" si="116"/>
        <v/>
      </c>
      <c r="AM255" s="38" t="str">
        <f t="shared" si="117"/>
        <v/>
      </c>
      <c r="AN255" s="38" t="b">
        <f t="shared" si="118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19"/>
        <v/>
      </c>
      <c r="BA255" s="36" t="str">
        <f>IFERROR(INDEX('Level Multiplier'!$D:$D,MATCH(AZ255,'Level Multiplier'!$A:$A,0)),"")</f>
        <v/>
      </c>
      <c r="BB255" s="37" t="str">
        <f t="shared" si="120"/>
        <v/>
      </c>
      <c r="BC255" s="37" t="str">
        <f t="shared" si="121"/>
        <v/>
      </c>
      <c r="BD255" s="38" t="str">
        <f t="shared" si="122"/>
        <v/>
      </c>
      <c r="BE255" s="38" t="str">
        <f t="shared" si="123"/>
        <v/>
      </c>
      <c r="BF255" s="38" t="b">
        <f t="shared" si="124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5"/>
        <v/>
      </c>
      <c r="BS255" s="36" t="str">
        <f>IFERROR(INDEX('Level Multiplier'!$D:$D,MATCH(BR255,'Level Multiplier'!$A:$A,0)),"")</f>
        <v/>
      </c>
      <c r="BT255" s="37" t="str">
        <f t="shared" si="126"/>
        <v/>
      </c>
      <c r="BU255" s="37" t="str">
        <f t="shared" si="127"/>
        <v/>
      </c>
      <c r="BV255" s="38" t="str">
        <f t="shared" si="128"/>
        <v/>
      </c>
      <c r="BW255" s="38" t="str">
        <f t="shared" si="129"/>
        <v/>
      </c>
      <c r="BX255" s="38" t="b">
        <f t="shared" si="130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1"/>
        <v/>
      </c>
      <c r="CK255" s="41" t="str">
        <f t="shared" si="132"/>
        <v/>
      </c>
      <c r="CL255" s="39" t="str">
        <f t="shared" si="133"/>
        <v/>
      </c>
      <c r="CM255" s="39" t="str">
        <f t="shared" si="134"/>
        <v/>
      </c>
      <c r="CN255" s="42" t="str">
        <f t="shared" si="135"/>
        <v/>
      </c>
      <c r="CO255" s="42" t="str">
        <f t="shared" si="136"/>
        <v/>
      </c>
      <c r="CP255" s="42" t="str">
        <f t="shared" si="137"/>
        <v/>
      </c>
      <c r="CQ255" s="42" t="str">
        <f t="shared" si="138"/>
        <v/>
      </c>
      <c r="CR255" s="42" t="str">
        <f t="shared" si="139"/>
        <v/>
      </c>
      <c r="CS255" s="42" t="str">
        <f t="shared" si="140"/>
        <v/>
      </c>
      <c r="CT255" s="43" t="str">
        <f t="shared" si="141"/>
        <v/>
      </c>
      <c r="CU255" s="43" t="str">
        <f t="shared" si="142"/>
        <v/>
      </c>
      <c r="CV255" s="43" t="str">
        <f t="shared" si="143"/>
        <v/>
      </c>
      <c r="CW255" s="13"/>
    </row>
    <row r="256" spans="1:101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Multiplier'!$A:$A,MATCH($D256,'Level Multiplier'!$B:$B,0)),"")</f>
        <v/>
      </c>
      <c r="Q256" s="36" t="str">
        <f>IFERROR(INDEX('Level Multiplier'!$D:$D,MATCH(P256,'Level Multiplier'!$A:$A,0)),"")</f>
        <v/>
      </c>
      <c r="R256" s="37" t="str">
        <f t="shared" si="108"/>
        <v/>
      </c>
      <c r="S256" s="37" t="str">
        <f t="shared" si="109"/>
        <v/>
      </c>
      <c r="T256" s="38" t="str">
        <f t="shared" si="110"/>
        <v/>
      </c>
      <c r="U256" s="38" t="str">
        <f t="shared" si="111"/>
        <v/>
      </c>
      <c r="V256" s="38" t="b">
        <f t="shared" si="112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3"/>
        <v/>
      </c>
      <c r="AI256" s="36" t="str">
        <f>IFERROR(INDEX('Level Multiplier'!$D:$D,MATCH(AH256,'Level Multiplier'!$A:$A,0)),"")</f>
        <v/>
      </c>
      <c r="AJ256" s="37" t="str">
        <f t="shared" si="114"/>
        <v/>
      </c>
      <c r="AK256" s="37" t="str">
        <f t="shared" si="115"/>
        <v/>
      </c>
      <c r="AL256" s="38" t="str">
        <f t="shared" si="116"/>
        <v/>
      </c>
      <c r="AM256" s="38" t="str">
        <f t="shared" si="117"/>
        <v/>
      </c>
      <c r="AN256" s="38" t="b">
        <f t="shared" si="118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19"/>
        <v/>
      </c>
      <c r="BA256" s="36" t="str">
        <f>IFERROR(INDEX('Level Multiplier'!$D:$D,MATCH(AZ256,'Level Multiplier'!$A:$A,0)),"")</f>
        <v/>
      </c>
      <c r="BB256" s="37" t="str">
        <f t="shared" si="120"/>
        <v/>
      </c>
      <c r="BC256" s="37" t="str">
        <f t="shared" si="121"/>
        <v/>
      </c>
      <c r="BD256" s="38" t="str">
        <f t="shared" si="122"/>
        <v/>
      </c>
      <c r="BE256" s="38" t="str">
        <f t="shared" si="123"/>
        <v/>
      </c>
      <c r="BF256" s="38" t="b">
        <f t="shared" si="124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5"/>
        <v/>
      </c>
      <c r="BS256" s="36" t="str">
        <f>IFERROR(INDEX('Level Multiplier'!$D:$D,MATCH(BR256,'Level Multiplier'!$A:$A,0)),"")</f>
        <v/>
      </c>
      <c r="BT256" s="37" t="str">
        <f t="shared" si="126"/>
        <v/>
      </c>
      <c r="BU256" s="37" t="str">
        <f t="shared" si="127"/>
        <v/>
      </c>
      <c r="BV256" s="38" t="str">
        <f t="shared" si="128"/>
        <v/>
      </c>
      <c r="BW256" s="38" t="str">
        <f t="shared" si="129"/>
        <v/>
      </c>
      <c r="BX256" s="38" t="b">
        <f t="shared" si="130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1"/>
        <v/>
      </c>
      <c r="CK256" s="41" t="str">
        <f t="shared" si="132"/>
        <v/>
      </c>
      <c r="CL256" s="39" t="str">
        <f t="shared" si="133"/>
        <v/>
      </c>
      <c r="CM256" s="39" t="str">
        <f t="shared" si="134"/>
        <v/>
      </c>
      <c r="CN256" s="42" t="str">
        <f t="shared" si="135"/>
        <v/>
      </c>
      <c r="CO256" s="42" t="str">
        <f t="shared" si="136"/>
        <v/>
      </c>
      <c r="CP256" s="42" t="str">
        <f t="shared" si="137"/>
        <v/>
      </c>
      <c r="CQ256" s="42" t="str">
        <f t="shared" si="138"/>
        <v/>
      </c>
      <c r="CR256" s="42" t="str">
        <f t="shared" si="139"/>
        <v/>
      </c>
      <c r="CS256" s="42" t="str">
        <f t="shared" si="140"/>
        <v/>
      </c>
      <c r="CT256" s="43" t="str">
        <f t="shared" si="141"/>
        <v/>
      </c>
      <c r="CU256" s="43" t="str">
        <f t="shared" si="142"/>
        <v/>
      </c>
      <c r="CV256" s="43" t="str">
        <f t="shared" si="143"/>
        <v/>
      </c>
      <c r="CW256" s="13"/>
    </row>
    <row r="257" spans="1:101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Multiplier'!$A:$A,MATCH($D257,'Level Multiplier'!$B:$B,0)),"")</f>
        <v/>
      </c>
      <c r="Q257" s="36" t="str">
        <f>IFERROR(INDEX('Level Multiplier'!$D:$D,MATCH(P257,'Level Multiplier'!$A:$A,0)),"")</f>
        <v/>
      </c>
      <c r="R257" s="37" t="str">
        <f t="shared" si="108"/>
        <v/>
      </c>
      <c r="S257" s="37" t="str">
        <f t="shared" si="109"/>
        <v/>
      </c>
      <c r="T257" s="38" t="str">
        <f t="shared" si="110"/>
        <v/>
      </c>
      <c r="U257" s="38" t="str">
        <f t="shared" si="111"/>
        <v/>
      </c>
      <c r="V257" s="38" t="b">
        <f t="shared" si="112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3"/>
        <v/>
      </c>
      <c r="AI257" s="36" t="str">
        <f>IFERROR(INDEX('Level Multiplier'!$D:$D,MATCH(AH257,'Level Multiplier'!$A:$A,0)),"")</f>
        <v/>
      </c>
      <c r="AJ257" s="37" t="str">
        <f t="shared" si="114"/>
        <v/>
      </c>
      <c r="AK257" s="37" t="str">
        <f t="shared" si="115"/>
        <v/>
      </c>
      <c r="AL257" s="38" t="str">
        <f t="shared" si="116"/>
        <v/>
      </c>
      <c r="AM257" s="38" t="str">
        <f t="shared" si="117"/>
        <v/>
      </c>
      <c r="AN257" s="38" t="b">
        <f t="shared" si="118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19"/>
        <v/>
      </c>
      <c r="BA257" s="36" t="str">
        <f>IFERROR(INDEX('Level Multiplier'!$D:$D,MATCH(AZ257,'Level Multiplier'!$A:$A,0)),"")</f>
        <v/>
      </c>
      <c r="BB257" s="37" t="str">
        <f t="shared" si="120"/>
        <v/>
      </c>
      <c r="BC257" s="37" t="str">
        <f t="shared" si="121"/>
        <v/>
      </c>
      <c r="BD257" s="38" t="str">
        <f t="shared" si="122"/>
        <v/>
      </c>
      <c r="BE257" s="38" t="str">
        <f t="shared" si="123"/>
        <v/>
      </c>
      <c r="BF257" s="38" t="b">
        <f t="shared" si="124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5"/>
        <v/>
      </c>
      <c r="BS257" s="36" t="str">
        <f>IFERROR(INDEX('Level Multiplier'!$D:$D,MATCH(BR257,'Level Multiplier'!$A:$A,0)),"")</f>
        <v/>
      </c>
      <c r="BT257" s="37" t="str">
        <f t="shared" si="126"/>
        <v/>
      </c>
      <c r="BU257" s="37" t="str">
        <f t="shared" si="127"/>
        <v/>
      </c>
      <c r="BV257" s="38" t="str">
        <f t="shared" si="128"/>
        <v/>
      </c>
      <c r="BW257" s="38" t="str">
        <f t="shared" si="129"/>
        <v/>
      </c>
      <c r="BX257" s="38" t="b">
        <f t="shared" si="130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1"/>
        <v/>
      </c>
      <c r="CK257" s="41" t="str">
        <f t="shared" si="132"/>
        <v/>
      </c>
      <c r="CL257" s="39" t="str">
        <f t="shared" si="133"/>
        <v/>
      </c>
      <c r="CM257" s="39" t="str">
        <f t="shared" si="134"/>
        <v/>
      </c>
      <c r="CN257" s="42" t="str">
        <f t="shared" si="135"/>
        <v/>
      </c>
      <c r="CO257" s="42" t="str">
        <f t="shared" si="136"/>
        <v/>
      </c>
      <c r="CP257" s="42" t="str">
        <f t="shared" si="137"/>
        <v/>
      </c>
      <c r="CQ257" s="42" t="str">
        <f t="shared" si="138"/>
        <v/>
      </c>
      <c r="CR257" s="42" t="str">
        <f t="shared" si="139"/>
        <v/>
      </c>
      <c r="CS257" s="42" t="str">
        <f t="shared" si="140"/>
        <v/>
      </c>
      <c r="CT257" s="43" t="str">
        <f t="shared" si="141"/>
        <v/>
      </c>
      <c r="CU257" s="43" t="str">
        <f t="shared" si="142"/>
        <v/>
      </c>
      <c r="CV257" s="43" t="str">
        <f t="shared" si="143"/>
        <v/>
      </c>
      <c r="CW257" s="13"/>
    </row>
    <row r="258" spans="1:101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Multiplier'!$A:$A,MATCH($D258,'Level Multiplier'!$B:$B,0)),"")</f>
        <v/>
      </c>
      <c r="Q258" s="36" t="str">
        <f>IFERROR(INDEX('Level Multiplier'!$D:$D,MATCH(P258,'Level Multiplier'!$A:$A,0)),"")</f>
        <v/>
      </c>
      <c r="R258" s="37" t="str">
        <f t="shared" si="108"/>
        <v/>
      </c>
      <c r="S258" s="37" t="str">
        <f t="shared" si="109"/>
        <v/>
      </c>
      <c r="T258" s="38" t="str">
        <f t="shared" si="110"/>
        <v/>
      </c>
      <c r="U258" s="38" t="str">
        <f t="shared" si="111"/>
        <v/>
      </c>
      <c r="V258" s="38" t="b">
        <f t="shared" si="112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3"/>
        <v/>
      </c>
      <c r="AI258" s="36" t="str">
        <f>IFERROR(INDEX('Level Multiplier'!$D:$D,MATCH(AH258,'Level Multiplier'!$A:$A,0)),"")</f>
        <v/>
      </c>
      <c r="AJ258" s="37" t="str">
        <f t="shared" si="114"/>
        <v/>
      </c>
      <c r="AK258" s="37" t="str">
        <f t="shared" si="115"/>
        <v/>
      </c>
      <c r="AL258" s="38" t="str">
        <f t="shared" si="116"/>
        <v/>
      </c>
      <c r="AM258" s="38" t="str">
        <f t="shared" si="117"/>
        <v/>
      </c>
      <c r="AN258" s="38" t="b">
        <f t="shared" si="118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19"/>
        <v/>
      </c>
      <c r="BA258" s="36" t="str">
        <f>IFERROR(INDEX('Level Multiplier'!$D:$D,MATCH(AZ258,'Level Multiplier'!$A:$A,0)),"")</f>
        <v/>
      </c>
      <c r="BB258" s="37" t="str">
        <f t="shared" si="120"/>
        <v/>
      </c>
      <c r="BC258" s="37" t="str">
        <f t="shared" si="121"/>
        <v/>
      </c>
      <c r="BD258" s="38" t="str">
        <f t="shared" si="122"/>
        <v/>
      </c>
      <c r="BE258" s="38" t="str">
        <f t="shared" si="123"/>
        <v/>
      </c>
      <c r="BF258" s="38" t="b">
        <f t="shared" si="124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5"/>
        <v/>
      </c>
      <c r="BS258" s="36" t="str">
        <f>IFERROR(INDEX('Level Multiplier'!$D:$D,MATCH(BR258,'Level Multiplier'!$A:$A,0)),"")</f>
        <v/>
      </c>
      <c r="BT258" s="37" t="str">
        <f t="shared" si="126"/>
        <v/>
      </c>
      <c r="BU258" s="37" t="str">
        <f t="shared" si="127"/>
        <v/>
      </c>
      <c r="BV258" s="38" t="str">
        <f t="shared" si="128"/>
        <v/>
      </c>
      <c r="BW258" s="38" t="str">
        <f t="shared" si="129"/>
        <v/>
      </c>
      <c r="BX258" s="38" t="b">
        <f t="shared" si="130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1"/>
        <v/>
      </c>
      <c r="CK258" s="41" t="str">
        <f t="shared" si="132"/>
        <v/>
      </c>
      <c r="CL258" s="39" t="str">
        <f t="shared" si="133"/>
        <v/>
      </c>
      <c r="CM258" s="39" t="str">
        <f t="shared" si="134"/>
        <v/>
      </c>
      <c r="CN258" s="42" t="str">
        <f t="shared" si="135"/>
        <v/>
      </c>
      <c r="CO258" s="42" t="str">
        <f t="shared" si="136"/>
        <v/>
      </c>
      <c r="CP258" s="42" t="str">
        <f t="shared" si="137"/>
        <v/>
      </c>
      <c r="CQ258" s="42" t="str">
        <f t="shared" si="138"/>
        <v/>
      </c>
      <c r="CR258" s="42" t="str">
        <f t="shared" si="139"/>
        <v/>
      </c>
      <c r="CS258" s="42" t="str">
        <f t="shared" si="140"/>
        <v/>
      </c>
      <c r="CT258" s="43" t="str">
        <f t="shared" si="141"/>
        <v/>
      </c>
      <c r="CU258" s="43" t="str">
        <f t="shared" si="142"/>
        <v/>
      </c>
      <c r="CV258" s="43" t="str">
        <f t="shared" si="143"/>
        <v/>
      </c>
      <c r="CW258" s="13"/>
    </row>
    <row r="259" spans="1:101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Multiplier'!$A:$A,MATCH($D259,'Level Multiplier'!$B:$B,0)),"")</f>
        <v/>
      </c>
      <c r="Q259" s="36" t="str">
        <f>IFERROR(INDEX('Level Multiplier'!$D:$D,MATCH(P259,'Level Multiplier'!$A:$A,0)),"")</f>
        <v/>
      </c>
      <c r="R259" s="37" t="str">
        <f t="shared" ref="R259:R322" si="144">IF(P259="","",IF($C259&gt;10,MAX(0,ROUNDUP(Q259*$C259-$M259,0)),0))</f>
        <v/>
      </c>
      <c r="S259" s="37" t="str">
        <f t="shared" ref="S259:S322" si="145">IF(P259="","",MIN(15,ROUNDDOWN(Q259*($C259+1)-$M259,0)))</f>
        <v/>
      </c>
      <c r="T259" s="38" t="str">
        <f t="shared" ref="T259:T322" si="146">IFERROR(IF($B259&gt;10,100*Q259^4*$B259^2,$N259^2*$O259*($M259+R259)),"")</f>
        <v/>
      </c>
      <c r="U259" s="38" t="str">
        <f t="shared" ref="U259:U322" si="147">IFERROR(100*Q259^4*($B259+1)^2,"")</f>
        <v/>
      </c>
      <c r="V259" s="38" t="b">
        <f t="shared" ref="V259:V322" si="148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49">IFERROR(P259+0.5,"")</f>
        <v/>
      </c>
      <c r="AI259" s="36" t="str">
        <f>IFERROR(INDEX('Level Multiplier'!$D:$D,MATCH(AH259,'Level Multiplier'!$A:$A,0)),"")</f>
        <v/>
      </c>
      <c r="AJ259" s="37" t="str">
        <f t="shared" ref="AJ259:AJ322" si="150">IF(AH259="","",IF($C259&gt;10,MAX(0,ROUNDUP(AI259*$C259-$M259,0)),0))</f>
        <v/>
      </c>
      <c r="AK259" s="37" t="str">
        <f t="shared" ref="AK259:AK322" si="151">IF(AH259="","",MIN(15,ROUNDDOWN(AI259*($C259+1)-$M259,0)))</f>
        <v/>
      </c>
      <c r="AL259" s="38" t="str">
        <f t="shared" ref="AL259:AL322" si="152">IFERROR(IF($B259&gt;10,100*AI259^4*$B259^2,$N259^2*$O259*($M259+AJ259)),"")</f>
        <v/>
      </c>
      <c r="AM259" s="38" t="str">
        <f t="shared" ref="AM259:AM322" si="153">IFERROR(100*AI259^4*($B259+1)^2,"")</f>
        <v/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5">IFERROR(AH259+0.5,"")</f>
        <v/>
      </c>
      <c r="BA259" s="36" t="str">
        <f>IFERROR(INDEX('Level Multiplier'!$D:$D,MATCH(AZ259,'Level Multiplier'!$A:$A,0)),"")</f>
        <v/>
      </c>
      <c r="BB259" s="37" t="str">
        <f t="shared" ref="BB259:BB322" si="156">IF(AZ259="","",IF($C259&gt;10,MAX(0,ROUNDUP(BA259*$C259-$M259,0)),0))</f>
        <v/>
      </c>
      <c r="BC259" s="37" t="str">
        <f t="shared" ref="BC259:BC322" si="157">IF(AZ259="","",MIN(15,ROUNDDOWN(BA259*($C259+1)-$M259,0)))</f>
        <v/>
      </c>
      <c r="BD259" s="38" t="str">
        <f t="shared" ref="BD259:BD322" si="158">IFERROR(IF($B259&gt;10,100*BA259^4*$B259^2,$N259^2*$O259*($M259+BB259)),"")</f>
        <v/>
      </c>
      <c r="BE259" s="38" t="str">
        <f t="shared" ref="BE259:BE322" si="159">IFERROR(100*BA259^4*($B259+1)^2,"")</f>
        <v/>
      </c>
      <c r="BF259" s="38" t="b">
        <f t="shared" ref="BF259:BF322" si="160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61">IFERROR(AZ259+0.5,"")</f>
        <v/>
      </c>
      <c r="BS259" s="36" t="str">
        <f>IFERROR(INDEX('Level Multiplier'!$D:$D,MATCH(BR259,'Level Multiplier'!$A:$A,0)),"")</f>
        <v/>
      </c>
      <c r="BT259" s="37" t="str">
        <f t="shared" ref="BT259:BT322" si="162">IF(BR259="","",IF($C259&gt;10,MAX(0,ROUNDUP(BS259*$C259-$M259,0)),0))</f>
        <v/>
      </c>
      <c r="BU259" s="37" t="str">
        <f t="shared" ref="BU259:BU322" si="163">IF(BR259="","",MIN(15,ROUNDDOWN(BS259*($C259+1)-$M259,0)))</f>
        <v/>
      </c>
      <c r="BV259" s="38" t="str">
        <f t="shared" ref="BV259:BV322" si="164">IFERROR(IF($B259&gt;10,100*BS259^4*$B259^2,$N259^2*$O259*($M259+BT259)),"")</f>
        <v/>
      </c>
      <c r="BW259" s="38" t="str">
        <f t="shared" ref="BW259:BW322" si="165">IFERROR(100*BS259^4*($B259+1)^2,"")</f>
        <v/>
      </c>
      <c r="BX259" s="38" t="b">
        <f t="shared" ref="BX259:BX322" si="166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67">IF(IFERROR(W259*1,0)&gt;0,P259,IF(IFERROR(AO259*1,0)&gt;0,AH259,IF(IFERROR(BG259*1,0)&gt;0,AZ259,IF(IFERROR(BY259*1,0)&gt;0,BR259,""))))</f>
        <v/>
      </c>
      <c r="CK259" s="41" t="str">
        <f t="shared" ref="CK259:CK322" si="168">IF(IFERROR(BY259*1,0)&gt;0,BR259,IF(IFERROR(BG259*1,0)&gt;0,AZ259,IF(IFERROR(AO259*1,0)&gt;0,AH259,IF(IFERROR(W259*1,0)&gt;0,P259,""))))</f>
        <v/>
      </c>
      <c r="CL259" s="39" t="str">
        <f t="shared" ref="CL259:CL322" si="169">IF(OR(CJ259="",CK259=""),"",MIN(Z259,AR259,BJ259,CB259))</f>
        <v/>
      </c>
      <c r="CM259" s="39" t="str">
        <f t="shared" ref="CM259:CM322" si="170">IF(OR(CJ259="",CK259=""),"",MAX(AA259,AS259,BK259,CC259))</f>
        <v/>
      </c>
      <c r="CN259" s="42" t="str">
        <f t="shared" ref="CN259:CN322" si="171">IF(OR(CJ259="",CK259=""),"",MIN(AB259,AT259,BL259,CD259))</f>
        <v/>
      </c>
      <c r="CO259" s="42" t="str">
        <f t="shared" ref="CO259:CO322" si="172">IF(OR(CJ259="",CK259=""),"",MAX(AC259,AU259,BM259,CE259))</f>
        <v/>
      </c>
      <c r="CP259" s="42" t="str">
        <f t="shared" ref="CP259:CP322" si="173">IF(OR(CJ259="",CK259=""),"",MIN(AD259,AV259,BN259,CF259))</f>
        <v/>
      </c>
      <c r="CQ259" s="42" t="str">
        <f t="shared" ref="CQ259:CQ322" si="174">IF(OR(CJ259="",CK259=""),"",MAX(AE259,AW259,BO259,CG259))</f>
        <v/>
      </c>
      <c r="CR259" s="42" t="str">
        <f t="shared" ref="CR259:CR322" si="175">IF(OR(CJ259="",CK259=""),"",MIN(AF259,AX259,BP259,CH259))</f>
        <v/>
      </c>
      <c r="CS259" s="42" t="str">
        <f t="shared" ref="CS259:CS322" si="176">IF(OR(CJ259="",CK259=""),"",MAX(AG259,AY259,BQ259,CI259))</f>
        <v/>
      </c>
      <c r="CT259" s="43" t="str">
        <f t="shared" ref="CT259:CT322" si="177">IF(CN259=CO259,CO259,CN259&amp;"-"&amp;CO259)</f>
        <v/>
      </c>
      <c r="CU259" s="43" t="str">
        <f t="shared" ref="CU259:CU322" si="178">IF(CP259=CQ259,CQ259,CP259&amp;"-"&amp;CQ259)</f>
        <v/>
      </c>
      <c r="CV259" s="43" t="str">
        <f t="shared" ref="CV259:CV322" si="179">IF(CR259=CS259,CS259,CR259&amp;"-"&amp;CS259)</f>
        <v/>
      </c>
      <c r="CW259" s="13"/>
    </row>
    <row r="260" spans="1:101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Multiplier'!$A:$A,MATCH($D260,'Level Multiplier'!$B:$B,0)),"")</f>
        <v/>
      </c>
      <c r="Q260" s="36" t="str">
        <f>IFERROR(INDEX('Level Multiplier'!$D:$D,MATCH(P260,'Level Multiplier'!$A:$A,0)),"")</f>
        <v/>
      </c>
      <c r="R260" s="37" t="str">
        <f t="shared" si="144"/>
        <v/>
      </c>
      <c r="S260" s="37" t="str">
        <f t="shared" si="145"/>
        <v/>
      </c>
      <c r="T260" s="38" t="str">
        <f t="shared" si="146"/>
        <v/>
      </c>
      <c r="U260" s="38" t="str">
        <f t="shared" si="147"/>
        <v/>
      </c>
      <c r="V260" s="38" t="b">
        <f t="shared" si="148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49"/>
        <v/>
      </c>
      <c r="AI260" s="36" t="str">
        <f>IFERROR(INDEX('Level Multiplier'!$D:$D,MATCH(AH260,'Level Multiplier'!$A:$A,0)),"")</f>
        <v/>
      </c>
      <c r="AJ260" s="37" t="str">
        <f t="shared" si="150"/>
        <v/>
      </c>
      <c r="AK260" s="37" t="str">
        <f t="shared" si="151"/>
        <v/>
      </c>
      <c r="AL260" s="38" t="str">
        <f t="shared" si="152"/>
        <v/>
      </c>
      <c r="AM260" s="38" t="str">
        <f t="shared" si="153"/>
        <v/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5"/>
        <v/>
      </c>
      <c r="BA260" s="36" t="str">
        <f>IFERROR(INDEX('Level Multiplier'!$D:$D,MATCH(AZ260,'Level Multiplier'!$A:$A,0)),"")</f>
        <v/>
      </c>
      <c r="BB260" s="37" t="str">
        <f t="shared" si="156"/>
        <v/>
      </c>
      <c r="BC260" s="37" t="str">
        <f t="shared" si="157"/>
        <v/>
      </c>
      <c r="BD260" s="38" t="str">
        <f t="shared" si="158"/>
        <v/>
      </c>
      <c r="BE260" s="38" t="str">
        <f t="shared" si="159"/>
        <v/>
      </c>
      <c r="BF260" s="38" t="b">
        <f t="shared" si="160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61"/>
        <v/>
      </c>
      <c r="BS260" s="36" t="str">
        <f>IFERROR(INDEX('Level Multiplier'!$D:$D,MATCH(BR260,'Level Multiplier'!$A:$A,0)),"")</f>
        <v/>
      </c>
      <c r="BT260" s="37" t="str">
        <f t="shared" si="162"/>
        <v/>
      </c>
      <c r="BU260" s="37" t="str">
        <f t="shared" si="163"/>
        <v/>
      </c>
      <c r="BV260" s="38" t="str">
        <f t="shared" si="164"/>
        <v/>
      </c>
      <c r="BW260" s="38" t="str">
        <f t="shared" si="165"/>
        <v/>
      </c>
      <c r="BX260" s="38" t="b">
        <f t="shared" si="166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67"/>
        <v/>
      </c>
      <c r="CK260" s="41" t="str">
        <f t="shared" si="168"/>
        <v/>
      </c>
      <c r="CL260" s="39" t="str">
        <f t="shared" si="169"/>
        <v/>
      </c>
      <c r="CM260" s="39" t="str">
        <f t="shared" si="170"/>
        <v/>
      </c>
      <c r="CN260" s="42" t="str">
        <f t="shared" si="171"/>
        <v/>
      </c>
      <c r="CO260" s="42" t="str">
        <f t="shared" si="172"/>
        <v/>
      </c>
      <c r="CP260" s="42" t="str">
        <f t="shared" si="173"/>
        <v/>
      </c>
      <c r="CQ260" s="42" t="str">
        <f t="shared" si="174"/>
        <v/>
      </c>
      <c r="CR260" s="42" t="str">
        <f t="shared" si="175"/>
        <v/>
      </c>
      <c r="CS260" s="42" t="str">
        <f t="shared" si="176"/>
        <v/>
      </c>
      <c r="CT260" s="43" t="str">
        <f t="shared" si="177"/>
        <v/>
      </c>
      <c r="CU260" s="43" t="str">
        <f t="shared" si="178"/>
        <v/>
      </c>
      <c r="CV260" s="43" t="str">
        <f t="shared" si="179"/>
        <v/>
      </c>
      <c r="CW260" s="13"/>
    </row>
    <row r="261" spans="1:101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Multiplier'!$A:$A,MATCH($D261,'Level Multiplier'!$B:$B,0)),"")</f>
        <v/>
      </c>
      <c r="Q261" s="36" t="str">
        <f>IFERROR(INDEX('Level Multiplier'!$D:$D,MATCH(P261,'Level Multiplier'!$A:$A,0)),"")</f>
        <v/>
      </c>
      <c r="R261" s="37" t="str">
        <f t="shared" si="144"/>
        <v/>
      </c>
      <c r="S261" s="37" t="str">
        <f t="shared" si="145"/>
        <v/>
      </c>
      <c r="T261" s="38" t="str">
        <f t="shared" si="146"/>
        <v/>
      </c>
      <c r="U261" s="38" t="str">
        <f t="shared" si="147"/>
        <v/>
      </c>
      <c r="V261" s="38" t="b">
        <f t="shared" si="148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49"/>
        <v/>
      </c>
      <c r="AI261" s="36" t="str">
        <f>IFERROR(INDEX('Level Multiplier'!$D:$D,MATCH(AH261,'Level Multiplier'!$A:$A,0)),"")</f>
        <v/>
      </c>
      <c r="AJ261" s="37" t="str">
        <f t="shared" si="150"/>
        <v/>
      </c>
      <c r="AK261" s="37" t="str">
        <f t="shared" si="151"/>
        <v/>
      </c>
      <c r="AL261" s="38" t="str">
        <f t="shared" si="152"/>
        <v/>
      </c>
      <c r="AM261" s="38" t="str">
        <f t="shared" si="153"/>
        <v/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5"/>
        <v/>
      </c>
      <c r="BA261" s="36" t="str">
        <f>IFERROR(INDEX('Level Multiplier'!$D:$D,MATCH(AZ261,'Level Multiplier'!$A:$A,0)),"")</f>
        <v/>
      </c>
      <c r="BB261" s="37" t="str">
        <f t="shared" si="156"/>
        <v/>
      </c>
      <c r="BC261" s="37" t="str">
        <f t="shared" si="157"/>
        <v/>
      </c>
      <c r="BD261" s="38" t="str">
        <f t="shared" si="158"/>
        <v/>
      </c>
      <c r="BE261" s="38" t="str">
        <f t="shared" si="159"/>
        <v/>
      </c>
      <c r="BF261" s="38" t="b">
        <f t="shared" si="160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61"/>
        <v/>
      </c>
      <c r="BS261" s="36" t="str">
        <f>IFERROR(INDEX('Level Multiplier'!$D:$D,MATCH(BR261,'Level Multiplier'!$A:$A,0)),"")</f>
        <v/>
      </c>
      <c r="BT261" s="37" t="str">
        <f t="shared" si="162"/>
        <v/>
      </c>
      <c r="BU261" s="37" t="str">
        <f t="shared" si="163"/>
        <v/>
      </c>
      <c r="BV261" s="38" t="str">
        <f t="shared" si="164"/>
        <v/>
      </c>
      <c r="BW261" s="38" t="str">
        <f t="shared" si="165"/>
        <v/>
      </c>
      <c r="BX261" s="38" t="b">
        <f t="shared" si="166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67"/>
        <v/>
      </c>
      <c r="CK261" s="41" t="str">
        <f t="shared" si="168"/>
        <v/>
      </c>
      <c r="CL261" s="39" t="str">
        <f t="shared" si="169"/>
        <v/>
      </c>
      <c r="CM261" s="39" t="str">
        <f t="shared" si="170"/>
        <v/>
      </c>
      <c r="CN261" s="42" t="str">
        <f t="shared" si="171"/>
        <v/>
      </c>
      <c r="CO261" s="42" t="str">
        <f t="shared" si="172"/>
        <v/>
      </c>
      <c r="CP261" s="42" t="str">
        <f t="shared" si="173"/>
        <v/>
      </c>
      <c r="CQ261" s="42" t="str">
        <f t="shared" si="174"/>
        <v/>
      </c>
      <c r="CR261" s="42" t="str">
        <f t="shared" si="175"/>
        <v/>
      </c>
      <c r="CS261" s="42" t="str">
        <f t="shared" si="176"/>
        <v/>
      </c>
      <c r="CT261" s="43" t="str">
        <f t="shared" si="177"/>
        <v/>
      </c>
      <c r="CU261" s="43" t="str">
        <f t="shared" si="178"/>
        <v/>
      </c>
      <c r="CV261" s="43" t="str">
        <f t="shared" si="179"/>
        <v/>
      </c>
      <c r="CW261" s="13"/>
    </row>
    <row r="262" spans="1:101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Multiplier'!$A:$A,MATCH($D262,'Level Multiplier'!$B:$B,0)),"")</f>
        <v/>
      </c>
      <c r="Q262" s="36" t="str">
        <f>IFERROR(INDEX('Level Multiplier'!$D:$D,MATCH(P262,'Level Multiplier'!$A:$A,0)),"")</f>
        <v/>
      </c>
      <c r="R262" s="37" t="str">
        <f t="shared" si="144"/>
        <v/>
      </c>
      <c r="S262" s="37" t="str">
        <f t="shared" si="145"/>
        <v/>
      </c>
      <c r="T262" s="38" t="str">
        <f t="shared" si="146"/>
        <v/>
      </c>
      <c r="U262" s="38" t="str">
        <f t="shared" si="147"/>
        <v/>
      </c>
      <c r="V262" s="38" t="b">
        <f t="shared" si="148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49"/>
        <v/>
      </c>
      <c r="AI262" s="36" t="str">
        <f>IFERROR(INDEX('Level Multiplier'!$D:$D,MATCH(AH262,'Level Multiplier'!$A:$A,0)),"")</f>
        <v/>
      </c>
      <c r="AJ262" s="37" t="str">
        <f t="shared" si="150"/>
        <v/>
      </c>
      <c r="AK262" s="37" t="str">
        <f t="shared" si="151"/>
        <v/>
      </c>
      <c r="AL262" s="38" t="str">
        <f t="shared" si="152"/>
        <v/>
      </c>
      <c r="AM262" s="38" t="str">
        <f t="shared" si="153"/>
        <v/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5"/>
        <v/>
      </c>
      <c r="BA262" s="36" t="str">
        <f>IFERROR(INDEX('Level Multiplier'!$D:$D,MATCH(AZ262,'Level Multiplier'!$A:$A,0)),"")</f>
        <v/>
      </c>
      <c r="BB262" s="37" t="str">
        <f t="shared" si="156"/>
        <v/>
      </c>
      <c r="BC262" s="37" t="str">
        <f t="shared" si="157"/>
        <v/>
      </c>
      <c r="BD262" s="38" t="str">
        <f t="shared" si="158"/>
        <v/>
      </c>
      <c r="BE262" s="38" t="str">
        <f t="shared" si="159"/>
        <v/>
      </c>
      <c r="BF262" s="38" t="b">
        <f t="shared" si="160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61"/>
        <v/>
      </c>
      <c r="BS262" s="36" t="str">
        <f>IFERROR(INDEX('Level Multiplier'!$D:$D,MATCH(BR262,'Level Multiplier'!$A:$A,0)),"")</f>
        <v/>
      </c>
      <c r="BT262" s="37" t="str">
        <f t="shared" si="162"/>
        <v/>
      </c>
      <c r="BU262" s="37" t="str">
        <f t="shared" si="163"/>
        <v/>
      </c>
      <c r="BV262" s="38" t="str">
        <f t="shared" si="164"/>
        <v/>
      </c>
      <c r="BW262" s="38" t="str">
        <f t="shared" si="165"/>
        <v/>
      </c>
      <c r="BX262" s="38" t="b">
        <f t="shared" si="166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67"/>
        <v/>
      </c>
      <c r="CK262" s="41" t="str">
        <f t="shared" si="168"/>
        <v/>
      </c>
      <c r="CL262" s="39" t="str">
        <f t="shared" si="169"/>
        <v/>
      </c>
      <c r="CM262" s="39" t="str">
        <f t="shared" si="170"/>
        <v/>
      </c>
      <c r="CN262" s="42" t="str">
        <f t="shared" si="171"/>
        <v/>
      </c>
      <c r="CO262" s="42" t="str">
        <f t="shared" si="172"/>
        <v/>
      </c>
      <c r="CP262" s="42" t="str">
        <f t="shared" si="173"/>
        <v/>
      </c>
      <c r="CQ262" s="42" t="str">
        <f t="shared" si="174"/>
        <v/>
      </c>
      <c r="CR262" s="42" t="str">
        <f t="shared" si="175"/>
        <v/>
      </c>
      <c r="CS262" s="42" t="str">
        <f t="shared" si="176"/>
        <v/>
      </c>
      <c r="CT262" s="43" t="str">
        <f t="shared" si="177"/>
        <v/>
      </c>
      <c r="CU262" s="43" t="str">
        <f t="shared" si="178"/>
        <v/>
      </c>
      <c r="CV262" s="43" t="str">
        <f t="shared" si="179"/>
        <v/>
      </c>
      <c r="CW262" s="13"/>
    </row>
    <row r="263" spans="1:101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Multiplier'!$A:$A,MATCH($D263,'Level Multiplier'!$B:$B,0)),"")</f>
        <v/>
      </c>
      <c r="Q263" s="36" t="str">
        <f>IFERROR(INDEX('Level Multiplier'!$D:$D,MATCH(P263,'Level Multiplier'!$A:$A,0)),"")</f>
        <v/>
      </c>
      <c r="R263" s="37" t="str">
        <f t="shared" si="144"/>
        <v/>
      </c>
      <c r="S263" s="37" t="str">
        <f t="shared" si="145"/>
        <v/>
      </c>
      <c r="T263" s="38" t="str">
        <f t="shared" si="146"/>
        <v/>
      </c>
      <c r="U263" s="38" t="str">
        <f t="shared" si="147"/>
        <v/>
      </c>
      <c r="V263" s="38" t="b">
        <f t="shared" si="148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49"/>
        <v/>
      </c>
      <c r="AI263" s="36" t="str">
        <f>IFERROR(INDEX('Level Multiplier'!$D:$D,MATCH(AH263,'Level Multiplier'!$A:$A,0)),"")</f>
        <v/>
      </c>
      <c r="AJ263" s="37" t="str">
        <f t="shared" si="150"/>
        <v/>
      </c>
      <c r="AK263" s="37" t="str">
        <f t="shared" si="151"/>
        <v/>
      </c>
      <c r="AL263" s="38" t="str">
        <f t="shared" si="152"/>
        <v/>
      </c>
      <c r="AM263" s="38" t="str">
        <f t="shared" si="153"/>
        <v/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5"/>
        <v/>
      </c>
      <c r="BA263" s="36" t="str">
        <f>IFERROR(INDEX('Level Multiplier'!$D:$D,MATCH(AZ263,'Level Multiplier'!$A:$A,0)),"")</f>
        <v/>
      </c>
      <c r="BB263" s="37" t="str">
        <f t="shared" si="156"/>
        <v/>
      </c>
      <c r="BC263" s="37" t="str">
        <f t="shared" si="157"/>
        <v/>
      </c>
      <c r="BD263" s="38" t="str">
        <f t="shared" si="158"/>
        <v/>
      </c>
      <c r="BE263" s="38" t="str">
        <f t="shared" si="159"/>
        <v/>
      </c>
      <c r="BF263" s="38" t="b">
        <f t="shared" si="160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61"/>
        <v/>
      </c>
      <c r="BS263" s="36" t="str">
        <f>IFERROR(INDEX('Level Multiplier'!$D:$D,MATCH(BR263,'Level Multiplier'!$A:$A,0)),"")</f>
        <v/>
      </c>
      <c r="BT263" s="37" t="str">
        <f t="shared" si="162"/>
        <v/>
      </c>
      <c r="BU263" s="37" t="str">
        <f t="shared" si="163"/>
        <v/>
      </c>
      <c r="BV263" s="38" t="str">
        <f t="shared" si="164"/>
        <v/>
      </c>
      <c r="BW263" s="38" t="str">
        <f t="shared" si="165"/>
        <v/>
      </c>
      <c r="BX263" s="38" t="b">
        <f t="shared" si="166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67"/>
        <v/>
      </c>
      <c r="CK263" s="41" t="str">
        <f t="shared" si="168"/>
        <v/>
      </c>
      <c r="CL263" s="39" t="str">
        <f t="shared" si="169"/>
        <v/>
      </c>
      <c r="CM263" s="39" t="str">
        <f t="shared" si="170"/>
        <v/>
      </c>
      <c r="CN263" s="42" t="str">
        <f t="shared" si="171"/>
        <v/>
      </c>
      <c r="CO263" s="42" t="str">
        <f t="shared" si="172"/>
        <v/>
      </c>
      <c r="CP263" s="42" t="str">
        <f t="shared" si="173"/>
        <v/>
      </c>
      <c r="CQ263" s="42" t="str">
        <f t="shared" si="174"/>
        <v/>
      </c>
      <c r="CR263" s="42" t="str">
        <f t="shared" si="175"/>
        <v/>
      </c>
      <c r="CS263" s="42" t="str">
        <f t="shared" si="176"/>
        <v/>
      </c>
      <c r="CT263" s="43" t="str">
        <f t="shared" si="177"/>
        <v/>
      </c>
      <c r="CU263" s="43" t="str">
        <f t="shared" si="178"/>
        <v/>
      </c>
      <c r="CV263" s="43" t="str">
        <f t="shared" si="179"/>
        <v/>
      </c>
      <c r="CW263" s="13"/>
    </row>
    <row r="264" spans="1:101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Multiplier'!$A:$A,MATCH($D264,'Level Multiplier'!$B:$B,0)),"")</f>
        <v/>
      </c>
      <c r="Q264" s="36" t="str">
        <f>IFERROR(INDEX('Level Multiplier'!$D:$D,MATCH(P264,'Level Multiplier'!$A:$A,0)),"")</f>
        <v/>
      </c>
      <c r="R264" s="37" t="str">
        <f t="shared" si="144"/>
        <v/>
      </c>
      <c r="S264" s="37" t="str">
        <f t="shared" si="145"/>
        <v/>
      </c>
      <c r="T264" s="38" t="str">
        <f t="shared" si="146"/>
        <v/>
      </c>
      <c r="U264" s="38" t="str">
        <f t="shared" si="147"/>
        <v/>
      </c>
      <c r="V264" s="38" t="b">
        <f t="shared" si="148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49"/>
        <v/>
      </c>
      <c r="AI264" s="36" t="str">
        <f>IFERROR(INDEX('Level Multiplier'!$D:$D,MATCH(AH264,'Level Multiplier'!$A:$A,0)),"")</f>
        <v/>
      </c>
      <c r="AJ264" s="37" t="str">
        <f t="shared" si="150"/>
        <v/>
      </c>
      <c r="AK264" s="37" t="str">
        <f t="shared" si="151"/>
        <v/>
      </c>
      <c r="AL264" s="38" t="str">
        <f t="shared" si="152"/>
        <v/>
      </c>
      <c r="AM264" s="38" t="str">
        <f t="shared" si="153"/>
        <v/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5"/>
        <v/>
      </c>
      <c r="BA264" s="36" t="str">
        <f>IFERROR(INDEX('Level Multiplier'!$D:$D,MATCH(AZ264,'Level Multiplier'!$A:$A,0)),"")</f>
        <v/>
      </c>
      <c r="BB264" s="37" t="str">
        <f t="shared" si="156"/>
        <v/>
      </c>
      <c r="BC264" s="37" t="str">
        <f t="shared" si="157"/>
        <v/>
      </c>
      <c r="BD264" s="38" t="str">
        <f t="shared" si="158"/>
        <v/>
      </c>
      <c r="BE264" s="38" t="str">
        <f t="shared" si="159"/>
        <v/>
      </c>
      <c r="BF264" s="38" t="b">
        <f t="shared" si="160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61"/>
        <v/>
      </c>
      <c r="BS264" s="36" t="str">
        <f>IFERROR(INDEX('Level Multiplier'!$D:$D,MATCH(BR264,'Level Multiplier'!$A:$A,0)),"")</f>
        <v/>
      </c>
      <c r="BT264" s="37" t="str">
        <f t="shared" si="162"/>
        <v/>
      </c>
      <c r="BU264" s="37" t="str">
        <f t="shared" si="163"/>
        <v/>
      </c>
      <c r="BV264" s="38" t="str">
        <f t="shared" si="164"/>
        <v/>
      </c>
      <c r="BW264" s="38" t="str">
        <f t="shared" si="165"/>
        <v/>
      </c>
      <c r="BX264" s="38" t="b">
        <f t="shared" si="166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67"/>
        <v/>
      </c>
      <c r="CK264" s="41" t="str">
        <f t="shared" si="168"/>
        <v/>
      </c>
      <c r="CL264" s="39" t="str">
        <f t="shared" si="169"/>
        <v/>
      </c>
      <c r="CM264" s="39" t="str">
        <f t="shared" si="170"/>
        <v/>
      </c>
      <c r="CN264" s="42" t="str">
        <f t="shared" si="171"/>
        <v/>
      </c>
      <c r="CO264" s="42" t="str">
        <f t="shared" si="172"/>
        <v/>
      </c>
      <c r="CP264" s="42" t="str">
        <f t="shared" si="173"/>
        <v/>
      </c>
      <c r="CQ264" s="42" t="str">
        <f t="shared" si="174"/>
        <v/>
      </c>
      <c r="CR264" s="42" t="str">
        <f t="shared" si="175"/>
        <v/>
      </c>
      <c r="CS264" s="42" t="str">
        <f t="shared" si="176"/>
        <v/>
      </c>
      <c r="CT264" s="43" t="str">
        <f t="shared" si="177"/>
        <v/>
      </c>
      <c r="CU264" s="43" t="str">
        <f t="shared" si="178"/>
        <v/>
      </c>
      <c r="CV264" s="43" t="str">
        <f t="shared" si="179"/>
        <v/>
      </c>
      <c r="CW264" s="13"/>
    </row>
    <row r="265" spans="1:101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Multiplier'!$A:$A,MATCH($D265,'Level Multiplier'!$B:$B,0)),"")</f>
        <v/>
      </c>
      <c r="Q265" s="36" t="str">
        <f>IFERROR(INDEX('Level Multiplier'!$D:$D,MATCH(P265,'Level Multiplier'!$A:$A,0)),"")</f>
        <v/>
      </c>
      <c r="R265" s="37" t="str">
        <f t="shared" si="144"/>
        <v/>
      </c>
      <c r="S265" s="37" t="str">
        <f t="shared" si="145"/>
        <v/>
      </c>
      <c r="T265" s="38" t="str">
        <f t="shared" si="146"/>
        <v/>
      </c>
      <c r="U265" s="38" t="str">
        <f t="shared" si="147"/>
        <v/>
      </c>
      <c r="V265" s="38" t="b">
        <f t="shared" si="148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49"/>
        <v/>
      </c>
      <c r="AI265" s="36" t="str">
        <f>IFERROR(INDEX('Level Multiplier'!$D:$D,MATCH(AH265,'Level Multiplier'!$A:$A,0)),"")</f>
        <v/>
      </c>
      <c r="AJ265" s="37" t="str">
        <f t="shared" si="150"/>
        <v/>
      </c>
      <c r="AK265" s="37" t="str">
        <f t="shared" si="151"/>
        <v/>
      </c>
      <c r="AL265" s="38" t="str">
        <f t="shared" si="152"/>
        <v/>
      </c>
      <c r="AM265" s="38" t="str">
        <f t="shared" si="153"/>
        <v/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5"/>
        <v/>
      </c>
      <c r="BA265" s="36" t="str">
        <f>IFERROR(INDEX('Level Multiplier'!$D:$D,MATCH(AZ265,'Level Multiplier'!$A:$A,0)),"")</f>
        <v/>
      </c>
      <c r="BB265" s="37" t="str">
        <f t="shared" si="156"/>
        <v/>
      </c>
      <c r="BC265" s="37" t="str">
        <f t="shared" si="157"/>
        <v/>
      </c>
      <c r="BD265" s="38" t="str">
        <f t="shared" si="158"/>
        <v/>
      </c>
      <c r="BE265" s="38" t="str">
        <f t="shared" si="159"/>
        <v/>
      </c>
      <c r="BF265" s="38" t="b">
        <f t="shared" si="160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61"/>
        <v/>
      </c>
      <c r="BS265" s="36" t="str">
        <f>IFERROR(INDEX('Level Multiplier'!$D:$D,MATCH(BR265,'Level Multiplier'!$A:$A,0)),"")</f>
        <v/>
      </c>
      <c r="BT265" s="37" t="str">
        <f t="shared" si="162"/>
        <v/>
      </c>
      <c r="BU265" s="37" t="str">
        <f t="shared" si="163"/>
        <v/>
      </c>
      <c r="BV265" s="38" t="str">
        <f t="shared" si="164"/>
        <v/>
      </c>
      <c r="BW265" s="38" t="str">
        <f t="shared" si="165"/>
        <v/>
      </c>
      <c r="BX265" s="38" t="b">
        <f t="shared" si="166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67"/>
        <v/>
      </c>
      <c r="CK265" s="41" t="str">
        <f t="shared" si="168"/>
        <v/>
      </c>
      <c r="CL265" s="39" t="str">
        <f t="shared" si="169"/>
        <v/>
      </c>
      <c r="CM265" s="39" t="str">
        <f t="shared" si="170"/>
        <v/>
      </c>
      <c r="CN265" s="42" t="str">
        <f t="shared" si="171"/>
        <v/>
      </c>
      <c r="CO265" s="42" t="str">
        <f t="shared" si="172"/>
        <v/>
      </c>
      <c r="CP265" s="42" t="str">
        <f t="shared" si="173"/>
        <v/>
      </c>
      <c r="CQ265" s="42" t="str">
        <f t="shared" si="174"/>
        <v/>
      </c>
      <c r="CR265" s="42" t="str">
        <f t="shared" si="175"/>
        <v/>
      </c>
      <c r="CS265" s="42" t="str">
        <f t="shared" si="176"/>
        <v/>
      </c>
      <c r="CT265" s="43" t="str">
        <f t="shared" si="177"/>
        <v/>
      </c>
      <c r="CU265" s="43" t="str">
        <f t="shared" si="178"/>
        <v/>
      </c>
      <c r="CV265" s="43" t="str">
        <f t="shared" si="179"/>
        <v/>
      </c>
      <c r="CW265" s="13"/>
    </row>
    <row r="266" spans="1:101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Multiplier'!$A:$A,MATCH($D266,'Level Multiplier'!$B:$B,0)),"")</f>
        <v/>
      </c>
      <c r="Q266" s="36" t="str">
        <f>IFERROR(INDEX('Level Multiplier'!$D:$D,MATCH(P266,'Level Multiplier'!$A:$A,0)),"")</f>
        <v/>
      </c>
      <c r="R266" s="37" t="str">
        <f t="shared" si="144"/>
        <v/>
      </c>
      <c r="S266" s="37" t="str">
        <f t="shared" si="145"/>
        <v/>
      </c>
      <c r="T266" s="38" t="str">
        <f t="shared" si="146"/>
        <v/>
      </c>
      <c r="U266" s="38" t="str">
        <f t="shared" si="147"/>
        <v/>
      </c>
      <c r="V266" s="38" t="b">
        <f t="shared" si="148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49"/>
        <v/>
      </c>
      <c r="AI266" s="36" t="str">
        <f>IFERROR(INDEX('Level Multiplier'!$D:$D,MATCH(AH266,'Level Multiplier'!$A:$A,0)),"")</f>
        <v/>
      </c>
      <c r="AJ266" s="37" t="str">
        <f t="shared" si="150"/>
        <v/>
      </c>
      <c r="AK266" s="37" t="str">
        <f t="shared" si="151"/>
        <v/>
      </c>
      <c r="AL266" s="38" t="str">
        <f t="shared" si="152"/>
        <v/>
      </c>
      <c r="AM266" s="38" t="str">
        <f t="shared" si="153"/>
        <v/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5"/>
        <v/>
      </c>
      <c r="BA266" s="36" t="str">
        <f>IFERROR(INDEX('Level Multiplier'!$D:$D,MATCH(AZ266,'Level Multiplier'!$A:$A,0)),"")</f>
        <v/>
      </c>
      <c r="BB266" s="37" t="str">
        <f t="shared" si="156"/>
        <v/>
      </c>
      <c r="BC266" s="37" t="str">
        <f t="shared" si="157"/>
        <v/>
      </c>
      <c r="BD266" s="38" t="str">
        <f t="shared" si="158"/>
        <v/>
      </c>
      <c r="BE266" s="38" t="str">
        <f t="shared" si="159"/>
        <v/>
      </c>
      <c r="BF266" s="38" t="b">
        <f t="shared" si="160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61"/>
        <v/>
      </c>
      <c r="BS266" s="36" t="str">
        <f>IFERROR(INDEX('Level Multiplier'!$D:$D,MATCH(BR266,'Level Multiplier'!$A:$A,0)),"")</f>
        <v/>
      </c>
      <c r="BT266" s="37" t="str">
        <f t="shared" si="162"/>
        <v/>
      </c>
      <c r="BU266" s="37" t="str">
        <f t="shared" si="163"/>
        <v/>
      </c>
      <c r="BV266" s="38" t="str">
        <f t="shared" si="164"/>
        <v/>
      </c>
      <c r="BW266" s="38" t="str">
        <f t="shared" si="165"/>
        <v/>
      </c>
      <c r="BX266" s="38" t="b">
        <f t="shared" si="166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67"/>
        <v/>
      </c>
      <c r="CK266" s="41" t="str">
        <f t="shared" si="168"/>
        <v/>
      </c>
      <c r="CL266" s="39" t="str">
        <f t="shared" si="169"/>
        <v/>
      </c>
      <c r="CM266" s="39" t="str">
        <f t="shared" si="170"/>
        <v/>
      </c>
      <c r="CN266" s="42" t="str">
        <f t="shared" si="171"/>
        <v/>
      </c>
      <c r="CO266" s="42" t="str">
        <f t="shared" si="172"/>
        <v/>
      </c>
      <c r="CP266" s="42" t="str">
        <f t="shared" si="173"/>
        <v/>
      </c>
      <c r="CQ266" s="42" t="str">
        <f t="shared" si="174"/>
        <v/>
      </c>
      <c r="CR266" s="42" t="str">
        <f t="shared" si="175"/>
        <v/>
      </c>
      <c r="CS266" s="42" t="str">
        <f t="shared" si="176"/>
        <v/>
      </c>
      <c r="CT266" s="43" t="str">
        <f t="shared" si="177"/>
        <v/>
      </c>
      <c r="CU266" s="43" t="str">
        <f t="shared" si="178"/>
        <v/>
      </c>
      <c r="CV266" s="43" t="str">
        <f t="shared" si="179"/>
        <v/>
      </c>
      <c r="CW266" s="13"/>
    </row>
    <row r="267" spans="1:101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Multiplier'!$A:$A,MATCH($D267,'Level Multiplier'!$B:$B,0)),"")</f>
        <v/>
      </c>
      <c r="Q267" s="36" t="str">
        <f>IFERROR(INDEX('Level Multiplier'!$D:$D,MATCH(P267,'Level Multiplier'!$A:$A,0)),"")</f>
        <v/>
      </c>
      <c r="R267" s="37" t="str">
        <f t="shared" si="144"/>
        <v/>
      </c>
      <c r="S267" s="37" t="str">
        <f t="shared" si="145"/>
        <v/>
      </c>
      <c r="T267" s="38" t="str">
        <f t="shared" si="146"/>
        <v/>
      </c>
      <c r="U267" s="38" t="str">
        <f t="shared" si="147"/>
        <v/>
      </c>
      <c r="V267" s="38" t="b">
        <f t="shared" si="148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49"/>
        <v/>
      </c>
      <c r="AI267" s="36" t="str">
        <f>IFERROR(INDEX('Level Multiplier'!$D:$D,MATCH(AH267,'Level Multiplier'!$A:$A,0)),"")</f>
        <v/>
      </c>
      <c r="AJ267" s="37" t="str">
        <f t="shared" si="150"/>
        <v/>
      </c>
      <c r="AK267" s="37" t="str">
        <f t="shared" si="151"/>
        <v/>
      </c>
      <c r="AL267" s="38" t="str">
        <f t="shared" si="152"/>
        <v/>
      </c>
      <c r="AM267" s="38" t="str">
        <f t="shared" si="153"/>
        <v/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5"/>
        <v/>
      </c>
      <c r="BA267" s="36" t="str">
        <f>IFERROR(INDEX('Level Multiplier'!$D:$D,MATCH(AZ267,'Level Multiplier'!$A:$A,0)),"")</f>
        <v/>
      </c>
      <c r="BB267" s="37" t="str">
        <f t="shared" si="156"/>
        <v/>
      </c>
      <c r="BC267" s="37" t="str">
        <f t="shared" si="157"/>
        <v/>
      </c>
      <c r="BD267" s="38" t="str">
        <f t="shared" si="158"/>
        <v/>
      </c>
      <c r="BE267" s="38" t="str">
        <f t="shared" si="159"/>
        <v/>
      </c>
      <c r="BF267" s="38" t="b">
        <f t="shared" si="160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61"/>
        <v/>
      </c>
      <c r="BS267" s="36" t="str">
        <f>IFERROR(INDEX('Level Multiplier'!$D:$D,MATCH(BR267,'Level Multiplier'!$A:$A,0)),"")</f>
        <v/>
      </c>
      <c r="BT267" s="37" t="str">
        <f t="shared" si="162"/>
        <v/>
      </c>
      <c r="BU267" s="37" t="str">
        <f t="shared" si="163"/>
        <v/>
      </c>
      <c r="BV267" s="38" t="str">
        <f t="shared" si="164"/>
        <v/>
      </c>
      <c r="BW267" s="38" t="str">
        <f t="shared" si="165"/>
        <v/>
      </c>
      <c r="BX267" s="38" t="b">
        <f t="shared" si="166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67"/>
        <v/>
      </c>
      <c r="CK267" s="41" t="str">
        <f t="shared" si="168"/>
        <v/>
      </c>
      <c r="CL267" s="39" t="str">
        <f t="shared" si="169"/>
        <v/>
      </c>
      <c r="CM267" s="39" t="str">
        <f t="shared" si="170"/>
        <v/>
      </c>
      <c r="CN267" s="42" t="str">
        <f t="shared" si="171"/>
        <v/>
      </c>
      <c r="CO267" s="42" t="str">
        <f t="shared" si="172"/>
        <v/>
      </c>
      <c r="CP267" s="42" t="str">
        <f t="shared" si="173"/>
        <v/>
      </c>
      <c r="CQ267" s="42" t="str">
        <f t="shared" si="174"/>
        <v/>
      </c>
      <c r="CR267" s="42" t="str">
        <f t="shared" si="175"/>
        <v/>
      </c>
      <c r="CS267" s="42" t="str">
        <f t="shared" si="176"/>
        <v/>
      </c>
      <c r="CT267" s="43" t="str">
        <f t="shared" si="177"/>
        <v/>
      </c>
      <c r="CU267" s="43" t="str">
        <f t="shared" si="178"/>
        <v/>
      </c>
      <c r="CV267" s="43" t="str">
        <f t="shared" si="179"/>
        <v/>
      </c>
      <c r="CW267" s="13"/>
    </row>
    <row r="268" spans="1:101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Multiplier'!$A:$A,MATCH($D268,'Level Multiplier'!$B:$B,0)),"")</f>
        <v/>
      </c>
      <c r="Q268" s="36" t="str">
        <f>IFERROR(INDEX('Level Multiplier'!$D:$D,MATCH(P268,'Level Multiplier'!$A:$A,0)),"")</f>
        <v/>
      </c>
      <c r="R268" s="37" t="str">
        <f t="shared" si="144"/>
        <v/>
      </c>
      <c r="S268" s="37" t="str">
        <f t="shared" si="145"/>
        <v/>
      </c>
      <c r="T268" s="38" t="str">
        <f t="shared" si="146"/>
        <v/>
      </c>
      <c r="U268" s="38" t="str">
        <f t="shared" si="147"/>
        <v/>
      </c>
      <c r="V268" s="38" t="b">
        <f t="shared" si="148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49"/>
        <v/>
      </c>
      <c r="AI268" s="36" t="str">
        <f>IFERROR(INDEX('Level Multiplier'!$D:$D,MATCH(AH268,'Level Multiplier'!$A:$A,0)),"")</f>
        <v/>
      </c>
      <c r="AJ268" s="37" t="str">
        <f t="shared" si="150"/>
        <v/>
      </c>
      <c r="AK268" s="37" t="str">
        <f t="shared" si="151"/>
        <v/>
      </c>
      <c r="AL268" s="38" t="str">
        <f t="shared" si="152"/>
        <v/>
      </c>
      <c r="AM268" s="38" t="str">
        <f t="shared" si="153"/>
        <v/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5"/>
        <v/>
      </c>
      <c r="BA268" s="36" t="str">
        <f>IFERROR(INDEX('Level Multiplier'!$D:$D,MATCH(AZ268,'Level Multiplier'!$A:$A,0)),"")</f>
        <v/>
      </c>
      <c r="BB268" s="37" t="str">
        <f t="shared" si="156"/>
        <v/>
      </c>
      <c r="BC268" s="37" t="str">
        <f t="shared" si="157"/>
        <v/>
      </c>
      <c r="BD268" s="38" t="str">
        <f t="shared" si="158"/>
        <v/>
      </c>
      <c r="BE268" s="38" t="str">
        <f t="shared" si="159"/>
        <v/>
      </c>
      <c r="BF268" s="38" t="b">
        <f t="shared" si="160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61"/>
        <v/>
      </c>
      <c r="BS268" s="36" t="str">
        <f>IFERROR(INDEX('Level Multiplier'!$D:$D,MATCH(BR268,'Level Multiplier'!$A:$A,0)),"")</f>
        <v/>
      </c>
      <c r="BT268" s="37" t="str">
        <f t="shared" si="162"/>
        <v/>
      </c>
      <c r="BU268" s="37" t="str">
        <f t="shared" si="163"/>
        <v/>
      </c>
      <c r="BV268" s="38" t="str">
        <f t="shared" si="164"/>
        <v/>
      </c>
      <c r="BW268" s="38" t="str">
        <f t="shared" si="165"/>
        <v/>
      </c>
      <c r="BX268" s="38" t="b">
        <f t="shared" si="166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67"/>
        <v/>
      </c>
      <c r="CK268" s="41" t="str">
        <f t="shared" si="168"/>
        <v/>
      </c>
      <c r="CL268" s="39" t="str">
        <f t="shared" si="169"/>
        <v/>
      </c>
      <c r="CM268" s="39" t="str">
        <f t="shared" si="170"/>
        <v/>
      </c>
      <c r="CN268" s="42" t="str">
        <f t="shared" si="171"/>
        <v/>
      </c>
      <c r="CO268" s="42" t="str">
        <f t="shared" si="172"/>
        <v/>
      </c>
      <c r="CP268" s="42" t="str">
        <f t="shared" si="173"/>
        <v/>
      </c>
      <c r="CQ268" s="42" t="str">
        <f t="shared" si="174"/>
        <v/>
      </c>
      <c r="CR268" s="42" t="str">
        <f t="shared" si="175"/>
        <v/>
      </c>
      <c r="CS268" s="42" t="str">
        <f t="shared" si="176"/>
        <v/>
      </c>
      <c r="CT268" s="43" t="str">
        <f t="shared" si="177"/>
        <v/>
      </c>
      <c r="CU268" s="43" t="str">
        <f t="shared" si="178"/>
        <v/>
      </c>
      <c r="CV268" s="43" t="str">
        <f t="shared" si="179"/>
        <v/>
      </c>
      <c r="CW268" s="13"/>
    </row>
    <row r="269" spans="1:101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Multiplier'!$A:$A,MATCH($D269,'Level Multiplier'!$B:$B,0)),"")</f>
        <v/>
      </c>
      <c r="Q269" s="36" t="str">
        <f>IFERROR(INDEX('Level Multiplier'!$D:$D,MATCH(P269,'Level Multiplier'!$A:$A,0)),"")</f>
        <v/>
      </c>
      <c r="R269" s="37" t="str">
        <f t="shared" si="144"/>
        <v/>
      </c>
      <c r="S269" s="37" t="str">
        <f t="shared" si="145"/>
        <v/>
      </c>
      <c r="T269" s="38" t="str">
        <f t="shared" si="146"/>
        <v/>
      </c>
      <c r="U269" s="38" t="str">
        <f t="shared" si="147"/>
        <v/>
      </c>
      <c r="V269" s="38" t="b">
        <f t="shared" si="148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49"/>
        <v/>
      </c>
      <c r="AI269" s="36" t="str">
        <f>IFERROR(INDEX('Level Multiplier'!$D:$D,MATCH(AH269,'Level Multiplier'!$A:$A,0)),"")</f>
        <v/>
      </c>
      <c r="AJ269" s="37" t="str">
        <f t="shared" si="150"/>
        <v/>
      </c>
      <c r="AK269" s="37" t="str">
        <f t="shared" si="151"/>
        <v/>
      </c>
      <c r="AL269" s="38" t="str">
        <f t="shared" si="152"/>
        <v/>
      </c>
      <c r="AM269" s="38" t="str">
        <f t="shared" si="153"/>
        <v/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5"/>
        <v/>
      </c>
      <c r="BA269" s="36" t="str">
        <f>IFERROR(INDEX('Level Multiplier'!$D:$D,MATCH(AZ269,'Level Multiplier'!$A:$A,0)),"")</f>
        <v/>
      </c>
      <c r="BB269" s="37" t="str">
        <f t="shared" si="156"/>
        <v/>
      </c>
      <c r="BC269" s="37" t="str">
        <f t="shared" si="157"/>
        <v/>
      </c>
      <c r="BD269" s="38" t="str">
        <f t="shared" si="158"/>
        <v/>
      </c>
      <c r="BE269" s="38" t="str">
        <f t="shared" si="159"/>
        <v/>
      </c>
      <c r="BF269" s="38" t="b">
        <f t="shared" si="160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61"/>
        <v/>
      </c>
      <c r="BS269" s="36" t="str">
        <f>IFERROR(INDEX('Level Multiplier'!$D:$D,MATCH(BR269,'Level Multiplier'!$A:$A,0)),"")</f>
        <v/>
      </c>
      <c r="BT269" s="37" t="str">
        <f t="shared" si="162"/>
        <v/>
      </c>
      <c r="BU269" s="37" t="str">
        <f t="shared" si="163"/>
        <v/>
      </c>
      <c r="BV269" s="38" t="str">
        <f t="shared" si="164"/>
        <v/>
      </c>
      <c r="BW269" s="38" t="str">
        <f t="shared" si="165"/>
        <v/>
      </c>
      <c r="BX269" s="38" t="b">
        <f t="shared" si="166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67"/>
        <v/>
      </c>
      <c r="CK269" s="41" t="str">
        <f t="shared" si="168"/>
        <v/>
      </c>
      <c r="CL269" s="39" t="str">
        <f t="shared" si="169"/>
        <v/>
      </c>
      <c r="CM269" s="39" t="str">
        <f t="shared" si="170"/>
        <v/>
      </c>
      <c r="CN269" s="42" t="str">
        <f t="shared" si="171"/>
        <v/>
      </c>
      <c r="CO269" s="42" t="str">
        <f t="shared" si="172"/>
        <v/>
      </c>
      <c r="CP269" s="42" t="str">
        <f t="shared" si="173"/>
        <v/>
      </c>
      <c r="CQ269" s="42" t="str">
        <f t="shared" si="174"/>
        <v/>
      </c>
      <c r="CR269" s="42" t="str">
        <f t="shared" si="175"/>
        <v/>
      </c>
      <c r="CS269" s="42" t="str">
        <f t="shared" si="176"/>
        <v/>
      </c>
      <c r="CT269" s="43" t="str">
        <f t="shared" si="177"/>
        <v/>
      </c>
      <c r="CU269" s="43" t="str">
        <f t="shared" si="178"/>
        <v/>
      </c>
      <c r="CV269" s="43" t="str">
        <f t="shared" si="179"/>
        <v/>
      </c>
      <c r="CW269" s="13"/>
    </row>
    <row r="270" spans="1:101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Multiplier'!$A:$A,MATCH($D270,'Level Multiplier'!$B:$B,0)),"")</f>
        <v/>
      </c>
      <c r="Q270" s="36" t="str">
        <f>IFERROR(INDEX('Level Multiplier'!$D:$D,MATCH(P270,'Level Multiplier'!$A:$A,0)),"")</f>
        <v/>
      </c>
      <c r="R270" s="37" t="str">
        <f t="shared" si="144"/>
        <v/>
      </c>
      <c r="S270" s="37" t="str">
        <f t="shared" si="145"/>
        <v/>
      </c>
      <c r="T270" s="38" t="str">
        <f t="shared" si="146"/>
        <v/>
      </c>
      <c r="U270" s="38" t="str">
        <f t="shared" si="147"/>
        <v/>
      </c>
      <c r="V270" s="38" t="b">
        <f t="shared" si="148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49"/>
        <v/>
      </c>
      <c r="AI270" s="36" t="str">
        <f>IFERROR(INDEX('Level Multiplier'!$D:$D,MATCH(AH270,'Level Multiplier'!$A:$A,0)),"")</f>
        <v/>
      </c>
      <c r="AJ270" s="37" t="str">
        <f t="shared" si="150"/>
        <v/>
      </c>
      <c r="AK270" s="37" t="str">
        <f t="shared" si="151"/>
        <v/>
      </c>
      <c r="AL270" s="38" t="str">
        <f t="shared" si="152"/>
        <v/>
      </c>
      <c r="AM270" s="38" t="str">
        <f t="shared" si="153"/>
        <v/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5"/>
        <v/>
      </c>
      <c r="BA270" s="36" t="str">
        <f>IFERROR(INDEX('Level Multiplier'!$D:$D,MATCH(AZ270,'Level Multiplier'!$A:$A,0)),"")</f>
        <v/>
      </c>
      <c r="BB270" s="37" t="str">
        <f t="shared" si="156"/>
        <v/>
      </c>
      <c r="BC270" s="37" t="str">
        <f t="shared" si="157"/>
        <v/>
      </c>
      <c r="BD270" s="38" t="str">
        <f t="shared" si="158"/>
        <v/>
      </c>
      <c r="BE270" s="38" t="str">
        <f t="shared" si="159"/>
        <v/>
      </c>
      <c r="BF270" s="38" t="b">
        <f t="shared" si="160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61"/>
        <v/>
      </c>
      <c r="BS270" s="36" t="str">
        <f>IFERROR(INDEX('Level Multiplier'!$D:$D,MATCH(BR270,'Level Multiplier'!$A:$A,0)),"")</f>
        <v/>
      </c>
      <c r="BT270" s="37" t="str">
        <f t="shared" si="162"/>
        <v/>
      </c>
      <c r="BU270" s="37" t="str">
        <f t="shared" si="163"/>
        <v/>
      </c>
      <c r="BV270" s="38" t="str">
        <f t="shared" si="164"/>
        <v/>
      </c>
      <c r="BW270" s="38" t="str">
        <f t="shared" si="165"/>
        <v/>
      </c>
      <c r="BX270" s="38" t="b">
        <f t="shared" si="166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67"/>
        <v/>
      </c>
      <c r="CK270" s="41" t="str">
        <f t="shared" si="168"/>
        <v/>
      </c>
      <c r="CL270" s="39" t="str">
        <f t="shared" si="169"/>
        <v/>
      </c>
      <c r="CM270" s="39" t="str">
        <f t="shared" si="170"/>
        <v/>
      </c>
      <c r="CN270" s="42" t="str">
        <f t="shared" si="171"/>
        <v/>
      </c>
      <c r="CO270" s="42" t="str">
        <f t="shared" si="172"/>
        <v/>
      </c>
      <c r="CP270" s="42" t="str">
        <f t="shared" si="173"/>
        <v/>
      </c>
      <c r="CQ270" s="42" t="str">
        <f t="shared" si="174"/>
        <v/>
      </c>
      <c r="CR270" s="42" t="str">
        <f t="shared" si="175"/>
        <v/>
      </c>
      <c r="CS270" s="42" t="str">
        <f t="shared" si="176"/>
        <v/>
      </c>
      <c r="CT270" s="43" t="str">
        <f t="shared" si="177"/>
        <v/>
      </c>
      <c r="CU270" s="43" t="str">
        <f t="shared" si="178"/>
        <v/>
      </c>
      <c r="CV270" s="43" t="str">
        <f t="shared" si="179"/>
        <v/>
      </c>
      <c r="CW270" s="13"/>
    </row>
    <row r="271" spans="1:101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Multiplier'!$A:$A,MATCH($D271,'Level Multiplier'!$B:$B,0)),"")</f>
        <v/>
      </c>
      <c r="Q271" s="36" t="str">
        <f>IFERROR(INDEX('Level Multiplier'!$D:$D,MATCH(P271,'Level Multiplier'!$A:$A,0)),"")</f>
        <v/>
      </c>
      <c r="R271" s="37" t="str">
        <f t="shared" si="144"/>
        <v/>
      </c>
      <c r="S271" s="37" t="str">
        <f t="shared" si="145"/>
        <v/>
      </c>
      <c r="T271" s="38" t="str">
        <f t="shared" si="146"/>
        <v/>
      </c>
      <c r="U271" s="38" t="str">
        <f t="shared" si="147"/>
        <v/>
      </c>
      <c r="V271" s="38" t="b">
        <f t="shared" si="148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49"/>
        <v/>
      </c>
      <c r="AI271" s="36" t="str">
        <f>IFERROR(INDEX('Level Multiplier'!$D:$D,MATCH(AH271,'Level Multiplier'!$A:$A,0)),"")</f>
        <v/>
      </c>
      <c r="AJ271" s="37" t="str">
        <f t="shared" si="150"/>
        <v/>
      </c>
      <c r="AK271" s="37" t="str">
        <f t="shared" si="151"/>
        <v/>
      </c>
      <c r="AL271" s="38" t="str">
        <f t="shared" si="152"/>
        <v/>
      </c>
      <c r="AM271" s="38" t="str">
        <f t="shared" si="153"/>
        <v/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5"/>
        <v/>
      </c>
      <c r="BA271" s="36" t="str">
        <f>IFERROR(INDEX('Level Multiplier'!$D:$D,MATCH(AZ271,'Level Multiplier'!$A:$A,0)),"")</f>
        <v/>
      </c>
      <c r="BB271" s="37" t="str">
        <f t="shared" si="156"/>
        <v/>
      </c>
      <c r="BC271" s="37" t="str">
        <f t="shared" si="157"/>
        <v/>
      </c>
      <c r="BD271" s="38" t="str">
        <f t="shared" si="158"/>
        <v/>
      </c>
      <c r="BE271" s="38" t="str">
        <f t="shared" si="159"/>
        <v/>
      </c>
      <c r="BF271" s="38" t="b">
        <f t="shared" si="160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61"/>
        <v/>
      </c>
      <c r="BS271" s="36" t="str">
        <f>IFERROR(INDEX('Level Multiplier'!$D:$D,MATCH(BR271,'Level Multiplier'!$A:$A,0)),"")</f>
        <v/>
      </c>
      <c r="BT271" s="37" t="str">
        <f t="shared" si="162"/>
        <v/>
      </c>
      <c r="BU271" s="37" t="str">
        <f t="shared" si="163"/>
        <v/>
      </c>
      <c r="BV271" s="38" t="str">
        <f t="shared" si="164"/>
        <v/>
      </c>
      <c r="BW271" s="38" t="str">
        <f t="shared" si="165"/>
        <v/>
      </c>
      <c r="BX271" s="38" t="b">
        <f t="shared" si="166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67"/>
        <v/>
      </c>
      <c r="CK271" s="41" t="str">
        <f t="shared" si="168"/>
        <v/>
      </c>
      <c r="CL271" s="39" t="str">
        <f t="shared" si="169"/>
        <v/>
      </c>
      <c r="CM271" s="39" t="str">
        <f t="shared" si="170"/>
        <v/>
      </c>
      <c r="CN271" s="42" t="str">
        <f t="shared" si="171"/>
        <v/>
      </c>
      <c r="CO271" s="42" t="str">
        <f t="shared" si="172"/>
        <v/>
      </c>
      <c r="CP271" s="42" t="str">
        <f t="shared" si="173"/>
        <v/>
      </c>
      <c r="CQ271" s="42" t="str">
        <f t="shared" si="174"/>
        <v/>
      </c>
      <c r="CR271" s="42" t="str">
        <f t="shared" si="175"/>
        <v/>
      </c>
      <c r="CS271" s="42" t="str">
        <f t="shared" si="176"/>
        <v/>
      </c>
      <c r="CT271" s="43" t="str">
        <f t="shared" si="177"/>
        <v/>
      </c>
      <c r="CU271" s="43" t="str">
        <f t="shared" si="178"/>
        <v/>
      </c>
      <c r="CV271" s="43" t="str">
        <f t="shared" si="179"/>
        <v/>
      </c>
      <c r="CW271" s="13"/>
    </row>
    <row r="272" spans="1:101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Multiplier'!$A:$A,MATCH($D272,'Level Multiplier'!$B:$B,0)),"")</f>
        <v/>
      </c>
      <c r="Q272" s="36" t="str">
        <f>IFERROR(INDEX('Level Multiplier'!$D:$D,MATCH(P272,'Level Multiplier'!$A:$A,0)),"")</f>
        <v/>
      </c>
      <c r="R272" s="37" t="str">
        <f t="shared" si="144"/>
        <v/>
      </c>
      <c r="S272" s="37" t="str">
        <f t="shared" si="145"/>
        <v/>
      </c>
      <c r="T272" s="38" t="str">
        <f t="shared" si="146"/>
        <v/>
      </c>
      <c r="U272" s="38" t="str">
        <f t="shared" si="147"/>
        <v/>
      </c>
      <c r="V272" s="38" t="b">
        <f t="shared" si="148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49"/>
        <v/>
      </c>
      <c r="AI272" s="36" t="str">
        <f>IFERROR(INDEX('Level Multiplier'!$D:$D,MATCH(AH272,'Level Multiplier'!$A:$A,0)),"")</f>
        <v/>
      </c>
      <c r="AJ272" s="37" t="str">
        <f t="shared" si="150"/>
        <v/>
      </c>
      <c r="AK272" s="37" t="str">
        <f t="shared" si="151"/>
        <v/>
      </c>
      <c r="AL272" s="38" t="str">
        <f t="shared" si="152"/>
        <v/>
      </c>
      <c r="AM272" s="38" t="str">
        <f t="shared" si="153"/>
        <v/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5"/>
        <v/>
      </c>
      <c r="BA272" s="36" t="str">
        <f>IFERROR(INDEX('Level Multiplier'!$D:$D,MATCH(AZ272,'Level Multiplier'!$A:$A,0)),"")</f>
        <v/>
      </c>
      <c r="BB272" s="37" t="str">
        <f t="shared" si="156"/>
        <v/>
      </c>
      <c r="BC272" s="37" t="str">
        <f t="shared" si="157"/>
        <v/>
      </c>
      <c r="BD272" s="38" t="str">
        <f t="shared" si="158"/>
        <v/>
      </c>
      <c r="BE272" s="38" t="str">
        <f t="shared" si="159"/>
        <v/>
      </c>
      <c r="BF272" s="38" t="b">
        <f t="shared" si="160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61"/>
        <v/>
      </c>
      <c r="BS272" s="36" t="str">
        <f>IFERROR(INDEX('Level Multiplier'!$D:$D,MATCH(BR272,'Level Multiplier'!$A:$A,0)),"")</f>
        <v/>
      </c>
      <c r="BT272" s="37" t="str">
        <f t="shared" si="162"/>
        <v/>
      </c>
      <c r="BU272" s="37" t="str">
        <f t="shared" si="163"/>
        <v/>
      </c>
      <c r="BV272" s="38" t="str">
        <f t="shared" si="164"/>
        <v/>
      </c>
      <c r="BW272" s="38" t="str">
        <f t="shared" si="165"/>
        <v/>
      </c>
      <c r="BX272" s="38" t="b">
        <f t="shared" si="166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67"/>
        <v/>
      </c>
      <c r="CK272" s="41" t="str">
        <f t="shared" si="168"/>
        <v/>
      </c>
      <c r="CL272" s="39" t="str">
        <f t="shared" si="169"/>
        <v/>
      </c>
      <c r="CM272" s="39" t="str">
        <f t="shared" si="170"/>
        <v/>
      </c>
      <c r="CN272" s="42" t="str">
        <f t="shared" si="171"/>
        <v/>
      </c>
      <c r="CO272" s="42" t="str">
        <f t="shared" si="172"/>
        <v/>
      </c>
      <c r="CP272" s="42" t="str">
        <f t="shared" si="173"/>
        <v/>
      </c>
      <c r="CQ272" s="42" t="str">
        <f t="shared" si="174"/>
        <v/>
      </c>
      <c r="CR272" s="42" t="str">
        <f t="shared" si="175"/>
        <v/>
      </c>
      <c r="CS272" s="42" t="str">
        <f t="shared" si="176"/>
        <v/>
      </c>
      <c r="CT272" s="43" t="str">
        <f t="shared" si="177"/>
        <v/>
      </c>
      <c r="CU272" s="43" t="str">
        <f t="shared" si="178"/>
        <v/>
      </c>
      <c r="CV272" s="43" t="str">
        <f t="shared" si="179"/>
        <v/>
      </c>
      <c r="CW272" s="13"/>
    </row>
    <row r="273" spans="1:101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Multiplier'!$A:$A,MATCH($D273,'Level Multiplier'!$B:$B,0)),"")</f>
        <v/>
      </c>
      <c r="Q273" s="36" t="str">
        <f>IFERROR(INDEX('Level Multiplier'!$D:$D,MATCH(P273,'Level Multiplier'!$A:$A,0)),"")</f>
        <v/>
      </c>
      <c r="R273" s="37" t="str">
        <f t="shared" si="144"/>
        <v/>
      </c>
      <c r="S273" s="37" t="str">
        <f t="shared" si="145"/>
        <v/>
      </c>
      <c r="T273" s="38" t="str">
        <f t="shared" si="146"/>
        <v/>
      </c>
      <c r="U273" s="38" t="str">
        <f t="shared" si="147"/>
        <v/>
      </c>
      <c r="V273" s="38" t="b">
        <f t="shared" si="148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49"/>
        <v/>
      </c>
      <c r="AI273" s="36" t="str">
        <f>IFERROR(INDEX('Level Multiplier'!$D:$D,MATCH(AH273,'Level Multiplier'!$A:$A,0)),"")</f>
        <v/>
      </c>
      <c r="AJ273" s="37" t="str">
        <f t="shared" si="150"/>
        <v/>
      </c>
      <c r="AK273" s="37" t="str">
        <f t="shared" si="151"/>
        <v/>
      </c>
      <c r="AL273" s="38" t="str">
        <f t="shared" si="152"/>
        <v/>
      </c>
      <c r="AM273" s="38" t="str">
        <f t="shared" si="153"/>
        <v/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5"/>
        <v/>
      </c>
      <c r="BA273" s="36" t="str">
        <f>IFERROR(INDEX('Level Multiplier'!$D:$D,MATCH(AZ273,'Level Multiplier'!$A:$A,0)),"")</f>
        <v/>
      </c>
      <c r="BB273" s="37" t="str">
        <f t="shared" si="156"/>
        <v/>
      </c>
      <c r="BC273" s="37" t="str">
        <f t="shared" si="157"/>
        <v/>
      </c>
      <c r="BD273" s="38" t="str">
        <f t="shared" si="158"/>
        <v/>
      </c>
      <c r="BE273" s="38" t="str">
        <f t="shared" si="159"/>
        <v/>
      </c>
      <c r="BF273" s="38" t="b">
        <f t="shared" si="160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61"/>
        <v/>
      </c>
      <c r="BS273" s="36" t="str">
        <f>IFERROR(INDEX('Level Multiplier'!$D:$D,MATCH(BR273,'Level Multiplier'!$A:$A,0)),"")</f>
        <v/>
      </c>
      <c r="BT273" s="37" t="str">
        <f t="shared" si="162"/>
        <v/>
      </c>
      <c r="BU273" s="37" t="str">
        <f t="shared" si="163"/>
        <v/>
      </c>
      <c r="BV273" s="38" t="str">
        <f t="shared" si="164"/>
        <v/>
      </c>
      <c r="BW273" s="38" t="str">
        <f t="shared" si="165"/>
        <v/>
      </c>
      <c r="BX273" s="38" t="b">
        <f t="shared" si="166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67"/>
        <v/>
      </c>
      <c r="CK273" s="41" t="str">
        <f t="shared" si="168"/>
        <v/>
      </c>
      <c r="CL273" s="39" t="str">
        <f t="shared" si="169"/>
        <v/>
      </c>
      <c r="CM273" s="39" t="str">
        <f t="shared" si="170"/>
        <v/>
      </c>
      <c r="CN273" s="42" t="str">
        <f t="shared" si="171"/>
        <v/>
      </c>
      <c r="CO273" s="42" t="str">
        <f t="shared" si="172"/>
        <v/>
      </c>
      <c r="CP273" s="42" t="str">
        <f t="shared" si="173"/>
        <v/>
      </c>
      <c r="CQ273" s="42" t="str">
        <f t="shared" si="174"/>
        <v/>
      </c>
      <c r="CR273" s="42" t="str">
        <f t="shared" si="175"/>
        <v/>
      </c>
      <c r="CS273" s="42" t="str">
        <f t="shared" si="176"/>
        <v/>
      </c>
      <c r="CT273" s="43" t="str">
        <f t="shared" si="177"/>
        <v/>
      </c>
      <c r="CU273" s="43" t="str">
        <f t="shared" si="178"/>
        <v/>
      </c>
      <c r="CV273" s="43" t="str">
        <f t="shared" si="179"/>
        <v/>
      </c>
      <c r="CW273" s="13"/>
    </row>
    <row r="274" spans="1:101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Multiplier'!$A:$A,MATCH($D274,'Level Multiplier'!$B:$B,0)),"")</f>
        <v/>
      </c>
      <c r="Q274" s="36" t="str">
        <f>IFERROR(INDEX('Level Multiplier'!$D:$D,MATCH(P274,'Level Multiplier'!$A:$A,0)),"")</f>
        <v/>
      </c>
      <c r="R274" s="37" t="str">
        <f t="shared" si="144"/>
        <v/>
      </c>
      <c r="S274" s="37" t="str">
        <f t="shared" si="145"/>
        <v/>
      </c>
      <c r="T274" s="38" t="str">
        <f t="shared" si="146"/>
        <v/>
      </c>
      <c r="U274" s="38" t="str">
        <f t="shared" si="147"/>
        <v/>
      </c>
      <c r="V274" s="38" t="b">
        <f t="shared" si="148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49"/>
        <v/>
      </c>
      <c r="AI274" s="36" t="str">
        <f>IFERROR(INDEX('Level Multiplier'!$D:$D,MATCH(AH274,'Level Multiplier'!$A:$A,0)),"")</f>
        <v/>
      </c>
      <c r="AJ274" s="37" t="str">
        <f t="shared" si="150"/>
        <v/>
      </c>
      <c r="AK274" s="37" t="str">
        <f t="shared" si="151"/>
        <v/>
      </c>
      <c r="AL274" s="38" t="str">
        <f t="shared" si="152"/>
        <v/>
      </c>
      <c r="AM274" s="38" t="str">
        <f t="shared" si="153"/>
        <v/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5"/>
        <v/>
      </c>
      <c r="BA274" s="36" t="str">
        <f>IFERROR(INDEX('Level Multiplier'!$D:$D,MATCH(AZ274,'Level Multiplier'!$A:$A,0)),"")</f>
        <v/>
      </c>
      <c r="BB274" s="37" t="str">
        <f t="shared" si="156"/>
        <v/>
      </c>
      <c r="BC274" s="37" t="str">
        <f t="shared" si="157"/>
        <v/>
      </c>
      <c r="BD274" s="38" t="str">
        <f t="shared" si="158"/>
        <v/>
      </c>
      <c r="BE274" s="38" t="str">
        <f t="shared" si="159"/>
        <v/>
      </c>
      <c r="BF274" s="38" t="b">
        <f t="shared" si="160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61"/>
        <v/>
      </c>
      <c r="BS274" s="36" t="str">
        <f>IFERROR(INDEX('Level Multiplier'!$D:$D,MATCH(BR274,'Level Multiplier'!$A:$A,0)),"")</f>
        <v/>
      </c>
      <c r="BT274" s="37" t="str">
        <f t="shared" si="162"/>
        <v/>
      </c>
      <c r="BU274" s="37" t="str">
        <f t="shared" si="163"/>
        <v/>
      </c>
      <c r="BV274" s="38" t="str">
        <f t="shared" si="164"/>
        <v/>
      </c>
      <c r="BW274" s="38" t="str">
        <f t="shared" si="165"/>
        <v/>
      </c>
      <c r="BX274" s="38" t="b">
        <f t="shared" si="166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67"/>
        <v/>
      </c>
      <c r="CK274" s="41" t="str">
        <f t="shared" si="168"/>
        <v/>
      </c>
      <c r="CL274" s="39" t="str">
        <f t="shared" si="169"/>
        <v/>
      </c>
      <c r="CM274" s="39" t="str">
        <f t="shared" si="170"/>
        <v/>
      </c>
      <c r="CN274" s="42" t="str">
        <f t="shared" si="171"/>
        <v/>
      </c>
      <c r="CO274" s="42" t="str">
        <f t="shared" si="172"/>
        <v/>
      </c>
      <c r="CP274" s="42" t="str">
        <f t="shared" si="173"/>
        <v/>
      </c>
      <c r="CQ274" s="42" t="str">
        <f t="shared" si="174"/>
        <v/>
      </c>
      <c r="CR274" s="42" t="str">
        <f t="shared" si="175"/>
        <v/>
      </c>
      <c r="CS274" s="42" t="str">
        <f t="shared" si="176"/>
        <v/>
      </c>
      <c r="CT274" s="43" t="str">
        <f t="shared" si="177"/>
        <v/>
      </c>
      <c r="CU274" s="43" t="str">
        <f t="shared" si="178"/>
        <v/>
      </c>
      <c r="CV274" s="43" t="str">
        <f t="shared" si="179"/>
        <v/>
      </c>
      <c r="CW274" s="13"/>
    </row>
    <row r="275" spans="1:101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Multiplier'!$A:$A,MATCH($D275,'Level Multiplier'!$B:$B,0)),"")</f>
        <v/>
      </c>
      <c r="Q275" s="36" t="str">
        <f>IFERROR(INDEX('Level Multiplier'!$D:$D,MATCH(P275,'Level Multiplier'!$A:$A,0)),"")</f>
        <v/>
      </c>
      <c r="R275" s="37" t="str">
        <f t="shared" si="144"/>
        <v/>
      </c>
      <c r="S275" s="37" t="str">
        <f t="shared" si="145"/>
        <v/>
      </c>
      <c r="T275" s="38" t="str">
        <f t="shared" si="146"/>
        <v/>
      </c>
      <c r="U275" s="38" t="str">
        <f t="shared" si="147"/>
        <v/>
      </c>
      <c r="V275" s="38" t="b">
        <f t="shared" si="148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49"/>
        <v/>
      </c>
      <c r="AI275" s="36" t="str">
        <f>IFERROR(INDEX('Level Multiplier'!$D:$D,MATCH(AH275,'Level Multiplier'!$A:$A,0)),"")</f>
        <v/>
      </c>
      <c r="AJ275" s="37" t="str">
        <f t="shared" si="150"/>
        <v/>
      </c>
      <c r="AK275" s="37" t="str">
        <f t="shared" si="151"/>
        <v/>
      </c>
      <c r="AL275" s="38" t="str">
        <f t="shared" si="152"/>
        <v/>
      </c>
      <c r="AM275" s="38" t="str">
        <f t="shared" si="153"/>
        <v/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5"/>
        <v/>
      </c>
      <c r="BA275" s="36" t="str">
        <f>IFERROR(INDEX('Level Multiplier'!$D:$D,MATCH(AZ275,'Level Multiplier'!$A:$A,0)),"")</f>
        <v/>
      </c>
      <c r="BB275" s="37" t="str">
        <f t="shared" si="156"/>
        <v/>
      </c>
      <c r="BC275" s="37" t="str">
        <f t="shared" si="157"/>
        <v/>
      </c>
      <c r="BD275" s="38" t="str">
        <f t="shared" si="158"/>
        <v/>
      </c>
      <c r="BE275" s="38" t="str">
        <f t="shared" si="159"/>
        <v/>
      </c>
      <c r="BF275" s="38" t="b">
        <f t="shared" si="160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61"/>
        <v/>
      </c>
      <c r="BS275" s="36" t="str">
        <f>IFERROR(INDEX('Level Multiplier'!$D:$D,MATCH(BR275,'Level Multiplier'!$A:$A,0)),"")</f>
        <v/>
      </c>
      <c r="BT275" s="37" t="str">
        <f t="shared" si="162"/>
        <v/>
      </c>
      <c r="BU275" s="37" t="str">
        <f t="shared" si="163"/>
        <v/>
      </c>
      <c r="BV275" s="38" t="str">
        <f t="shared" si="164"/>
        <v/>
      </c>
      <c r="BW275" s="38" t="str">
        <f t="shared" si="165"/>
        <v/>
      </c>
      <c r="BX275" s="38" t="b">
        <f t="shared" si="166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67"/>
        <v/>
      </c>
      <c r="CK275" s="41" t="str">
        <f t="shared" si="168"/>
        <v/>
      </c>
      <c r="CL275" s="39" t="str">
        <f t="shared" si="169"/>
        <v/>
      </c>
      <c r="CM275" s="39" t="str">
        <f t="shared" si="170"/>
        <v/>
      </c>
      <c r="CN275" s="42" t="str">
        <f t="shared" si="171"/>
        <v/>
      </c>
      <c r="CO275" s="42" t="str">
        <f t="shared" si="172"/>
        <v/>
      </c>
      <c r="CP275" s="42" t="str">
        <f t="shared" si="173"/>
        <v/>
      </c>
      <c r="CQ275" s="42" t="str">
        <f t="shared" si="174"/>
        <v/>
      </c>
      <c r="CR275" s="42" t="str">
        <f t="shared" si="175"/>
        <v/>
      </c>
      <c r="CS275" s="42" t="str">
        <f t="shared" si="176"/>
        <v/>
      </c>
      <c r="CT275" s="43" t="str">
        <f t="shared" si="177"/>
        <v/>
      </c>
      <c r="CU275" s="43" t="str">
        <f t="shared" si="178"/>
        <v/>
      </c>
      <c r="CV275" s="43" t="str">
        <f t="shared" si="179"/>
        <v/>
      </c>
      <c r="CW275" s="13"/>
    </row>
    <row r="276" spans="1:101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Multiplier'!$A:$A,MATCH($D276,'Level Multiplier'!$B:$B,0)),"")</f>
        <v/>
      </c>
      <c r="Q276" s="36" t="str">
        <f>IFERROR(INDEX('Level Multiplier'!$D:$D,MATCH(P276,'Level Multiplier'!$A:$A,0)),"")</f>
        <v/>
      </c>
      <c r="R276" s="37" t="str">
        <f t="shared" si="144"/>
        <v/>
      </c>
      <c r="S276" s="37" t="str">
        <f t="shared" si="145"/>
        <v/>
      </c>
      <c r="T276" s="38" t="str">
        <f t="shared" si="146"/>
        <v/>
      </c>
      <c r="U276" s="38" t="str">
        <f t="shared" si="147"/>
        <v/>
      </c>
      <c r="V276" s="38" t="b">
        <f t="shared" si="148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49"/>
        <v/>
      </c>
      <c r="AI276" s="36" t="str">
        <f>IFERROR(INDEX('Level Multiplier'!$D:$D,MATCH(AH276,'Level Multiplier'!$A:$A,0)),"")</f>
        <v/>
      </c>
      <c r="AJ276" s="37" t="str">
        <f t="shared" si="150"/>
        <v/>
      </c>
      <c r="AK276" s="37" t="str">
        <f t="shared" si="151"/>
        <v/>
      </c>
      <c r="AL276" s="38" t="str">
        <f t="shared" si="152"/>
        <v/>
      </c>
      <c r="AM276" s="38" t="str">
        <f t="shared" si="153"/>
        <v/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5"/>
        <v/>
      </c>
      <c r="BA276" s="36" t="str">
        <f>IFERROR(INDEX('Level Multiplier'!$D:$D,MATCH(AZ276,'Level Multiplier'!$A:$A,0)),"")</f>
        <v/>
      </c>
      <c r="BB276" s="37" t="str">
        <f t="shared" si="156"/>
        <v/>
      </c>
      <c r="BC276" s="37" t="str">
        <f t="shared" si="157"/>
        <v/>
      </c>
      <c r="BD276" s="38" t="str">
        <f t="shared" si="158"/>
        <v/>
      </c>
      <c r="BE276" s="38" t="str">
        <f t="shared" si="159"/>
        <v/>
      </c>
      <c r="BF276" s="38" t="b">
        <f t="shared" si="160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61"/>
        <v/>
      </c>
      <c r="BS276" s="36" t="str">
        <f>IFERROR(INDEX('Level Multiplier'!$D:$D,MATCH(BR276,'Level Multiplier'!$A:$A,0)),"")</f>
        <v/>
      </c>
      <c r="BT276" s="37" t="str">
        <f t="shared" si="162"/>
        <v/>
      </c>
      <c r="BU276" s="37" t="str">
        <f t="shared" si="163"/>
        <v/>
      </c>
      <c r="BV276" s="38" t="str">
        <f t="shared" si="164"/>
        <v/>
      </c>
      <c r="BW276" s="38" t="str">
        <f t="shared" si="165"/>
        <v/>
      </c>
      <c r="BX276" s="38" t="b">
        <f t="shared" si="166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67"/>
        <v/>
      </c>
      <c r="CK276" s="41" t="str">
        <f t="shared" si="168"/>
        <v/>
      </c>
      <c r="CL276" s="39" t="str">
        <f t="shared" si="169"/>
        <v/>
      </c>
      <c r="CM276" s="39" t="str">
        <f t="shared" si="170"/>
        <v/>
      </c>
      <c r="CN276" s="42" t="str">
        <f t="shared" si="171"/>
        <v/>
      </c>
      <c r="CO276" s="42" t="str">
        <f t="shared" si="172"/>
        <v/>
      </c>
      <c r="CP276" s="42" t="str">
        <f t="shared" si="173"/>
        <v/>
      </c>
      <c r="CQ276" s="42" t="str">
        <f t="shared" si="174"/>
        <v/>
      </c>
      <c r="CR276" s="42" t="str">
        <f t="shared" si="175"/>
        <v/>
      </c>
      <c r="CS276" s="42" t="str">
        <f t="shared" si="176"/>
        <v/>
      </c>
      <c r="CT276" s="43" t="str">
        <f t="shared" si="177"/>
        <v/>
      </c>
      <c r="CU276" s="43" t="str">
        <f t="shared" si="178"/>
        <v/>
      </c>
      <c r="CV276" s="43" t="str">
        <f t="shared" si="179"/>
        <v/>
      </c>
      <c r="CW276" s="13"/>
    </row>
    <row r="277" spans="1:101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Multiplier'!$A:$A,MATCH($D277,'Level Multiplier'!$B:$B,0)),"")</f>
        <v/>
      </c>
      <c r="Q277" s="36" t="str">
        <f>IFERROR(INDEX('Level Multiplier'!$D:$D,MATCH(P277,'Level Multiplier'!$A:$A,0)),"")</f>
        <v/>
      </c>
      <c r="R277" s="37" t="str">
        <f t="shared" si="144"/>
        <v/>
      </c>
      <c r="S277" s="37" t="str">
        <f t="shared" si="145"/>
        <v/>
      </c>
      <c r="T277" s="38" t="str">
        <f t="shared" si="146"/>
        <v/>
      </c>
      <c r="U277" s="38" t="str">
        <f t="shared" si="147"/>
        <v/>
      </c>
      <c r="V277" s="38" t="b">
        <f t="shared" si="148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49"/>
        <v/>
      </c>
      <c r="AI277" s="36" t="str">
        <f>IFERROR(INDEX('Level Multiplier'!$D:$D,MATCH(AH277,'Level Multiplier'!$A:$A,0)),"")</f>
        <v/>
      </c>
      <c r="AJ277" s="37" t="str">
        <f t="shared" si="150"/>
        <v/>
      </c>
      <c r="AK277" s="37" t="str">
        <f t="shared" si="151"/>
        <v/>
      </c>
      <c r="AL277" s="38" t="str">
        <f t="shared" si="152"/>
        <v/>
      </c>
      <c r="AM277" s="38" t="str">
        <f t="shared" si="153"/>
        <v/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5"/>
        <v/>
      </c>
      <c r="BA277" s="36" t="str">
        <f>IFERROR(INDEX('Level Multiplier'!$D:$D,MATCH(AZ277,'Level Multiplier'!$A:$A,0)),"")</f>
        <v/>
      </c>
      <c r="BB277" s="37" t="str">
        <f t="shared" si="156"/>
        <v/>
      </c>
      <c r="BC277" s="37" t="str">
        <f t="shared" si="157"/>
        <v/>
      </c>
      <c r="BD277" s="38" t="str">
        <f t="shared" si="158"/>
        <v/>
      </c>
      <c r="BE277" s="38" t="str">
        <f t="shared" si="159"/>
        <v/>
      </c>
      <c r="BF277" s="38" t="b">
        <f t="shared" si="160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61"/>
        <v/>
      </c>
      <c r="BS277" s="36" t="str">
        <f>IFERROR(INDEX('Level Multiplier'!$D:$D,MATCH(BR277,'Level Multiplier'!$A:$A,0)),"")</f>
        <v/>
      </c>
      <c r="BT277" s="37" t="str">
        <f t="shared" si="162"/>
        <v/>
      </c>
      <c r="BU277" s="37" t="str">
        <f t="shared" si="163"/>
        <v/>
      </c>
      <c r="BV277" s="38" t="str">
        <f t="shared" si="164"/>
        <v/>
      </c>
      <c r="BW277" s="38" t="str">
        <f t="shared" si="165"/>
        <v/>
      </c>
      <c r="BX277" s="38" t="b">
        <f t="shared" si="166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67"/>
        <v/>
      </c>
      <c r="CK277" s="41" t="str">
        <f t="shared" si="168"/>
        <v/>
      </c>
      <c r="CL277" s="39" t="str">
        <f t="shared" si="169"/>
        <v/>
      </c>
      <c r="CM277" s="39" t="str">
        <f t="shared" si="170"/>
        <v/>
      </c>
      <c r="CN277" s="42" t="str">
        <f t="shared" si="171"/>
        <v/>
      </c>
      <c r="CO277" s="42" t="str">
        <f t="shared" si="172"/>
        <v/>
      </c>
      <c r="CP277" s="42" t="str">
        <f t="shared" si="173"/>
        <v/>
      </c>
      <c r="CQ277" s="42" t="str">
        <f t="shared" si="174"/>
        <v/>
      </c>
      <c r="CR277" s="42" t="str">
        <f t="shared" si="175"/>
        <v/>
      </c>
      <c r="CS277" s="42" t="str">
        <f t="shared" si="176"/>
        <v/>
      </c>
      <c r="CT277" s="43" t="str">
        <f t="shared" si="177"/>
        <v/>
      </c>
      <c r="CU277" s="43" t="str">
        <f t="shared" si="178"/>
        <v/>
      </c>
      <c r="CV277" s="43" t="str">
        <f t="shared" si="179"/>
        <v/>
      </c>
      <c r="CW277" s="13"/>
    </row>
    <row r="278" spans="1:101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Multiplier'!$A:$A,MATCH($D278,'Level Multiplier'!$B:$B,0)),"")</f>
        <v/>
      </c>
      <c r="Q278" s="36" t="str">
        <f>IFERROR(INDEX('Level Multiplier'!$D:$D,MATCH(P278,'Level Multiplier'!$A:$A,0)),"")</f>
        <v/>
      </c>
      <c r="R278" s="37" t="str">
        <f t="shared" si="144"/>
        <v/>
      </c>
      <c r="S278" s="37" t="str">
        <f t="shared" si="145"/>
        <v/>
      </c>
      <c r="T278" s="38" t="str">
        <f t="shared" si="146"/>
        <v/>
      </c>
      <c r="U278" s="38" t="str">
        <f t="shared" si="147"/>
        <v/>
      </c>
      <c r="V278" s="38" t="b">
        <f t="shared" si="148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49"/>
        <v/>
      </c>
      <c r="AI278" s="36" t="str">
        <f>IFERROR(INDEX('Level Multiplier'!$D:$D,MATCH(AH278,'Level Multiplier'!$A:$A,0)),"")</f>
        <v/>
      </c>
      <c r="AJ278" s="37" t="str">
        <f t="shared" si="150"/>
        <v/>
      </c>
      <c r="AK278" s="37" t="str">
        <f t="shared" si="151"/>
        <v/>
      </c>
      <c r="AL278" s="38" t="str">
        <f t="shared" si="152"/>
        <v/>
      </c>
      <c r="AM278" s="38" t="str">
        <f t="shared" si="153"/>
        <v/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5"/>
        <v/>
      </c>
      <c r="BA278" s="36" t="str">
        <f>IFERROR(INDEX('Level Multiplier'!$D:$D,MATCH(AZ278,'Level Multiplier'!$A:$A,0)),"")</f>
        <v/>
      </c>
      <c r="BB278" s="37" t="str">
        <f t="shared" si="156"/>
        <v/>
      </c>
      <c r="BC278" s="37" t="str">
        <f t="shared" si="157"/>
        <v/>
      </c>
      <c r="BD278" s="38" t="str">
        <f t="shared" si="158"/>
        <v/>
      </c>
      <c r="BE278" s="38" t="str">
        <f t="shared" si="159"/>
        <v/>
      </c>
      <c r="BF278" s="38" t="b">
        <f t="shared" si="160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61"/>
        <v/>
      </c>
      <c r="BS278" s="36" t="str">
        <f>IFERROR(INDEX('Level Multiplier'!$D:$D,MATCH(BR278,'Level Multiplier'!$A:$A,0)),"")</f>
        <v/>
      </c>
      <c r="BT278" s="37" t="str">
        <f t="shared" si="162"/>
        <v/>
      </c>
      <c r="BU278" s="37" t="str">
        <f t="shared" si="163"/>
        <v/>
      </c>
      <c r="BV278" s="38" t="str">
        <f t="shared" si="164"/>
        <v/>
      </c>
      <c r="BW278" s="38" t="str">
        <f t="shared" si="165"/>
        <v/>
      </c>
      <c r="BX278" s="38" t="b">
        <f t="shared" si="166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67"/>
        <v/>
      </c>
      <c r="CK278" s="41" t="str">
        <f t="shared" si="168"/>
        <v/>
      </c>
      <c r="CL278" s="39" t="str">
        <f t="shared" si="169"/>
        <v/>
      </c>
      <c r="CM278" s="39" t="str">
        <f t="shared" si="170"/>
        <v/>
      </c>
      <c r="CN278" s="42" t="str">
        <f t="shared" si="171"/>
        <v/>
      </c>
      <c r="CO278" s="42" t="str">
        <f t="shared" si="172"/>
        <v/>
      </c>
      <c r="CP278" s="42" t="str">
        <f t="shared" si="173"/>
        <v/>
      </c>
      <c r="CQ278" s="42" t="str">
        <f t="shared" si="174"/>
        <v/>
      </c>
      <c r="CR278" s="42" t="str">
        <f t="shared" si="175"/>
        <v/>
      </c>
      <c r="CS278" s="42" t="str">
        <f t="shared" si="176"/>
        <v/>
      </c>
      <c r="CT278" s="43" t="str">
        <f t="shared" si="177"/>
        <v/>
      </c>
      <c r="CU278" s="43" t="str">
        <f t="shared" si="178"/>
        <v/>
      </c>
      <c r="CV278" s="43" t="str">
        <f t="shared" si="179"/>
        <v/>
      </c>
      <c r="CW278" s="13"/>
    </row>
    <row r="279" spans="1:101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Multiplier'!$A:$A,MATCH($D279,'Level Multiplier'!$B:$B,0)),"")</f>
        <v/>
      </c>
      <c r="Q279" s="36" t="str">
        <f>IFERROR(INDEX('Level Multiplier'!$D:$D,MATCH(P279,'Level Multiplier'!$A:$A,0)),"")</f>
        <v/>
      </c>
      <c r="R279" s="37" t="str">
        <f t="shared" si="144"/>
        <v/>
      </c>
      <c r="S279" s="37" t="str">
        <f t="shared" si="145"/>
        <v/>
      </c>
      <c r="T279" s="38" t="str">
        <f t="shared" si="146"/>
        <v/>
      </c>
      <c r="U279" s="38" t="str">
        <f t="shared" si="147"/>
        <v/>
      </c>
      <c r="V279" s="38" t="b">
        <f t="shared" si="148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49"/>
        <v/>
      </c>
      <c r="AI279" s="36" t="str">
        <f>IFERROR(INDEX('Level Multiplier'!$D:$D,MATCH(AH279,'Level Multiplier'!$A:$A,0)),"")</f>
        <v/>
      </c>
      <c r="AJ279" s="37" t="str">
        <f t="shared" si="150"/>
        <v/>
      </c>
      <c r="AK279" s="37" t="str">
        <f t="shared" si="151"/>
        <v/>
      </c>
      <c r="AL279" s="38" t="str">
        <f t="shared" si="152"/>
        <v/>
      </c>
      <c r="AM279" s="38" t="str">
        <f t="shared" si="153"/>
        <v/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5"/>
        <v/>
      </c>
      <c r="BA279" s="36" t="str">
        <f>IFERROR(INDEX('Level Multiplier'!$D:$D,MATCH(AZ279,'Level Multiplier'!$A:$A,0)),"")</f>
        <v/>
      </c>
      <c r="BB279" s="37" t="str">
        <f t="shared" si="156"/>
        <v/>
      </c>
      <c r="BC279" s="37" t="str">
        <f t="shared" si="157"/>
        <v/>
      </c>
      <c r="BD279" s="38" t="str">
        <f t="shared" si="158"/>
        <v/>
      </c>
      <c r="BE279" s="38" t="str">
        <f t="shared" si="159"/>
        <v/>
      </c>
      <c r="BF279" s="38" t="b">
        <f t="shared" si="160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61"/>
        <v/>
      </c>
      <c r="BS279" s="36" t="str">
        <f>IFERROR(INDEX('Level Multiplier'!$D:$D,MATCH(BR279,'Level Multiplier'!$A:$A,0)),"")</f>
        <v/>
      </c>
      <c r="BT279" s="37" t="str">
        <f t="shared" si="162"/>
        <v/>
      </c>
      <c r="BU279" s="37" t="str">
        <f t="shared" si="163"/>
        <v/>
      </c>
      <c r="BV279" s="38" t="str">
        <f t="shared" si="164"/>
        <v/>
      </c>
      <c r="BW279" s="38" t="str">
        <f t="shared" si="165"/>
        <v/>
      </c>
      <c r="BX279" s="38" t="b">
        <f t="shared" si="166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67"/>
        <v/>
      </c>
      <c r="CK279" s="41" t="str">
        <f t="shared" si="168"/>
        <v/>
      </c>
      <c r="CL279" s="39" t="str">
        <f t="shared" si="169"/>
        <v/>
      </c>
      <c r="CM279" s="39" t="str">
        <f t="shared" si="170"/>
        <v/>
      </c>
      <c r="CN279" s="42" t="str">
        <f t="shared" si="171"/>
        <v/>
      </c>
      <c r="CO279" s="42" t="str">
        <f t="shared" si="172"/>
        <v/>
      </c>
      <c r="CP279" s="42" t="str">
        <f t="shared" si="173"/>
        <v/>
      </c>
      <c r="CQ279" s="42" t="str">
        <f t="shared" si="174"/>
        <v/>
      </c>
      <c r="CR279" s="42" t="str">
        <f t="shared" si="175"/>
        <v/>
      </c>
      <c r="CS279" s="42" t="str">
        <f t="shared" si="176"/>
        <v/>
      </c>
      <c r="CT279" s="43" t="str">
        <f t="shared" si="177"/>
        <v/>
      </c>
      <c r="CU279" s="43" t="str">
        <f t="shared" si="178"/>
        <v/>
      </c>
      <c r="CV279" s="43" t="str">
        <f t="shared" si="179"/>
        <v/>
      </c>
      <c r="CW279" s="13"/>
    </row>
    <row r="280" spans="1:101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Multiplier'!$A:$A,MATCH($D280,'Level Multiplier'!$B:$B,0)),"")</f>
        <v/>
      </c>
      <c r="Q280" s="36" t="str">
        <f>IFERROR(INDEX('Level Multiplier'!$D:$D,MATCH(P280,'Level Multiplier'!$A:$A,0)),"")</f>
        <v/>
      </c>
      <c r="R280" s="37" t="str">
        <f t="shared" si="144"/>
        <v/>
      </c>
      <c r="S280" s="37" t="str">
        <f t="shared" si="145"/>
        <v/>
      </c>
      <c r="T280" s="38" t="str">
        <f t="shared" si="146"/>
        <v/>
      </c>
      <c r="U280" s="38" t="str">
        <f t="shared" si="147"/>
        <v/>
      </c>
      <c r="V280" s="38" t="b">
        <f t="shared" si="148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49"/>
        <v/>
      </c>
      <c r="AI280" s="36" t="str">
        <f>IFERROR(INDEX('Level Multiplier'!$D:$D,MATCH(AH280,'Level Multiplier'!$A:$A,0)),"")</f>
        <v/>
      </c>
      <c r="AJ280" s="37" t="str">
        <f t="shared" si="150"/>
        <v/>
      </c>
      <c r="AK280" s="37" t="str">
        <f t="shared" si="151"/>
        <v/>
      </c>
      <c r="AL280" s="38" t="str">
        <f t="shared" si="152"/>
        <v/>
      </c>
      <c r="AM280" s="38" t="str">
        <f t="shared" si="153"/>
        <v/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5"/>
        <v/>
      </c>
      <c r="BA280" s="36" t="str">
        <f>IFERROR(INDEX('Level Multiplier'!$D:$D,MATCH(AZ280,'Level Multiplier'!$A:$A,0)),"")</f>
        <v/>
      </c>
      <c r="BB280" s="37" t="str">
        <f t="shared" si="156"/>
        <v/>
      </c>
      <c r="BC280" s="37" t="str">
        <f t="shared" si="157"/>
        <v/>
      </c>
      <c r="BD280" s="38" t="str">
        <f t="shared" si="158"/>
        <v/>
      </c>
      <c r="BE280" s="38" t="str">
        <f t="shared" si="159"/>
        <v/>
      </c>
      <c r="BF280" s="38" t="b">
        <f t="shared" si="160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61"/>
        <v/>
      </c>
      <c r="BS280" s="36" t="str">
        <f>IFERROR(INDEX('Level Multiplier'!$D:$D,MATCH(BR280,'Level Multiplier'!$A:$A,0)),"")</f>
        <v/>
      </c>
      <c r="BT280" s="37" t="str">
        <f t="shared" si="162"/>
        <v/>
      </c>
      <c r="BU280" s="37" t="str">
        <f t="shared" si="163"/>
        <v/>
      </c>
      <c r="BV280" s="38" t="str">
        <f t="shared" si="164"/>
        <v/>
      </c>
      <c r="BW280" s="38" t="str">
        <f t="shared" si="165"/>
        <v/>
      </c>
      <c r="BX280" s="38" t="b">
        <f t="shared" si="166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67"/>
        <v/>
      </c>
      <c r="CK280" s="41" t="str">
        <f t="shared" si="168"/>
        <v/>
      </c>
      <c r="CL280" s="39" t="str">
        <f t="shared" si="169"/>
        <v/>
      </c>
      <c r="CM280" s="39" t="str">
        <f t="shared" si="170"/>
        <v/>
      </c>
      <c r="CN280" s="42" t="str">
        <f t="shared" si="171"/>
        <v/>
      </c>
      <c r="CO280" s="42" t="str">
        <f t="shared" si="172"/>
        <v/>
      </c>
      <c r="CP280" s="42" t="str">
        <f t="shared" si="173"/>
        <v/>
      </c>
      <c r="CQ280" s="42" t="str">
        <f t="shared" si="174"/>
        <v/>
      </c>
      <c r="CR280" s="42" t="str">
        <f t="shared" si="175"/>
        <v/>
      </c>
      <c r="CS280" s="42" t="str">
        <f t="shared" si="176"/>
        <v/>
      </c>
      <c r="CT280" s="43" t="str">
        <f t="shared" si="177"/>
        <v/>
      </c>
      <c r="CU280" s="43" t="str">
        <f t="shared" si="178"/>
        <v/>
      </c>
      <c r="CV280" s="43" t="str">
        <f t="shared" si="179"/>
        <v/>
      </c>
      <c r="CW280" s="13"/>
    </row>
    <row r="281" spans="1:101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Multiplier'!$A:$A,MATCH($D281,'Level Multiplier'!$B:$B,0)),"")</f>
        <v/>
      </c>
      <c r="Q281" s="36" t="str">
        <f>IFERROR(INDEX('Level Multiplier'!$D:$D,MATCH(P281,'Level Multiplier'!$A:$A,0)),"")</f>
        <v/>
      </c>
      <c r="R281" s="37" t="str">
        <f t="shared" si="144"/>
        <v/>
      </c>
      <c r="S281" s="37" t="str">
        <f t="shared" si="145"/>
        <v/>
      </c>
      <c r="T281" s="38" t="str">
        <f t="shared" si="146"/>
        <v/>
      </c>
      <c r="U281" s="38" t="str">
        <f t="shared" si="147"/>
        <v/>
      </c>
      <c r="V281" s="38" t="b">
        <f t="shared" si="148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49"/>
        <v/>
      </c>
      <c r="AI281" s="36" t="str">
        <f>IFERROR(INDEX('Level Multiplier'!$D:$D,MATCH(AH281,'Level Multiplier'!$A:$A,0)),"")</f>
        <v/>
      </c>
      <c r="AJ281" s="37" t="str">
        <f t="shared" si="150"/>
        <v/>
      </c>
      <c r="AK281" s="37" t="str">
        <f t="shared" si="151"/>
        <v/>
      </c>
      <c r="AL281" s="38" t="str">
        <f t="shared" si="152"/>
        <v/>
      </c>
      <c r="AM281" s="38" t="str">
        <f t="shared" si="153"/>
        <v/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5"/>
        <v/>
      </c>
      <c r="BA281" s="36" t="str">
        <f>IFERROR(INDEX('Level Multiplier'!$D:$D,MATCH(AZ281,'Level Multiplier'!$A:$A,0)),"")</f>
        <v/>
      </c>
      <c r="BB281" s="37" t="str">
        <f t="shared" si="156"/>
        <v/>
      </c>
      <c r="BC281" s="37" t="str">
        <f t="shared" si="157"/>
        <v/>
      </c>
      <c r="BD281" s="38" t="str">
        <f t="shared" si="158"/>
        <v/>
      </c>
      <c r="BE281" s="38" t="str">
        <f t="shared" si="159"/>
        <v/>
      </c>
      <c r="BF281" s="38" t="b">
        <f t="shared" si="160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61"/>
        <v/>
      </c>
      <c r="BS281" s="36" t="str">
        <f>IFERROR(INDEX('Level Multiplier'!$D:$D,MATCH(BR281,'Level Multiplier'!$A:$A,0)),"")</f>
        <v/>
      </c>
      <c r="BT281" s="37" t="str">
        <f t="shared" si="162"/>
        <v/>
      </c>
      <c r="BU281" s="37" t="str">
        <f t="shared" si="163"/>
        <v/>
      </c>
      <c r="BV281" s="38" t="str">
        <f t="shared" si="164"/>
        <v/>
      </c>
      <c r="BW281" s="38" t="str">
        <f t="shared" si="165"/>
        <v/>
      </c>
      <c r="BX281" s="38" t="b">
        <f t="shared" si="166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67"/>
        <v/>
      </c>
      <c r="CK281" s="41" t="str">
        <f t="shared" si="168"/>
        <v/>
      </c>
      <c r="CL281" s="39" t="str">
        <f t="shared" si="169"/>
        <v/>
      </c>
      <c r="CM281" s="39" t="str">
        <f t="shared" si="170"/>
        <v/>
      </c>
      <c r="CN281" s="42" t="str">
        <f t="shared" si="171"/>
        <v/>
      </c>
      <c r="CO281" s="42" t="str">
        <f t="shared" si="172"/>
        <v/>
      </c>
      <c r="CP281" s="42" t="str">
        <f t="shared" si="173"/>
        <v/>
      </c>
      <c r="CQ281" s="42" t="str">
        <f t="shared" si="174"/>
        <v/>
      </c>
      <c r="CR281" s="42" t="str">
        <f t="shared" si="175"/>
        <v/>
      </c>
      <c r="CS281" s="42" t="str">
        <f t="shared" si="176"/>
        <v/>
      </c>
      <c r="CT281" s="43" t="str">
        <f t="shared" si="177"/>
        <v/>
      </c>
      <c r="CU281" s="43" t="str">
        <f t="shared" si="178"/>
        <v/>
      </c>
      <c r="CV281" s="43" t="str">
        <f t="shared" si="179"/>
        <v/>
      </c>
      <c r="CW281" s="13"/>
    </row>
    <row r="282" spans="1:101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Multiplier'!$A:$A,MATCH($D282,'Level Multiplier'!$B:$B,0)),"")</f>
        <v/>
      </c>
      <c r="Q282" s="36" t="str">
        <f>IFERROR(INDEX('Level Multiplier'!$D:$D,MATCH(P282,'Level Multiplier'!$A:$A,0)),"")</f>
        <v/>
      </c>
      <c r="R282" s="37" t="str">
        <f t="shared" si="144"/>
        <v/>
      </c>
      <c r="S282" s="37" t="str">
        <f t="shared" si="145"/>
        <v/>
      </c>
      <c r="T282" s="38" t="str">
        <f t="shared" si="146"/>
        <v/>
      </c>
      <c r="U282" s="38" t="str">
        <f t="shared" si="147"/>
        <v/>
      </c>
      <c r="V282" s="38" t="b">
        <f t="shared" si="148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49"/>
        <v/>
      </c>
      <c r="AI282" s="36" t="str">
        <f>IFERROR(INDEX('Level Multiplier'!$D:$D,MATCH(AH282,'Level Multiplier'!$A:$A,0)),"")</f>
        <v/>
      </c>
      <c r="AJ282" s="37" t="str">
        <f t="shared" si="150"/>
        <v/>
      </c>
      <c r="AK282" s="37" t="str">
        <f t="shared" si="151"/>
        <v/>
      </c>
      <c r="AL282" s="38" t="str">
        <f t="shared" si="152"/>
        <v/>
      </c>
      <c r="AM282" s="38" t="str">
        <f t="shared" si="153"/>
        <v/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5"/>
        <v/>
      </c>
      <c r="BA282" s="36" t="str">
        <f>IFERROR(INDEX('Level Multiplier'!$D:$D,MATCH(AZ282,'Level Multiplier'!$A:$A,0)),"")</f>
        <v/>
      </c>
      <c r="BB282" s="37" t="str">
        <f t="shared" si="156"/>
        <v/>
      </c>
      <c r="BC282" s="37" t="str">
        <f t="shared" si="157"/>
        <v/>
      </c>
      <c r="BD282" s="38" t="str">
        <f t="shared" si="158"/>
        <v/>
      </c>
      <c r="BE282" s="38" t="str">
        <f t="shared" si="159"/>
        <v/>
      </c>
      <c r="BF282" s="38" t="b">
        <f t="shared" si="160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61"/>
        <v/>
      </c>
      <c r="BS282" s="36" t="str">
        <f>IFERROR(INDEX('Level Multiplier'!$D:$D,MATCH(BR282,'Level Multiplier'!$A:$A,0)),"")</f>
        <v/>
      </c>
      <c r="BT282" s="37" t="str">
        <f t="shared" si="162"/>
        <v/>
      </c>
      <c r="BU282" s="37" t="str">
        <f t="shared" si="163"/>
        <v/>
      </c>
      <c r="BV282" s="38" t="str">
        <f t="shared" si="164"/>
        <v/>
      </c>
      <c r="BW282" s="38" t="str">
        <f t="shared" si="165"/>
        <v/>
      </c>
      <c r="BX282" s="38" t="b">
        <f t="shared" si="166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67"/>
        <v/>
      </c>
      <c r="CK282" s="41" t="str">
        <f t="shared" si="168"/>
        <v/>
      </c>
      <c r="CL282" s="39" t="str">
        <f t="shared" si="169"/>
        <v/>
      </c>
      <c r="CM282" s="39" t="str">
        <f t="shared" si="170"/>
        <v/>
      </c>
      <c r="CN282" s="42" t="str">
        <f t="shared" si="171"/>
        <v/>
      </c>
      <c r="CO282" s="42" t="str">
        <f t="shared" si="172"/>
        <v/>
      </c>
      <c r="CP282" s="42" t="str">
        <f t="shared" si="173"/>
        <v/>
      </c>
      <c r="CQ282" s="42" t="str">
        <f t="shared" si="174"/>
        <v/>
      </c>
      <c r="CR282" s="42" t="str">
        <f t="shared" si="175"/>
        <v/>
      </c>
      <c r="CS282" s="42" t="str">
        <f t="shared" si="176"/>
        <v/>
      </c>
      <c r="CT282" s="43" t="str">
        <f t="shared" si="177"/>
        <v/>
      </c>
      <c r="CU282" s="43" t="str">
        <f t="shared" si="178"/>
        <v/>
      </c>
      <c r="CV282" s="43" t="str">
        <f t="shared" si="179"/>
        <v/>
      </c>
      <c r="CW282" s="13"/>
    </row>
    <row r="283" spans="1:101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Multiplier'!$A:$A,MATCH($D283,'Level Multiplier'!$B:$B,0)),"")</f>
        <v/>
      </c>
      <c r="Q283" s="36" t="str">
        <f>IFERROR(INDEX('Level Multiplier'!$D:$D,MATCH(P283,'Level Multiplier'!$A:$A,0)),"")</f>
        <v/>
      </c>
      <c r="R283" s="37" t="str">
        <f t="shared" si="144"/>
        <v/>
      </c>
      <c r="S283" s="37" t="str">
        <f t="shared" si="145"/>
        <v/>
      </c>
      <c r="T283" s="38" t="str">
        <f t="shared" si="146"/>
        <v/>
      </c>
      <c r="U283" s="38" t="str">
        <f t="shared" si="147"/>
        <v/>
      </c>
      <c r="V283" s="38" t="b">
        <f t="shared" si="148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49"/>
        <v/>
      </c>
      <c r="AI283" s="36" t="str">
        <f>IFERROR(INDEX('Level Multiplier'!$D:$D,MATCH(AH283,'Level Multiplier'!$A:$A,0)),"")</f>
        <v/>
      </c>
      <c r="AJ283" s="37" t="str">
        <f t="shared" si="150"/>
        <v/>
      </c>
      <c r="AK283" s="37" t="str">
        <f t="shared" si="151"/>
        <v/>
      </c>
      <c r="AL283" s="38" t="str">
        <f t="shared" si="152"/>
        <v/>
      </c>
      <c r="AM283" s="38" t="str">
        <f t="shared" si="153"/>
        <v/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5"/>
        <v/>
      </c>
      <c r="BA283" s="36" t="str">
        <f>IFERROR(INDEX('Level Multiplier'!$D:$D,MATCH(AZ283,'Level Multiplier'!$A:$A,0)),"")</f>
        <v/>
      </c>
      <c r="BB283" s="37" t="str">
        <f t="shared" si="156"/>
        <v/>
      </c>
      <c r="BC283" s="37" t="str">
        <f t="shared" si="157"/>
        <v/>
      </c>
      <c r="BD283" s="38" t="str">
        <f t="shared" si="158"/>
        <v/>
      </c>
      <c r="BE283" s="38" t="str">
        <f t="shared" si="159"/>
        <v/>
      </c>
      <c r="BF283" s="38" t="b">
        <f t="shared" si="160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61"/>
        <v/>
      </c>
      <c r="BS283" s="36" t="str">
        <f>IFERROR(INDEX('Level Multiplier'!$D:$D,MATCH(BR283,'Level Multiplier'!$A:$A,0)),"")</f>
        <v/>
      </c>
      <c r="BT283" s="37" t="str">
        <f t="shared" si="162"/>
        <v/>
      </c>
      <c r="BU283" s="37" t="str">
        <f t="shared" si="163"/>
        <v/>
      </c>
      <c r="BV283" s="38" t="str">
        <f t="shared" si="164"/>
        <v/>
      </c>
      <c r="BW283" s="38" t="str">
        <f t="shared" si="165"/>
        <v/>
      </c>
      <c r="BX283" s="38" t="b">
        <f t="shared" si="166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67"/>
        <v/>
      </c>
      <c r="CK283" s="41" t="str">
        <f t="shared" si="168"/>
        <v/>
      </c>
      <c r="CL283" s="39" t="str">
        <f t="shared" si="169"/>
        <v/>
      </c>
      <c r="CM283" s="39" t="str">
        <f t="shared" si="170"/>
        <v/>
      </c>
      <c r="CN283" s="42" t="str">
        <f t="shared" si="171"/>
        <v/>
      </c>
      <c r="CO283" s="42" t="str">
        <f t="shared" si="172"/>
        <v/>
      </c>
      <c r="CP283" s="42" t="str">
        <f t="shared" si="173"/>
        <v/>
      </c>
      <c r="CQ283" s="42" t="str">
        <f t="shared" si="174"/>
        <v/>
      </c>
      <c r="CR283" s="42" t="str">
        <f t="shared" si="175"/>
        <v/>
      </c>
      <c r="CS283" s="42" t="str">
        <f t="shared" si="176"/>
        <v/>
      </c>
      <c r="CT283" s="43" t="str">
        <f t="shared" si="177"/>
        <v/>
      </c>
      <c r="CU283" s="43" t="str">
        <f t="shared" si="178"/>
        <v/>
      </c>
      <c r="CV283" s="43" t="str">
        <f t="shared" si="179"/>
        <v/>
      </c>
      <c r="CW283" s="13"/>
    </row>
    <row r="284" spans="1:101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Multiplier'!$A:$A,MATCH($D284,'Level Multiplier'!$B:$B,0)),"")</f>
        <v/>
      </c>
      <c r="Q284" s="36" t="str">
        <f>IFERROR(INDEX('Level Multiplier'!$D:$D,MATCH(P284,'Level Multiplier'!$A:$A,0)),"")</f>
        <v/>
      </c>
      <c r="R284" s="37" t="str">
        <f t="shared" si="144"/>
        <v/>
      </c>
      <c r="S284" s="37" t="str">
        <f t="shared" si="145"/>
        <v/>
      </c>
      <c r="T284" s="38" t="str">
        <f t="shared" si="146"/>
        <v/>
      </c>
      <c r="U284" s="38" t="str">
        <f t="shared" si="147"/>
        <v/>
      </c>
      <c r="V284" s="38" t="b">
        <f t="shared" si="148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49"/>
        <v/>
      </c>
      <c r="AI284" s="36" t="str">
        <f>IFERROR(INDEX('Level Multiplier'!$D:$D,MATCH(AH284,'Level Multiplier'!$A:$A,0)),"")</f>
        <v/>
      </c>
      <c r="AJ284" s="37" t="str">
        <f t="shared" si="150"/>
        <v/>
      </c>
      <c r="AK284" s="37" t="str">
        <f t="shared" si="151"/>
        <v/>
      </c>
      <c r="AL284" s="38" t="str">
        <f t="shared" si="152"/>
        <v/>
      </c>
      <c r="AM284" s="38" t="str">
        <f t="shared" si="153"/>
        <v/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5"/>
        <v/>
      </c>
      <c r="BA284" s="36" t="str">
        <f>IFERROR(INDEX('Level Multiplier'!$D:$D,MATCH(AZ284,'Level Multiplier'!$A:$A,0)),"")</f>
        <v/>
      </c>
      <c r="BB284" s="37" t="str">
        <f t="shared" si="156"/>
        <v/>
      </c>
      <c r="BC284" s="37" t="str">
        <f t="shared" si="157"/>
        <v/>
      </c>
      <c r="BD284" s="38" t="str">
        <f t="shared" si="158"/>
        <v/>
      </c>
      <c r="BE284" s="38" t="str">
        <f t="shared" si="159"/>
        <v/>
      </c>
      <c r="BF284" s="38" t="b">
        <f t="shared" si="160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61"/>
        <v/>
      </c>
      <c r="BS284" s="36" t="str">
        <f>IFERROR(INDEX('Level Multiplier'!$D:$D,MATCH(BR284,'Level Multiplier'!$A:$A,0)),"")</f>
        <v/>
      </c>
      <c r="BT284" s="37" t="str">
        <f t="shared" si="162"/>
        <v/>
      </c>
      <c r="BU284" s="37" t="str">
        <f t="shared" si="163"/>
        <v/>
      </c>
      <c r="BV284" s="38" t="str">
        <f t="shared" si="164"/>
        <v/>
      </c>
      <c r="BW284" s="38" t="str">
        <f t="shared" si="165"/>
        <v/>
      </c>
      <c r="BX284" s="38" t="b">
        <f t="shared" si="166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67"/>
        <v/>
      </c>
      <c r="CK284" s="41" t="str">
        <f t="shared" si="168"/>
        <v/>
      </c>
      <c r="CL284" s="39" t="str">
        <f t="shared" si="169"/>
        <v/>
      </c>
      <c r="CM284" s="39" t="str">
        <f t="shared" si="170"/>
        <v/>
      </c>
      <c r="CN284" s="42" t="str">
        <f t="shared" si="171"/>
        <v/>
      </c>
      <c r="CO284" s="42" t="str">
        <f t="shared" si="172"/>
        <v/>
      </c>
      <c r="CP284" s="42" t="str">
        <f t="shared" si="173"/>
        <v/>
      </c>
      <c r="CQ284" s="42" t="str">
        <f t="shared" si="174"/>
        <v/>
      </c>
      <c r="CR284" s="42" t="str">
        <f t="shared" si="175"/>
        <v/>
      </c>
      <c r="CS284" s="42" t="str">
        <f t="shared" si="176"/>
        <v/>
      </c>
      <c r="CT284" s="43" t="str">
        <f t="shared" si="177"/>
        <v/>
      </c>
      <c r="CU284" s="43" t="str">
        <f t="shared" si="178"/>
        <v/>
      </c>
      <c r="CV284" s="43" t="str">
        <f t="shared" si="179"/>
        <v/>
      </c>
      <c r="CW284" s="13"/>
    </row>
    <row r="285" spans="1:101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Multiplier'!$A:$A,MATCH($D285,'Level Multiplier'!$B:$B,0)),"")</f>
        <v/>
      </c>
      <c r="Q285" s="36" t="str">
        <f>IFERROR(INDEX('Level Multiplier'!$D:$D,MATCH(P285,'Level Multiplier'!$A:$A,0)),"")</f>
        <v/>
      </c>
      <c r="R285" s="37" t="str">
        <f t="shared" si="144"/>
        <v/>
      </c>
      <c r="S285" s="37" t="str">
        <f t="shared" si="145"/>
        <v/>
      </c>
      <c r="T285" s="38" t="str">
        <f t="shared" si="146"/>
        <v/>
      </c>
      <c r="U285" s="38" t="str">
        <f t="shared" si="147"/>
        <v/>
      </c>
      <c r="V285" s="38" t="b">
        <f t="shared" si="148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49"/>
        <v/>
      </c>
      <c r="AI285" s="36" t="str">
        <f>IFERROR(INDEX('Level Multiplier'!$D:$D,MATCH(AH285,'Level Multiplier'!$A:$A,0)),"")</f>
        <v/>
      </c>
      <c r="AJ285" s="37" t="str">
        <f t="shared" si="150"/>
        <v/>
      </c>
      <c r="AK285" s="37" t="str">
        <f t="shared" si="151"/>
        <v/>
      </c>
      <c r="AL285" s="38" t="str">
        <f t="shared" si="152"/>
        <v/>
      </c>
      <c r="AM285" s="38" t="str">
        <f t="shared" si="153"/>
        <v/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5"/>
        <v/>
      </c>
      <c r="BA285" s="36" t="str">
        <f>IFERROR(INDEX('Level Multiplier'!$D:$D,MATCH(AZ285,'Level Multiplier'!$A:$A,0)),"")</f>
        <v/>
      </c>
      <c r="BB285" s="37" t="str">
        <f t="shared" si="156"/>
        <v/>
      </c>
      <c r="BC285" s="37" t="str">
        <f t="shared" si="157"/>
        <v/>
      </c>
      <c r="BD285" s="38" t="str">
        <f t="shared" si="158"/>
        <v/>
      </c>
      <c r="BE285" s="38" t="str">
        <f t="shared" si="159"/>
        <v/>
      </c>
      <c r="BF285" s="38" t="b">
        <f t="shared" si="160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61"/>
        <v/>
      </c>
      <c r="BS285" s="36" t="str">
        <f>IFERROR(INDEX('Level Multiplier'!$D:$D,MATCH(BR285,'Level Multiplier'!$A:$A,0)),"")</f>
        <v/>
      </c>
      <c r="BT285" s="37" t="str">
        <f t="shared" si="162"/>
        <v/>
      </c>
      <c r="BU285" s="37" t="str">
        <f t="shared" si="163"/>
        <v/>
      </c>
      <c r="BV285" s="38" t="str">
        <f t="shared" si="164"/>
        <v/>
      </c>
      <c r="BW285" s="38" t="str">
        <f t="shared" si="165"/>
        <v/>
      </c>
      <c r="BX285" s="38" t="b">
        <f t="shared" si="166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67"/>
        <v/>
      </c>
      <c r="CK285" s="41" t="str">
        <f t="shared" si="168"/>
        <v/>
      </c>
      <c r="CL285" s="39" t="str">
        <f t="shared" si="169"/>
        <v/>
      </c>
      <c r="CM285" s="39" t="str">
        <f t="shared" si="170"/>
        <v/>
      </c>
      <c r="CN285" s="42" t="str">
        <f t="shared" si="171"/>
        <v/>
      </c>
      <c r="CO285" s="42" t="str">
        <f t="shared" si="172"/>
        <v/>
      </c>
      <c r="CP285" s="42" t="str">
        <f t="shared" si="173"/>
        <v/>
      </c>
      <c r="CQ285" s="42" t="str">
        <f t="shared" si="174"/>
        <v/>
      </c>
      <c r="CR285" s="42" t="str">
        <f t="shared" si="175"/>
        <v/>
      </c>
      <c r="CS285" s="42" t="str">
        <f t="shared" si="176"/>
        <v/>
      </c>
      <c r="CT285" s="43" t="str">
        <f t="shared" si="177"/>
        <v/>
      </c>
      <c r="CU285" s="43" t="str">
        <f t="shared" si="178"/>
        <v/>
      </c>
      <c r="CV285" s="43" t="str">
        <f t="shared" si="179"/>
        <v/>
      </c>
      <c r="CW285" s="13"/>
    </row>
    <row r="286" spans="1:101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Multiplier'!$A:$A,MATCH($D286,'Level Multiplier'!$B:$B,0)),"")</f>
        <v/>
      </c>
      <c r="Q286" s="36" t="str">
        <f>IFERROR(INDEX('Level Multiplier'!$D:$D,MATCH(P286,'Level Multiplier'!$A:$A,0)),"")</f>
        <v/>
      </c>
      <c r="R286" s="37" t="str">
        <f t="shared" si="144"/>
        <v/>
      </c>
      <c r="S286" s="37" t="str">
        <f t="shared" si="145"/>
        <v/>
      </c>
      <c r="T286" s="38" t="str">
        <f t="shared" si="146"/>
        <v/>
      </c>
      <c r="U286" s="38" t="str">
        <f t="shared" si="147"/>
        <v/>
      </c>
      <c r="V286" s="38" t="b">
        <f t="shared" si="148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49"/>
        <v/>
      </c>
      <c r="AI286" s="36" t="str">
        <f>IFERROR(INDEX('Level Multiplier'!$D:$D,MATCH(AH286,'Level Multiplier'!$A:$A,0)),"")</f>
        <v/>
      </c>
      <c r="AJ286" s="37" t="str">
        <f t="shared" si="150"/>
        <v/>
      </c>
      <c r="AK286" s="37" t="str">
        <f t="shared" si="151"/>
        <v/>
      </c>
      <c r="AL286" s="38" t="str">
        <f t="shared" si="152"/>
        <v/>
      </c>
      <c r="AM286" s="38" t="str">
        <f t="shared" si="153"/>
        <v/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5"/>
        <v/>
      </c>
      <c r="BA286" s="36" t="str">
        <f>IFERROR(INDEX('Level Multiplier'!$D:$D,MATCH(AZ286,'Level Multiplier'!$A:$A,0)),"")</f>
        <v/>
      </c>
      <c r="BB286" s="37" t="str">
        <f t="shared" si="156"/>
        <v/>
      </c>
      <c r="BC286" s="37" t="str">
        <f t="shared" si="157"/>
        <v/>
      </c>
      <c r="BD286" s="38" t="str">
        <f t="shared" si="158"/>
        <v/>
      </c>
      <c r="BE286" s="38" t="str">
        <f t="shared" si="159"/>
        <v/>
      </c>
      <c r="BF286" s="38" t="b">
        <f t="shared" si="160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61"/>
        <v/>
      </c>
      <c r="BS286" s="36" t="str">
        <f>IFERROR(INDEX('Level Multiplier'!$D:$D,MATCH(BR286,'Level Multiplier'!$A:$A,0)),"")</f>
        <v/>
      </c>
      <c r="BT286" s="37" t="str">
        <f t="shared" si="162"/>
        <v/>
      </c>
      <c r="BU286" s="37" t="str">
        <f t="shared" si="163"/>
        <v/>
      </c>
      <c r="BV286" s="38" t="str">
        <f t="shared" si="164"/>
        <v/>
      </c>
      <c r="BW286" s="38" t="str">
        <f t="shared" si="165"/>
        <v/>
      </c>
      <c r="BX286" s="38" t="b">
        <f t="shared" si="166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67"/>
        <v/>
      </c>
      <c r="CK286" s="41" t="str">
        <f t="shared" si="168"/>
        <v/>
      </c>
      <c r="CL286" s="39" t="str">
        <f t="shared" si="169"/>
        <v/>
      </c>
      <c r="CM286" s="39" t="str">
        <f t="shared" si="170"/>
        <v/>
      </c>
      <c r="CN286" s="42" t="str">
        <f t="shared" si="171"/>
        <v/>
      </c>
      <c r="CO286" s="42" t="str">
        <f t="shared" si="172"/>
        <v/>
      </c>
      <c r="CP286" s="42" t="str">
        <f t="shared" si="173"/>
        <v/>
      </c>
      <c r="CQ286" s="42" t="str">
        <f t="shared" si="174"/>
        <v/>
      </c>
      <c r="CR286" s="42" t="str">
        <f t="shared" si="175"/>
        <v/>
      </c>
      <c r="CS286" s="42" t="str">
        <f t="shared" si="176"/>
        <v/>
      </c>
      <c r="CT286" s="43" t="str">
        <f t="shared" si="177"/>
        <v/>
      </c>
      <c r="CU286" s="43" t="str">
        <f t="shared" si="178"/>
        <v/>
      </c>
      <c r="CV286" s="43" t="str">
        <f t="shared" si="179"/>
        <v/>
      </c>
      <c r="CW286" s="13"/>
    </row>
    <row r="287" spans="1:101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Multiplier'!$A:$A,MATCH($D287,'Level Multiplier'!$B:$B,0)),"")</f>
        <v/>
      </c>
      <c r="Q287" s="36" t="str">
        <f>IFERROR(INDEX('Level Multiplier'!$D:$D,MATCH(P287,'Level Multiplier'!$A:$A,0)),"")</f>
        <v/>
      </c>
      <c r="R287" s="37" t="str">
        <f t="shared" si="144"/>
        <v/>
      </c>
      <c r="S287" s="37" t="str">
        <f t="shared" si="145"/>
        <v/>
      </c>
      <c r="T287" s="38" t="str">
        <f t="shared" si="146"/>
        <v/>
      </c>
      <c r="U287" s="38" t="str">
        <f t="shared" si="147"/>
        <v/>
      </c>
      <c r="V287" s="38" t="b">
        <f t="shared" si="148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49"/>
        <v/>
      </c>
      <c r="AI287" s="36" t="str">
        <f>IFERROR(INDEX('Level Multiplier'!$D:$D,MATCH(AH287,'Level Multiplier'!$A:$A,0)),"")</f>
        <v/>
      </c>
      <c r="AJ287" s="37" t="str">
        <f t="shared" si="150"/>
        <v/>
      </c>
      <c r="AK287" s="37" t="str">
        <f t="shared" si="151"/>
        <v/>
      </c>
      <c r="AL287" s="38" t="str">
        <f t="shared" si="152"/>
        <v/>
      </c>
      <c r="AM287" s="38" t="str">
        <f t="shared" si="153"/>
        <v/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5"/>
        <v/>
      </c>
      <c r="BA287" s="36" t="str">
        <f>IFERROR(INDEX('Level Multiplier'!$D:$D,MATCH(AZ287,'Level Multiplier'!$A:$A,0)),"")</f>
        <v/>
      </c>
      <c r="BB287" s="37" t="str">
        <f t="shared" si="156"/>
        <v/>
      </c>
      <c r="BC287" s="37" t="str">
        <f t="shared" si="157"/>
        <v/>
      </c>
      <c r="BD287" s="38" t="str">
        <f t="shared" si="158"/>
        <v/>
      </c>
      <c r="BE287" s="38" t="str">
        <f t="shared" si="159"/>
        <v/>
      </c>
      <c r="BF287" s="38" t="b">
        <f t="shared" si="160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61"/>
        <v/>
      </c>
      <c r="BS287" s="36" t="str">
        <f>IFERROR(INDEX('Level Multiplier'!$D:$D,MATCH(BR287,'Level Multiplier'!$A:$A,0)),"")</f>
        <v/>
      </c>
      <c r="BT287" s="37" t="str">
        <f t="shared" si="162"/>
        <v/>
      </c>
      <c r="BU287" s="37" t="str">
        <f t="shared" si="163"/>
        <v/>
      </c>
      <c r="BV287" s="38" t="str">
        <f t="shared" si="164"/>
        <v/>
      </c>
      <c r="BW287" s="38" t="str">
        <f t="shared" si="165"/>
        <v/>
      </c>
      <c r="BX287" s="38" t="b">
        <f t="shared" si="166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67"/>
        <v/>
      </c>
      <c r="CK287" s="41" t="str">
        <f t="shared" si="168"/>
        <v/>
      </c>
      <c r="CL287" s="39" t="str">
        <f t="shared" si="169"/>
        <v/>
      </c>
      <c r="CM287" s="39" t="str">
        <f t="shared" si="170"/>
        <v/>
      </c>
      <c r="CN287" s="42" t="str">
        <f t="shared" si="171"/>
        <v/>
      </c>
      <c r="CO287" s="42" t="str">
        <f t="shared" si="172"/>
        <v/>
      </c>
      <c r="CP287" s="42" t="str">
        <f t="shared" si="173"/>
        <v/>
      </c>
      <c r="CQ287" s="42" t="str">
        <f t="shared" si="174"/>
        <v/>
      </c>
      <c r="CR287" s="42" t="str">
        <f t="shared" si="175"/>
        <v/>
      </c>
      <c r="CS287" s="42" t="str">
        <f t="shared" si="176"/>
        <v/>
      </c>
      <c r="CT287" s="43" t="str">
        <f t="shared" si="177"/>
        <v/>
      </c>
      <c r="CU287" s="43" t="str">
        <f t="shared" si="178"/>
        <v/>
      </c>
      <c r="CV287" s="43" t="str">
        <f t="shared" si="179"/>
        <v/>
      </c>
      <c r="CW287" s="13"/>
    </row>
    <row r="288" spans="1:101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Multiplier'!$A:$A,MATCH($D288,'Level Multiplier'!$B:$B,0)),"")</f>
        <v/>
      </c>
      <c r="Q288" s="36" t="str">
        <f>IFERROR(INDEX('Level Multiplier'!$D:$D,MATCH(P288,'Level Multiplier'!$A:$A,0)),"")</f>
        <v/>
      </c>
      <c r="R288" s="37" t="str">
        <f t="shared" si="144"/>
        <v/>
      </c>
      <c r="S288" s="37" t="str">
        <f t="shared" si="145"/>
        <v/>
      </c>
      <c r="T288" s="38" t="str">
        <f t="shared" si="146"/>
        <v/>
      </c>
      <c r="U288" s="38" t="str">
        <f t="shared" si="147"/>
        <v/>
      </c>
      <c r="V288" s="38" t="b">
        <f t="shared" si="148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49"/>
        <v/>
      </c>
      <c r="AI288" s="36" t="str">
        <f>IFERROR(INDEX('Level Multiplier'!$D:$D,MATCH(AH288,'Level Multiplier'!$A:$A,0)),"")</f>
        <v/>
      </c>
      <c r="AJ288" s="37" t="str">
        <f t="shared" si="150"/>
        <v/>
      </c>
      <c r="AK288" s="37" t="str">
        <f t="shared" si="151"/>
        <v/>
      </c>
      <c r="AL288" s="38" t="str">
        <f t="shared" si="152"/>
        <v/>
      </c>
      <c r="AM288" s="38" t="str">
        <f t="shared" si="153"/>
        <v/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5"/>
        <v/>
      </c>
      <c r="BA288" s="36" t="str">
        <f>IFERROR(INDEX('Level Multiplier'!$D:$D,MATCH(AZ288,'Level Multiplier'!$A:$A,0)),"")</f>
        <v/>
      </c>
      <c r="BB288" s="37" t="str">
        <f t="shared" si="156"/>
        <v/>
      </c>
      <c r="BC288" s="37" t="str">
        <f t="shared" si="157"/>
        <v/>
      </c>
      <c r="BD288" s="38" t="str">
        <f t="shared" si="158"/>
        <v/>
      </c>
      <c r="BE288" s="38" t="str">
        <f t="shared" si="159"/>
        <v/>
      </c>
      <c r="BF288" s="38" t="b">
        <f t="shared" si="160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61"/>
        <v/>
      </c>
      <c r="BS288" s="36" t="str">
        <f>IFERROR(INDEX('Level Multiplier'!$D:$D,MATCH(BR288,'Level Multiplier'!$A:$A,0)),"")</f>
        <v/>
      </c>
      <c r="BT288" s="37" t="str">
        <f t="shared" si="162"/>
        <v/>
      </c>
      <c r="BU288" s="37" t="str">
        <f t="shared" si="163"/>
        <v/>
      </c>
      <c r="BV288" s="38" t="str">
        <f t="shared" si="164"/>
        <v/>
      </c>
      <c r="BW288" s="38" t="str">
        <f t="shared" si="165"/>
        <v/>
      </c>
      <c r="BX288" s="38" t="b">
        <f t="shared" si="166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67"/>
        <v/>
      </c>
      <c r="CK288" s="41" t="str">
        <f t="shared" si="168"/>
        <v/>
      </c>
      <c r="CL288" s="39" t="str">
        <f t="shared" si="169"/>
        <v/>
      </c>
      <c r="CM288" s="39" t="str">
        <f t="shared" si="170"/>
        <v/>
      </c>
      <c r="CN288" s="42" t="str">
        <f t="shared" si="171"/>
        <v/>
      </c>
      <c r="CO288" s="42" t="str">
        <f t="shared" si="172"/>
        <v/>
      </c>
      <c r="CP288" s="42" t="str">
        <f t="shared" si="173"/>
        <v/>
      </c>
      <c r="CQ288" s="42" t="str">
        <f t="shared" si="174"/>
        <v/>
      </c>
      <c r="CR288" s="42" t="str">
        <f t="shared" si="175"/>
        <v/>
      </c>
      <c r="CS288" s="42" t="str">
        <f t="shared" si="176"/>
        <v/>
      </c>
      <c r="CT288" s="43" t="str">
        <f t="shared" si="177"/>
        <v/>
      </c>
      <c r="CU288" s="43" t="str">
        <f t="shared" si="178"/>
        <v/>
      </c>
      <c r="CV288" s="43" t="str">
        <f t="shared" si="179"/>
        <v/>
      </c>
      <c r="CW288" s="13"/>
    </row>
    <row r="289" spans="1:101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Multiplier'!$A:$A,MATCH($D289,'Level Multiplier'!$B:$B,0)),"")</f>
        <v/>
      </c>
      <c r="Q289" s="36" t="str">
        <f>IFERROR(INDEX('Level Multiplier'!$D:$D,MATCH(P289,'Level Multiplier'!$A:$A,0)),"")</f>
        <v/>
      </c>
      <c r="R289" s="37" t="str">
        <f t="shared" si="144"/>
        <v/>
      </c>
      <c r="S289" s="37" t="str">
        <f t="shared" si="145"/>
        <v/>
      </c>
      <c r="T289" s="38" t="str">
        <f t="shared" si="146"/>
        <v/>
      </c>
      <c r="U289" s="38" t="str">
        <f t="shared" si="147"/>
        <v/>
      </c>
      <c r="V289" s="38" t="b">
        <f t="shared" si="148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49"/>
        <v/>
      </c>
      <c r="AI289" s="36" t="str">
        <f>IFERROR(INDEX('Level Multiplier'!$D:$D,MATCH(AH289,'Level Multiplier'!$A:$A,0)),"")</f>
        <v/>
      </c>
      <c r="AJ289" s="37" t="str">
        <f t="shared" si="150"/>
        <v/>
      </c>
      <c r="AK289" s="37" t="str">
        <f t="shared" si="151"/>
        <v/>
      </c>
      <c r="AL289" s="38" t="str">
        <f t="shared" si="152"/>
        <v/>
      </c>
      <c r="AM289" s="38" t="str">
        <f t="shared" si="153"/>
        <v/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5"/>
        <v/>
      </c>
      <c r="BA289" s="36" t="str">
        <f>IFERROR(INDEX('Level Multiplier'!$D:$D,MATCH(AZ289,'Level Multiplier'!$A:$A,0)),"")</f>
        <v/>
      </c>
      <c r="BB289" s="37" t="str">
        <f t="shared" si="156"/>
        <v/>
      </c>
      <c r="BC289" s="37" t="str">
        <f t="shared" si="157"/>
        <v/>
      </c>
      <c r="BD289" s="38" t="str">
        <f t="shared" si="158"/>
        <v/>
      </c>
      <c r="BE289" s="38" t="str">
        <f t="shared" si="159"/>
        <v/>
      </c>
      <c r="BF289" s="38" t="b">
        <f t="shared" si="160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61"/>
        <v/>
      </c>
      <c r="BS289" s="36" t="str">
        <f>IFERROR(INDEX('Level Multiplier'!$D:$D,MATCH(BR289,'Level Multiplier'!$A:$A,0)),"")</f>
        <v/>
      </c>
      <c r="BT289" s="37" t="str">
        <f t="shared" si="162"/>
        <v/>
      </c>
      <c r="BU289" s="37" t="str">
        <f t="shared" si="163"/>
        <v/>
      </c>
      <c r="BV289" s="38" t="str">
        <f t="shared" si="164"/>
        <v/>
      </c>
      <c r="BW289" s="38" t="str">
        <f t="shared" si="165"/>
        <v/>
      </c>
      <c r="BX289" s="38" t="b">
        <f t="shared" si="166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67"/>
        <v/>
      </c>
      <c r="CK289" s="41" t="str">
        <f t="shared" si="168"/>
        <v/>
      </c>
      <c r="CL289" s="39" t="str">
        <f t="shared" si="169"/>
        <v/>
      </c>
      <c r="CM289" s="39" t="str">
        <f t="shared" si="170"/>
        <v/>
      </c>
      <c r="CN289" s="42" t="str">
        <f t="shared" si="171"/>
        <v/>
      </c>
      <c r="CO289" s="42" t="str">
        <f t="shared" si="172"/>
        <v/>
      </c>
      <c r="CP289" s="42" t="str">
        <f t="shared" si="173"/>
        <v/>
      </c>
      <c r="CQ289" s="42" t="str">
        <f t="shared" si="174"/>
        <v/>
      </c>
      <c r="CR289" s="42" t="str">
        <f t="shared" si="175"/>
        <v/>
      </c>
      <c r="CS289" s="42" t="str">
        <f t="shared" si="176"/>
        <v/>
      </c>
      <c r="CT289" s="43" t="str">
        <f t="shared" si="177"/>
        <v/>
      </c>
      <c r="CU289" s="43" t="str">
        <f t="shared" si="178"/>
        <v/>
      </c>
      <c r="CV289" s="43" t="str">
        <f t="shared" si="179"/>
        <v/>
      </c>
      <c r="CW289" s="13"/>
    </row>
    <row r="290" spans="1:101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Multiplier'!$A:$A,MATCH($D290,'Level Multiplier'!$B:$B,0)),"")</f>
        <v/>
      </c>
      <c r="Q290" s="36" t="str">
        <f>IFERROR(INDEX('Level Multiplier'!$D:$D,MATCH(P290,'Level Multiplier'!$A:$A,0)),"")</f>
        <v/>
      </c>
      <c r="R290" s="37" t="str">
        <f t="shared" si="144"/>
        <v/>
      </c>
      <c r="S290" s="37" t="str">
        <f t="shared" si="145"/>
        <v/>
      </c>
      <c r="T290" s="38" t="str">
        <f t="shared" si="146"/>
        <v/>
      </c>
      <c r="U290" s="38" t="str">
        <f t="shared" si="147"/>
        <v/>
      </c>
      <c r="V290" s="38" t="b">
        <f t="shared" si="148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49"/>
        <v/>
      </c>
      <c r="AI290" s="36" t="str">
        <f>IFERROR(INDEX('Level Multiplier'!$D:$D,MATCH(AH290,'Level Multiplier'!$A:$A,0)),"")</f>
        <v/>
      </c>
      <c r="AJ290" s="37" t="str">
        <f t="shared" si="150"/>
        <v/>
      </c>
      <c r="AK290" s="37" t="str">
        <f t="shared" si="151"/>
        <v/>
      </c>
      <c r="AL290" s="38" t="str">
        <f t="shared" si="152"/>
        <v/>
      </c>
      <c r="AM290" s="38" t="str">
        <f t="shared" si="153"/>
        <v/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5"/>
        <v/>
      </c>
      <c r="BA290" s="36" t="str">
        <f>IFERROR(INDEX('Level Multiplier'!$D:$D,MATCH(AZ290,'Level Multiplier'!$A:$A,0)),"")</f>
        <v/>
      </c>
      <c r="BB290" s="37" t="str">
        <f t="shared" si="156"/>
        <v/>
      </c>
      <c r="BC290" s="37" t="str">
        <f t="shared" si="157"/>
        <v/>
      </c>
      <c r="BD290" s="38" t="str">
        <f t="shared" si="158"/>
        <v/>
      </c>
      <c r="BE290" s="38" t="str">
        <f t="shared" si="159"/>
        <v/>
      </c>
      <c r="BF290" s="38" t="b">
        <f t="shared" si="160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61"/>
        <v/>
      </c>
      <c r="BS290" s="36" t="str">
        <f>IFERROR(INDEX('Level Multiplier'!$D:$D,MATCH(BR290,'Level Multiplier'!$A:$A,0)),"")</f>
        <v/>
      </c>
      <c r="BT290" s="37" t="str">
        <f t="shared" si="162"/>
        <v/>
      </c>
      <c r="BU290" s="37" t="str">
        <f t="shared" si="163"/>
        <v/>
      </c>
      <c r="BV290" s="38" t="str">
        <f t="shared" si="164"/>
        <v/>
      </c>
      <c r="BW290" s="38" t="str">
        <f t="shared" si="165"/>
        <v/>
      </c>
      <c r="BX290" s="38" t="b">
        <f t="shared" si="166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67"/>
        <v/>
      </c>
      <c r="CK290" s="41" t="str">
        <f t="shared" si="168"/>
        <v/>
      </c>
      <c r="CL290" s="39" t="str">
        <f t="shared" si="169"/>
        <v/>
      </c>
      <c r="CM290" s="39" t="str">
        <f t="shared" si="170"/>
        <v/>
      </c>
      <c r="CN290" s="42" t="str">
        <f t="shared" si="171"/>
        <v/>
      </c>
      <c r="CO290" s="42" t="str">
        <f t="shared" si="172"/>
        <v/>
      </c>
      <c r="CP290" s="42" t="str">
        <f t="shared" si="173"/>
        <v/>
      </c>
      <c r="CQ290" s="42" t="str">
        <f t="shared" si="174"/>
        <v/>
      </c>
      <c r="CR290" s="42" t="str">
        <f t="shared" si="175"/>
        <v/>
      </c>
      <c r="CS290" s="42" t="str">
        <f t="shared" si="176"/>
        <v/>
      </c>
      <c r="CT290" s="43" t="str">
        <f t="shared" si="177"/>
        <v/>
      </c>
      <c r="CU290" s="43" t="str">
        <f t="shared" si="178"/>
        <v/>
      </c>
      <c r="CV290" s="43" t="str">
        <f t="shared" si="179"/>
        <v/>
      </c>
      <c r="CW290" s="13"/>
    </row>
    <row r="291" spans="1:101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Multiplier'!$A:$A,MATCH($D291,'Level Multiplier'!$B:$B,0)),"")</f>
        <v/>
      </c>
      <c r="Q291" s="36" t="str">
        <f>IFERROR(INDEX('Level Multiplier'!$D:$D,MATCH(P291,'Level Multiplier'!$A:$A,0)),"")</f>
        <v/>
      </c>
      <c r="R291" s="37" t="str">
        <f t="shared" si="144"/>
        <v/>
      </c>
      <c r="S291" s="37" t="str">
        <f t="shared" si="145"/>
        <v/>
      </c>
      <c r="T291" s="38" t="str">
        <f t="shared" si="146"/>
        <v/>
      </c>
      <c r="U291" s="38" t="str">
        <f t="shared" si="147"/>
        <v/>
      </c>
      <c r="V291" s="38" t="b">
        <f t="shared" si="148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49"/>
        <v/>
      </c>
      <c r="AI291" s="36" t="str">
        <f>IFERROR(INDEX('Level Multiplier'!$D:$D,MATCH(AH291,'Level Multiplier'!$A:$A,0)),"")</f>
        <v/>
      </c>
      <c r="AJ291" s="37" t="str">
        <f t="shared" si="150"/>
        <v/>
      </c>
      <c r="AK291" s="37" t="str">
        <f t="shared" si="151"/>
        <v/>
      </c>
      <c r="AL291" s="38" t="str">
        <f t="shared" si="152"/>
        <v/>
      </c>
      <c r="AM291" s="38" t="str">
        <f t="shared" si="153"/>
        <v/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5"/>
        <v/>
      </c>
      <c r="BA291" s="36" t="str">
        <f>IFERROR(INDEX('Level Multiplier'!$D:$D,MATCH(AZ291,'Level Multiplier'!$A:$A,0)),"")</f>
        <v/>
      </c>
      <c r="BB291" s="37" t="str">
        <f t="shared" si="156"/>
        <v/>
      </c>
      <c r="BC291" s="37" t="str">
        <f t="shared" si="157"/>
        <v/>
      </c>
      <c r="BD291" s="38" t="str">
        <f t="shared" si="158"/>
        <v/>
      </c>
      <c r="BE291" s="38" t="str">
        <f t="shared" si="159"/>
        <v/>
      </c>
      <c r="BF291" s="38" t="b">
        <f t="shared" si="160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61"/>
        <v/>
      </c>
      <c r="BS291" s="36" t="str">
        <f>IFERROR(INDEX('Level Multiplier'!$D:$D,MATCH(BR291,'Level Multiplier'!$A:$A,0)),"")</f>
        <v/>
      </c>
      <c r="BT291" s="37" t="str">
        <f t="shared" si="162"/>
        <v/>
      </c>
      <c r="BU291" s="37" t="str">
        <f t="shared" si="163"/>
        <v/>
      </c>
      <c r="BV291" s="38" t="str">
        <f t="shared" si="164"/>
        <v/>
      </c>
      <c r="BW291" s="38" t="str">
        <f t="shared" si="165"/>
        <v/>
      </c>
      <c r="BX291" s="38" t="b">
        <f t="shared" si="166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67"/>
        <v/>
      </c>
      <c r="CK291" s="41" t="str">
        <f t="shared" si="168"/>
        <v/>
      </c>
      <c r="CL291" s="39" t="str">
        <f t="shared" si="169"/>
        <v/>
      </c>
      <c r="CM291" s="39" t="str">
        <f t="shared" si="170"/>
        <v/>
      </c>
      <c r="CN291" s="42" t="str">
        <f t="shared" si="171"/>
        <v/>
      </c>
      <c r="CO291" s="42" t="str">
        <f t="shared" si="172"/>
        <v/>
      </c>
      <c r="CP291" s="42" t="str">
        <f t="shared" si="173"/>
        <v/>
      </c>
      <c r="CQ291" s="42" t="str">
        <f t="shared" si="174"/>
        <v/>
      </c>
      <c r="CR291" s="42" t="str">
        <f t="shared" si="175"/>
        <v/>
      </c>
      <c r="CS291" s="42" t="str">
        <f t="shared" si="176"/>
        <v/>
      </c>
      <c r="CT291" s="43" t="str">
        <f t="shared" si="177"/>
        <v/>
      </c>
      <c r="CU291" s="43" t="str">
        <f t="shared" si="178"/>
        <v/>
      </c>
      <c r="CV291" s="43" t="str">
        <f t="shared" si="179"/>
        <v/>
      </c>
      <c r="CW291" s="13"/>
    </row>
    <row r="292" spans="1:101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Multiplier'!$A:$A,MATCH($D292,'Level Multiplier'!$B:$B,0)),"")</f>
        <v/>
      </c>
      <c r="Q292" s="36" t="str">
        <f>IFERROR(INDEX('Level Multiplier'!$D:$D,MATCH(P292,'Level Multiplier'!$A:$A,0)),"")</f>
        <v/>
      </c>
      <c r="R292" s="37" t="str">
        <f t="shared" si="144"/>
        <v/>
      </c>
      <c r="S292" s="37" t="str">
        <f t="shared" si="145"/>
        <v/>
      </c>
      <c r="T292" s="38" t="str">
        <f t="shared" si="146"/>
        <v/>
      </c>
      <c r="U292" s="38" t="str">
        <f t="shared" si="147"/>
        <v/>
      </c>
      <c r="V292" s="38" t="b">
        <f t="shared" si="148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49"/>
        <v/>
      </c>
      <c r="AI292" s="36" t="str">
        <f>IFERROR(INDEX('Level Multiplier'!$D:$D,MATCH(AH292,'Level Multiplier'!$A:$A,0)),"")</f>
        <v/>
      </c>
      <c r="AJ292" s="37" t="str">
        <f t="shared" si="150"/>
        <v/>
      </c>
      <c r="AK292" s="37" t="str">
        <f t="shared" si="151"/>
        <v/>
      </c>
      <c r="AL292" s="38" t="str">
        <f t="shared" si="152"/>
        <v/>
      </c>
      <c r="AM292" s="38" t="str">
        <f t="shared" si="153"/>
        <v/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5"/>
        <v/>
      </c>
      <c r="BA292" s="36" t="str">
        <f>IFERROR(INDEX('Level Multiplier'!$D:$D,MATCH(AZ292,'Level Multiplier'!$A:$A,0)),"")</f>
        <v/>
      </c>
      <c r="BB292" s="37" t="str">
        <f t="shared" si="156"/>
        <v/>
      </c>
      <c r="BC292" s="37" t="str">
        <f t="shared" si="157"/>
        <v/>
      </c>
      <c r="BD292" s="38" t="str">
        <f t="shared" si="158"/>
        <v/>
      </c>
      <c r="BE292" s="38" t="str">
        <f t="shared" si="159"/>
        <v/>
      </c>
      <c r="BF292" s="38" t="b">
        <f t="shared" si="160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1"/>
        <v/>
      </c>
      <c r="BS292" s="36" t="str">
        <f>IFERROR(INDEX('Level Multiplier'!$D:$D,MATCH(BR292,'Level Multiplier'!$A:$A,0)),"")</f>
        <v/>
      </c>
      <c r="BT292" s="37" t="str">
        <f t="shared" si="162"/>
        <v/>
      </c>
      <c r="BU292" s="37" t="str">
        <f t="shared" si="163"/>
        <v/>
      </c>
      <c r="BV292" s="38" t="str">
        <f t="shared" si="164"/>
        <v/>
      </c>
      <c r="BW292" s="38" t="str">
        <f t="shared" si="165"/>
        <v/>
      </c>
      <c r="BX292" s="38" t="b">
        <f t="shared" si="166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67"/>
        <v/>
      </c>
      <c r="CK292" s="41" t="str">
        <f t="shared" si="168"/>
        <v/>
      </c>
      <c r="CL292" s="39" t="str">
        <f t="shared" si="169"/>
        <v/>
      </c>
      <c r="CM292" s="39" t="str">
        <f t="shared" si="170"/>
        <v/>
      </c>
      <c r="CN292" s="42" t="str">
        <f t="shared" si="171"/>
        <v/>
      </c>
      <c r="CO292" s="42" t="str">
        <f t="shared" si="172"/>
        <v/>
      </c>
      <c r="CP292" s="42" t="str">
        <f t="shared" si="173"/>
        <v/>
      </c>
      <c r="CQ292" s="42" t="str">
        <f t="shared" si="174"/>
        <v/>
      </c>
      <c r="CR292" s="42" t="str">
        <f t="shared" si="175"/>
        <v/>
      </c>
      <c r="CS292" s="42" t="str">
        <f t="shared" si="176"/>
        <v/>
      </c>
      <c r="CT292" s="43" t="str">
        <f t="shared" si="177"/>
        <v/>
      </c>
      <c r="CU292" s="43" t="str">
        <f t="shared" si="178"/>
        <v/>
      </c>
      <c r="CV292" s="43" t="str">
        <f t="shared" si="179"/>
        <v/>
      </c>
      <c r="CW292" s="13"/>
    </row>
    <row r="293" spans="1:101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Multiplier'!$A:$A,MATCH($D293,'Level Multiplier'!$B:$B,0)),"")</f>
        <v/>
      </c>
      <c r="Q293" s="36" t="str">
        <f>IFERROR(INDEX('Level Multiplier'!$D:$D,MATCH(P293,'Level Multiplier'!$A:$A,0)),"")</f>
        <v/>
      </c>
      <c r="R293" s="37" t="str">
        <f t="shared" si="144"/>
        <v/>
      </c>
      <c r="S293" s="37" t="str">
        <f t="shared" si="145"/>
        <v/>
      </c>
      <c r="T293" s="38" t="str">
        <f t="shared" si="146"/>
        <v/>
      </c>
      <c r="U293" s="38" t="str">
        <f t="shared" si="147"/>
        <v/>
      </c>
      <c r="V293" s="38" t="b">
        <f t="shared" si="148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49"/>
        <v/>
      </c>
      <c r="AI293" s="36" t="str">
        <f>IFERROR(INDEX('Level Multiplier'!$D:$D,MATCH(AH293,'Level Multiplier'!$A:$A,0)),"")</f>
        <v/>
      </c>
      <c r="AJ293" s="37" t="str">
        <f t="shared" si="150"/>
        <v/>
      </c>
      <c r="AK293" s="37" t="str">
        <f t="shared" si="151"/>
        <v/>
      </c>
      <c r="AL293" s="38" t="str">
        <f t="shared" si="152"/>
        <v/>
      </c>
      <c r="AM293" s="38" t="str">
        <f t="shared" si="153"/>
        <v/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5"/>
        <v/>
      </c>
      <c r="BA293" s="36" t="str">
        <f>IFERROR(INDEX('Level Multiplier'!$D:$D,MATCH(AZ293,'Level Multiplier'!$A:$A,0)),"")</f>
        <v/>
      </c>
      <c r="BB293" s="37" t="str">
        <f t="shared" si="156"/>
        <v/>
      </c>
      <c r="BC293" s="37" t="str">
        <f t="shared" si="157"/>
        <v/>
      </c>
      <c r="BD293" s="38" t="str">
        <f t="shared" si="158"/>
        <v/>
      </c>
      <c r="BE293" s="38" t="str">
        <f t="shared" si="159"/>
        <v/>
      </c>
      <c r="BF293" s="38" t="b">
        <f t="shared" si="160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1"/>
        <v/>
      </c>
      <c r="BS293" s="36" t="str">
        <f>IFERROR(INDEX('Level Multiplier'!$D:$D,MATCH(BR293,'Level Multiplier'!$A:$A,0)),"")</f>
        <v/>
      </c>
      <c r="BT293" s="37" t="str">
        <f t="shared" si="162"/>
        <v/>
      </c>
      <c r="BU293" s="37" t="str">
        <f t="shared" si="163"/>
        <v/>
      </c>
      <c r="BV293" s="38" t="str">
        <f t="shared" si="164"/>
        <v/>
      </c>
      <c r="BW293" s="38" t="str">
        <f t="shared" si="165"/>
        <v/>
      </c>
      <c r="BX293" s="38" t="b">
        <f t="shared" si="166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67"/>
        <v/>
      </c>
      <c r="CK293" s="41" t="str">
        <f t="shared" si="168"/>
        <v/>
      </c>
      <c r="CL293" s="39" t="str">
        <f t="shared" si="169"/>
        <v/>
      </c>
      <c r="CM293" s="39" t="str">
        <f t="shared" si="170"/>
        <v/>
      </c>
      <c r="CN293" s="42" t="str">
        <f t="shared" si="171"/>
        <v/>
      </c>
      <c r="CO293" s="42" t="str">
        <f t="shared" si="172"/>
        <v/>
      </c>
      <c r="CP293" s="42" t="str">
        <f t="shared" si="173"/>
        <v/>
      </c>
      <c r="CQ293" s="42" t="str">
        <f t="shared" si="174"/>
        <v/>
      </c>
      <c r="CR293" s="42" t="str">
        <f t="shared" si="175"/>
        <v/>
      </c>
      <c r="CS293" s="42" t="str">
        <f t="shared" si="176"/>
        <v/>
      </c>
      <c r="CT293" s="43" t="str">
        <f t="shared" si="177"/>
        <v/>
      </c>
      <c r="CU293" s="43" t="str">
        <f t="shared" si="178"/>
        <v/>
      </c>
      <c r="CV293" s="43" t="str">
        <f t="shared" si="179"/>
        <v/>
      </c>
      <c r="CW293" s="13"/>
    </row>
    <row r="294" spans="1:101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Multiplier'!$A:$A,MATCH($D294,'Level Multiplier'!$B:$B,0)),"")</f>
        <v/>
      </c>
      <c r="Q294" s="36" t="str">
        <f>IFERROR(INDEX('Level Multiplier'!$D:$D,MATCH(P294,'Level Multiplier'!$A:$A,0)),"")</f>
        <v/>
      </c>
      <c r="R294" s="37" t="str">
        <f t="shared" si="144"/>
        <v/>
      </c>
      <c r="S294" s="37" t="str">
        <f t="shared" si="145"/>
        <v/>
      </c>
      <c r="T294" s="38" t="str">
        <f t="shared" si="146"/>
        <v/>
      </c>
      <c r="U294" s="38" t="str">
        <f t="shared" si="147"/>
        <v/>
      </c>
      <c r="V294" s="38" t="b">
        <f t="shared" si="148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49"/>
        <v/>
      </c>
      <c r="AI294" s="36" t="str">
        <f>IFERROR(INDEX('Level Multiplier'!$D:$D,MATCH(AH294,'Level Multiplier'!$A:$A,0)),"")</f>
        <v/>
      </c>
      <c r="AJ294" s="37" t="str">
        <f t="shared" si="150"/>
        <v/>
      </c>
      <c r="AK294" s="37" t="str">
        <f t="shared" si="151"/>
        <v/>
      </c>
      <c r="AL294" s="38" t="str">
        <f t="shared" si="152"/>
        <v/>
      </c>
      <c r="AM294" s="38" t="str">
        <f t="shared" si="153"/>
        <v/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5"/>
        <v/>
      </c>
      <c r="BA294" s="36" t="str">
        <f>IFERROR(INDEX('Level Multiplier'!$D:$D,MATCH(AZ294,'Level Multiplier'!$A:$A,0)),"")</f>
        <v/>
      </c>
      <c r="BB294" s="37" t="str">
        <f t="shared" si="156"/>
        <v/>
      </c>
      <c r="BC294" s="37" t="str">
        <f t="shared" si="157"/>
        <v/>
      </c>
      <c r="BD294" s="38" t="str">
        <f t="shared" si="158"/>
        <v/>
      </c>
      <c r="BE294" s="38" t="str">
        <f t="shared" si="159"/>
        <v/>
      </c>
      <c r="BF294" s="38" t="b">
        <f t="shared" si="160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1"/>
        <v/>
      </c>
      <c r="BS294" s="36" t="str">
        <f>IFERROR(INDEX('Level Multiplier'!$D:$D,MATCH(BR294,'Level Multiplier'!$A:$A,0)),"")</f>
        <v/>
      </c>
      <c r="BT294" s="37" t="str">
        <f t="shared" si="162"/>
        <v/>
      </c>
      <c r="BU294" s="37" t="str">
        <f t="shared" si="163"/>
        <v/>
      </c>
      <c r="BV294" s="38" t="str">
        <f t="shared" si="164"/>
        <v/>
      </c>
      <c r="BW294" s="38" t="str">
        <f t="shared" si="165"/>
        <v/>
      </c>
      <c r="BX294" s="38" t="b">
        <f t="shared" si="166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67"/>
        <v/>
      </c>
      <c r="CK294" s="41" t="str">
        <f t="shared" si="168"/>
        <v/>
      </c>
      <c r="CL294" s="39" t="str">
        <f t="shared" si="169"/>
        <v/>
      </c>
      <c r="CM294" s="39" t="str">
        <f t="shared" si="170"/>
        <v/>
      </c>
      <c r="CN294" s="42" t="str">
        <f t="shared" si="171"/>
        <v/>
      </c>
      <c r="CO294" s="42" t="str">
        <f t="shared" si="172"/>
        <v/>
      </c>
      <c r="CP294" s="42" t="str">
        <f t="shared" si="173"/>
        <v/>
      </c>
      <c r="CQ294" s="42" t="str">
        <f t="shared" si="174"/>
        <v/>
      </c>
      <c r="CR294" s="42" t="str">
        <f t="shared" si="175"/>
        <v/>
      </c>
      <c r="CS294" s="42" t="str">
        <f t="shared" si="176"/>
        <v/>
      </c>
      <c r="CT294" s="43" t="str">
        <f t="shared" si="177"/>
        <v/>
      </c>
      <c r="CU294" s="43" t="str">
        <f t="shared" si="178"/>
        <v/>
      </c>
      <c r="CV294" s="43" t="str">
        <f t="shared" si="179"/>
        <v/>
      </c>
      <c r="CW294" s="13"/>
    </row>
    <row r="295" spans="1:101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Multiplier'!$A:$A,MATCH($D295,'Level Multiplier'!$B:$B,0)),"")</f>
        <v/>
      </c>
      <c r="Q295" s="36" t="str">
        <f>IFERROR(INDEX('Level Multiplier'!$D:$D,MATCH(P295,'Level Multiplier'!$A:$A,0)),"")</f>
        <v/>
      </c>
      <c r="R295" s="37" t="str">
        <f t="shared" si="144"/>
        <v/>
      </c>
      <c r="S295" s="37" t="str">
        <f t="shared" si="145"/>
        <v/>
      </c>
      <c r="T295" s="38" t="str">
        <f t="shared" si="146"/>
        <v/>
      </c>
      <c r="U295" s="38" t="str">
        <f t="shared" si="147"/>
        <v/>
      </c>
      <c r="V295" s="38" t="b">
        <f t="shared" si="148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49"/>
        <v/>
      </c>
      <c r="AI295" s="36" t="str">
        <f>IFERROR(INDEX('Level Multiplier'!$D:$D,MATCH(AH295,'Level Multiplier'!$A:$A,0)),"")</f>
        <v/>
      </c>
      <c r="AJ295" s="37" t="str">
        <f t="shared" si="150"/>
        <v/>
      </c>
      <c r="AK295" s="37" t="str">
        <f t="shared" si="151"/>
        <v/>
      </c>
      <c r="AL295" s="38" t="str">
        <f t="shared" si="152"/>
        <v/>
      </c>
      <c r="AM295" s="38" t="str">
        <f t="shared" si="153"/>
        <v/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5"/>
        <v/>
      </c>
      <c r="BA295" s="36" t="str">
        <f>IFERROR(INDEX('Level Multiplier'!$D:$D,MATCH(AZ295,'Level Multiplier'!$A:$A,0)),"")</f>
        <v/>
      </c>
      <c r="BB295" s="37" t="str">
        <f t="shared" si="156"/>
        <v/>
      </c>
      <c r="BC295" s="37" t="str">
        <f t="shared" si="157"/>
        <v/>
      </c>
      <c r="BD295" s="38" t="str">
        <f t="shared" si="158"/>
        <v/>
      </c>
      <c r="BE295" s="38" t="str">
        <f t="shared" si="159"/>
        <v/>
      </c>
      <c r="BF295" s="38" t="b">
        <f t="shared" si="160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1"/>
        <v/>
      </c>
      <c r="BS295" s="36" t="str">
        <f>IFERROR(INDEX('Level Multiplier'!$D:$D,MATCH(BR295,'Level Multiplier'!$A:$A,0)),"")</f>
        <v/>
      </c>
      <c r="BT295" s="37" t="str">
        <f t="shared" si="162"/>
        <v/>
      </c>
      <c r="BU295" s="37" t="str">
        <f t="shared" si="163"/>
        <v/>
      </c>
      <c r="BV295" s="38" t="str">
        <f t="shared" si="164"/>
        <v/>
      </c>
      <c r="BW295" s="38" t="str">
        <f t="shared" si="165"/>
        <v/>
      </c>
      <c r="BX295" s="38" t="b">
        <f t="shared" si="166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67"/>
        <v/>
      </c>
      <c r="CK295" s="41" t="str">
        <f t="shared" si="168"/>
        <v/>
      </c>
      <c r="CL295" s="39" t="str">
        <f t="shared" si="169"/>
        <v/>
      </c>
      <c r="CM295" s="39" t="str">
        <f t="shared" si="170"/>
        <v/>
      </c>
      <c r="CN295" s="42" t="str">
        <f t="shared" si="171"/>
        <v/>
      </c>
      <c r="CO295" s="42" t="str">
        <f t="shared" si="172"/>
        <v/>
      </c>
      <c r="CP295" s="42" t="str">
        <f t="shared" si="173"/>
        <v/>
      </c>
      <c r="CQ295" s="42" t="str">
        <f t="shared" si="174"/>
        <v/>
      </c>
      <c r="CR295" s="42" t="str">
        <f t="shared" si="175"/>
        <v/>
      </c>
      <c r="CS295" s="42" t="str">
        <f t="shared" si="176"/>
        <v/>
      </c>
      <c r="CT295" s="43" t="str">
        <f t="shared" si="177"/>
        <v/>
      </c>
      <c r="CU295" s="43" t="str">
        <f t="shared" si="178"/>
        <v/>
      </c>
      <c r="CV295" s="43" t="str">
        <f t="shared" si="179"/>
        <v/>
      </c>
      <c r="CW295" s="13"/>
    </row>
    <row r="296" spans="1:101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Multiplier'!$A:$A,MATCH($D296,'Level Multiplier'!$B:$B,0)),"")</f>
        <v/>
      </c>
      <c r="Q296" s="36" t="str">
        <f>IFERROR(INDEX('Level Multiplier'!$D:$D,MATCH(P296,'Level Multiplier'!$A:$A,0)),"")</f>
        <v/>
      </c>
      <c r="R296" s="37" t="str">
        <f t="shared" si="144"/>
        <v/>
      </c>
      <c r="S296" s="37" t="str">
        <f t="shared" si="145"/>
        <v/>
      </c>
      <c r="T296" s="38" t="str">
        <f t="shared" si="146"/>
        <v/>
      </c>
      <c r="U296" s="38" t="str">
        <f t="shared" si="147"/>
        <v/>
      </c>
      <c r="V296" s="38" t="b">
        <f t="shared" si="148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49"/>
        <v/>
      </c>
      <c r="AI296" s="36" t="str">
        <f>IFERROR(INDEX('Level Multiplier'!$D:$D,MATCH(AH296,'Level Multiplier'!$A:$A,0)),"")</f>
        <v/>
      </c>
      <c r="AJ296" s="37" t="str">
        <f t="shared" si="150"/>
        <v/>
      </c>
      <c r="AK296" s="37" t="str">
        <f t="shared" si="151"/>
        <v/>
      </c>
      <c r="AL296" s="38" t="str">
        <f t="shared" si="152"/>
        <v/>
      </c>
      <c r="AM296" s="38" t="str">
        <f t="shared" si="153"/>
        <v/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5"/>
        <v/>
      </c>
      <c r="BA296" s="36" t="str">
        <f>IFERROR(INDEX('Level Multiplier'!$D:$D,MATCH(AZ296,'Level Multiplier'!$A:$A,0)),"")</f>
        <v/>
      </c>
      <c r="BB296" s="37" t="str">
        <f t="shared" si="156"/>
        <v/>
      </c>
      <c r="BC296" s="37" t="str">
        <f t="shared" si="157"/>
        <v/>
      </c>
      <c r="BD296" s="38" t="str">
        <f t="shared" si="158"/>
        <v/>
      </c>
      <c r="BE296" s="38" t="str">
        <f t="shared" si="159"/>
        <v/>
      </c>
      <c r="BF296" s="38" t="b">
        <f t="shared" si="160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1"/>
        <v/>
      </c>
      <c r="BS296" s="36" t="str">
        <f>IFERROR(INDEX('Level Multiplier'!$D:$D,MATCH(BR296,'Level Multiplier'!$A:$A,0)),"")</f>
        <v/>
      </c>
      <c r="BT296" s="37" t="str">
        <f t="shared" si="162"/>
        <v/>
      </c>
      <c r="BU296" s="37" t="str">
        <f t="shared" si="163"/>
        <v/>
      </c>
      <c r="BV296" s="38" t="str">
        <f t="shared" si="164"/>
        <v/>
      </c>
      <c r="BW296" s="38" t="str">
        <f t="shared" si="165"/>
        <v/>
      </c>
      <c r="BX296" s="38" t="b">
        <f t="shared" si="166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67"/>
        <v/>
      </c>
      <c r="CK296" s="41" t="str">
        <f t="shared" si="168"/>
        <v/>
      </c>
      <c r="CL296" s="39" t="str">
        <f t="shared" si="169"/>
        <v/>
      </c>
      <c r="CM296" s="39" t="str">
        <f t="shared" si="170"/>
        <v/>
      </c>
      <c r="CN296" s="42" t="str">
        <f t="shared" si="171"/>
        <v/>
      </c>
      <c r="CO296" s="42" t="str">
        <f t="shared" si="172"/>
        <v/>
      </c>
      <c r="CP296" s="42" t="str">
        <f t="shared" si="173"/>
        <v/>
      </c>
      <c r="CQ296" s="42" t="str">
        <f t="shared" si="174"/>
        <v/>
      </c>
      <c r="CR296" s="42" t="str">
        <f t="shared" si="175"/>
        <v/>
      </c>
      <c r="CS296" s="42" t="str">
        <f t="shared" si="176"/>
        <v/>
      </c>
      <c r="CT296" s="43" t="str">
        <f t="shared" si="177"/>
        <v/>
      </c>
      <c r="CU296" s="43" t="str">
        <f t="shared" si="178"/>
        <v/>
      </c>
      <c r="CV296" s="43" t="str">
        <f t="shared" si="179"/>
        <v/>
      </c>
      <c r="CW296" s="13"/>
    </row>
    <row r="297" spans="1:101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Multiplier'!$A:$A,MATCH($D297,'Level Multiplier'!$B:$B,0)),"")</f>
        <v/>
      </c>
      <c r="Q297" s="36" t="str">
        <f>IFERROR(INDEX('Level Multiplier'!$D:$D,MATCH(P297,'Level Multiplier'!$A:$A,0)),"")</f>
        <v/>
      </c>
      <c r="R297" s="37" t="str">
        <f t="shared" si="144"/>
        <v/>
      </c>
      <c r="S297" s="37" t="str">
        <f t="shared" si="145"/>
        <v/>
      </c>
      <c r="T297" s="38" t="str">
        <f t="shared" si="146"/>
        <v/>
      </c>
      <c r="U297" s="38" t="str">
        <f t="shared" si="147"/>
        <v/>
      </c>
      <c r="V297" s="38" t="b">
        <f t="shared" si="148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49"/>
        <v/>
      </c>
      <c r="AI297" s="36" t="str">
        <f>IFERROR(INDEX('Level Multiplier'!$D:$D,MATCH(AH297,'Level Multiplier'!$A:$A,0)),"")</f>
        <v/>
      </c>
      <c r="AJ297" s="37" t="str">
        <f t="shared" si="150"/>
        <v/>
      </c>
      <c r="AK297" s="37" t="str">
        <f t="shared" si="151"/>
        <v/>
      </c>
      <c r="AL297" s="38" t="str">
        <f t="shared" si="152"/>
        <v/>
      </c>
      <c r="AM297" s="38" t="str">
        <f t="shared" si="153"/>
        <v/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5"/>
        <v/>
      </c>
      <c r="BA297" s="36" t="str">
        <f>IFERROR(INDEX('Level Multiplier'!$D:$D,MATCH(AZ297,'Level Multiplier'!$A:$A,0)),"")</f>
        <v/>
      </c>
      <c r="BB297" s="37" t="str">
        <f t="shared" si="156"/>
        <v/>
      </c>
      <c r="BC297" s="37" t="str">
        <f t="shared" si="157"/>
        <v/>
      </c>
      <c r="BD297" s="38" t="str">
        <f t="shared" si="158"/>
        <v/>
      </c>
      <c r="BE297" s="38" t="str">
        <f t="shared" si="159"/>
        <v/>
      </c>
      <c r="BF297" s="38" t="b">
        <f t="shared" si="160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1"/>
        <v/>
      </c>
      <c r="BS297" s="36" t="str">
        <f>IFERROR(INDEX('Level Multiplier'!$D:$D,MATCH(BR297,'Level Multiplier'!$A:$A,0)),"")</f>
        <v/>
      </c>
      <c r="BT297" s="37" t="str">
        <f t="shared" si="162"/>
        <v/>
      </c>
      <c r="BU297" s="37" t="str">
        <f t="shared" si="163"/>
        <v/>
      </c>
      <c r="BV297" s="38" t="str">
        <f t="shared" si="164"/>
        <v/>
      </c>
      <c r="BW297" s="38" t="str">
        <f t="shared" si="165"/>
        <v/>
      </c>
      <c r="BX297" s="38" t="b">
        <f t="shared" si="166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67"/>
        <v/>
      </c>
      <c r="CK297" s="41" t="str">
        <f t="shared" si="168"/>
        <v/>
      </c>
      <c r="CL297" s="39" t="str">
        <f t="shared" si="169"/>
        <v/>
      </c>
      <c r="CM297" s="39" t="str">
        <f t="shared" si="170"/>
        <v/>
      </c>
      <c r="CN297" s="42" t="str">
        <f t="shared" si="171"/>
        <v/>
      </c>
      <c r="CO297" s="42" t="str">
        <f t="shared" si="172"/>
        <v/>
      </c>
      <c r="CP297" s="42" t="str">
        <f t="shared" si="173"/>
        <v/>
      </c>
      <c r="CQ297" s="42" t="str">
        <f t="shared" si="174"/>
        <v/>
      </c>
      <c r="CR297" s="42" t="str">
        <f t="shared" si="175"/>
        <v/>
      </c>
      <c r="CS297" s="42" t="str">
        <f t="shared" si="176"/>
        <v/>
      </c>
      <c r="CT297" s="43" t="str">
        <f t="shared" si="177"/>
        <v/>
      </c>
      <c r="CU297" s="43" t="str">
        <f t="shared" si="178"/>
        <v/>
      </c>
      <c r="CV297" s="43" t="str">
        <f t="shared" si="179"/>
        <v/>
      </c>
      <c r="CW297" s="13"/>
    </row>
    <row r="298" spans="1:101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Multiplier'!$A:$A,MATCH($D298,'Level Multiplier'!$B:$B,0)),"")</f>
        <v/>
      </c>
      <c r="Q298" s="36" t="str">
        <f>IFERROR(INDEX('Level Multiplier'!$D:$D,MATCH(P298,'Level Multiplier'!$A:$A,0)),"")</f>
        <v/>
      </c>
      <c r="R298" s="37" t="str">
        <f t="shared" si="144"/>
        <v/>
      </c>
      <c r="S298" s="37" t="str">
        <f t="shared" si="145"/>
        <v/>
      </c>
      <c r="T298" s="38" t="str">
        <f t="shared" si="146"/>
        <v/>
      </c>
      <c r="U298" s="38" t="str">
        <f t="shared" si="147"/>
        <v/>
      </c>
      <c r="V298" s="38" t="b">
        <f t="shared" si="148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49"/>
        <v/>
      </c>
      <c r="AI298" s="36" t="str">
        <f>IFERROR(INDEX('Level Multiplier'!$D:$D,MATCH(AH298,'Level Multiplier'!$A:$A,0)),"")</f>
        <v/>
      </c>
      <c r="AJ298" s="37" t="str">
        <f t="shared" si="150"/>
        <v/>
      </c>
      <c r="AK298" s="37" t="str">
        <f t="shared" si="151"/>
        <v/>
      </c>
      <c r="AL298" s="38" t="str">
        <f t="shared" si="152"/>
        <v/>
      </c>
      <c r="AM298" s="38" t="str">
        <f t="shared" si="153"/>
        <v/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5"/>
        <v/>
      </c>
      <c r="BA298" s="36" t="str">
        <f>IFERROR(INDEX('Level Multiplier'!$D:$D,MATCH(AZ298,'Level Multiplier'!$A:$A,0)),"")</f>
        <v/>
      </c>
      <c r="BB298" s="37" t="str">
        <f t="shared" si="156"/>
        <v/>
      </c>
      <c r="BC298" s="37" t="str">
        <f t="shared" si="157"/>
        <v/>
      </c>
      <c r="BD298" s="38" t="str">
        <f t="shared" si="158"/>
        <v/>
      </c>
      <c r="BE298" s="38" t="str">
        <f t="shared" si="159"/>
        <v/>
      </c>
      <c r="BF298" s="38" t="b">
        <f t="shared" si="160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1"/>
        <v/>
      </c>
      <c r="BS298" s="36" t="str">
        <f>IFERROR(INDEX('Level Multiplier'!$D:$D,MATCH(BR298,'Level Multiplier'!$A:$A,0)),"")</f>
        <v/>
      </c>
      <c r="BT298" s="37" t="str">
        <f t="shared" si="162"/>
        <v/>
      </c>
      <c r="BU298" s="37" t="str">
        <f t="shared" si="163"/>
        <v/>
      </c>
      <c r="BV298" s="38" t="str">
        <f t="shared" si="164"/>
        <v/>
      </c>
      <c r="BW298" s="38" t="str">
        <f t="shared" si="165"/>
        <v/>
      </c>
      <c r="BX298" s="38" t="b">
        <f t="shared" si="166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67"/>
        <v/>
      </c>
      <c r="CK298" s="41" t="str">
        <f t="shared" si="168"/>
        <v/>
      </c>
      <c r="CL298" s="39" t="str">
        <f t="shared" si="169"/>
        <v/>
      </c>
      <c r="CM298" s="39" t="str">
        <f t="shared" si="170"/>
        <v/>
      </c>
      <c r="CN298" s="42" t="str">
        <f t="shared" si="171"/>
        <v/>
      </c>
      <c r="CO298" s="42" t="str">
        <f t="shared" si="172"/>
        <v/>
      </c>
      <c r="CP298" s="42" t="str">
        <f t="shared" si="173"/>
        <v/>
      </c>
      <c r="CQ298" s="42" t="str">
        <f t="shared" si="174"/>
        <v/>
      </c>
      <c r="CR298" s="42" t="str">
        <f t="shared" si="175"/>
        <v/>
      </c>
      <c r="CS298" s="42" t="str">
        <f t="shared" si="176"/>
        <v/>
      </c>
      <c r="CT298" s="43" t="str">
        <f t="shared" si="177"/>
        <v/>
      </c>
      <c r="CU298" s="43" t="str">
        <f t="shared" si="178"/>
        <v/>
      </c>
      <c r="CV298" s="43" t="str">
        <f t="shared" si="179"/>
        <v/>
      </c>
      <c r="CW298" s="13"/>
    </row>
    <row r="299" spans="1:101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Multiplier'!$A:$A,MATCH($D299,'Level Multiplier'!$B:$B,0)),"")</f>
        <v/>
      </c>
      <c r="Q299" s="36" t="str">
        <f>IFERROR(INDEX('Level Multiplier'!$D:$D,MATCH(P299,'Level Multiplier'!$A:$A,0)),"")</f>
        <v/>
      </c>
      <c r="R299" s="37" t="str">
        <f t="shared" si="144"/>
        <v/>
      </c>
      <c r="S299" s="37" t="str">
        <f t="shared" si="145"/>
        <v/>
      </c>
      <c r="T299" s="38" t="str">
        <f t="shared" si="146"/>
        <v/>
      </c>
      <c r="U299" s="38" t="str">
        <f t="shared" si="147"/>
        <v/>
      </c>
      <c r="V299" s="38" t="b">
        <f t="shared" si="148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49"/>
        <v/>
      </c>
      <c r="AI299" s="36" t="str">
        <f>IFERROR(INDEX('Level Multiplier'!$D:$D,MATCH(AH299,'Level Multiplier'!$A:$A,0)),"")</f>
        <v/>
      </c>
      <c r="AJ299" s="37" t="str">
        <f t="shared" si="150"/>
        <v/>
      </c>
      <c r="AK299" s="37" t="str">
        <f t="shared" si="151"/>
        <v/>
      </c>
      <c r="AL299" s="38" t="str">
        <f t="shared" si="152"/>
        <v/>
      </c>
      <c r="AM299" s="38" t="str">
        <f t="shared" si="153"/>
        <v/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5"/>
        <v/>
      </c>
      <c r="BA299" s="36" t="str">
        <f>IFERROR(INDEX('Level Multiplier'!$D:$D,MATCH(AZ299,'Level Multiplier'!$A:$A,0)),"")</f>
        <v/>
      </c>
      <c r="BB299" s="37" t="str">
        <f t="shared" si="156"/>
        <v/>
      </c>
      <c r="BC299" s="37" t="str">
        <f t="shared" si="157"/>
        <v/>
      </c>
      <c r="BD299" s="38" t="str">
        <f t="shared" si="158"/>
        <v/>
      </c>
      <c r="BE299" s="38" t="str">
        <f t="shared" si="159"/>
        <v/>
      </c>
      <c r="BF299" s="38" t="b">
        <f t="shared" si="160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1"/>
        <v/>
      </c>
      <c r="BS299" s="36" t="str">
        <f>IFERROR(INDEX('Level Multiplier'!$D:$D,MATCH(BR299,'Level Multiplier'!$A:$A,0)),"")</f>
        <v/>
      </c>
      <c r="BT299" s="37" t="str">
        <f t="shared" si="162"/>
        <v/>
      </c>
      <c r="BU299" s="37" t="str">
        <f t="shared" si="163"/>
        <v/>
      </c>
      <c r="BV299" s="38" t="str">
        <f t="shared" si="164"/>
        <v/>
      </c>
      <c r="BW299" s="38" t="str">
        <f t="shared" si="165"/>
        <v/>
      </c>
      <c r="BX299" s="38" t="b">
        <f t="shared" si="166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67"/>
        <v/>
      </c>
      <c r="CK299" s="41" t="str">
        <f t="shared" si="168"/>
        <v/>
      </c>
      <c r="CL299" s="39" t="str">
        <f t="shared" si="169"/>
        <v/>
      </c>
      <c r="CM299" s="39" t="str">
        <f t="shared" si="170"/>
        <v/>
      </c>
      <c r="CN299" s="42" t="str">
        <f t="shared" si="171"/>
        <v/>
      </c>
      <c r="CO299" s="42" t="str">
        <f t="shared" si="172"/>
        <v/>
      </c>
      <c r="CP299" s="42" t="str">
        <f t="shared" si="173"/>
        <v/>
      </c>
      <c r="CQ299" s="42" t="str">
        <f t="shared" si="174"/>
        <v/>
      </c>
      <c r="CR299" s="42" t="str">
        <f t="shared" si="175"/>
        <v/>
      </c>
      <c r="CS299" s="42" t="str">
        <f t="shared" si="176"/>
        <v/>
      </c>
      <c r="CT299" s="43" t="str">
        <f t="shared" si="177"/>
        <v/>
      </c>
      <c r="CU299" s="43" t="str">
        <f t="shared" si="178"/>
        <v/>
      </c>
      <c r="CV299" s="43" t="str">
        <f t="shared" si="179"/>
        <v/>
      </c>
      <c r="CW299" s="13"/>
    </row>
    <row r="300" spans="1:101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Multiplier'!$A:$A,MATCH($D300,'Level Multiplier'!$B:$B,0)),"")</f>
        <v/>
      </c>
      <c r="Q300" s="36" t="str">
        <f>IFERROR(INDEX('Level Multiplier'!$D:$D,MATCH(P300,'Level Multiplier'!$A:$A,0)),"")</f>
        <v/>
      </c>
      <c r="R300" s="37" t="str">
        <f t="shared" si="144"/>
        <v/>
      </c>
      <c r="S300" s="37" t="str">
        <f t="shared" si="145"/>
        <v/>
      </c>
      <c r="T300" s="38" t="str">
        <f t="shared" si="146"/>
        <v/>
      </c>
      <c r="U300" s="38" t="str">
        <f t="shared" si="147"/>
        <v/>
      </c>
      <c r="V300" s="38" t="b">
        <f t="shared" si="148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49"/>
        <v/>
      </c>
      <c r="AI300" s="36" t="str">
        <f>IFERROR(INDEX('Level Multiplier'!$D:$D,MATCH(AH300,'Level Multiplier'!$A:$A,0)),"")</f>
        <v/>
      </c>
      <c r="AJ300" s="37" t="str">
        <f t="shared" si="150"/>
        <v/>
      </c>
      <c r="AK300" s="37" t="str">
        <f t="shared" si="151"/>
        <v/>
      </c>
      <c r="AL300" s="38" t="str">
        <f t="shared" si="152"/>
        <v/>
      </c>
      <c r="AM300" s="38" t="str">
        <f t="shared" si="153"/>
        <v/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5"/>
        <v/>
      </c>
      <c r="BA300" s="36" t="str">
        <f>IFERROR(INDEX('Level Multiplier'!$D:$D,MATCH(AZ300,'Level Multiplier'!$A:$A,0)),"")</f>
        <v/>
      </c>
      <c r="BB300" s="37" t="str">
        <f t="shared" si="156"/>
        <v/>
      </c>
      <c r="BC300" s="37" t="str">
        <f t="shared" si="157"/>
        <v/>
      </c>
      <c r="BD300" s="38" t="str">
        <f t="shared" si="158"/>
        <v/>
      </c>
      <c r="BE300" s="38" t="str">
        <f t="shared" si="159"/>
        <v/>
      </c>
      <c r="BF300" s="38" t="b">
        <f t="shared" si="160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1"/>
        <v/>
      </c>
      <c r="BS300" s="36" t="str">
        <f>IFERROR(INDEX('Level Multiplier'!$D:$D,MATCH(BR300,'Level Multiplier'!$A:$A,0)),"")</f>
        <v/>
      </c>
      <c r="BT300" s="37" t="str">
        <f t="shared" si="162"/>
        <v/>
      </c>
      <c r="BU300" s="37" t="str">
        <f t="shared" si="163"/>
        <v/>
      </c>
      <c r="BV300" s="38" t="str">
        <f t="shared" si="164"/>
        <v/>
      </c>
      <c r="BW300" s="38" t="str">
        <f t="shared" si="165"/>
        <v/>
      </c>
      <c r="BX300" s="38" t="b">
        <f t="shared" si="166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67"/>
        <v/>
      </c>
      <c r="CK300" s="41" t="str">
        <f t="shared" si="168"/>
        <v/>
      </c>
      <c r="CL300" s="39" t="str">
        <f t="shared" si="169"/>
        <v/>
      </c>
      <c r="CM300" s="39" t="str">
        <f t="shared" si="170"/>
        <v/>
      </c>
      <c r="CN300" s="42" t="str">
        <f t="shared" si="171"/>
        <v/>
      </c>
      <c r="CO300" s="42" t="str">
        <f t="shared" si="172"/>
        <v/>
      </c>
      <c r="CP300" s="42" t="str">
        <f t="shared" si="173"/>
        <v/>
      </c>
      <c r="CQ300" s="42" t="str">
        <f t="shared" si="174"/>
        <v/>
      </c>
      <c r="CR300" s="42" t="str">
        <f t="shared" si="175"/>
        <v/>
      </c>
      <c r="CS300" s="42" t="str">
        <f t="shared" si="176"/>
        <v/>
      </c>
      <c r="CT300" s="43" t="str">
        <f t="shared" si="177"/>
        <v/>
      </c>
      <c r="CU300" s="43" t="str">
        <f t="shared" si="178"/>
        <v/>
      </c>
      <c r="CV300" s="43" t="str">
        <f t="shared" si="179"/>
        <v/>
      </c>
      <c r="CW300" s="13"/>
    </row>
    <row r="301" spans="1:101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Multiplier'!$A:$A,MATCH($D301,'Level Multiplier'!$B:$B,0)),"")</f>
        <v/>
      </c>
      <c r="Q301" s="36" t="str">
        <f>IFERROR(INDEX('Level Multiplier'!$D:$D,MATCH(P301,'Level Multiplier'!$A:$A,0)),"")</f>
        <v/>
      </c>
      <c r="R301" s="37" t="str">
        <f t="shared" si="144"/>
        <v/>
      </c>
      <c r="S301" s="37" t="str">
        <f t="shared" si="145"/>
        <v/>
      </c>
      <c r="T301" s="38" t="str">
        <f t="shared" si="146"/>
        <v/>
      </c>
      <c r="U301" s="38" t="str">
        <f t="shared" si="147"/>
        <v/>
      </c>
      <c r="V301" s="38" t="b">
        <f t="shared" si="148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49"/>
        <v/>
      </c>
      <c r="AI301" s="36" t="str">
        <f>IFERROR(INDEX('Level Multiplier'!$D:$D,MATCH(AH301,'Level Multiplier'!$A:$A,0)),"")</f>
        <v/>
      </c>
      <c r="AJ301" s="37" t="str">
        <f t="shared" si="150"/>
        <v/>
      </c>
      <c r="AK301" s="37" t="str">
        <f t="shared" si="151"/>
        <v/>
      </c>
      <c r="AL301" s="38" t="str">
        <f t="shared" si="152"/>
        <v/>
      </c>
      <c r="AM301" s="38" t="str">
        <f t="shared" si="153"/>
        <v/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5"/>
        <v/>
      </c>
      <c r="BA301" s="36" t="str">
        <f>IFERROR(INDEX('Level Multiplier'!$D:$D,MATCH(AZ301,'Level Multiplier'!$A:$A,0)),"")</f>
        <v/>
      </c>
      <c r="BB301" s="37" t="str">
        <f t="shared" si="156"/>
        <v/>
      </c>
      <c r="BC301" s="37" t="str">
        <f t="shared" si="157"/>
        <v/>
      </c>
      <c r="BD301" s="38" t="str">
        <f t="shared" si="158"/>
        <v/>
      </c>
      <c r="BE301" s="38" t="str">
        <f t="shared" si="159"/>
        <v/>
      </c>
      <c r="BF301" s="38" t="b">
        <f t="shared" si="160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1"/>
        <v/>
      </c>
      <c r="BS301" s="36" t="str">
        <f>IFERROR(INDEX('Level Multiplier'!$D:$D,MATCH(BR301,'Level Multiplier'!$A:$A,0)),"")</f>
        <v/>
      </c>
      <c r="BT301" s="37" t="str">
        <f t="shared" si="162"/>
        <v/>
      </c>
      <c r="BU301" s="37" t="str">
        <f t="shared" si="163"/>
        <v/>
      </c>
      <c r="BV301" s="38" t="str">
        <f t="shared" si="164"/>
        <v/>
      </c>
      <c r="BW301" s="38" t="str">
        <f t="shared" si="165"/>
        <v/>
      </c>
      <c r="BX301" s="38" t="b">
        <f t="shared" si="166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67"/>
        <v/>
      </c>
      <c r="CK301" s="41" t="str">
        <f t="shared" si="168"/>
        <v/>
      </c>
      <c r="CL301" s="39" t="str">
        <f t="shared" si="169"/>
        <v/>
      </c>
      <c r="CM301" s="39" t="str">
        <f t="shared" si="170"/>
        <v/>
      </c>
      <c r="CN301" s="42" t="str">
        <f t="shared" si="171"/>
        <v/>
      </c>
      <c r="CO301" s="42" t="str">
        <f t="shared" si="172"/>
        <v/>
      </c>
      <c r="CP301" s="42" t="str">
        <f t="shared" si="173"/>
        <v/>
      </c>
      <c r="CQ301" s="42" t="str">
        <f t="shared" si="174"/>
        <v/>
      </c>
      <c r="CR301" s="42" t="str">
        <f t="shared" si="175"/>
        <v/>
      </c>
      <c r="CS301" s="42" t="str">
        <f t="shared" si="176"/>
        <v/>
      </c>
      <c r="CT301" s="43" t="str">
        <f t="shared" si="177"/>
        <v/>
      </c>
      <c r="CU301" s="43" t="str">
        <f t="shared" si="178"/>
        <v/>
      </c>
      <c r="CV301" s="43" t="str">
        <f t="shared" si="179"/>
        <v/>
      </c>
      <c r="CW301" s="13"/>
    </row>
    <row r="302" spans="1:101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Multiplier'!$A:$A,MATCH($D302,'Level Multiplier'!$B:$B,0)),"")</f>
        <v/>
      </c>
      <c r="Q302" s="36" t="str">
        <f>IFERROR(INDEX('Level Multiplier'!$D:$D,MATCH(P302,'Level Multiplier'!$A:$A,0)),"")</f>
        <v/>
      </c>
      <c r="R302" s="37" t="str">
        <f t="shared" si="144"/>
        <v/>
      </c>
      <c r="S302" s="37" t="str">
        <f t="shared" si="145"/>
        <v/>
      </c>
      <c r="T302" s="38" t="str">
        <f t="shared" si="146"/>
        <v/>
      </c>
      <c r="U302" s="38" t="str">
        <f t="shared" si="147"/>
        <v/>
      </c>
      <c r="V302" s="38" t="b">
        <f t="shared" si="148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49"/>
        <v/>
      </c>
      <c r="AI302" s="36" t="str">
        <f>IFERROR(INDEX('Level Multiplier'!$D:$D,MATCH(AH302,'Level Multiplier'!$A:$A,0)),"")</f>
        <v/>
      </c>
      <c r="AJ302" s="37" t="str">
        <f t="shared" si="150"/>
        <v/>
      </c>
      <c r="AK302" s="37" t="str">
        <f t="shared" si="151"/>
        <v/>
      </c>
      <c r="AL302" s="38" t="str">
        <f t="shared" si="152"/>
        <v/>
      </c>
      <c r="AM302" s="38" t="str">
        <f t="shared" si="153"/>
        <v/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5"/>
        <v/>
      </c>
      <c r="BA302" s="36" t="str">
        <f>IFERROR(INDEX('Level Multiplier'!$D:$D,MATCH(AZ302,'Level Multiplier'!$A:$A,0)),"")</f>
        <v/>
      </c>
      <c r="BB302" s="37" t="str">
        <f t="shared" si="156"/>
        <v/>
      </c>
      <c r="BC302" s="37" t="str">
        <f t="shared" si="157"/>
        <v/>
      </c>
      <c r="BD302" s="38" t="str">
        <f t="shared" si="158"/>
        <v/>
      </c>
      <c r="BE302" s="38" t="str">
        <f t="shared" si="159"/>
        <v/>
      </c>
      <c r="BF302" s="38" t="b">
        <f t="shared" si="160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1"/>
        <v/>
      </c>
      <c r="BS302" s="36" t="str">
        <f>IFERROR(INDEX('Level Multiplier'!$D:$D,MATCH(BR302,'Level Multiplier'!$A:$A,0)),"")</f>
        <v/>
      </c>
      <c r="BT302" s="37" t="str">
        <f t="shared" si="162"/>
        <v/>
      </c>
      <c r="BU302" s="37" t="str">
        <f t="shared" si="163"/>
        <v/>
      </c>
      <c r="BV302" s="38" t="str">
        <f t="shared" si="164"/>
        <v/>
      </c>
      <c r="BW302" s="38" t="str">
        <f t="shared" si="165"/>
        <v/>
      </c>
      <c r="BX302" s="38" t="b">
        <f t="shared" si="166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67"/>
        <v/>
      </c>
      <c r="CK302" s="41" t="str">
        <f t="shared" si="168"/>
        <v/>
      </c>
      <c r="CL302" s="39" t="str">
        <f t="shared" si="169"/>
        <v/>
      </c>
      <c r="CM302" s="39" t="str">
        <f t="shared" si="170"/>
        <v/>
      </c>
      <c r="CN302" s="42" t="str">
        <f t="shared" si="171"/>
        <v/>
      </c>
      <c r="CO302" s="42" t="str">
        <f t="shared" si="172"/>
        <v/>
      </c>
      <c r="CP302" s="42" t="str">
        <f t="shared" si="173"/>
        <v/>
      </c>
      <c r="CQ302" s="42" t="str">
        <f t="shared" si="174"/>
        <v/>
      </c>
      <c r="CR302" s="42" t="str">
        <f t="shared" si="175"/>
        <v/>
      </c>
      <c r="CS302" s="42" t="str">
        <f t="shared" si="176"/>
        <v/>
      </c>
      <c r="CT302" s="43" t="str">
        <f t="shared" si="177"/>
        <v/>
      </c>
      <c r="CU302" s="43" t="str">
        <f t="shared" si="178"/>
        <v/>
      </c>
      <c r="CV302" s="43" t="str">
        <f t="shared" si="179"/>
        <v/>
      </c>
      <c r="CW302" s="13"/>
    </row>
    <row r="303" spans="1:101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Multiplier'!$A:$A,MATCH($D303,'Level Multiplier'!$B:$B,0)),"")</f>
        <v/>
      </c>
      <c r="Q303" s="36" t="str">
        <f>IFERROR(INDEX('Level Multiplier'!$D:$D,MATCH(P303,'Level Multiplier'!$A:$A,0)),"")</f>
        <v/>
      </c>
      <c r="R303" s="37" t="str">
        <f t="shared" si="144"/>
        <v/>
      </c>
      <c r="S303" s="37" t="str">
        <f t="shared" si="145"/>
        <v/>
      </c>
      <c r="T303" s="38" t="str">
        <f t="shared" si="146"/>
        <v/>
      </c>
      <c r="U303" s="38" t="str">
        <f t="shared" si="147"/>
        <v/>
      </c>
      <c r="V303" s="38" t="b">
        <f t="shared" si="148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49"/>
        <v/>
      </c>
      <c r="AI303" s="36" t="str">
        <f>IFERROR(INDEX('Level Multiplier'!$D:$D,MATCH(AH303,'Level Multiplier'!$A:$A,0)),"")</f>
        <v/>
      </c>
      <c r="AJ303" s="37" t="str">
        <f t="shared" si="150"/>
        <v/>
      </c>
      <c r="AK303" s="37" t="str">
        <f t="shared" si="151"/>
        <v/>
      </c>
      <c r="AL303" s="38" t="str">
        <f t="shared" si="152"/>
        <v/>
      </c>
      <c r="AM303" s="38" t="str">
        <f t="shared" si="153"/>
        <v/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5"/>
        <v/>
      </c>
      <c r="BA303" s="36" t="str">
        <f>IFERROR(INDEX('Level Multiplier'!$D:$D,MATCH(AZ303,'Level Multiplier'!$A:$A,0)),"")</f>
        <v/>
      </c>
      <c r="BB303" s="37" t="str">
        <f t="shared" si="156"/>
        <v/>
      </c>
      <c r="BC303" s="37" t="str">
        <f t="shared" si="157"/>
        <v/>
      </c>
      <c r="BD303" s="38" t="str">
        <f t="shared" si="158"/>
        <v/>
      </c>
      <c r="BE303" s="38" t="str">
        <f t="shared" si="159"/>
        <v/>
      </c>
      <c r="BF303" s="38" t="b">
        <f t="shared" si="160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1"/>
        <v/>
      </c>
      <c r="BS303" s="36" t="str">
        <f>IFERROR(INDEX('Level Multiplier'!$D:$D,MATCH(BR303,'Level Multiplier'!$A:$A,0)),"")</f>
        <v/>
      </c>
      <c r="BT303" s="37" t="str">
        <f t="shared" si="162"/>
        <v/>
      </c>
      <c r="BU303" s="37" t="str">
        <f t="shared" si="163"/>
        <v/>
      </c>
      <c r="BV303" s="38" t="str">
        <f t="shared" si="164"/>
        <v/>
      </c>
      <c r="BW303" s="38" t="str">
        <f t="shared" si="165"/>
        <v/>
      </c>
      <c r="BX303" s="38" t="b">
        <f t="shared" si="166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67"/>
        <v/>
      </c>
      <c r="CK303" s="41" t="str">
        <f t="shared" si="168"/>
        <v/>
      </c>
      <c r="CL303" s="39" t="str">
        <f t="shared" si="169"/>
        <v/>
      </c>
      <c r="CM303" s="39" t="str">
        <f t="shared" si="170"/>
        <v/>
      </c>
      <c r="CN303" s="42" t="str">
        <f t="shared" si="171"/>
        <v/>
      </c>
      <c r="CO303" s="42" t="str">
        <f t="shared" si="172"/>
        <v/>
      </c>
      <c r="CP303" s="42" t="str">
        <f t="shared" si="173"/>
        <v/>
      </c>
      <c r="CQ303" s="42" t="str">
        <f t="shared" si="174"/>
        <v/>
      </c>
      <c r="CR303" s="42" t="str">
        <f t="shared" si="175"/>
        <v/>
      </c>
      <c r="CS303" s="42" t="str">
        <f t="shared" si="176"/>
        <v/>
      </c>
      <c r="CT303" s="43" t="str">
        <f t="shared" si="177"/>
        <v/>
      </c>
      <c r="CU303" s="43" t="str">
        <f t="shared" si="178"/>
        <v/>
      </c>
      <c r="CV303" s="43" t="str">
        <f t="shared" si="179"/>
        <v/>
      </c>
      <c r="CW303" s="13"/>
    </row>
    <row r="304" spans="1:101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Multiplier'!$A:$A,MATCH($D304,'Level Multiplier'!$B:$B,0)),"")</f>
        <v/>
      </c>
      <c r="Q304" s="36" t="str">
        <f>IFERROR(INDEX('Level Multiplier'!$D:$D,MATCH(P304,'Level Multiplier'!$A:$A,0)),"")</f>
        <v/>
      </c>
      <c r="R304" s="37" t="str">
        <f t="shared" si="144"/>
        <v/>
      </c>
      <c r="S304" s="37" t="str">
        <f t="shared" si="145"/>
        <v/>
      </c>
      <c r="T304" s="38" t="str">
        <f t="shared" si="146"/>
        <v/>
      </c>
      <c r="U304" s="38" t="str">
        <f t="shared" si="147"/>
        <v/>
      </c>
      <c r="V304" s="38" t="b">
        <f t="shared" si="148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49"/>
        <v/>
      </c>
      <c r="AI304" s="36" t="str">
        <f>IFERROR(INDEX('Level Multiplier'!$D:$D,MATCH(AH304,'Level Multiplier'!$A:$A,0)),"")</f>
        <v/>
      </c>
      <c r="AJ304" s="37" t="str">
        <f t="shared" si="150"/>
        <v/>
      </c>
      <c r="AK304" s="37" t="str">
        <f t="shared" si="151"/>
        <v/>
      </c>
      <c r="AL304" s="38" t="str">
        <f t="shared" si="152"/>
        <v/>
      </c>
      <c r="AM304" s="38" t="str">
        <f t="shared" si="153"/>
        <v/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5"/>
        <v/>
      </c>
      <c r="BA304" s="36" t="str">
        <f>IFERROR(INDEX('Level Multiplier'!$D:$D,MATCH(AZ304,'Level Multiplier'!$A:$A,0)),"")</f>
        <v/>
      </c>
      <c r="BB304" s="37" t="str">
        <f t="shared" si="156"/>
        <v/>
      </c>
      <c r="BC304" s="37" t="str">
        <f t="shared" si="157"/>
        <v/>
      </c>
      <c r="BD304" s="38" t="str">
        <f t="shared" si="158"/>
        <v/>
      </c>
      <c r="BE304" s="38" t="str">
        <f t="shared" si="159"/>
        <v/>
      </c>
      <c r="BF304" s="38" t="b">
        <f t="shared" si="160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1"/>
        <v/>
      </c>
      <c r="BS304" s="36" t="str">
        <f>IFERROR(INDEX('Level Multiplier'!$D:$D,MATCH(BR304,'Level Multiplier'!$A:$A,0)),"")</f>
        <v/>
      </c>
      <c r="BT304" s="37" t="str">
        <f t="shared" si="162"/>
        <v/>
      </c>
      <c r="BU304" s="37" t="str">
        <f t="shared" si="163"/>
        <v/>
      </c>
      <c r="BV304" s="38" t="str">
        <f t="shared" si="164"/>
        <v/>
      </c>
      <c r="BW304" s="38" t="str">
        <f t="shared" si="165"/>
        <v/>
      </c>
      <c r="BX304" s="38" t="b">
        <f t="shared" si="166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67"/>
        <v/>
      </c>
      <c r="CK304" s="41" t="str">
        <f t="shared" si="168"/>
        <v/>
      </c>
      <c r="CL304" s="39" t="str">
        <f t="shared" si="169"/>
        <v/>
      </c>
      <c r="CM304" s="39" t="str">
        <f t="shared" si="170"/>
        <v/>
      </c>
      <c r="CN304" s="42" t="str">
        <f t="shared" si="171"/>
        <v/>
      </c>
      <c r="CO304" s="42" t="str">
        <f t="shared" si="172"/>
        <v/>
      </c>
      <c r="CP304" s="42" t="str">
        <f t="shared" si="173"/>
        <v/>
      </c>
      <c r="CQ304" s="42" t="str">
        <f t="shared" si="174"/>
        <v/>
      </c>
      <c r="CR304" s="42" t="str">
        <f t="shared" si="175"/>
        <v/>
      </c>
      <c r="CS304" s="42" t="str">
        <f t="shared" si="176"/>
        <v/>
      </c>
      <c r="CT304" s="43" t="str">
        <f t="shared" si="177"/>
        <v/>
      </c>
      <c r="CU304" s="43" t="str">
        <f t="shared" si="178"/>
        <v/>
      </c>
      <c r="CV304" s="43" t="str">
        <f t="shared" si="179"/>
        <v/>
      </c>
      <c r="CW304" s="13"/>
    </row>
    <row r="305" spans="1:101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Multiplier'!$A:$A,MATCH($D305,'Level Multiplier'!$B:$B,0)),"")</f>
        <v/>
      </c>
      <c r="Q305" s="36" t="str">
        <f>IFERROR(INDEX('Level Multiplier'!$D:$D,MATCH(P305,'Level Multiplier'!$A:$A,0)),"")</f>
        <v/>
      </c>
      <c r="R305" s="37" t="str">
        <f t="shared" si="144"/>
        <v/>
      </c>
      <c r="S305" s="37" t="str">
        <f t="shared" si="145"/>
        <v/>
      </c>
      <c r="T305" s="38" t="str">
        <f t="shared" si="146"/>
        <v/>
      </c>
      <c r="U305" s="38" t="str">
        <f t="shared" si="147"/>
        <v/>
      </c>
      <c r="V305" s="38" t="b">
        <f t="shared" si="148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49"/>
        <v/>
      </c>
      <c r="AI305" s="36" t="str">
        <f>IFERROR(INDEX('Level Multiplier'!$D:$D,MATCH(AH305,'Level Multiplier'!$A:$A,0)),"")</f>
        <v/>
      </c>
      <c r="AJ305" s="37" t="str">
        <f t="shared" si="150"/>
        <v/>
      </c>
      <c r="AK305" s="37" t="str">
        <f t="shared" si="151"/>
        <v/>
      </c>
      <c r="AL305" s="38" t="str">
        <f t="shared" si="152"/>
        <v/>
      </c>
      <c r="AM305" s="38" t="str">
        <f t="shared" si="153"/>
        <v/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5"/>
        <v/>
      </c>
      <c r="BA305" s="36" t="str">
        <f>IFERROR(INDEX('Level Multiplier'!$D:$D,MATCH(AZ305,'Level Multiplier'!$A:$A,0)),"")</f>
        <v/>
      </c>
      <c r="BB305" s="37" t="str">
        <f t="shared" si="156"/>
        <v/>
      </c>
      <c r="BC305" s="37" t="str">
        <f t="shared" si="157"/>
        <v/>
      </c>
      <c r="BD305" s="38" t="str">
        <f t="shared" si="158"/>
        <v/>
      </c>
      <c r="BE305" s="38" t="str">
        <f t="shared" si="159"/>
        <v/>
      </c>
      <c r="BF305" s="38" t="b">
        <f t="shared" si="160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1"/>
        <v/>
      </c>
      <c r="BS305" s="36" t="str">
        <f>IFERROR(INDEX('Level Multiplier'!$D:$D,MATCH(BR305,'Level Multiplier'!$A:$A,0)),"")</f>
        <v/>
      </c>
      <c r="BT305" s="37" t="str">
        <f t="shared" si="162"/>
        <v/>
      </c>
      <c r="BU305" s="37" t="str">
        <f t="shared" si="163"/>
        <v/>
      </c>
      <c r="BV305" s="38" t="str">
        <f t="shared" si="164"/>
        <v/>
      </c>
      <c r="BW305" s="38" t="str">
        <f t="shared" si="165"/>
        <v/>
      </c>
      <c r="BX305" s="38" t="b">
        <f t="shared" si="166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67"/>
        <v/>
      </c>
      <c r="CK305" s="41" t="str">
        <f t="shared" si="168"/>
        <v/>
      </c>
      <c r="CL305" s="39" t="str">
        <f t="shared" si="169"/>
        <v/>
      </c>
      <c r="CM305" s="39" t="str">
        <f t="shared" si="170"/>
        <v/>
      </c>
      <c r="CN305" s="42" t="str">
        <f t="shared" si="171"/>
        <v/>
      </c>
      <c r="CO305" s="42" t="str">
        <f t="shared" si="172"/>
        <v/>
      </c>
      <c r="CP305" s="42" t="str">
        <f t="shared" si="173"/>
        <v/>
      </c>
      <c r="CQ305" s="42" t="str">
        <f t="shared" si="174"/>
        <v/>
      </c>
      <c r="CR305" s="42" t="str">
        <f t="shared" si="175"/>
        <v/>
      </c>
      <c r="CS305" s="42" t="str">
        <f t="shared" si="176"/>
        <v/>
      </c>
      <c r="CT305" s="43" t="str">
        <f t="shared" si="177"/>
        <v/>
      </c>
      <c r="CU305" s="43" t="str">
        <f t="shared" si="178"/>
        <v/>
      </c>
      <c r="CV305" s="43" t="str">
        <f t="shared" si="179"/>
        <v/>
      </c>
      <c r="CW305" s="13"/>
    </row>
    <row r="306" spans="1:101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Multiplier'!$A:$A,MATCH($D306,'Level Multiplier'!$B:$B,0)),"")</f>
        <v/>
      </c>
      <c r="Q306" s="36" t="str">
        <f>IFERROR(INDEX('Level Multiplier'!$D:$D,MATCH(P306,'Level Multiplier'!$A:$A,0)),"")</f>
        <v/>
      </c>
      <c r="R306" s="37" t="str">
        <f t="shared" si="144"/>
        <v/>
      </c>
      <c r="S306" s="37" t="str">
        <f t="shared" si="145"/>
        <v/>
      </c>
      <c r="T306" s="38" t="str">
        <f t="shared" si="146"/>
        <v/>
      </c>
      <c r="U306" s="38" t="str">
        <f t="shared" si="147"/>
        <v/>
      </c>
      <c r="V306" s="38" t="b">
        <f t="shared" si="148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49"/>
        <v/>
      </c>
      <c r="AI306" s="36" t="str">
        <f>IFERROR(INDEX('Level Multiplier'!$D:$D,MATCH(AH306,'Level Multiplier'!$A:$A,0)),"")</f>
        <v/>
      </c>
      <c r="AJ306" s="37" t="str">
        <f t="shared" si="150"/>
        <v/>
      </c>
      <c r="AK306" s="37" t="str">
        <f t="shared" si="151"/>
        <v/>
      </c>
      <c r="AL306" s="38" t="str">
        <f t="shared" si="152"/>
        <v/>
      </c>
      <c r="AM306" s="38" t="str">
        <f t="shared" si="153"/>
        <v/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5"/>
        <v/>
      </c>
      <c r="BA306" s="36" t="str">
        <f>IFERROR(INDEX('Level Multiplier'!$D:$D,MATCH(AZ306,'Level Multiplier'!$A:$A,0)),"")</f>
        <v/>
      </c>
      <c r="BB306" s="37" t="str">
        <f t="shared" si="156"/>
        <v/>
      </c>
      <c r="BC306" s="37" t="str">
        <f t="shared" si="157"/>
        <v/>
      </c>
      <c r="BD306" s="38" t="str">
        <f t="shared" si="158"/>
        <v/>
      </c>
      <c r="BE306" s="38" t="str">
        <f t="shared" si="159"/>
        <v/>
      </c>
      <c r="BF306" s="38" t="b">
        <f t="shared" si="160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1"/>
        <v/>
      </c>
      <c r="BS306" s="36" t="str">
        <f>IFERROR(INDEX('Level Multiplier'!$D:$D,MATCH(BR306,'Level Multiplier'!$A:$A,0)),"")</f>
        <v/>
      </c>
      <c r="BT306" s="37" t="str">
        <f t="shared" si="162"/>
        <v/>
      </c>
      <c r="BU306" s="37" t="str">
        <f t="shared" si="163"/>
        <v/>
      </c>
      <c r="BV306" s="38" t="str">
        <f t="shared" si="164"/>
        <v/>
      </c>
      <c r="BW306" s="38" t="str">
        <f t="shared" si="165"/>
        <v/>
      </c>
      <c r="BX306" s="38" t="b">
        <f t="shared" si="166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67"/>
        <v/>
      </c>
      <c r="CK306" s="41" t="str">
        <f t="shared" si="168"/>
        <v/>
      </c>
      <c r="CL306" s="39" t="str">
        <f t="shared" si="169"/>
        <v/>
      </c>
      <c r="CM306" s="39" t="str">
        <f t="shared" si="170"/>
        <v/>
      </c>
      <c r="CN306" s="42" t="str">
        <f t="shared" si="171"/>
        <v/>
      </c>
      <c r="CO306" s="42" t="str">
        <f t="shared" si="172"/>
        <v/>
      </c>
      <c r="CP306" s="42" t="str">
        <f t="shared" si="173"/>
        <v/>
      </c>
      <c r="CQ306" s="42" t="str">
        <f t="shared" si="174"/>
        <v/>
      </c>
      <c r="CR306" s="42" t="str">
        <f t="shared" si="175"/>
        <v/>
      </c>
      <c r="CS306" s="42" t="str">
        <f t="shared" si="176"/>
        <v/>
      </c>
      <c r="CT306" s="43" t="str">
        <f t="shared" si="177"/>
        <v/>
      </c>
      <c r="CU306" s="43" t="str">
        <f t="shared" si="178"/>
        <v/>
      </c>
      <c r="CV306" s="43" t="str">
        <f t="shared" si="179"/>
        <v/>
      </c>
      <c r="CW306" s="13"/>
    </row>
    <row r="307" spans="1:101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Multiplier'!$A:$A,MATCH($D307,'Level Multiplier'!$B:$B,0)),"")</f>
        <v/>
      </c>
      <c r="Q307" s="36" t="str">
        <f>IFERROR(INDEX('Level Multiplier'!$D:$D,MATCH(P307,'Level Multiplier'!$A:$A,0)),"")</f>
        <v/>
      </c>
      <c r="R307" s="37" t="str">
        <f t="shared" si="144"/>
        <v/>
      </c>
      <c r="S307" s="37" t="str">
        <f t="shared" si="145"/>
        <v/>
      </c>
      <c r="T307" s="38" t="str">
        <f t="shared" si="146"/>
        <v/>
      </c>
      <c r="U307" s="38" t="str">
        <f t="shared" si="147"/>
        <v/>
      </c>
      <c r="V307" s="38" t="b">
        <f t="shared" si="148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49"/>
        <v/>
      </c>
      <c r="AI307" s="36" t="str">
        <f>IFERROR(INDEX('Level Multiplier'!$D:$D,MATCH(AH307,'Level Multiplier'!$A:$A,0)),"")</f>
        <v/>
      </c>
      <c r="AJ307" s="37" t="str">
        <f t="shared" si="150"/>
        <v/>
      </c>
      <c r="AK307" s="37" t="str">
        <f t="shared" si="151"/>
        <v/>
      </c>
      <c r="AL307" s="38" t="str">
        <f t="shared" si="152"/>
        <v/>
      </c>
      <c r="AM307" s="38" t="str">
        <f t="shared" si="153"/>
        <v/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5"/>
        <v/>
      </c>
      <c r="BA307" s="36" t="str">
        <f>IFERROR(INDEX('Level Multiplier'!$D:$D,MATCH(AZ307,'Level Multiplier'!$A:$A,0)),"")</f>
        <v/>
      </c>
      <c r="BB307" s="37" t="str">
        <f t="shared" si="156"/>
        <v/>
      </c>
      <c r="BC307" s="37" t="str">
        <f t="shared" si="157"/>
        <v/>
      </c>
      <c r="BD307" s="38" t="str">
        <f t="shared" si="158"/>
        <v/>
      </c>
      <c r="BE307" s="38" t="str">
        <f t="shared" si="159"/>
        <v/>
      </c>
      <c r="BF307" s="38" t="b">
        <f t="shared" si="160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1"/>
        <v/>
      </c>
      <c r="BS307" s="36" t="str">
        <f>IFERROR(INDEX('Level Multiplier'!$D:$D,MATCH(BR307,'Level Multiplier'!$A:$A,0)),"")</f>
        <v/>
      </c>
      <c r="BT307" s="37" t="str">
        <f t="shared" si="162"/>
        <v/>
      </c>
      <c r="BU307" s="37" t="str">
        <f t="shared" si="163"/>
        <v/>
      </c>
      <c r="BV307" s="38" t="str">
        <f t="shared" si="164"/>
        <v/>
      </c>
      <c r="BW307" s="38" t="str">
        <f t="shared" si="165"/>
        <v/>
      </c>
      <c r="BX307" s="38" t="b">
        <f t="shared" si="166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67"/>
        <v/>
      </c>
      <c r="CK307" s="41" t="str">
        <f t="shared" si="168"/>
        <v/>
      </c>
      <c r="CL307" s="39" t="str">
        <f t="shared" si="169"/>
        <v/>
      </c>
      <c r="CM307" s="39" t="str">
        <f t="shared" si="170"/>
        <v/>
      </c>
      <c r="CN307" s="42" t="str">
        <f t="shared" si="171"/>
        <v/>
      </c>
      <c r="CO307" s="42" t="str">
        <f t="shared" si="172"/>
        <v/>
      </c>
      <c r="CP307" s="42" t="str">
        <f t="shared" si="173"/>
        <v/>
      </c>
      <c r="CQ307" s="42" t="str">
        <f t="shared" si="174"/>
        <v/>
      </c>
      <c r="CR307" s="42" t="str">
        <f t="shared" si="175"/>
        <v/>
      </c>
      <c r="CS307" s="42" t="str">
        <f t="shared" si="176"/>
        <v/>
      </c>
      <c r="CT307" s="43" t="str">
        <f t="shared" si="177"/>
        <v/>
      </c>
      <c r="CU307" s="43" t="str">
        <f t="shared" si="178"/>
        <v/>
      </c>
      <c r="CV307" s="43" t="str">
        <f t="shared" si="179"/>
        <v/>
      </c>
      <c r="CW307" s="13"/>
    </row>
    <row r="308" spans="1:101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Multiplier'!$A:$A,MATCH($D308,'Level Multiplier'!$B:$B,0)),"")</f>
        <v/>
      </c>
      <c r="Q308" s="36" t="str">
        <f>IFERROR(INDEX('Level Multiplier'!$D:$D,MATCH(P308,'Level Multiplier'!$A:$A,0)),"")</f>
        <v/>
      </c>
      <c r="R308" s="37" t="str">
        <f t="shared" si="144"/>
        <v/>
      </c>
      <c r="S308" s="37" t="str">
        <f t="shared" si="145"/>
        <v/>
      </c>
      <c r="T308" s="38" t="str">
        <f t="shared" si="146"/>
        <v/>
      </c>
      <c r="U308" s="38" t="str">
        <f t="shared" si="147"/>
        <v/>
      </c>
      <c r="V308" s="38" t="b">
        <f t="shared" si="148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49"/>
        <v/>
      </c>
      <c r="AI308" s="36" t="str">
        <f>IFERROR(INDEX('Level Multiplier'!$D:$D,MATCH(AH308,'Level Multiplier'!$A:$A,0)),"")</f>
        <v/>
      </c>
      <c r="AJ308" s="37" t="str">
        <f t="shared" si="150"/>
        <v/>
      </c>
      <c r="AK308" s="37" t="str">
        <f t="shared" si="151"/>
        <v/>
      </c>
      <c r="AL308" s="38" t="str">
        <f t="shared" si="152"/>
        <v/>
      </c>
      <c r="AM308" s="38" t="str">
        <f t="shared" si="153"/>
        <v/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5"/>
        <v/>
      </c>
      <c r="BA308" s="36" t="str">
        <f>IFERROR(INDEX('Level Multiplier'!$D:$D,MATCH(AZ308,'Level Multiplier'!$A:$A,0)),"")</f>
        <v/>
      </c>
      <c r="BB308" s="37" t="str">
        <f t="shared" si="156"/>
        <v/>
      </c>
      <c r="BC308" s="37" t="str">
        <f t="shared" si="157"/>
        <v/>
      </c>
      <c r="BD308" s="38" t="str">
        <f t="shared" si="158"/>
        <v/>
      </c>
      <c r="BE308" s="38" t="str">
        <f t="shared" si="159"/>
        <v/>
      </c>
      <c r="BF308" s="38" t="b">
        <f t="shared" si="160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1"/>
        <v/>
      </c>
      <c r="BS308" s="36" t="str">
        <f>IFERROR(INDEX('Level Multiplier'!$D:$D,MATCH(BR308,'Level Multiplier'!$A:$A,0)),"")</f>
        <v/>
      </c>
      <c r="BT308" s="37" t="str">
        <f t="shared" si="162"/>
        <v/>
      </c>
      <c r="BU308" s="37" t="str">
        <f t="shared" si="163"/>
        <v/>
      </c>
      <c r="BV308" s="38" t="str">
        <f t="shared" si="164"/>
        <v/>
      </c>
      <c r="BW308" s="38" t="str">
        <f t="shared" si="165"/>
        <v/>
      </c>
      <c r="BX308" s="38" t="b">
        <f t="shared" si="166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67"/>
        <v/>
      </c>
      <c r="CK308" s="41" t="str">
        <f t="shared" si="168"/>
        <v/>
      </c>
      <c r="CL308" s="39" t="str">
        <f t="shared" si="169"/>
        <v/>
      </c>
      <c r="CM308" s="39" t="str">
        <f t="shared" si="170"/>
        <v/>
      </c>
      <c r="CN308" s="42" t="str">
        <f t="shared" si="171"/>
        <v/>
      </c>
      <c r="CO308" s="42" t="str">
        <f t="shared" si="172"/>
        <v/>
      </c>
      <c r="CP308" s="42" t="str">
        <f t="shared" si="173"/>
        <v/>
      </c>
      <c r="CQ308" s="42" t="str">
        <f t="shared" si="174"/>
        <v/>
      </c>
      <c r="CR308" s="42" t="str">
        <f t="shared" si="175"/>
        <v/>
      </c>
      <c r="CS308" s="42" t="str">
        <f t="shared" si="176"/>
        <v/>
      </c>
      <c r="CT308" s="43" t="str">
        <f t="shared" si="177"/>
        <v/>
      </c>
      <c r="CU308" s="43" t="str">
        <f t="shared" si="178"/>
        <v/>
      </c>
      <c r="CV308" s="43" t="str">
        <f t="shared" si="179"/>
        <v/>
      </c>
      <c r="CW308" s="13"/>
    </row>
    <row r="309" spans="1:101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Multiplier'!$A:$A,MATCH($D309,'Level Multiplier'!$B:$B,0)),"")</f>
        <v/>
      </c>
      <c r="Q309" s="36" t="str">
        <f>IFERROR(INDEX('Level Multiplier'!$D:$D,MATCH(P309,'Level Multiplier'!$A:$A,0)),"")</f>
        <v/>
      </c>
      <c r="R309" s="37" t="str">
        <f t="shared" si="144"/>
        <v/>
      </c>
      <c r="S309" s="37" t="str">
        <f t="shared" si="145"/>
        <v/>
      </c>
      <c r="T309" s="38" t="str">
        <f t="shared" si="146"/>
        <v/>
      </c>
      <c r="U309" s="38" t="str">
        <f t="shared" si="147"/>
        <v/>
      </c>
      <c r="V309" s="38" t="b">
        <f t="shared" si="148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49"/>
        <v/>
      </c>
      <c r="AI309" s="36" t="str">
        <f>IFERROR(INDEX('Level Multiplier'!$D:$D,MATCH(AH309,'Level Multiplier'!$A:$A,0)),"")</f>
        <v/>
      </c>
      <c r="AJ309" s="37" t="str">
        <f t="shared" si="150"/>
        <v/>
      </c>
      <c r="AK309" s="37" t="str">
        <f t="shared" si="151"/>
        <v/>
      </c>
      <c r="AL309" s="38" t="str">
        <f t="shared" si="152"/>
        <v/>
      </c>
      <c r="AM309" s="38" t="str">
        <f t="shared" si="153"/>
        <v/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5"/>
        <v/>
      </c>
      <c r="BA309" s="36" t="str">
        <f>IFERROR(INDEX('Level Multiplier'!$D:$D,MATCH(AZ309,'Level Multiplier'!$A:$A,0)),"")</f>
        <v/>
      </c>
      <c r="BB309" s="37" t="str">
        <f t="shared" si="156"/>
        <v/>
      </c>
      <c r="BC309" s="37" t="str">
        <f t="shared" si="157"/>
        <v/>
      </c>
      <c r="BD309" s="38" t="str">
        <f t="shared" si="158"/>
        <v/>
      </c>
      <c r="BE309" s="38" t="str">
        <f t="shared" si="159"/>
        <v/>
      </c>
      <c r="BF309" s="38" t="b">
        <f t="shared" si="160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1"/>
        <v/>
      </c>
      <c r="BS309" s="36" t="str">
        <f>IFERROR(INDEX('Level Multiplier'!$D:$D,MATCH(BR309,'Level Multiplier'!$A:$A,0)),"")</f>
        <v/>
      </c>
      <c r="BT309" s="37" t="str">
        <f t="shared" si="162"/>
        <v/>
      </c>
      <c r="BU309" s="37" t="str">
        <f t="shared" si="163"/>
        <v/>
      </c>
      <c r="BV309" s="38" t="str">
        <f t="shared" si="164"/>
        <v/>
      </c>
      <c r="BW309" s="38" t="str">
        <f t="shared" si="165"/>
        <v/>
      </c>
      <c r="BX309" s="38" t="b">
        <f t="shared" si="166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67"/>
        <v/>
      </c>
      <c r="CK309" s="41" t="str">
        <f t="shared" si="168"/>
        <v/>
      </c>
      <c r="CL309" s="39" t="str">
        <f t="shared" si="169"/>
        <v/>
      </c>
      <c r="CM309" s="39" t="str">
        <f t="shared" si="170"/>
        <v/>
      </c>
      <c r="CN309" s="42" t="str">
        <f t="shared" si="171"/>
        <v/>
      </c>
      <c r="CO309" s="42" t="str">
        <f t="shared" si="172"/>
        <v/>
      </c>
      <c r="CP309" s="42" t="str">
        <f t="shared" si="173"/>
        <v/>
      </c>
      <c r="CQ309" s="42" t="str">
        <f t="shared" si="174"/>
        <v/>
      </c>
      <c r="CR309" s="42" t="str">
        <f t="shared" si="175"/>
        <v/>
      </c>
      <c r="CS309" s="42" t="str">
        <f t="shared" si="176"/>
        <v/>
      </c>
      <c r="CT309" s="43" t="str">
        <f t="shared" si="177"/>
        <v/>
      </c>
      <c r="CU309" s="43" t="str">
        <f t="shared" si="178"/>
        <v/>
      </c>
      <c r="CV309" s="43" t="str">
        <f t="shared" si="179"/>
        <v/>
      </c>
      <c r="CW309" s="13"/>
    </row>
    <row r="310" spans="1:101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Multiplier'!$A:$A,MATCH($D310,'Level Multiplier'!$B:$B,0)),"")</f>
        <v/>
      </c>
      <c r="Q310" s="36" t="str">
        <f>IFERROR(INDEX('Level Multiplier'!$D:$D,MATCH(P310,'Level Multiplier'!$A:$A,0)),"")</f>
        <v/>
      </c>
      <c r="R310" s="37" t="str">
        <f t="shared" si="144"/>
        <v/>
      </c>
      <c r="S310" s="37" t="str">
        <f t="shared" si="145"/>
        <v/>
      </c>
      <c r="T310" s="38" t="str">
        <f t="shared" si="146"/>
        <v/>
      </c>
      <c r="U310" s="38" t="str">
        <f t="shared" si="147"/>
        <v/>
      </c>
      <c r="V310" s="38" t="b">
        <f t="shared" si="148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49"/>
        <v/>
      </c>
      <c r="AI310" s="36" t="str">
        <f>IFERROR(INDEX('Level Multiplier'!$D:$D,MATCH(AH310,'Level Multiplier'!$A:$A,0)),"")</f>
        <v/>
      </c>
      <c r="AJ310" s="37" t="str">
        <f t="shared" si="150"/>
        <v/>
      </c>
      <c r="AK310" s="37" t="str">
        <f t="shared" si="151"/>
        <v/>
      </c>
      <c r="AL310" s="38" t="str">
        <f t="shared" si="152"/>
        <v/>
      </c>
      <c r="AM310" s="38" t="str">
        <f t="shared" si="153"/>
        <v/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5"/>
        <v/>
      </c>
      <c r="BA310" s="36" t="str">
        <f>IFERROR(INDEX('Level Multiplier'!$D:$D,MATCH(AZ310,'Level Multiplier'!$A:$A,0)),"")</f>
        <v/>
      </c>
      <c r="BB310" s="37" t="str">
        <f t="shared" si="156"/>
        <v/>
      </c>
      <c r="BC310" s="37" t="str">
        <f t="shared" si="157"/>
        <v/>
      </c>
      <c r="BD310" s="38" t="str">
        <f t="shared" si="158"/>
        <v/>
      </c>
      <c r="BE310" s="38" t="str">
        <f t="shared" si="159"/>
        <v/>
      </c>
      <c r="BF310" s="38" t="b">
        <f t="shared" si="160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1"/>
        <v/>
      </c>
      <c r="BS310" s="36" t="str">
        <f>IFERROR(INDEX('Level Multiplier'!$D:$D,MATCH(BR310,'Level Multiplier'!$A:$A,0)),"")</f>
        <v/>
      </c>
      <c r="BT310" s="37" t="str">
        <f t="shared" si="162"/>
        <v/>
      </c>
      <c r="BU310" s="37" t="str">
        <f t="shared" si="163"/>
        <v/>
      </c>
      <c r="BV310" s="38" t="str">
        <f t="shared" si="164"/>
        <v/>
      </c>
      <c r="BW310" s="38" t="str">
        <f t="shared" si="165"/>
        <v/>
      </c>
      <c r="BX310" s="38" t="b">
        <f t="shared" si="166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67"/>
        <v/>
      </c>
      <c r="CK310" s="41" t="str">
        <f t="shared" si="168"/>
        <v/>
      </c>
      <c r="CL310" s="39" t="str">
        <f t="shared" si="169"/>
        <v/>
      </c>
      <c r="CM310" s="39" t="str">
        <f t="shared" si="170"/>
        <v/>
      </c>
      <c r="CN310" s="42" t="str">
        <f t="shared" si="171"/>
        <v/>
      </c>
      <c r="CO310" s="42" t="str">
        <f t="shared" si="172"/>
        <v/>
      </c>
      <c r="CP310" s="42" t="str">
        <f t="shared" si="173"/>
        <v/>
      </c>
      <c r="CQ310" s="42" t="str">
        <f t="shared" si="174"/>
        <v/>
      </c>
      <c r="CR310" s="42" t="str">
        <f t="shared" si="175"/>
        <v/>
      </c>
      <c r="CS310" s="42" t="str">
        <f t="shared" si="176"/>
        <v/>
      </c>
      <c r="CT310" s="43" t="str">
        <f t="shared" si="177"/>
        <v/>
      </c>
      <c r="CU310" s="43" t="str">
        <f t="shared" si="178"/>
        <v/>
      </c>
      <c r="CV310" s="43" t="str">
        <f t="shared" si="179"/>
        <v/>
      </c>
      <c r="CW310" s="13"/>
    </row>
    <row r="311" spans="1:101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Multiplier'!$A:$A,MATCH($D311,'Level Multiplier'!$B:$B,0)),"")</f>
        <v/>
      </c>
      <c r="Q311" s="36" t="str">
        <f>IFERROR(INDEX('Level Multiplier'!$D:$D,MATCH(P311,'Level Multiplier'!$A:$A,0)),"")</f>
        <v/>
      </c>
      <c r="R311" s="37" t="str">
        <f t="shared" si="144"/>
        <v/>
      </c>
      <c r="S311" s="37" t="str">
        <f t="shared" si="145"/>
        <v/>
      </c>
      <c r="T311" s="38" t="str">
        <f t="shared" si="146"/>
        <v/>
      </c>
      <c r="U311" s="38" t="str">
        <f t="shared" si="147"/>
        <v/>
      </c>
      <c r="V311" s="38" t="b">
        <f t="shared" si="148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49"/>
        <v/>
      </c>
      <c r="AI311" s="36" t="str">
        <f>IFERROR(INDEX('Level Multiplier'!$D:$D,MATCH(AH311,'Level Multiplier'!$A:$A,0)),"")</f>
        <v/>
      </c>
      <c r="AJ311" s="37" t="str">
        <f t="shared" si="150"/>
        <v/>
      </c>
      <c r="AK311" s="37" t="str">
        <f t="shared" si="151"/>
        <v/>
      </c>
      <c r="AL311" s="38" t="str">
        <f t="shared" si="152"/>
        <v/>
      </c>
      <c r="AM311" s="38" t="str">
        <f t="shared" si="153"/>
        <v/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5"/>
        <v/>
      </c>
      <c r="BA311" s="36" t="str">
        <f>IFERROR(INDEX('Level Multiplier'!$D:$D,MATCH(AZ311,'Level Multiplier'!$A:$A,0)),"")</f>
        <v/>
      </c>
      <c r="BB311" s="37" t="str">
        <f t="shared" si="156"/>
        <v/>
      </c>
      <c r="BC311" s="37" t="str">
        <f t="shared" si="157"/>
        <v/>
      </c>
      <c r="BD311" s="38" t="str">
        <f t="shared" si="158"/>
        <v/>
      </c>
      <c r="BE311" s="38" t="str">
        <f t="shared" si="159"/>
        <v/>
      </c>
      <c r="BF311" s="38" t="b">
        <f t="shared" si="160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1"/>
        <v/>
      </c>
      <c r="BS311" s="36" t="str">
        <f>IFERROR(INDEX('Level Multiplier'!$D:$D,MATCH(BR311,'Level Multiplier'!$A:$A,0)),"")</f>
        <v/>
      </c>
      <c r="BT311" s="37" t="str">
        <f t="shared" si="162"/>
        <v/>
      </c>
      <c r="BU311" s="37" t="str">
        <f t="shared" si="163"/>
        <v/>
      </c>
      <c r="BV311" s="38" t="str">
        <f t="shared" si="164"/>
        <v/>
      </c>
      <c r="BW311" s="38" t="str">
        <f t="shared" si="165"/>
        <v/>
      </c>
      <c r="BX311" s="38" t="b">
        <f t="shared" si="166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67"/>
        <v/>
      </c>
      <c r="CK311" s="41" t="str">
        <f t="shared" si="168"/>
        <v/>
      </c>
      <c r="CL311" s="39" t="str">
        <f t="shared" si="169"/>
        <v/>
      </c>
      <c r="CM311" s="39" t="str">
        <f t="shared" si="170"/>
        <v/>
      </c>
      <c r="CN311" s="42" t="str">
        <f t="shared" si="171"/>
        <v/>
      </c>
      <c r="CO311" s="42" t="str">
        <f t="shared" si="172"/>
        <v/>
      </c>
      <c r="CP311" s="42" t="str">
        <f t="shared" si="173"/>
        <v/>
      </c>
      <c r="CQ311" s="42" t="str">
        <f t="shared" si="174"/>
        <v/>
      </c>
      <c r="CR311" s="42" t="str">
        <f t="shared" si="175"/>
        <v/>
      </c>
      <c r="CS311" s="42" t="str">
        <f t="shared" si="176"/>
        <v/>
      </c>
      <c r="CT311" s="43" t="str">
        <f t="shared" si="177"/>
        <v/>
      </c>
      <c r="CU311" s="43" t="str">
        <f t="shared" si="178"/>
        <v/>
      </c>
      <c r="CV311" s="43" t="str">
        <f t="shared" si="179"/>
        <v/>
      </c>
      <c r="CW311" s="13"/>
    </row>
    <row r="312" spans="1:101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Multiplier'!$A:$A,MATCH($D312,'Level Multiplier'!$B:$B,0)),"")</f>
        <v/>
      </c>
      <c r="Q312" s="36" t="str">
        <f>IFERROR(INDEX('Level Multiplier'!$D:$D,MATCH(P312,'Level Multiplier'!$A:$A,0)),"")</f>
        <v/>
      </c>
      <c r="R312" s="37" t="str">
        <f t="shared" si="144"/>
        <v/>
      </c>
      <c r="S312" s="37" t="str">
        <f t="shared" si="145"/>
        <v/>
      </c>
      <c r="T312" s="38" t="str">
        <f t="shared" si="146"/>
        <v/>
      </c>
      <c r="U312" s="38" t="str">
        <f t="shared" si="147"/>
        <v/>
      </c>
      <c r="V312" s="38" t="b">
        <f t="shared" si="148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49"/>
        <v/>
      </c>
      <c r="AI312" s="36" t="str">
        <f>IFERROR(INDEX('Level Multiplier'!$D:$D,MATCH(AH312,'Level Multiplier'!$A:$A,0)),"")</f>
        <v/>
      </c>
      <c r="AJ312" s="37" t="str">
        <f t="shared" si="150"/>
        <v/>
      </c>
      <c r="AK312" s="37" t="str">
        <f t="shared" si="151"/>
        <v/>
      </c>
      <c r="AL312" s="38" t="str">
        <f t="shared" si="152"/>
        <v/>
      </c>
      <c r="AM312" s="38" t="str">
        <f t="shared" si="153"/>
        <v/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5"/>
        <v/>
      </c>
      <c r="BA312" s="36" t="str">
        <f>IFERROR(INDEX('Level Multiplier'!$D:$D,MATCH(AZ312,'Level Multiplier'!$A:$A,0)),"")</f>
        <v/>
      </c>
      <c r="BB312" s="37" t="str">
        <f t="shared" si="156"/>
        <v/>
      </c>
      <c r="BC312" s="37" t="str">
        <f t="shared" si="157"/>
        <v/>
      </c>
      <c r="BD312" s="38" t="str">
        <f t="shared" si="158"/>
        <v/>
      </c>
      <c r="BE312" s="38" t="str">
        <f t="shared" si="159"/>
        <v/>
      </c>
      <c r="BF312" s="38" t="b">
        <f t="shared" si="160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1"/>
        <v/>
      </c>
      <c r="BS312" s="36" t="str">
        <f>IFERROR(INDEX('Level Multiplier'!$D:$D,MATCH(BR312,'Level Multiplier'!$A:$A,0)),"")</f>
        <v/>
      </c>
      <c r="BT312" s="37" t="str">
        <f t="shared" si="162"/>
        <v/>
      </c>
      <c r="BU312" s="37" t="str">
        <f t="shared" si="163"/>
        <v/>
      </c>
      <c r="BV312" s="38" t="str">
        <f t="shared" si="164"/>
        <v/>
      </c>
      <c r="BW312" s="38" t="str">
        <f t="shared" si="165"/>
        <v/>
      </c>
      <c r="BX312" s="38" t="b">
        <f t="shared" si="166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67"/>
        <v/>
      </c>
      <c r="CK312" s="41" t="str">
        <f t="shared" si="168"/>
        <v/>
      </c>
      <c r="CL312" s="39" t="str">
        <f t="shared" si="169"/>
        <v/>
      </c>
      <c r="CM312" s="39" t="str">
        <f t="shared" si="170"/>
        <v/>
      </c>
      <c r="CN312" s="42" t="str">
        <f t="shared" si="171"/>
        <v/>
      </c>
      <c r="CO312" s="42" t="str">
        <f t="shared" si="172"/>
        <v/>
      </c>
      <c r="CP312" s="42" t="str">
        <f t="shared" si="173"/>
        <v/>
      </c>
      <c r="CQ312" s="42" t="str">
        <f t="shared" si="174"/>
        <v/>
      </c>
      <c r="CR312" s="42" t="str">
        <f t="shared" si="175"/>
        <v/>
      </c>
      <c r="CS312" s="42" t="str">
        <f t="shared" si="176"/>
        <v/>
      </c>
      <c r="CT312" s="43" t="str">
        <f t="shared" si="177"/>
        <v/>
      </c>
      <c r="CU312" s="43" t="str">
        <f t="shared" si="178"/>
        <v/>
      </c>
      <c r="CV312" s="43" t="str">
        <f t="shared" si="179"/>
        <v/>
      </c>
      <c r="CW312" s="13"/>
    </row>
    <row r="313" spans="1:101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Multiplier'!$A:$A,MATCH($D313,'Level Multiplier'!$B:$B,0)),"")</f>
        <v/>
      </c>
      <c r="Q313" s="36" t="str">
        <f>IFERROR(INDEX('Level Multiplier'!$D:$D,MATCH(P313,'Level Multiplier'!$A:$A,0)),"")</f>
        <v/>
      </c>
      <c r="R313" s="37" t="str">
        <f t="shared" si="144"/>
        <v/>
      </c>
      <c r="S313" s="37" t="str">
        <f t="shared" si="145"/>
        <v/>
      </c>
      <c r="T313" s="38" t="str">
        <f t="shared" si="146"/>
        <v/>
      </c>
      <c r="U313" s="38" t="str">
        <f t="shared" si="147"/>
        <v/>
      </c>
      <c r="V313" s="38" t="b">
        <f t="shared" si="148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49"/>
        <v/>
      </c>
      <c r="AI313" s="36" t="str">
        <f>IFERROR(INDEX('Level Multiplier'!$D:$D,MATCH(AH313,'Level Multiplier'!$A:$A,0)),"")</f>
        <v/>
      </c>
      <c r="AJ313" s="37" t="str">
        <f t="shared" si="150"/>
        <v/>
      </c>
      <c r="AK313" s="37" t="str">
        <f t="shared" si="151"/>
        <v/>
      </c>
      <c r="AL313" s="38" t="str">
        <f t="shared" si="152"/>
        <v/>
      </c>
      <c r="AM313" s="38" t="str">
        <f t="shared" si="153"/>
        <v/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5"/>
        <v/>
      </c>
      <c r="BA313" s="36" t="str">
        <f>IFERROR(INDEX('Level Multiplier'!$D:$D,MATCH(AZ313,'Level Multiplier'!$A:$A,0)),"")</f>
        <v/>
      </c>
      <c r="BB313" s="37" t="str">
        <f t="shared" si="156"/>
        <v/>
      </c>
      <c r="BC313" s="37" t="str">
        <f t="shared" si="157"/>
        <v/>
      </c>
      <c r="BD313" s="38" t="str">
        <f t="shared" si="158"/>
        <v/>
      </c>
      <c r="BE313" s="38" t="str">
        <f t="shared" si="159"/>
        <v/>
      </c>
      <c r="BF313" s="38" t="b">
        <f t="shared" si="160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1"/>
        <v/>
      </c>
      <c r="BS313" s="36" t="str">
        <f>IFERROR(INDEX('Level Multiplier'!$D:$D,MATCH(BR313,'Level Multiplier'!$A:$A,0)),"")</f>
        <v/>
      </c>
      <c r="BT313" s="37" t="str">
        <f t="shared" si="162"/>
        <v/>
      </c>
      <c r="BU313" s="37" t="str">
        <f t="shared" si="163"/>
        <v/>
      </c>
      <c r="BV313" s="38" t="str">
        <f t="shared" si="164"/>
        <v/>
      </c>
      <c r="BW313" s="38" t="str">
        <f t="shared" si="165"/>
        <v/>
      </c>
      <c r="BX313" s="38" t="b">
        <f t="shared" si="166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67"/>
        <v/>
      </c>
      <c r="CK313" s="41" t="str">
        <f t="shared" si="168"/>
        <v/>
      </c>
      <c r="CL313" s="39" t="str">
        <f t="shared" si="169"/>
        <v/>
      </c>
      <c r="CM313" s="39" t="str">
        <f t="shared" si="170"/>
        <v/>
      </c>
      <c r="CN313" s="42" t="str">
        <f t="shared" si="171"/>
        <v/>
      </c>
      <c r="CO313" s="42" t="str">
        <f t="shared" si="172"/>
        <v/>
      </c>
      <c r="CP313" s="42" t="str">
        <f t="shared" si="173"/>
        <v/>
      </c>
      <c r="CQ313" s="42" t="str">
        <f t="shared" si="174"/>
        <v/>
      </c>
      <c r="CR313" s="42" t="str">
        <f t="shared" si="175"/>
        <v/>
      </c>
      <c r="CS313" s="42" t="str">
        <f t="shared" si="176"/>
        <v/>
      </c>
      <c r="CT313" s="43" t="str">
        <f t="shared" si="177"/>
        <v/>
      </c>
      <c r="CU313" s="43" t="str">
        <f t="shared" si="178"/>
        <v/>
      </c>
      <c r="CV313" s="43" t="str">
        <f t="shared" si="179"/>
        <v/>
      </c>
      <c r="CW313" s="13"/>
    </row>
    <row r="314" spans="1:101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Multiplier'!$A:$A,MATCH($D314,'Level Multiplier'!$B:$B,0)),"")</f>
        <v/>
      </c>
      <c r="Q314" s="36" t="str">
        <f>IFERROR(INDEX('Level Multiplier'!$D:$D,MATCH(P314,'Level Multiplier'!$A:$A,0)),"")</f>
        <v/>
      </c>
      <c r="R314" s="37" t="str">
        <f t="shared" si="144"/>
        <v/>
      </c>
      <c r="S314" s="37" t="str">
        <f t="shared" si="145"/>
        <v/>
      </c>
      <c r="T314" s="38" t="str">
        <f t="shared" si="146"/>
        <v/>
      </c>
      <c r="U314" s="38" t="str">
        <f t="shared" si="147"/>
        <v/>
      </c>
      <c r="V314" s="38" t="b">
        <f t="shared" si="148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49"/>
        <v/>
      </c>
      <c r="AI314" s="36" t="str">
        <f>IFERROR(INDEX('Level Multiplier'!$D:$D,MATCH(AH314,'Level Multiplier'!$A:$A,0)),"")</f>
        <v/>
      </c>
      <c r="AJ314" s="37" t="str">
        <f t="shared" si="150"/>
        <v/>
      </c>
      <c r="AK314" s="37" t="str">
        <f t="shared" si="151"/>
        <v/>
      </c>
      <c r="AL314" s="38" t="str">
        <f t="shared" si="152"/>
        <v/>
      </c>
      <c r="AM314" s="38" t="str">
        <f t="shared" si="153"/>
        <v/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5"/>
        <v/>
      </c>
      <c r="BA314" s="36" t="str">
        <f>IFERROR(INDEX('Level Multiplier'!$D:$D,MATCH(AZ314,'Level Multiplier'!$A:$A,0)),"")</f>
        <v/>
      </c>
      <c r="BB314" s="37" t="str">
        <f t="shared" si="156"/>
        <v/>
      </c>
      <c r="BC314" s="37" t="str">
        <f t="shared" si="157"/>
        <v/>
      </c>
      <c r="BD314" s="38" t="str">
        <f t="shared" si="158"/>
        <v/>
      </c>
      <c r="BE314" s="38" t="str">
        <f t="shared" si="159"/>
        <v/>
      </c>
      <c r="BF314" s="38" t="b">
        <f t="shared" si="160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1"/>
        <v/>
      </c>
      <c r="BS314" s="36" t="str">
        <f>IFERROR(INDEX('Level Multiplier'!$D:$D,MATCH(BR314,'Level Multiplier'!$A:$A,0)),"")</f>
        <v/>
      </c>
      <c r="BT314" s="37" t="str">
        <f t="shared" si="162"/>
        <v/>
      </c>
      <c r="BU314" s="37" t="str">
        <f t="shared" si="163"/>
        <v/>
      </c>
      <c r="BV314" s="38" t="str">
        <f t="shared" si="164"/>
        <v/>
      </c>
      <c r="BW314" s="38" t="str">
        <f t="shared" si="165"/>
        <v/>
      </c>
      <c r="BX314" s="38" t="b">
        <f t="shared" si="166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67"/>
        <v/>
      </c>
      <c r="CK314" s="41" t="str">
        <f t="shared" si="168"/>
        <v/>
      </c>
      <c r="CL314" s="39" t="str">
        <f t="shared" si="169"/>
        <v/>
      </c>
      <c r="CM314" s="39" t="str">
        <f t="shared" si="170"/>
        <v/>
      </c>
      <c r="CN314" s="42" t="str">
        <f t="shared" si="171"/>
        <v/>
      </c>
      <c r="CO314" s="42" t="str">
        <f t="shared" si="172"/>
        <v/>
      </c>
      <c r="CP314" s="42" t="str">
        <f t="shared" si="173"/>
        <v/>
      </c>
      <c r="CQ314" s="42" t="str">
        <f t="shared" si="174"/>
        <v/>
      </c>
      <c r="CR314" s="42" t="str">
        <f t="shared" si="175"/>
        <v/>
      </c>
      <c r="CS314" s="42" t="str">
        <f t="shared" si="176"/>
        <v/>
      </c>
      <c r="CT314" s="43" t="str">
        <f t="shared" si="177"/>
        <v/>
      </c>
      <c r="CU314" s="43" t="str">
        <f t="shared" si="178"/>
        <v/>
      </c>
      <c r="CV314" s="43" t="str">
        <f t="shared" si="179"/>
        <v/>
      </c>
      <c r="CW314" s="13"/>
    </row>
    <row r="315" spans="1:101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Multiplier'!$A:$A,MATCH($D315,'Level Multiplier'!$B:$B,0)),"")</f>
        <v/>
      </c>
      <c r="Q315" s="36" t="str">
        <f>IFERROR(INDEX('Level Multiplier'!$D:$D,MATCH(P315,'Level Multiplier'!$A:$A,0)),"")</f>
        <v/>
      </c>
      <c r="R315" s="37" t="str">
        <f t="shared" si="144"/>
        <v/>
      </c>
      <c r="S315" s="37" t="str">
        <f t="shared" si="145"/>
        <v/>
      </c>
      <c r="T315" s="38" t="str">
        <f t="shared" si="146"/>
        <v/>
      </c>
      <c r="U315" s="38" t="str">
        <f t="shared" si="147"/>
        <v/>
      </c>
      <c r="V315" s="38" t="b">
        <f t="shared" si="148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49"/>
        <v/>
      </c>
      <c r="AI315" s="36" t="str">
        <f>IFERROR(INDEX('Level Multiplier'!$D:$D,MATCH(AH315,'Level Multiplier'!$A:$A,0)),"")</f>
        <v/>
      </c>
      <c r="AJ315" s="37" t="str">
        <f t="shared" si="150"/>
        <v/>
      </c>
      <c r="AK315" s="37" t="str">
        <f t="shared" si="151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Multiplier'!$D:$D,MATCH(AZ315,'Level Multiplier'!$A:$A,0)),"")</f>
        <v/>
      </c>
      <c r="BB315" s="37" t="str">
        <f t="shared" si="156"/>
        <v/>
      </c>
      <c r="BC315" s="37" t="str">
        <f t="shared" si="157"/>
        <v/>
      </c>
      <c r="BD315" s="38" t="str">
        <f t="shared" si="158"/>
        <v/>
      </c>
      <c r="BE315" s="38" t="str">
        <f t="shared" si="159"/>
        <v/>
      </c>
      <c r="BF315" s="38" t="b">
        <f t="shared" si="160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1"/>
        <v/>
      </c>
      <c r="BS315" s="36" t="str">
        <f>IFERROR(INDEX('Level Multiplier'!$D:$D,MATCH(BR315,'Level Multiplier'!$A:$A,0)),"")</f>
        <v/>
      </c>
      <c r="BT315" s="37" t="str">
        <f t="shared" si="162"/>
        <v/>
      </c>
      <c r="BU315" s="37" t="str">
        <f t="shared" si="163"/>
        <v/>
      </c>
      <c r="BV315" s="38" t="str">
        <f t="shared" si="164"/>
        <v/>
      </c>
      <c r="BW315" s="38" t="str">
        <f t="shared" si="165"/>
        <v/>
      </c>
      <c r="BX315" s="38" t="b">
        <f t="shared" si="166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7"/>
        <v/>
      </c>
      <c r="CK315" s="41" t="str">
        <f t="shared" si="168"/>
        <v/>
      </c>
      <c r="CL315" s="39" t="str">
        <f t="shared" si="169"/>
        <v/>
      </c>
      <c r="CM315" s="39" t="str">
        <f t="shared" si="170"/>
        <v/>
      </c>
      <c r="CN315" s="42" t="str">
        <f t="shared" si="171"/>
        <v/>
      </c>
      <c r="CO315" s="42" t="str">
        <f t="shared" si="172"/>
        <v/>
      </c>
      <c r="CP315" s="42" t="str">
        <f t="shared" si="173"/>
        <v/>
      </c>
      <c r="CQ315" s="42" t="str">
        <f t="shared" si="174"/>
        <v/>
      </c>
      <c r="CR315" s="42" t="str">
        <f t="shared" si="175"/>
        <v/>
      </c>
      <c r="CS315" s="42" t="str">
        <f t="shared" si="176"/>
        <v/>
      </c>
      <c r="CT315" s="43" t="str">
        <f t="shared" si="177"/>
        <v/>
      </c>
      <c r="CU315" s="43" t="str">
        <f t="shared" si="178"/>
        <v/>
      </c>
      <c r="CV315" s="43" t="str">
        <f t="shared" si="179"/>
        <v/>
      </c>
      <c r="CW315" s="13"/>
    </row>
    <row r="316" spans="1:101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Multiplier'!$A:$A,MATCH($D316,'Level Multiplier'!$B:$B,0)),"")</f>
        <v/>
      </c>
      <c r="Q316" s="36" t="str">
        <f>IFERROR(INDEX('Level Multiplier'!$D:$D,MATCH(P316,'Level Multiplier'!$A:$A,0)),"")</f>
        <v/>
      </c>
      <c r="R316" s="37" t="str">
        <f t="shared" si="144"/>
        <v/>
      </c>
      <c r="S316" s="37" t="str">
        <f t="shared" si="145"/>
        <v/>
      </c>
      <c r="T316" s="38" t="str">
        <f t="shared" si="146"/>
        <v/>
      </c>
      <c r="U316" s="38" t="str">
        <f t="shared" si="147"/>
        <v/>
      </c>
      <c r="V316" s="38" t="b">
        <f t="shared" si="148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49"/>
        <v/>
      </c>
      <c r="AI316" s="36" t="str">
        <f>IFERROR(INDEX('Level Multiplier'!$D:$D,MATCH(AH316,'Level Multiplier'!$A:$A,0)),"")</f>
        <v/>
      </c>
      <c r="AJ316" s="37" t="str">
        <f t="shared" si="150"/>
        <v/>
      </c>
      <c r="AK316" s="37" t="str">
        <f t="shared" si="151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Multiplier'!$D:$D,MATCH(AZ316,'Level Multiplier'!$A:$A,0)),"")</f>
        <v/>
      </c>
      <c r="BB316" s="37" t="str">
        <f t="shared" si="156"/>
        <v/>
      </c>
      <c r="BC316" s="37" t="str">
        <f t="shared" si="157"/>
        <v/>
      </c>
      <c r="BD316" s="38" t="str">
        <f t="shared" si="158"/>
        <v/>
      </c>
      <c r="BE316" s="38" t="str">
        <f t="shared" si="159"/>
        <v/>
      </c>
      <c r="BF316" s="38" t="b">
        <f t="shared" si="160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1"/>
        <v/>
      </c>
      <c r="BS316" s="36" t="str">
        <f>IFERROR(INDEX('Level Multiplier'!$D:$D,MATCH(BR316,'Level Multiplier'!$A:$A,0)),"")</f>
        <v/>
      </c>
      <c r="BT316" s="37" t="str">
        <f t="shared" si="162"/>
        <v/>
      </c>
      <c r="BU316" s="37" t="str">
        <f t="shared" si="163"/>
        <v/>
      </c>
      <c r="BV316" s="38" t="str">
        <f t="shared" si="164"/>
        <v/>
      </c>
      <c r="BW316" s="38" t="str">
        <f t="shared" si="165"/>
        <v/>
      </c>
      <c r="BX316" s="38" t="b">
        <f t="shared" si="166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7"/>
        <v/>
      </c>
      <c r="CK316" s="41" t="str">
        <f t="shared" si="168"/>
        <v/>
      </c>
      <c r="CL316" s="39" t="str">
        <f t="shared" si="169"/>
        <v/>
      </c>
      <c r="CM316" s="39" t="str">
        <f t="shared" si="170"/>
        <v/>
      </c>
      <c r="CN316" s="42" t="str">
        <f t="shared" si="171"/>
        <v/>
      </c>
      <c r="CO316" s="42" t="str">
        <f t="shared" si="172"/>
        <v/>
      </c>
      <c r="CP316" s="42" t="str">
        <f t="shared" si="173"/>
        <v/>
      </c>
      <c r="CQ316" s="42" t="str">
        <f t="shared" si="174"/>
        <v/>
      </c>
      <c r="CR316" s="42" t="str">
        <f t="shared" si="175"/>
        <v/>
      </c>
      <c r="CS316" s="42" t="str">
        <f t="shared" si="176"/>
        <v/>
      </c>
      <c r="CT316" s="43" t="str">
        <f t="shared" si="177"/>
        <v/>
      </c>
      <c r="CU316" s="43" t="str">
        <f t="shared" si="178"/>
        <v/>
      </c>
      <c r="CV316" s="43" t="str">
        <f t="shared" si="179"/>
        <v/>
      </c>
      <c r="CW316" s="13"/>
    </row>
    <row r="317" spans="1:101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Multiplier'!$A:$A,MATCH($D317,'Level Multiplier'!$B:$B,0)),"")</f>
        <v/>
      </c>
      <c r="Q317" s="36" t="str">
        <f>IFERROR(INDEX('Level Multiplier'!$D:$D,MATCH(P317,'Level Multiplier'!$A:$A,0)),"")</f>
        <v/>
      </c>
      <c r="R317" s="37" t="str">
        <f t="shared" si="144"/>
        <v/>
      </c>
      <c r="S317" s="37" t="str">
        <f t="shared" si="145"/>
        <v/>
      </c>
      <c r="T317" s="38" t="str">
        <f t="shared" si="146"/>
        <v/>
      </c>
      <c r="U317" s="38" t="str">
        <f t="shared" si="147"/>
        <v/>
      </c>
      <c r="V317" s="38" t="b">
        <f t="shared" si="148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49"/>
        <v/>
      </c>
      <c r="AI317" s="36" t="str">
        <f>IFERROR(INDEX('Level Multiplier'!$D:$D,MATCH(AH317,'Level Multiplier'!$A:$A,0)),"")</f>
        <v/>
      </c>
      <c r="AJ317" s="37" t="str">
        <f t="shared" si="150"/>
        <v/>
      </c>
      <c r="AK317" s="37" t="str">
        <f t="shared" si="151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Multiplier'!$D:$D,MATCH(AZ317,'Level Multiplier'!$A:$A,0)),"")</f>
        <v/>
      </c>
      <c r="BB317" s="37" t="str">
        <f t="shared" si="156"/>
        <v/>
      </c>
      <c r="BC317" s="37" t="str">
        <f t="shared" si="157"/>
        <v/>
      </c>
      <c r="BD317" s="38" t="str">
        <f t="shared" si="158"/>
        <v/>
      </c>
      <c r="BE317" s="38" t="str">
        <f t="shared" si="159"/>
        <v/>
      </c>
      <c r="BF317" s="38" t="b">
        <f t="shared" si="160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1"/>
        <v/>
      </c>
      <c r="BS317" s="36" t="str">
        <f>IFERROR(INDEX('Level Multiplier'!$D:$D,MATCH(BR317,'Level Multiplier'!$A:$A,0)),"")</f>
        <v/>
      </c>
      <c r="BT317" s="37" t="str">
        <f t="shared" si="162"/>
        <v/>
      </c>
      <c r="BU317" s="37" t="str">
        <f t="shared" si="163"/>
        <v/>
      </c>
      <c r="BV317" s="38" t="str">
        <f t="shared" si="164"/>
        <v/>
      </c>
      <c r="BW317" s="38" t="str">
        <f t="shared" si="165"/>
        <v/>
      </c>
      <c r="BX317" s="38" t="b">
        <f t="shared" si="166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7"/>
        <v/>
      </c>
      <c r="CK317" s="41" t="str">
        <f t="shared" si="168"/>
        <v/>
      </c>
      <c r="CL317" s="39" t="str">
        <f t="shared" si="169"/>
        <v/>
      </c>
      <c r="CM317" s="39" t="str">
        <f t="shared" si="170"/>
        <v/>
      </c>
      <c r="CN317" s="42" t="str">
        <f t="shared" si="171"/>
        <v/>
      </c>
      <c r="CO317" s="42" t="str">
        <f t="shared" si="172"/>
        <v/>
      </c>
      <c r="CP317" s="42" t="str">
        <f t="shared" si="173"/>
        <v/>
      </c>
      <c r="CQ317" s="42" t="str">
        <f t="shared" si="174"/>
        <v/>
      </c>
      <c r="CR317" s="42" t="str">
        <f t="shared" si="175"/>
        <v/>
      </c>
      <c r="CS317" s="42" t="str">
        <f t="shared" si="176"/>
        <v/>
      </c>
      <c r="CT317" s="43" t="str">
        <f t="shared" si="177"/>
        <v/>
      </c>
      <c r="CU317" s="43" t="str">
        <f t="shared" si="178"/>
        <v/>
      </c>
      <c r="CV317" s="43" t="str">
        <f t="shared" si="179"/>
        <v/>
      </c>
      <c r="CW317" s="13"/>
    </row>
    <row r="318" spans="1:101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Multiplier'!$A:$A,MATCH($D318,'Level Multiplier'!$B:$B,0)),"")</f>
        <v/>
      </c>
      <c r="Q318" s="36" t="str">
        <f>IFERROR(INDEX('Level Multiplier'!$D:$D,MATCH(P318,'Level Multiplier'!$A:$A,0)),"")</f>
        <v/>
      </c>
      <c r="R318" s="37" t="str">
        <f t="shared" si="144"/>
        <v/>
      </c>
      <c r="S318" s="37" t="str">
        <f t="shared" si="145"/>
        <v/>
      </c>
      <c r="T318" s="38" t="str">
        <f t="shared" si="146"/>
        <v/>
      </c>
      <c r="U318" s="38" t="str">
        <f t="shared" si="147"/>
        <v/>
      </c>
      <c r="V318" s="38" t="b">
        <f t="shared" si="148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49"/>
        <v/>
      </c>
      <c r="AI318" s="36" t="str">
        <f>IFERROR(INDEX('Level Multiplier'!$D:$D,MATCH(AH318,'Level Multiplier'!$A:$A,0)),"")</f>
        <v/>
      </c>
      <c r="AJ318" s="37" t="str">
        <f t="shared" si="150"/>
        <v/>
      </c>
      <c r="AK318" s="37" t="str">
        <f t="shared" si="151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Multiplier'!$D:$D,MATCH(AZ318,'Level Multiplier'!$A:$A,0)),"")</f>
        <v/>
      </c>
      <c r="BB318" s="37" t="str">
        <f t="shared" si="156"/>
        <v/>
      </c>
      <c r="BC318" s="37" t="str">
        <f t="shared" si="157"/>
        <v/>
      </c>
      <c r="BD318" s="38" t="str">
        <f t="shared" si="158"/>
        <v/>
      </c>
      <c r="BE318" s="38" t="str">
        <f t="shared" si="159"/>
        <v/>
      </c>
      <c r="BF318" s="38" t="b">
        <f t="shared" si="160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1"/>
        <v/>
      </c>
      <c r="BS318" s="36" t="str">
        <f>IFERROR(INDEX('Level Multiplier'!$D:$D,MATCH(BR318,'Level Multiplier'!$A:$A,0)),"")</f>
        <v/>
      </c>
      <c r="BT318" s="37" t="str">
        <f t="shared" si="162"/>
        <v/>
      </c>
      <c r="BU318" s="37" t="str">
        <f t="shared" si="163"/>
        <v/>
      </c>
      <c r="BV318" s="38" t="str">
        <f t="shared" si="164"/>
        <v/>
      </c>
      <c r="BW318" s="38" t="str">
        <f t="shared" si="165"/>
        <v/>
      </c>
      <c r="BX318" s="38" t="b">
        <f t="shared" si="166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7"/>
        <v/>
      </c>
      <c r="CK318" s="41" t="str">
        <f t="shared" si="168"/>
        <v/>
      </c>
      <c r="CL318" s="39" t="str">
        <f t="shared" si="169"/>
        <v/>
      </c>
      <c r="CM318" s="39" t="str">
        <f t="shared" si="170"/>
        <v/>
      </c>
      <c r="CN318" s="42" t="str">
        <f t="shared" si="171"/>
        <v/>
      </c>
      <c r="CO318" s="42" t="str">
        <f t="shared" si="172"/>
        <v/>
      </c>
      <c r="CP318" s="42" t="str">
        <f t="shared" si="173"/>
        <v/>
      </c>
      <c r="CQ318" s="42" t="str">
        <f t="shared" si="174"/>
        <v/>
      </c>
      <c r="CR318" s="42" t="str">
        <f t="shared" si="175"/>
        <v/>
      </c>
      <c r="CS318" s="42" t="str">
        <f t="shared" si="176"/>
        <v/>
      </c>
      <c r="CT318" s="43" t="str">
        <f t="shared" si="177"/>
        <v/>
      </c>
      <c r="CU318" s="43" t="str">
        <f t="shared" si="178"/>
        <v/>
      </c>
      <c r="CV318" s="43" t="str">
        <f t="shared" si="179"/>
        <v/>
      </c>
      <c r="CW318" s="13"/>
    </row>
    <row r="319" spans="1:101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Multiplier'!$A:$A,MATCH($D319,'Level Multiplier'!$B:$B,0)),"")</f>
        <v/>
      </c>
      <c r="Q319" s="36" t="str">
        <f>IFERROR(INDEX('Level Multiplier'!$D:$D,MATCH(P319,'Level Multiplier'!$A:$A,0)),"")</f>
        <v/>
      </c>
      <c r="R319" s="37" t="str">
        <f t="shared" si="144"/>
        <v/>
      </c>
      <c r="S319" s="37" t="str">
        <f t="shared" si="145"/>
        <v/>
      </c>
      <c r="T319" s="38" t="str">
        <f t="shared" si="146"/>
        <v/>
      </c>
      <c r="U319" s="38" t="str">
        <f t="shared" si="147"/>
        <v/>
      </c>
      <c r="V319" s="38" t="b">
        <f t="shared" si="148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49"/>
        <v/>
      </c>
      <c r="AI319" s="36" t="str">
        <f>IFERROR(INDEX('Level Multiplier'!$D:$D,MATCH(AH319,'Level Multiplier'!$A:$A,0)),"")</f>
        <v/>
      </c>
      <c r="AJ319" s="37" t="str">
        <f t="shared" si="150"/>
        <v/>
      </c>
      <c r="AK319" s="37" t="str">
        <f t="shared" si="151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Multiplier'!$D:$D,MATCH(AZ319,'Level Multiplier'!$A:$A,0)),"")</f>
        <v/>
      </c>
      <c r="BB319" s="37" t="str">
        <f t="shared" si="156"/>
        <v/>
      </c>
      <c r="BC319" s="37" t="str">
        <f t="shared" si="157"/>
        <v/>
      </c>
      <c r="BD319" s="38" t="str">
        <f t="shared" si="158"/>
        <v/>
      </c>
      <c r="BE319" s="38" t="str">
        <f t="shared" si="159"/>
        <v/>
      </c>
      <c r="BF319" s="38" t="b">
        <f t="shared" si="160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1"/>
        <v/>
      </c>
      <c r="BS319" s="36" t="str">
        <f>IFERROR(INDEX('Level Multiplier'!$D:$D,MATCH(BR319,'Level Multiplier'!$A:$A,0)),"")</f>
        <v/>
      </c>
      <c r="BT319" s="37" t="str">
        <f t="shared" si="162"/>
        <v/>
      </c>
      <c r="BU319" s="37" t="str">
        <f t="shared" si="163"/>
        <v/>
      </c>
      <c r="BV319" s="38" t="str">
        <f t="shared" si="164"/>
        <v/>
      </c>
      <c r="BW319" s="38" t="str">
        <f t="shared" si="165"/>
        <v/>
      </c>
      <c r="BX319" s="38" t="b">
        <f t="shared" si="166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7"/>
        <v/>
      </c>
      <c r="CK319" s="41" t="str">
        <f t="shared" si="168"/>
        <v/>
      </c>
      <c r="CL319" s="39" t="str">
        <f t="shared" si="169"/>
        <v/>
      </c>
      <c r="CM319" s="39" t="str">
        <f t="shared" si="170"/>
        <v/>
      </c>
      <c r="CN319" s="42" t="str">
        <f t="shared" si="171"/>
        <v/>
      </c>
      <c r="CO319" s="42" t="str">
        <f t="shared" si="172"/>
        <v/>
      </c>
      <c r="CP319" s="42" t="str">
        <f t="shared" si="173"/>
        <v/>
      </c>
      <c r="CQ319" s="42" t="str">
        <f t="shared" si="174"/>
        <v/>
      </c>
      <c r="CR319" s="42" t="str">
        <f t="shared" si="175"/>
        <v/>
      </c>
      <c r="CS319" s="42" t="str">
        <f t="shared" si="176"/>
        <v/>
      </c>
      <c r="CT319" s="43" t="str">
        <f t="shared" si="177"/>
        <v/>
      </c>
      <c r="CU319" s="43" t="str">
        <f t="shared" si="178"/>
        <v/>
      </c>
      <c r="CV319" s="43" t="str">
        <f t="shared" si="179"/>
        <v/>
      </c>
      <c r="CW319" s="13"/>
    </row>
    <row r="320" spans="1:101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Multiplier'!$A:$A,MATCH($D320,'Level Multiplier'!$B:$B,0)),"")</f>
        <v/>
      </c>
      <c r="Q320" s="36" t="str">
        <f>IFERROR(INDEX('Level Multiplier'!$D:$D,MATCH(P320,'Level Multiplier'!$A:$A,0)),"")</f>
        <v/>
      </c>
      <c r="R320" s="37" t="str">
        <f t="shared" si="144"/>
        <v/>
      </c>
      <c r="S320" s="37" t="str">
        <f t="shared" si="145"/>
        <v/>
      </c>
      <c r="T320" s="38" t="str">
        <f t="shared" si="146"/>
        <v/>
      </c>
      <c r="U320" s="38" t="str">
        <f t="shared" si="147"/>
        <v/>
      </c>
      <c r="V320" s="38" t="b">
        <f t="shared" si="148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49"/>
        <v/>
      </c>
      <c r="AI320" s="36" t="str">
        <f>IFERROR(INDEX('Level Multiplier'!$D:$D,MATCH(AH320,'Level Multiplier'!$A:$A,0)),"")</f>
        <v/>
      </c>
      <c r="AJ320" s="37" t="str">
        <f t="shared" si="150"/>
        <v/>
      </c>
      <c r="AK320" s="37" t="str">
        <f t="shared" si="151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Multiplier'!$D:$D,MATCH(AZ320,'Level Multiplier'!$A:$A,0)),"")</f>
        <v/>
      </c>
      <c r="BB320" s="37" t="str">
        <f t="shared" si="156"/>
        <v/>
      </c>
      <c r="BC320" s="37" t="str">
        <f t="shared" si="157"/>
        <v/>
      </c>
      <c r="BD320" s="38" t="str">
        <f t="shared" si="158"/>
        <v/>
      </c>
      <c r="BE320" s="38" t="str">
        <f t="shared" si="159"/>
        <v/>
      </c>
      <c r="BF320" s="38" t="b">
        <f t="shared" si="160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1"/>
        <v/>
      </c>
      <c r="BS320" s="36" t="str">
        <f>IFERROR(INDEX('Level Multiplier'!$D:$D,MATCH(BR320,'Level Multiplier'!$A:$A,0)),"")</f>
        <v/>
      </c>
      <c r="BT320" s="37" t="str">
        <f t="shared" si="162"/>
        <v/>
      </c>
      <c r="BU320" s="37" t="str">
        <f t="shared" si="163"/>
        <v/>
      </c>
      <c r="BV320" s="38" t="str">
        <f t="shared" si="164"/>
        <v/>
      </c>
      <c r="BW320" s="38" t="str">
        <f t="shared" si="165"/>
        <v/>
      </c>
      <c r="BX320" s="38" t="b">
        <f t="shared" si="166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7"/>
        <v/>
      </c>
      <c r="CK320" s="41" t="str">
        <f t="shared" si="168"/>
        <v/>
      </c>
      <c r="CL320" s="39" t="str">
        <f t="shared" si="169"/>
        <v/>
      </c>
      <c r="CM320" s="39" t="str">
        <f t="shared" si="170"/>
        <v/>
      </c>
      <c r="CN320" s="42" t="str">
        <f t="shared" si="171"/>
        <v/>
      </c>
      <c r="CO320" s="42" t="str">
        <f t="shared" si="172"/>
        <v/>
      </c>
      <c r="CP320" s="42" t="str">
        <f t="shared" si="173"/>
        <v/>
      </c>
      <c r="CQ320" s="42" t="str">
        <f t="shared" si="174"/>
        <v/>
      </c>
      <c r="CR320" s="42" t="str">
        <f t="shared" si="175"/>
        <v/>
      </c>
      <c r="CS320" s="42" t="str">
        <f t="shared" si="176"/>
        <v/>
      </c>
      <c r="CT320" s="43" t="str">
        <f t="shared" si="177"/>
        <v/>
      </c>
      <c r="CU320" s="43" t="str">
        <f t="shared" si="178"/>
        <v/>
      </c>
      <c r="CV320" s="43" t="str">
        <f t="shared" si="179"/>
        <v/>
      </c>
      <c r="CW320" s="13"/>
    </row>
    <row r="321" spans="1:101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Multiplier'!$A:$A,MATCH($D321,'Level Multiplier'!$B:$B,0)),"")</f>
        <v/>
      </c>
      <c r="Q321" s="36" t="str">
        <f>IFERROR(INDEX('Level Multiplier'!$D:$D,MATCH(P321,'Level Multiplier'!$A:$A,0)),"")</f>
        <v/>
      </c>
      <c r="R321" s="37" t="str">
        <f t="shared" si="144"/>
        <v/>
      </c>
      <c r="S321" s="37" t="str">
        <f t="shared" si="145"/>
        <v/>
      </c>
      <c r="T321" s="38" t="str">
        <f t="shared" si="146"/>
        <v/>
      </c>
      <c r="U321" s="38" t="str">
        <f t="shared" si="147"/>
        <v/>
      </c>
      <c r="V321" s="38" t="b">
        <f t="shared" si="148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49"/>
        <v/>
      </c>
      <c r="AI321" s="36" t="str">
        <f>IFERROR(INDEX('Level Multiplier'!$D:$D,MATCH(AH321,'Level Multiplier'!$A:$A,0)),"")</f>
        <v/>
      </c>
      <c r="AJ321" s="37" t="str">
        <f t="shared" si="150"/>
        <v/>
      </c>
      <c r="AK321" s="37" t="str">
        <f t="shared" si="151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Multiplier'!$D:$D,MATCH(AZ321,'Level Multiplier'!$A:$A,0)),"")</f>
        <v/>
      </c>
      <c r="BB321" s="37" t="str">
        <f t="shared" si="156"/>
        <v/>
      </c>
      <c r="BC321" s="37" t="str">
        <f t="shared" si="157"/>
        <v/>
      </c>
      <c r="BD321" s="38" t="str">
        <f t="shared" si="158"/>
        <v/>
      </c>
      <c r="BE321" s="38" t="str">
        <f t="shared" si="159"/>
        <v/>
      </c>
      <c r="BF321" s="38" t="b">
        <f t="shared" si="160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1"/>
        <v/>
      </c>
      <c r="BS321" s="36" t="str">
        <f>IFERROR(INDEX('Level Multiplier'!$D:$D,MATCH(BR321,'Level Multiplier'!$A:$A,0)),"")</f>
        <v/>
      </c>
      <c r="BT321" s="37" t="str">
        <f t="shared" si="162"/>
        <v/>
      </c>
      <c r="BU321" s="37" t="str">
        <f t="shared" si="163"/>
        <v/>
      </c>
      <c r="BV321" s="38" t="str">
        <f t="shared" si="164"/>
        <v/>
      </c>
      <c r="BW321" s="38" t="str">
        <f t="shared" si="165"/>
        <v/>
      </c>
      <c r="BX321" s="38" t="b">
        <f t="shared" si="166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7"/>
        <v/>
      </c>
      <c r="CK321" s="41" t="str">
        <f t="shared" si="168"/>
        <v/>
      </c>
      <c r="CL321" s="39" t="str">
        <f t="shared" si="169"/>
        <v/>
      </c>
      <c r="CM321" s="39" t="str">
        <f t="shared" si="170"/>
        <v/>
      </c>
      <c r="CN321" s="42" t="str">
        <f t="shared" si="171"/>
        <v/>
      </c>
      <c r="CO321" s="42" t="str">
        <f t="shared" si="172"/>
        <v/>
      </c>
      <c r="CP321" s="42" t="str">
        <f t="shared" si="173"/>
        <v/>
      </c>
      <c r="CQ321" s="42" t="str">
        <f t="shared" si="174"/>
        <v/>
      </c>
      <c r="CR321" s="42" t="str">
        <f t="shared" si="175"/>
        <v/>
      </c>
      <c r="CS321" s="42" t="str">
        <f t="shared" si="176"/>
        <v/>
      </c>
      <c r="CT321" s="43" t="str">
        <f t="shared" si="177"/>
        <v/>
      </c>
      <c r="CU321" s="43" t="str">
        <f t="shared" si="178"/>
        <v/>
      </c>
      <c r="CV321" s="43" t="str">
        <f t="shared" si="179"/>
        <v/>
      </c>
      <c r="CW321" s="13"/>
    </row>
    <row r="322" spans="1:101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Multiplier'!$A:$A,MATCH($D322,'Level Multiplier'!$B:$B,0)),"")</f>
        <v/>
      </c>
      <c r="Q322" s="36" t="str">
        <f>IFERROR(INDEX('Level Multiplier'!$D:$D,MATCH(P322,'Level Multiplier'!$A:$A,0)),"")</f>
        <v/>
      </c>
      <c r="R322" s="37" t="str">
        <f t="shared" si="144"/>
        <v/>
      </c>
      <c r="S322" s="37" t="str">
        <f t="shared" si="145"/>
        <v/>
      </c>
      <c r="T322" s="38" t="str">
        <f t="shared" si="146"/>
        <v/>
      </c>
      <c r="U322" s="38" t="str">
        <f t="shared" si="147"/>
        <v/>
      </c>
      <c r="V322" s="38" t="b">
        <f t="shared" si="148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49"/>
        <v/>
      </c>
      <c r="AI322" s="36" t="str">
        <f>IFERROR(INDEX('Level Multiplier'!$D:$D,MATCH(AH322,'Level Multiplier'!$A:$A,0)),"")</f>
        <v/>
      </c>
      <c r="AJ322" s="37" t="str">
        <f t="shared" si="150"/>
        <v/>
      </c>
      <c r="AK322" s="37" t="str">
        <f t="shared" si="151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Multiplier'!$D:$D,MATCH(AZ322,'Level Multiplier'!$A:$A,0)),"")</f>
        <v/>
      </c>
      <c r="BB322" s="37" t="str">
        <f t="shared" si="156"/>
        <v/>
      </c>
      <c r="BC322" s="37" t="str">
        <f t="shared" si="157"/>
        <v/>
      </c>
      <c r="BD322" s="38" t="str">
        <f t="shared" si="158"/>
        <v/>
      </c>
      <c r="BE322" s="38" t="str">
        <f t="shared" si="159"/>
        <v/>
      </c>
      <c r="BF322" s="38" t="b">
        <f t="shared" si="160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1"/>
        <v/>
      </c>
      <c r="BS322" s="36" t="str">
        <f>IFERROR(INDEX('Level Multiplier'!$D:$D,MATCH(BR322,'Level Multiplier'!$A:$A,0)),"")</f>
        <v/>
      </c>
      <c r="BT322" s="37" t="str">
        <f t="shared" si="162"/>
        <v/>
      </c>
      <c r="BU322" s="37" t="str">
        <f t="shared" si="163"/>
        <v/>
      </c>
      <c r="BV322" s="38" t="str">
        <f t="shared" si="164"/>
        <v/>
      </c>
      <c r="BW322" s="38" t="str">
        <f t="shared" si="165"/>
        <v/>
      </c>
      <c r="BX322" s="38" t="b">
        <f t="shared" si="166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7"/>
        <v/>
      </c>
      <c r="CK322" s="41" t="str">
        <f t="shared" si="168"/>
        <v/>
      </c>
      <c r="CL322" s="39" t="str">
        <f t="shared" si="169"/>
        <v/>
      </c>
      <c r="CM322" s="39" t="str">
        <f t="shared" si="170"/>
        <v/>
      </c>
      <c r="CN322" s="42" t="str">
        <f t="shared" si="171"/>
        <v/>
      </c>
      <c r="CO322" s="42" t="str">
        <f t="shared" si="172"/>
        <v/>
      </c>
      <c r="CP322" s="42" t="str">
        <f t="shared" si="173"/>
        <v/>
      </c>
      <c r="CQ322" s="42" t="str">
        <f t="shared" si="174"/>
        <v/>
      </c>
      <c r="CR322" s="42" t="str">
        <f t="shared" si="175"/>
        <v/>
      </c>
      <c r="CS322" s="42" t="str">
        <f t="shared" si="176"/>
        <v/>
      </c>
      <c r="CT322" s="43" t="str">
        <f t="shared" si="177"/>
        <v/>
      </c>
      <c r="CU322" s="43" t="str">
        <f t="shared" si="178"/>
        <v/>
      </c>
      <c r="CV322" s="43" t="str">
        <f t="shared" si="179"/>
        <v/>
      </c>
      <c r="CW322" s="13"/>
    </row>
    <row r="323" spans="1:101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Multiplier'!$A:$A,MATCH($D323,'Level Multiplier'!$B:$B,0)),"")</f>
        <v/>
      </c>
      <c r="Q323" s="36" t="str">
        <f>IFERROR(INDEX('Level Multiplier'!$D:$D,MATCH(P323,'Level Multiplier'!$A:$A,0)),"")</f>
        <v/>
      </c>
      <c r="R323" s="37" t="str">
        <f t="shared" ref="R323:R352" si="180">IF(P323="","",IF($C323&gt;10,MAX(0,ROUNDUP(Q323*$C323-$M323,0)),0))</f>
        <v/>
      </c>
      <c r="S323" s="37" t="str">
        <f t="shared" ref="S323:S352" si="181">IF(P323="","",MIN(15,ROUNDDOWN(Q323*($C323+1)-$M323,0)))</f>
        <v/>
      </c>
      <c r="T323" s="38" t="str">
        <f t="shared" ref="T323:T352" si="182">IFERROR(IF($B323&gt;10,100*Q323^4*$B323^2,$N323^2*$O323*($M323+R323)),"")</f>
        <v/>
      </c>
      <c r="U323" s="38" t="str">
        <f t="shared" ref="U323:U352" si="183">IFERROR(100*Q323^4*($B323+1)^2,"")</f>
        <v/>
      </c>
      <c r="V323" s="38" t="b">
        <f t="shared" ref="V323:V352" si="18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5">IFERROR(P323+0.5,"")</f>
        <v/>
      </c>
      <c r="AI323" s="36" t="str">
        <f>IFERROR(INDEX('Level Multiplier'!$D:$D,MATCH(AH323,'Level Multiplier'!$A:$A,0)),"")</f>
        <v/>
      </c>
      <c r="AJ323" s="37" t="str">
        <f t="shared" ref="AJ323:AJ352" si="186">IF(AH323="","",IF($C323&gt;10,MAX(0,ROUNDUP(AI323*$C323-$M323,0)),0))</f>
        <v/>
      </c>
      <c r="AK323" s="37" t="str">
        <f t="shared" ref="AK323:AK352" si="187">IF(AH323="","",MIN(15,ROUNDDOWN(AI323*($C323+1)-$M323,0)))</f>
        <v/>
      </c>
      <c r="AL323" s="38" t="str">
        <f t="shared" ref="AL323:AL352" si="188">IFERROR(IF($B323&gt;10,100*AI323^4*$B323^2,$N323^2*$O323*($M323+AJ323)),"")</f>
        <v/>
      </c>
      <c r="AM323" s="38" t="str">
        <f t="shared" ref="AM323:AM352" si="189">IFERROR(100*AI323^4*($B323+1)^2,"")</f>
        <v/>
      </c>
      <c r="AN323" s="38" t="b">
        <f t="shared" ref="AN323:AN352" si="190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1">IFERROR(AH323+0.5,"")</f>
        <v/>
      </c>
      <c r="BA323" s="36" t="str">
        <f>IFERROR(INDEX('Level Multiplier'!$D:$D,MATCH(AZ323,'Level Multiplier'!$A:$A,0)),"")</f>
        <v/>
      </c>
      <c r="BB323" s="37" t="str">
        <f t="shared" ref="BB323:BB352" si="192">IF(AZ323="","",IF($C323&gt;10,MAX(0,ROUNDUP(BA323*$C323-$M323,0)),0))</f>
        <v/>
      </c>
      <c r="BC323" s="37" t="str">
        <f t="shared" ref="BC323:BC352" si="193">IF(AZ323="","",MIN(15,ROUNDDOWN(BA323*($C323+1)-$M323,0)))</f>
        <v/>
      </c>
      <c r="BD323" s="38" t="str">
        <f t="shared" ref="BD323:BD352" si="194">IFERROR(IF($B323&gt;10,100*BA323^4*$B323^2,$N323^2*$O323*($M323+BB323)),"")</f>
        <v/>
      </c>
      <c r="BE323" s="38" t="str">
        <f t="shared" ref="BE323:BE352" si="195">IFERROR(100*BA323^4*($B323+1)^2,"")</f>
        <v/>
      </c>
      <c r="BF323" s="38" t="b">
        <f t="shared" ref="BF323:BF352" si="196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7">IFERROR(AZ323+0.5,"")</f>
        <v/>
      </c>
      <c r="BS323" s="36" t="str">
        <f>IFERROR(INDEX('Level Multiplier'!$D:$D,MATCH(BR323,'Level Multiplier'!$A:$A,0)),"")</f>
        <v/>
      </c>
      <c r="BT323" s="37" t="str">
        <f t="shared" ref="BT323:BT352" si="198">IF(BR323="","",IF($C323&gt;10,MAX(0,ROUNDUP(BS323*$C323-$M323,0)),0))</f>
        <v/>
      </c>
      <c r="BU323" s="37" t="str">
        <f t="shared" ref="BU323:BU352" si="199">IF(BR323="","",MIN(15,ROUNDDOWN(BS323*($C323+1)-$M323,0)))</f>
        <v/>
      </c>
      <c r="BV323" s="38" t="str">
        <f t="shared" ref="BV323:BV352" si="200">IFERROR(IF($B323&gt;10,100*BS323^4*$B323^2,$N323^2*$O323*($M323+BT323)),"")</f>
        <v/>
      </c>
      <c r="BW323" s="38" t="str">
        <f t="shared" ref="BW323:BW352" si="201">IFERROR(100*BS323^4*($B323+1)^2,"")</f>
        <v/>
      </c>
      <c r="BX323" s="38" t="b">
        <f t="shared" ref="BX323:BX352" si="202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3">IF(IFERROR(W323*1,0)&gt;0,P323,IF(IFERROR(AO323*1,0)&gt;0,AH323,IF(IFERROR(BG323*1,0)&gt;0,AZ323,IF(IFERROR(BY323*1,0)&gt;0,BR323,""))))</f>
        <v/>
      </c>
      <c r="CK323" s="41" t="str">
        <f t="shared" ref="CK323:CK352" si="204">IF(IFERROR(BY323*1,0)&gt;0,BR323,IF(IFERROR(BG323*1,0)&gt;0,AZ323,IF(IFERROR(AO323*1,0)&gt;0,AH323,IF(IFERROR(W323*1,0)&gt;0,P323,""))))</f>
        <v/>
      </c>
      <c r="CL323" s="39" t="str">
        <f t="shared" ref="CL323:CL352" si="205">IF(OR(CJ323="",CK323=""),"",MIN(Z323,AR323,BJ323,CB323))</f>
        <v/>
      </c>
      <c r="CM323" s="39" t="str">
        <f t="shared" ref="CM323:CM352" si="206">IF(OR(CJ323="",CK323=""),"",MAX(AA323,AS323,BK323,CC323))</f>
        <v/>
      </c>
      <c r="CN323" s="42" t="str">
        <f t="shared" ref="CN323:CN352" si="207">IF(OR(CJ323="",CK323=""),"",MIN(AB323,AT323,BL323,CD323))</f>
        <v/>
      </c>
      <c r="CO323" s="42" t="str">
        <f t="shared" ref="CO323:CO352" si="208">IF(OR(CJ323="",CK323=""),"",MAX(AC323,AU323,BM323,CE323))</f>
        <v/>
      </c>
      <c r="CP323" s="42" t="str">
        <f t="shared" ref="CP323:CP352" si="209">IF(OR(CJ323="",CK323=""),"",MIN(AD323,AV323,BN323,CF323))</f>
        <v/>
      </c>
      <c r="CQ323" s="42" t="str">
        <f t="shared" ref="CQ323:CQ352" si="210">IF(OR(CJ323="",CK323=""),"",MAX(AE323,AW323,BO323,CG323))</f>
        <v/>
      </c>
      <c r="CR323" s="42" t="str">
        <f t="shared" ref="CR323:CR352" si="211">IF(OR(CJ323="",CK323=""),"",MIN(AF323,AX323,BP323,CH323))</f>
        <v/>
      </c>
      <c r="CS323" s="42" t="str">
        <f t="shared" ref="CS323:CS352" si="212">IF(OR(CJ323="",CK323=""),"",MAX(AG323,AY323,BQ323,CI323))</f>
        <v/>
      </c>
      <c r="CT323" s="43" t="str">
        <f t="shared" ref="CT323:CT352" si="213">IF(CN323=CO323,CO323,CN323&amp;"-"&amp;CO323)</f>
        <v/>
      </c>
      <c r="CU323" s="43" t="str">
        <f t="shared" ref="CU323:CU352" si="214">IF(CP323=CQ323,CQ323,CP323&amp;"-"&amp;CQ323)</f>
        <v/>
      </c>
      <c r="CV323" s="43" t="str">
        <f t="shared" ref="CV323:CV352" si="215">IF(CR323=CS323,CS323,CR323&amp;"-"&amp;CS323)</f>
        <v/>
      </c>
      <c r="CW323" s="13"/>
    </row>
    <row r="324" spans="1:101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Multiplier'!$A:$A,MATCH($D324,'Level Multiplier'!$B:$B,0)),"")</f>
        <v/>
      </c>
      <c r="Q324" s="36" t="str">
        <f>IFERROR(INDEX('Level Multiplier'!$D:$D,MATCH(P324,'Level Multiplier'!$A:$A,0)),"")</f>
        <v/>
      </c>
      <c r="R324" s="37" t="str">
        <f t="shared" si="180"/>
        <v/>
      </c>
      <c r="S324" s="37" t="str">
        <f t="shared" si="181"/>
        <v/>
      </c>
      <c r="T324" s="38" t="str">
        <f t="shared" si="182"/>
        <v/>
      </c>
      <c r="U324" s="38" t="str">
        <f t="shared" si="183"/>
        <v/>
      </c>
      <c r="V324" s="38" t="b">
        <f t="shared" si="184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5"/>
        <v/>
      </c>
      <c r="AI324" s="36" t="str">
        <f>IFERROR(INDEX('Level Multiplier'!$D:$D,MATCH(AH324,'Level Multiplier'!$A:$A,0)),"")</f>
        <v/>
      </c>
      <c r="AJ324" s="37" t="str">
        <f t="shared" si="186"/>
        <v/>
      </c>
      <c r="AK324" s="37" t="str">
        <f t="shared" si="187"/>
        <v/>
      </c>
      <c r="AL324" s="38" t="str">
        <f t="shared" si="188"/>
        <v/>
      </c>
      <c r="AM324" s="38" t="str">
        <f t="shared" si="189"/>
        <v/>
      </c>
      <c r="AN324" s="38" t="b">
        <f t="shared" si="190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1"/>
        <v/>
      </c>
      <c r="BA324" s="36" t="str">
        <f>IFERROR(INDEX('Level Multiplier'!$D:$D,MATCH(AZ324,'Level Multiplier'!$A:$A,0)),"")</f>
        <v/>
      </c>
      <c r="BB324" s="37" t="str">
        <f t="shared" si="192"/>
        <v/>
      </c>
      <c r="BC324" s="37" t="str">
        <f t="shared" si="193"/>
        <v/>
      </c>
      <c r="BD324" s="38" t="str">
        <f t="shared" si="194"/>
        <v/>
      </c>
      <c r="BE324" s="38" t="str">
        <f t="shared" si="195"/>
        <v/>
      </c>
      <c r="BF324" s="38" t="b">
        <f t="shared" si="196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7"/>
        <v/>
      </c>
      <c r="BS324" s="36" t="str">
        <f>IFERROR(INDEX('Level Multiplier'!$D:$D,MATCH(BR324,'Level Multiplier'!$A:$A,0)),"")</f>
        <v/>
      </c>
      <c r="BT324" s="37" t="str">
        <f t="shared" si="198"/>
        <v/>
      </c>
      <c r="BU324" s="37" t="str">
        <f t="shared" si="199"/>
        <v/>
      </c>
      <c r="BV324" s="38" t="str">
        <f t="shared" si="200"/>
        <v/>
      </c>
      <c r="BW324" s="38" t="str">
        <f t="shared" si="201"/>
        <v/>
      </c>
      <c r="BX324" s="38" t="b">
        <f t="shared" si="202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3"/>
        <v/>
      </c>
      <c r="CK324" s="41" t="str">
        <f t="shared" si="204"/>
        <v/>
      </c>
      <c r="CL324" s="39" t="str">
        <f t="shared" si="205"/>
        <v/>
      </c>
      <c r="CM324" s="39" t="str">
        <f t="shared" si="206"/>
        <v/>
      </c>
      <c r="CN324" s="42" t="str">
        <f t="shared" si="207"/>
        <v/>
      </c>
      <c r="CO324" s="42" t="str">
        <f t="shared" si="208"/>
        <v/>
      </c>
      <c r="CP324" s="42" t="str">
        <f t="shared" si="209"/>
        <v/>
      </c>
      <c r="CQ324" s="42" t="str">
        <f t="shared" si="210"/>
        <v/>
      </c>
      <c r="CR324" s="42" t="str">
        <f t="shared" si="211"/>
        <v/>
      </c>
      <c r="CS324" s="42" t="str">
        <f t="shared" si="212"/>
        <v/>
      </c>
      <c r="CT324" s="43" t="str">
        <f t="shared" si="213"/>
        <v/>
      </c>
      <c r="CU324" s="43" t="str">
        <f t="shared" si="214"/>
        <v/>
      </c>
      <c r="CV324" s="43" t="str">
        <f t="shared" si="215"/>
        <v/>
      </c>
      <c r="CW324" s="13"/>
    </row>
    <row r="325" spans="1:101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Multiplier'!$A:$A,MATCH($D325,'Level Multiplier'!$B:$B,0)),"")</f>
        <v/>
      </c>
      <c r="Q325" s="36" t="str">
        <f>IFERROR(INDEX('Level Multiplier'!$D:$D,MATCH(P325,'Level Multiplier'!$A:$A,0)),"")</f>
        <v/>
      </c>
      <c r="R325" s="37" t="str">
        <f t="shared" si="180"/>
        <v/>
      </c>
      <c r="S325" s="37" t="str">
        <f t="shared" si="181"/>
        <v/>
      </c>
      <c r="T325" s="38" t="str">
        <f t="shared" si="182"/>
        <v/>
      </c>
      <c r="U325" s="38" t="str">
        <f t="shared" si="183"/>
        <v/>
      </c>
      <c r="V325" s="38" t="b">
        <f t="shared" si="184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5"/>
        <v/>
      </c>
      <c r="AI325" s="36" t="str">
        <f>IFERROR(INDEX('Level Multiplier'!$D:$D,MATCH(AH325,'Level Multiplier'!$A:$A,0)),"")</f>
        <v/>
      </c>
      <c r="AJ325" s="37" t="str">
        <f t="shared" si="186"/>
        <v/>
      </c>
      <c r="AK325" s="37" t="str">
        <f t="shared" si="187"/>
        <v/>
      </c>
      <c r="AL325" s="38" t="str">
        <f t="shared" si="188"/>
        <v/>
      </c>
      <c r="AM325" s="38" t="str">
        <f t="shared" si="189"/>
        <v/>
      </c>
      <c r="AN325" s="38" t="b">
        <f t="shared" si="190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1"/>
        <v/>
      </c>
      <c r="BA325" s="36" t="str">
        <f>IFERROR(INDEX('Level Multiplier'!$D:$D,MATCH(AZ325,'Level Multiplier'!$A:$A,0)),"")</f>
        <v/>
      </c>
      <c r="BB325" s="37" t="str">
        <f t="shared" si="192"/>
        <v/>
      </c>
      <c r="BC325" s="37" t="str">
        <f t="shared" si="193"/>
        <v/>
      </c>
      <c r="BD325" s="38" t="str">
        <f t="shared" si="194"/>
        <v/>
      </c>
      <c r="BE325" s="38" t="str">
        <f t="shared" si="195"/>
        <v/>
      </c>
      <c r="BF325" s="38" t="b">
        <f t="shared" si="196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7"/>
        <v/>
      </c>
      <c r="BS325" s="36" t="str">
        <f>IFERROR(INDEX('Level Multiplier'!$D:$D,MATCH(BR325,'Level Multiplier'!$A:$A,0)),"")</f>
        <v/>
      </c>
      <c r="BT325" s="37" t="str">
        <f t="shared" si="198"/>
        <v/>
      </c>
      <c r="BU325" s="37" t="str">
        <f t="shared" si="199"/>
        <v/>
      </c>
      <c r="BV325" s="38" t="str">
        <f t="shared" si="200"/>
        <v/>
      </c>
      <c r="BW325" s="38" t="str">
        <f t="shared" si="201"/>
        <v/>
      </c>
      <c r="BX325" s="38" t="b">
        <f t="shared" si="202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3"/>
        <v/>
      </c>
      <c r="CK325" s="41" t="str">
        <f t="shared" si="204"/>
        <v/>
      </c>
      <c r="CL325" s="39" t="str">
        <f t="shared" si="205"/>
        <v/>
      </c>
      <c r="CM325" s="39" t="str">
        <f t="shared" si="206"/>
        <v/>
      </c>
      <c r="CN325" s="42" t="str">
        <f t="shared" si="207"/>
        <v/>
      </c>
      <c r="CO325" s="42" t="str">
        <f t="shared" si="208"/>
        <v/>
      </c>
      <c r="CP325" s="42" t="str">
        <f t="shared" si="209"/>
        <v/>
      </c>
      <c r="CQ325" s="42" t="str">
        <f t="shared" si="210"/>
        <v/>
      </c>
      <c r="CR325" s="42" t="str">
        <f t="shared" si="211"/>
        <v/>
      </c>
      <c r="CS325" s="42" t="str">
        <f t="shared" si="212"/>
        <v/>
      </c>
      <c r="CT325" s="43" t="str">
        <f t="shared" si="213"/>
        <v/>
      </c>
      <c r="CU325" s="43" t="str">
        <f t="shared" si="214"/>
        <v/>
      </c>
      <c r="CV325" s="43" t="str">
        <f t="shared" si="215"/>
        <v/>
      </c>
      <c r="CW325" s="13"/>
    </row>
    <row r="326" spans="1:101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Multiplier'!$A:$A,MATCH($D326,'Level Multiplier'!$B:$B,0)),"")</f>
        <v/>
      </c>
      <c r="Q326" s="36" t="str">
        <f>IFERROR(INDEX('Level Multiplier'!$D:$D,MATCH(P326,'Level Multiplier'!$A:$A,0)),"")</f>
        <v/>
      </c>
      <c r="R326" s="37" t="str">
        <f t="shared" si="180"/>
        <v/>
      </c>
      <c r="S326" s="37" t="str">
        <f t="shared" si="181"/>
        <v/>
      </c>
      <c r="T326" s="38" t="str">
        <f t="shared" si="182"/>
        <v/>
      </c>
      <c r="U326" s="38" t="str">
        <f t="shared" si="183"/>
        <v/>
      </c>
      <c r="V326" s="38" t="b">
        <f t="shared" si="184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5"/>
        <v/>
      </c>
      <c r="AI326" s="36" t="str">
        <f>IFERROR(INDEX('Level Multiplier'!$D:$D,MATCH(AH326,'Level Multiplier'!$A:$A,0)),"")</f>
        <v/>
      </c>
      <c r="AJ326" s="37" t="str">
        <f t="shared" si="186"/>
        <v/>
      </c>
      <c r="AK326" s="37" t="str">
        <f t="shared" si="187"/>
        <v/>
      </c>
      <c r="AL326" s="38" t="str">
        <f t="shared" si="188"/>
        <v/>
      </c>
      <c r="AM326" s="38" t="str">
        <f t="shared" si="189"/>
        <v/>
      </c>
      <c r="AN326" s="38" t="b">
        <f t="shared" si="190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1"/>
        <v/>
      </c>
      <c r="BA326" s="36" t="str">
        <f>IFERROR(INDEX('Level Multiplier'!$D:$D,MATCH(AZ326,'Level Multiplier'!$A:$A,0)),"")</f>
        <v/>
      </c>
      <c r="BB326" s="37" t="str">
        <f t="shared" si="192"/>
        <v/>
      </c>
      <c r="BC326" s="37" t="str">
        <f t="shared" si="193"/>
        <v/>
      </c>
      <c r="BD326" s="38" t="str">
        <f t="shared" si="194"/>
        <v/>
      </c>
      <c r="BE326" s="38" t="str">
        <f t="shared" si="195"/>
        <v/>
      </c>
      <c r="BF326" s="38" t="b">
        <f t="shared" si="196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7"/>
        <v/>
      </c>
      <c r="BS326" s="36" t="str">
        <f>IFERROR(INDEX('Level Multiplier'!$D:$D,MATCH(BR326,'Level Multiplier'!$A:$A,0)),"")</f>
        <v/>
      </c>
      <c r="BT326" s="37" t="str">
        <f t="shared" si="198"/>
        <v/>
      </c>
      <c r="BU326" s="37" t="str">
        <f t="shared" si="199"/>
        <v/>
      </c>
      <c r="BV326" s="38" t="str">
        <f t="shared" si="200"/>
        <v/>
      </c>
      <c r="BW326" s="38" t="str">
        <f t="shared" si="201"/>
        <v/>
      </c>
      <c r="BX326" s="38" t="b">
        <f t="shared" si="202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3"/>
        <v/>
      </c>
      <c r="CK326" s="41" t="str">
        <f t="shared" si="204"/>
        <v/>
      </c>
      <c r="CL326" s="39" t="str">
        <f t="shared" si="205"/>
        <v/>
      </c>
      <c r="CM326" s="39" t="str">
        <f t="shared" si="206"/>
        <v/>
      </c>
      <c r="CN326" s="42" t="str">
        <f t="shared" si="207"/>
        <v/>
      </c>
      <c r="CO326" s="42" t="str">
        <f t="shared" si="208"/>
        <v/>
      </c>
      <c r="CP326" s="42" t="str">
        <f t="shared" si="209"/>
        <v/>
      </c>
      <c r="CQ326" s="42" t="str">
        <f t="shared" si="210"/>
        <v/>
      </c>
      <c r="CR326" s="42" t="str">
        <f t="shared" si="211"/>
        <v/>
      </c>
      <c r="CS326" s="42" t="str">
        <f t="shared" si="212"/>
        <v/>
      </c>
      <c r="CT326" s="43" t="str">
        <f t="shared" si="213"/>
        <v/>
      </c>
      <c r="CU326" s="43" t="str">
        <f t="shared" si="214"/>
        <v/>
      </c>
      <c r="CV326" s="43" t="str">
        <f t="shared" si="215"/>
        <v/>
      </c>
      <c r="CW326" s="13"/>
    </row>
    <row r="327" spans="1:101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Multiplier'!$A:$A,MATCH($D327,'Level Multiplier'!$B:$B,0)),"")</f>
        <v/>
      </c>
      <c r="Q327" s="36" t="str">
        <f>IFERROR(INDEX('Level Multiplier'!$D:$D,MATCH(P327,'Level Multiplier'!$A:$A,0)),"")</f>
        <v/>
      </c>
      <c r="R327" s="37" t="str">
        <f t="shared" si="180"/>
        <v/>
      </c>
      <c r="S327" s="37" t="str">
        <f t="shared" si="181"/>
        <v/>
      </c>
      <c r="T327" s="38" t="str">
        <f t="shared" si="182"/>
        <v/>
      </c>
      <c r="U327" s="38" t="str">
        <f t="shared" si="183"/>
        <v/>
      </c>
      <c r="V327" s="38" t="b">
        <f t="shared" si="184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5"/>
        <v/>
      </c>
      <c r="AI327" s="36" t="str">
        <f>IFERROR(INDEX('Level Multiplier'!$D:$D,MATCH(AH327,'Level Multiplier'!$A:$A,0)),"")</f>
        <v/>
      </c>
      <c r="AJ327" s="37" t="str">
        <f t="shared" si="186"/>
        <v/>
      </c>
      <c r="AK327" s="37" t="str">
        <f t="shared" si="187"/>
        <v/>
      </c>
      <c r="AL327" s="38" t="str">
        <f t="shared" si="188"/>
        <v/>
      </c>
      <c r="AM327" s="38" t="str">
        <f t="shared" si="189"/>
        <v/>
      </c>
      <c r="AN327" s="38" t="b">
        <f t="shared" si="190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1"/>
        <v/>
      </c>
      <c r="BA327" s="36" t="str">
        <f>IFERROR(INDEX('Level Multiplier'!$D:$D,MATCH(AZ327,'Level Multiplier'!$A:$A,0)),"")</f>
        <v/>
      </c>
      <c r="BB327" s="37" t="str">
        <f t="shared" si="192"/>
        <v/>
      </c>
      <c r="BC327" s="37" t="str">
        <f t="shared" si="193"/>
        <v/>
      </c>
      <c r="BD327" s="38" t="str">
        <f t="shared" si="194"/>
        <v/>
      </c>
      <c r="BE327" s="38" t="str">
        <f t="shared" si="195"/>
        <v/>
      </c>
      <c r="BF327" s="38" t="b">
        <f t="shared" si="196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7"/>
        <v/>
      </c>
      <c r="BS327" s="36" t="str">
        <f>IFERROR(INDEX('Level Multiplier'!$D:$D,MATCH(BR327,'Level Multiplier'!$A:$A,0)),"")</f>
        <v/>
      </c>
      <c r="BT327" s="37" t="str">
        <f t="shared" si="198"/>
        <v/>
      </c>
      <c r="BU327" s="37" t="str">
        <f t="shared" si="199"/>
        <v/>
      </c>
      <c r="BV327" s="38" t="str">
        <f t="shared" si="200"/>
        <v/>
      </c>
      <c r="BW327" s="38" t="str">
        <f t="shared" si="201"/>
        <v/>
      </c>
      <c r="BX327" s="38" t="b">
        <f t="shared" si="202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3"/>
        <v/>
      </c>
      <c r="CK327" s="41" t="str">
        <f t="shared" si="204"/>
        <v/>
      </c>
      <c r="CL327" s="39" t="str">
        <f t="shared" si="205"/>
        <v/>
      </c>
      <c r="CM327" s="39" t="str">
        <f t="shared" si="206"/>
        <v/>
      </c>
      <c r="CN327" s="42" t="str">
        <f t="shared" si="207"/>
        <v/>
      </c>
      <c r="CO327" s="42" t="str">
        <f t="shared" si="208"/>
        <v/>
      </c>
      <c r="CP327" s="42" t="str">
        <f t="shared" si="209"/>
        <v/>
      </c>
      <c r="CQ327" s="42" t="str">
        <f t="shared" si="210"/>
        <v/>
      </c>
      <c r="CR327" s="42" t="str">
        <f t="shared" si="211"/>
        <v/>
      </c>
      <c r="CS327" s="42" t="str">
        <f t="shared" si="212"/>
        <v/>
      </c>
      <c r="CT327" s="43" t="str">
        <f t="shared" si="213"/>
        <v/>
      </c>
      <c r="CU327" s="43" t="str">
        <f t="shared" si="214"/>
        <v/>
      </c>
      <c r="CV327" s="43" t="str">
        <f t="shared" si="215"/>
        <v/>
      </c>
      <c r="CW327" s="13"/>
    </row>
    <row r="328" spans="1:101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Multiplier'!$A:$A,MATCH($D328,'Level Multiplier'!$B:$B,0)),"")</f>
        <v/>
      </c>
      <c r="Q328" s="36" t="str">
        <f>IFERROR(INDEX('Level Multiplier'!$D:$D,MATCH(P328,'Level Multiplier'!$A:$A,0)),"")</f>
        <v/>
      </c>
      <c r="R328" s="37" t="str">
        <f t="shared" si="180"/>
        <v/>
      </c>
      <c r="S328" s="37" t="str">
        <f t="shared" si="181"/>
        <v/>
      </c>
      <c r="T328" s="38" t="str">
        <f t="shared" si="182"/>
        <v/>
      </c>
      <c r="U328" s="38" t="str">
        <f t="shared" si="183"/>
        <v/>
      </c>
      <c r="V328" s="38" t="b">
        <f t="shared" si="184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5"/>
        <v/>
      </c>
      <c r="AI328" s="36" t="str">
        <f>IFERROR(INDEX('Level Multiplier'!$D:$D,MATCH(AH328,'Level Multiplier'!$A:$A,0)),"")</f>
        <v/>
      </c>
      <c r="AJ328" s="37" t="str">
        <f t="shared" si="186"/>
        <v/>
      </c>
      <c r="AK328" s="37" t="str">
        <f t="shared" si="187"/>
        <v/>
      </c>
      <c r="AL328" s="38" t="str">
        <f t="shared" si="188"/>
        <v/>
      </c>
      <c r="AM328" s="38" t="str">
        <f t="shared" si="189"/>
        <v/>
      </c>
      <c r="AN328" s="38" t="b">
        <f t="shared" si="190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1"/>
        <v/>
      </c>
      <c r="BA328" s="36" t="str">
        <f>IFERROR(INDEX('Level Multiplier'!$D:$D,MATCH(AZ328,'Level Multiplier'!$A:$A,0)),"")</f>
        <v/>
      </c>
      <c r="BB328" s="37" t="str">
        <f t="shared" si="192"/>
        <v/>
      </c>
      <c r="BC328" s="37" t="str">
        <f t="shared" si="193"/>
        <v/>
      </c>
      <c r="BD328" s="38" t="str">
        <f t="shared" si="194"/>
        <v/>
      </c>
      <c r="BE328" s="38" t="str">
        <f t="shared" si="195"/>
        <v/>
      </c>
      <c r="BF328" s="38" t="b">
        <f t="shared" si="196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7"/>
        <v/>
      </c>
      <c r="BS328" s="36" t="str">
        <f>IFERROR(INDEX('Level Multiplier'!$D:$D,MATCH(BR328,'Level Multiplier'!$A:$A,0)),"")</f>
        <v/>
      </c>
      <c r="BT328" s="37" t="str">
        <f t="shared" si="198"/>
        <v/>
      </c>
      <c r="BU328" s="37" t="str">
        <f t="shared" si="199"/>
        <v/>
      </c>
      <c r="BV328" s="38" t="str">
        <f t="shared" si="200"/>
        <v/>
      </c>
      <c r="BW328" s="38" t="str">
        <f t="shared" si="201"/>
        <v/>
      </c>
      <c r="BX328" s="38" t="b">
        <f t="shared" si="202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3"/>
        <v/>
      </c>
      <c r="CK328" s="41" t="str">
        <f t="shared" si="204"/>
        <v/>
      </c>
      <c r="CL328" s="39" t="str">
        <f t="shared" si="205"/>
        <v/>
      </c>
      <c r="CM328" s="39" t="str">
        <f t="shared" si="206"/>
        <v/>
      </c>
      <c r="CN328" s="42" t="str">
        <f t="shared" si="207"/>
        <v/>
      </c>
      <c r="CO328" s="42" t="str">
        <f t="shared" si="208"/>
        <v/>
      </c>
      <c r="CP328" s="42" t="str">
        <f t="shared" si="209"/>
        <v/>
      </c>
      <c r="CQ328" s="42" t="str">
        <f t="shared" si="210"/>
        <v/>
      </c>
      <c r="CR328" s="42" t="str">
        <f t="shared" si="211"/>
        <v/>
      </c>
      <c r="CS328" s="42" t="str">
        <f t="shared" si="212"/>
        <v/>
      </c>
      <c r="CT328" s="43" t="str">
        <f t="shared" si="213"/>
        <v/>
      </c>
      <c r="CU328" s="43" t="str">
        <f t="shared" si="214"/>
        <v/>
      </c>
      <c r="CV328" s="43" t="str">
        <f t="shared" si="215"/>
        <v/>
      </c>
      <c r="CW328" s="13"/>
    </row>
    <row r="329" spans="1:101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Multiplier'!$A:$A,MATCH($D329,'Level Multiplier'!$B:$B,0)),"")</f>
        <v/>
      </c>
      <c r="Q329" s="36" t="str">
        <f>IFERROR(INDEX('Level Multiplier'!$D:$D,MATCH(P329,'Level Multiplier'!$A:$A,0)),"")</f>
        <v/>
      </c>
      <c r="R329" s="37" t="str">
        <f t="shared" si="180"/>
        <v/>
      </c>
      <c r="S329" s="37" t="str">
        <f t="shared" si="181"/>
        <v/>
      </c>
      <c r="T329" s="38" t="str">
        <f t="shared" si="182"/>
        <v/>
      </c>
      <c r="U329" s="38" t="str">
        <f t="shared" si="183"/>
        <v/>
      </c>
      <c r="V329" s="38" t="b">
        <f t="shared" si="184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5"/>
        <v/>
      </c>
      <c r="AI329" s="36" t="str">
        <f>IFERROR(INDEX('Level Multiplier'!$D:$D,MATCH(AH329,'Level Multiplier'!$A:$A,0)),"")</f>
        <v/>
      </c>
      <c r="AJ329" s="37" t="str">
        <f t="shared" si="186"/>
        <v/>
      </c>
      <c r="AK329" s="37" t="str">
        <f t="shared" si="187"/>
        <v/>
      </c>
      <c r="AL329" s="38" t="str">
        <f t="shared" si="188"/>
        <v/>
      </c>
      <c r="AM329" s="38" t="str">
        <f t="shared" si="189"/>
        <v/>
      </c>
      <c r="AN329" s="38" t="b">
        <f t="shared" si="190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1"/>
        <v/>
      </c>
      <c r="BA329" s="36" t="str">
        <f>IFERROR(INDEX('Level Multiplier'!$D:$D,MATCH(AZ329,'Level Multiplier'!$A:$A,0)),"")</f>
        <v/>
      </c>
      <c r="BB329" s="37" t="str">
        <f t="shared" si="192"/>
        <v/>
      </c>
      <c r="BC329" s="37" t="str">
        <f t="shared" si="193"/>
        <v/>
      </c>
      <c r="BD329" s="38" t="str">
        <f t="shared" si="194"/>
        <v/>
      </c>
      <c r="BE329" s="38" t="str">
        <f t="shared" si="195"/>
        <v/>
      </c>
      <c r="BF329" s="38" t="b">
        <f t="shared" si="196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7"/>
        <v/>
      </c>
      <c r="BS329" s="36" t="str">
        <f>IFERROR(INDEX('Level Multiplier'!$D:$D,MATCH(BR329,'Level Multiplier'!$A:$A,0)),"")</f>
        <v/>
      </c>
      <c r="BT329" s="37" t="str">
        <f t="shared" si="198"/>
        <v/>
      </c>
      <c r="BU329" s="37" t="str">
        <f t="shared" si="199"/>
        <v/>
      </c>
      <c r="BV329" s="38" t="str">
        <f t="shared" si="200"/>
        <v/>
      </c>
      <c r="BW329" s="38" t="str">
        <f t="shared" si="201"/>
        <v/>
      </c>
      <c r="BX329" s="38" t="b">
        <f t="shared" si="202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3"/>
        <v/>
      </c>
      <c r="CK329" s="41" t="str">
        <f t="shared" si="204"/>
        <v/>
      </c>
      <c r="CL329" s="39" t="str">
        <f t="shared" si="205"/>
        <v/>
      </c>
      <c r="CM329" s="39" t="str">
        <f t="shared" si="206"/>
        <v/>
      </c>
      <c r="CN329" s="42" t="str">
        <f t="shared" si="207"/>
        <v/>
      </c>
      <c r="CO329" s="42" t="str">
        <f t="shared" si="208"/>
        <v/>
      </c>
      <c r="CP329" s="42" t="str">
        <f t="shared" si="209"/>
        <v/>
      </c>
      <c r="CQ329" s="42" t="str">
        <f t="shared" si="210"/>
        <v/>
      </c>
      <c r="CR329" s="42" t="str">
        <f t="shared" si="211"/>
        <v/>
      </c>
      <c r="CS329" s="42" t="str">
        <f t="shared" si="212"/>
        <v/>
      </c>
      <c r="CT329" s="43" t="str">
        <f t="shared" si="213"/>
        <v/>
      </c>
      <c r="CU329" s="43" t="str">
        <f t="shared" si="214"/>
        <v/>
      </c>
      <c r="CV329" s="43" t="str">
        <f t="shared" si="215"/>
        <v/>
      </c>
      <c r="CW329" s="13"/>
    </row>
    <row r="330" spans="1:101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Multiplier'!$A:$A,MATCH($D330,'Level Multiplier'!$B:$B,0)),"")</f>
        <v/>
      </c>
      <c r="Q330" s="36" t="str">
        <f>IFERROR(INDEX('Level Multiplier'!$D:$D,MATCH(P330,'Level Multiplier'!$A:$A,0)),"")</f>
        <v/>
      </c>
      <c r="R330" s="37" t="str">
        <f t="shared" si="180"/>
        <v/>
      </c>
      <c r="S330" s="37" t="str">
        <f t="shared" si="181"/>
        <v/>
      </c>
      <c r="T330" s="38" t="str">
        <f t="shared" si="182"/>
        <v/>
      </c>
      <c r="U330" s="38" t="str">
        <f t="shared" si="183"/>
        <v/>
      </c>
      <c r="V330" s="38" t="b">
        <f t="shared" si="184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5"/>
        <v/>
      </c>
      <c r="AI330" s="36" t="str">
        <f>IFERROR(INDEX('Level Multiplier'!$D:$D,MATCH(AH330,'Level Multiplier'!$A:$A,0)),"")</f>
        <v/>
      </c>
      <c r="AJ330" s="37" t="str">
        <f t="shared" si="186"/>
        <v/>
      </c>
      <c r="AK330" s="37" t="str">
        <f t="shared" si="187"/>
        <v/>
      </c>
      <c r="AL330" s="38" t="str">
        <f t="shared" si="188"/>
        <v/>
      </c>
      <c r="AM330" s="38" t="str">
        <f t="shared" si="189"/>
        <v/>
      </c>
      <c r="AN330" s="38" t="b">
        <f t="shared" si="190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1"/>
        <v/>
      </c>
      <c r="BA330" s="36" t="str">
        <f>IFERROR(INDEX('Level Multiplier'!$D:$D,MATCH(AZ330,'Level Multiplier'!$A:$A,0)),"")</f>
        <v/>
      </c>
      <c r="BB330" s="37" t="str">
        <f t="shared" si="192"/>
        <v/>
      </c>
      <c r="BC330" s="37" t="str">
        <f t="shared" si="193"/>
        <v/>
      </c>
      <c r="BD330" s="38" t="str">
        <f t="shared" si="194"/>
        <v/>
      </c>
      <c r="BE330" s="38" t="str">
        <f t="shared" si="195"/>
        <v/>
      </c>
      <c r="BF330" s="38" t="b">
        <f t="shared" si="196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7"/>
        <v/>
      </c>
      <c r="BS330" s="36" t="str">
        <f>IFERROR(INDEX('Level Multiplier'!$D:$D,MATCH(BR330,'Level Multiplier'!$A:$A,0)),"")</f>
        <v/>
      </c>
      <c r="BT330" s="37" t="str">
        <f t="shared" si="198"/>
        <v/>
      </c>
      <c r="BU330" s="37" t="str">
        <f t="shared" si="199"/>
        <v/>
      </c>
      <c r="BV330" s="38" t="str">
        <f t="shared" si="200"/>
        <v/>
      </c>
      <c r="BW330" s="38" t="str">
        <f t="shared" si="201"/>
        <v/>
      </c>
      <c r="BX330" s="38" t="b">
        <f t="shared" si="202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3"/>
        <v/>
      </c>
      <c r="CK330" s="41" t="str">
        <f t="shared" si="204"/>
        <v/>
      </c>
      <c r="CL330" s="39" t="str">
        <f t="shared" si="205"/>
        <v/>
      </c>
      <c r="CM330" s="39" t="str">
        <f t="shared" si="206"/>
        <v/>
      </c>
      <c r="CN330" s="42" t="str">
        <f t="shared" si="207"/>
        <v/>
      </c>
      <c r="CO330" s="42" t="str">
        <f t="shared" si="208"/>
        <v/>
      </c>
      <c r="CP330" s="42" t="str">
        <f t="shared" si="209"/>
        <v/>
      </c>
      <c r="CQ330" s="42" t="str">
        <f t="shared" si="210"/>
        <v/>
      </c>
      <c r="CR330" s="42" t="str">
        <f t="shared" si="211"/>
        <v/>
      </c>
      <c r="CS330" s="42" t="str">
        <f t="shared" si="212"/>
        <v/>
      </c>
      <c r="CT330" s="43" t="str">
        <f t="shared" si="213"/>
        <v/>
      </c>
      <c r="CU330" s="43" t="str">
        <f t="shared" si="214"/>
        <v/>
      </c>
      <c r="CV330" s="43" t="str">
        <f t="shared" si="215"/>
        <v/>
      </c>
      <c r="CW330" s="13"/>
    </row>
    <row r="331" spans="1:101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Multiplier'!$A:$A,MATCH($D331,'Level Multiplier'!$B:$B,0)),"")</f>
        <v/>
      </c>
      <c r="Q331" s="36" t="str">
        <f>IFERROR(INDEX('Level Multiplier'!$D:$D,MATCH(P331,'Level Multiplier'!$A:$A,0)),"")</f>
        <v/>
      </c>
      <c r="R331" s="37" t="str">
        <f t="shared" si="180"/>
        <v/>
      </c>
      <c r="S331" s="37" t="str">
        <f t="shared" si="181"/>
        <v/>
      </c>
      <c r="T331" s="38" t="str">
        <f t="shared" si="182"/>
        <v/>
      </c>
      <c r="U331" s="38" t="str">
        <f t="shared" si="183"/>
        <v/>
      </c>
      <c r="V331" s="38" t="b">
        <f t="shared" si="184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5"/>
        <v/>
      </c>
      <c r="AI331" s="36" t="str">
        <f>IFERROR(INDEX('Level Multiplier'!$D:$D,MATCH(AH331,'Level Multiplier'!$A:$A,0)),"")</f>
        <v/>
      </c>
      <c r="AJ331" s="37" t="str">
        <f t="shared" si="186"/>
        <v/>
      </c>
      <c r="AK331" s="37" t="str">
        <f t="shared" si="187"/>
        <v/>
      </c>
      <c r="AL331" s="38" t="str">
        <f t="shared" si="188"/>
        <v/>
      </c>
      <c r="AM331" s="38" t="str">
        <f t="shared" si="189"/>
        <v/>
      </c>
      <c r="AN331" s="38" t="b">
        <f t="shared" si="190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1"/>
        <v/>
      </c>
      <c r="BA331" s="36" t="str">
        <f>IFERROR(INDEX('Level Multiplier'!$D:$D,MATCH(AZ331,'Level Multiplier'!$A:$A,0)),"")</f>
        <v/>
      </c>
      <c r="BB331" s="37" t="str">
        <f t="shared" si="192"/>
        <v/>
      </c>
      <c r="BC331" s="37" t="str">
        <f t="shared" si="193"/>
        <v/>
      </c>
      <c r="BD331" s="38" t="str">
        <f t="shared" si="194"/>
        <v/>
      </c>
      <c r="BE331" s="38" t="str">
        <f t="shared" si="195"/>
        <v/>
      </c>
      <c r="BF331" s="38" t="b">
        <f t="shared" si="196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7"/>
        <v/>
      </c>
      <c r="BS331" s="36" t="str">
        <f>IFERROR(INDEX('Level Multiplier'!$D:$D,MATCH(BR331,'Level Multiplier'!$A:$A,0)),"")</f>
        <v/>
      </c>
      <c r="BT331" s="37" t="str">
        <f t="shared" si="198"/>
        <v/>
      </c>
      <c r="BU331" s="37" t="str">
        <f t="shared" si="199"/>
        <v/>
      </c>
      <c r="BV331" s="38" t="str">
        <f t="shared" si="200"/>
        <v/>
      </c>
      <c r="BW331" s="38" t="str">
        <f t="shared" si="201"/>
        <v/>
      </c>
      <c r="BX331" s="38" t="b">
        <f t="shared" si="202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3"/>
        <v/>
      </c>
      <c r="CK331" s="41" t="str">
        <f t="shared" si="204"/>
        <v/>
      </c>
      <c r="CL331" s="39" t="str">
        <f t="shared" si="205"/>
        <v/>
      </c>
      <c r="CM331" s="39" t="str">
        <f t="shared" si="206"/>
        <v/>
      </c>
      <c r="CN331" s="42" t="str">
        <f t="shared" si="207"/>
        <v/>
      </c>
      <c r="CO331" s="42" t="str">
        <f t="shared" si="208"/>
        <v/>
      </c>
      <c r="CP331" s="42" t="str">
        <f t="shared" si="209"/>
        <v/>
      </c>
      <c r="CQ331" s="42" t="str">
        <f t="shared" si="210"/>
        <v/>
      </c>
      <c r="CR331" s="42" t="str">
        <f t="shared" si="211"/>
        <v/>
      </c>
      <c r="CS331" s="42" t="str">
        <f t="shared" si="212"/>
        <v/>
      </c>
      <c r="CT331" s="43" t="str">
        <f t="shared" si="213"/>
        <v/>
      </c>
      <c r="CU331" s="43" t="str">
        <f t="shared" si="214"/>
        <v/>
      </c>
      <c r="CV331" s="43" t="str">
        <f t="shared" si="215"/>
        <v/>
      </c>
      <c r="CW331" s="13"/>
    </row>
    <row r="332" spans="1:101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Multiplier'!$A:$A,MATCH($D332,'Level Multiplier'!$B:$B,0)),"")</f>
        <v/>
      </c>
      <c r="Q332" s="36" t="str">
        <f>IFERROR(INDEX('Level Multiplier'!$D:$D,MATCH(P332,'Level Multiplier'!$A:$A,0)),"")</f>
        <v/>
      </c>
      <c r="R332" s="37" t="str">
        <f t="shared" si="180"/>
        <v/>
      </c>
      <c r="S332" s="37" t="str">
        <f t="shared" si="181"/>
        <v/>
      </c>
      <c r="T332" s="38" t="str">
        <f t="shared" si="182"/>
        <v/>
      </c>
      <c r="U332" s="38" t="str">
        <f t="shared" si="183"/>
        <v/>
      </c>
      <c r="V332" s="38" t="b">
        <f t="shared" si="184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5"/>
        <v/>
      </c>
      <c r="AI332" s="36" t="str">
        <f>IFERROR(INDEX('Level Multiplier'!$D:$D,MATCH(AH332,'Level Multiplier'!$A:$A,0)),"")</f>
        <v/>
      </c>
      <c r="AJ332" s="37" t="str">
        <f t="shared" si="186"/>
        <v/>
      </c>
      <c r="AK332" s="37" t="str">
        <f t="shared" si="187"/>
        <v/>
      </c>
      <c r="AL332" s="38" t="str">
        <f t="shared" si="188"/>
        <v/>
      </c>
      <c r="AM332" s="38" t="str">
        <f t="shared" si="189"/>
        <v/>
      </c>
      <c r="AN332" s="38" t="b">
        <f t="shared" si="190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1"/>
        <v/>
      </c>
      <c r="BA332" s="36" t="str">
        <f>IFERROR(INDEX('Level Multiplier'!$D:$D,MATCH(AZ332,'Level Multiplier'!$A:$A,0)),"")</f>
        <v/>
      </c>
      <c r="BB332" s="37" t="str">
        <f t="shared" si="192"/>
        <v/>
      </c>
      <c r="BC332" s="37" t="str">
        <f t="shared" si="193"/>
        <v/>
      </c>
      <c r="BD332" s="38" t="str">
        <f t="shared" si="194"/>
        <v/>
      </c>
      <c r="BE332" s="38" t="str">
        <f t="shared" si="195"/>
        <v/>
      </c>
      <c r="BF332" s="38" t="b">
        <f t="shared" si="196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7"/>
        <v/>
      </c>
      <c r="BS332" s="36" t="str">
        <f>IFERROR(INDEX('Level Multiplier'!$D:$D,MATCH(BR332,'Level Multiplier'!$A:$A,0)),"")</f>
        <v/>
      </c>
      <c r="BT332" s="37" t="str">
        <f t="shared" si="198"/>
        <v/>
      </c>
      <c r="BU332" s="37" t="str">
        <f t="shared" si="199"/>
        <v/>
      </c>
      <c r="BV332" s="38" t="str">
        <f t="shared" si="200"/>
        <v/>
      </c>
      <c r="BW332" s="38" t="str">
        <f t="shared" si="201"/>
        <v/>
      </c>
      <c r="BX332" s="38" t="b">
        <f t="shared" si="202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3"/>
        <v/>
      </c>
      <c r="CK332" s="41" t="str">
        <f t="shared" si="204"/>
        <v/>
      </c>
      <c r="CL332" s="39" t="str">
        <f t="shared" si="205"/>
        <v/>
      </c>
      <c r="CM332" s="39" t="str">
        <f t="shared" si="206"/>
        <v/>
      </c>
      <c r="CN332" s="42" t="str">
        <f t="shared" si="207"/>
        <v/>
      </c>
      <c r="CO332" s="42" t="str">
        <f t="shared" si="208"/>
        <v/>
      </c>
      <c r="CP332" s="42" t="str">
        <f t="shared" si="209"/>
        <v/>
      </c>
      <c r="CQ332" s="42" t="str">
        <f t="shared" si="210"/>
        <v/>
      </c>
      <c r="CR332" s="42" t="str">
        <f t="shared" si="211"/>
        <v/>
      </c>
      <c r="CS332" s="42" t="str">
        <f t="shared" si="212"/>
        <v/>
      </c>
      <c r="CT332" s="43" t="str">
        <f t="shared" si="213"/>
        <v/>
      </c>
      <c r="CU332" s="43" t="str">
        <f t="shared" si="214"/>
        <v/>
      </c>
      <c r="CV332" s="43" t="str">
        <f t="shared" si="215"/>
        <v/>
      </c>
      <c r="CW332" s="13"/>
    </row>
    <row r="333" spans="1:101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Multiplier'!$A:$A,MATCH($D333,'Level Multiplier'!$B:$B,0)),"")</f>
        <v/>
      </c>
      <c r="Q333" s="36" t="str">
        <f>IFERROR(INDEX('Level Multiplier'!$D:$D,MATCH(P333,'Level Multiplier'!$A:$A,0)),"")</f>
        <v/>
      </c>
      <c r="R333" s="37" t="str">
        <f t="shared" si="180"/>
        <v/>
      </c>
      <c r="S333" s="37" t="str">
        <f t="shared" si="181"/>
        <v/>
      </c>
      <c r="T333" s="38" t="str">
        <f t="shared" si="182"/>
        <v/>
      </c>
      <c r="U333" s="38" t="str">
        <f t="shared" si="183"/>
        <v/>
      </c>
      <c r="V333" s="38" t="b">
        <f t="shared" si="184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5"/>
        <v/>
      </c>
      <c r="AI333" s="36" t="str">
        <f>IFERROR(INDEX('Level Multiplier'!$D:$D,MATCH(AH333,'Level Multiplier'!$A:$A,0)),"")</f>
        <v/>
      </c>
      <c r="AJ333" s="37" t="str">
        <f t="shared" si="186"/>
        <v/>
      </c>
      <c r="AK333" s="37" t="str">
        <f t="shared" si="187"/>
        <v/>
      </c>
      <c r="AL333" s="38" t="str">
        <f t="shared" si="188"/>
        <v/>
      </c>
      <c r="AM333" s="38" t="str">
        <f t="shared" si="189"/>
        <v/>
      </c>
      <c r="AN333" s="38" t="b">
        <f t="shared" si="190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1"/>
        <v/>
      </c>
      <c r="BA333" s="36" t="str">
        <f>IFERROR(INDEX('Level Multiplier'!$D:$D,MATCH(AZ333,'Level Multiplier'!$A:$A,0)),"")</f>
        <v/>
      </c>
      <c r="BB333" s="37" t="str">
        <f t="shared" si="192"/>
        <v/>
      </c>
      <c r="BC333" s="37" t="str">
        <f t="shared" si="193"/>
        <v/>
      </c>
      <c r="BD333" s="38" t="str">
        <f t="shared" si="194"/>
        <v/>
      </c>
      <c r="BE333" s="38" t="str">
        <f t="shared" si="195"/>
        <v/>
      </c>
      <c r="BF333" s="38" t="b">
        <f t="shared" si="196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7"/>
        <v/>
      </c>
      <c r="BS333" s="36" t="str">
        <f>IFERROR(INDEX('Level Multiplier'!$D:$D,MATCH(BR333,'Level Multiplier'!$A:$A,0)),"")</f>
        <v/>
      </c>
      <c r="BT333" s="37" t="str">
        <f t="shared" si="198"/>
        <v/>
      </c>
      <c r="BU333" s="37" t="str">
        <f t="shared" si="199"/>
        <v/>
      </c>
      <c r="BV333" s="38" t="str">
        <f t="shared" si="200"/>
        <v/>
      </c>
      <c r="BW333" s="38" t="str">
        <f t="shared" si="201"/>
        <v/>
      </c>
      <c r="BX333" s="38" t="b">
        <f t="shared" si="202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3"/>
        <v/>
      </c>
      <c r="CK333" s="41" t="str">
        <f t="shared" si="204"/>
        <v/>
      </c>
      <c r="CL333" s="39" t="str">
        <f t="shared" si="205"/>
        <v/>
      </c>
      <c r="CM333" s="39" t="str">
        <f t="shared" si="206"/>
        <v/>
      </c>
      <c r="CN333" s="42" t="str">
        <f t="shared" si="207"/>
        <v/>
      </c>
      <c r="CO333" s="42" t="str">
        <f t="shared" si="208"/>
        <v/>
      </c>
      <c r="CP333" s="42" t="str">
        <f t="shared" si="209"/>
        <v/>
      </c>
      <c r="CQ333" s="42" t="str">
        <f t="shared" si="210"/>
        <v/>
      </c>
      <c r="CR333" s="42" t="str">
        <f t="shared" si="211"/>
        <v/>
      </c>
      <c r="CS333" s="42" t="str">
        <f t="shared" si="212"/>
        <v/>
      </c>
      <c r="CT333" s="43" t="str">
        <f t="shared" si="213"/>
        <v/>
      </c>
      <c r="CU333" s="43" t="str">
        <f t="shared" si="214"/>
        <v/>
      </c>
      <c r="CV333" s="43" t="str">
        <f t="shared" si="215"/>
        <v/>
      </c>
      <c r="CW333" s="13"/>
    </row>
    <row r="334" spans="1:101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Multiplier'!$A:$A,MATCH($D334,'Level Multiplier'!$B:$B,0)),"")</f>
        <v/>
      </c>
      <c r="Q334" s="36" t="str">
        <f>IFERROR(INDEX('Level Multiplier'!$D:$D,MATCH(P334,'Level Multiplier'!$A:$A,0)),"")</f>
        <v/>
      </c>
      <c r="R334" s="37" t="str">
        <f t="shared" si="180"/>
        <v/>
      </c>
      <c r="S334" s="37" t="str">
        <f t="shared" si="181"/>
        <v/>
      </c>
      <c r="T334" s="38" t="str">
        <f t="shared" si="182"/>
        <v/>
      </c>
      <c r="U334" s="38" t="str">
        <f t="shared" si="183"/>
        <v/>
      </c>
      <c r="V334" s="38" t="b">
        <f t="shared" si="184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5"/>
        <v/>
      </c>
      <c r="AI334" s="36" t="str">
        <f>IFERROR(INDEX('Level Multiplier'!$D:$D,MATCH(AH334,'Level Multiplier'!$A:$A,0)),"")</f>
        <v/>
      </c>
      <c r="AJ334" s="37" t="str">
        <f t="shared" si="186"/>
        <v/>
      </c>
      <c r="AK334" s="37" t="str">
        <f t="shared" si="187"/>
        <v/>
      </c>
      <c r="AL334" s="38" t="str">
        <f t="shared" si="188"/>
        <v/>
      </c>
      <c r="AM334" s="38" t="str">
        <f t="shared" si="189"/>
        <v/>
      </c>
      <c r="AN334" s="38" t="b">
        <f t="shared" si="190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1"/>
        <v/>
      </c>
      <c r="BA334" s="36" t="str">
        <f>IFERROR(INDEX('Level Multiplier'!$D:$D,MATCH(AZ334,'Level Multiplier'!$A:$A,0)),"")</f>
        <v/>
      </c>
      <c r="BB334" s="37" t="str">
        <f t="shared" si="192"/>
        <v/>
      </c>
      <c r="BC334" s="37" t="str">
        <f t="shared" si="193"/>
        <v/>
      </c>
      <c r="BD334" s="38" t="str">
        <f t="shared" si="194"/>
        <v/>
      </c>
      <c r="BE334" s="38" t="str">
        <f t="shared" si="195"/>
        <v/>
      </c>
      <c r="BF334" s="38" t="b">
        <f t="shared" si="196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7"/>
        <v/>
      </c>
      <c r="BS334" s="36" t="str">
        <f>IFERROR(INDEX('Level Multiplier'!$D:$D,MATCH(BR334,'Level Multiplier'!$A:$A,0)),"")</f>
        <v/>
      </c>
      <c r="BT334" s="37" t="str">
        <f t="shared" si="198"/>
        <v/>
      </c>
      <c r="BU334" s="37" t="str">
        <f t="shared" si="199"/>
        <v/>
      </c>
      <c r="BV334" s="38" t="str">
        <f t="shared" si="200"/>
        <v/>
      </c>
      <c r="BW334" s="38" t="str">
        <f t="shared" si="201"/>
        <v/>
      </c>
      <c r="BX334" s="38" t="b">
        <f t="shared" si="202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3"/>
        <v/>
      </c>
      <c r="CK334" s="41" t="str">
        <f t="shared" si="204"/>
        <v/>
      </c>
      <c r="CL334" s="39" t="str">
        <f t="shared" si="205"/>
        <v/>
      </c>
      <c r="CM334" s="39" t="str">
        <f t="shared" si="206"/>
        <v/>
      </c>
      <c r="CN334" s="42" t="str">
        <f t="shared" si="207"/>
        <v/>
      </c>
      <c r="CO334" s="42" t="str">
        <f t="shared" si="208"/>
        <v/>
      </c>
      <c r="CP334" s="42" t="str">
        <f t="shared" si="209"/>
        <v/>
      </c>
      <c r="CQ334" s="42" t="str">
        <f t="shared" si="210"/>
        <v/>
      </c>
      <c r="CR334" s="42" t="str">
        <f t="shared" si="211"/>
        <v/>
      </c>
      <c r="CS334" s="42" t="str">
        <f t="shared" si="212"/>
        <v/>
      </c>
      <c r="CT334" s="43" t="str">
        <f t="shared" si="213"/>
        <v/>
      </c>
      <c r="CU334" s="43" t="str">
        <f t="shared" si="214"/>
        <v/>
      </c>
      <c r="CV334" s="43" t="str">
        <f t="shared" si="215"/>
        <v/>
      </c>
      <c r="CW334" s="13"/>
    </row>
    <row r="335" spans="1:101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Multiplier'!$A:$A,MATCH($D335,'Level Multiplier'!$B:$B,0)),"")</f>
        <v/>
      </c>
      <c r="Q335" s="36" t="str">
        <f>IFERROR(INDEX('Level Multiplier'!$D:$D,MATCH(P335,'Level Multiplier'!$A:$A,0)),"")</f>
        <v/>
      </c>
      <c r="R335" s="37" t="str">
        <f t="shared" si="180"/>
        <v/>
      </c>
      <c r="S335" s="37" t="str">
        <f t="shared" si="181"/>
        <v/>
      </c>
      <c r="T335" s="38" t="str">
        <f t="shared" si="182"/>
        <v/>
      </c>
      <c r="U335" s="38" t="str">
        <f t="shared" si="183"/>
        <v/>
      </c>
      <c r="V335" s="38" t="b">
        <f t="shared" si="184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5"/>
        <v/>
      </c>
      <c r="AI335" s="36" t="str">
        <f>IFERROR(INDEX('Level Multiplier'!$D:$D,MATCH(AH335,'Level Multiplier'!$A:$A,0)),"")</f>
        <v/>
      </c>
      <c r="AJ335" s="37" t="str">
        <f t="shared" si="186"/>
        <v/>
      </c>
      <c r="AK335" s="37" t="str">
        <f t="shared" si="187"/>
        <v/>
      </c>
      <c r="AL335" s="38" t="str">
        <f t="shared" si="188"/>
        <v/>
      </c>
      <c r="AM335" s="38" t="str">
        <f t="shared" si="189"/>
        <v/>
      </c>
      <c r="AN335" s="38" t="b">
        <f t="shared" si="190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1"/>
        <v/>
      </c>
      <c r="BA335" s="36" t="str">
        <f>IFERROR(INDEX('Level Multiplier'!$D:$D,MATCH(AZ335,'Level Multiplier'!$A:$A,0)),"")</f>
        <v/>
      </c>
      <c r="BB335" s="37" t="str">
        <f t="shared" si="192"/>
        <v/>
      </c>
      <c r="BC335" s="37" t="str">
        <f t="shared" si="193"/>
        <v/>
      </c>
      <c r="BD335" s="38" t="str">
        <f t="shared" si="194"/>
        <v/>
      </c>
      <c r="BE335" s="38" t="str">
        <f t="shared" si="195"/>
        <v/>
      </c>
      <c r="BF335" s="38" t="b">
        <f t="shared" si="196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7"/>
        <v/>
      </c>
      <c r="BS335" s="36" t="str">
        <f>IFERROR(INDEX('Level Multiplier'!$D:$D,MATCH(BR335,'Level Multiplier'!$A:$A,0)),"")</f>
        <v/>
      </c>
      <c r="BT335" s="37" t="str">
        <f t="shared" si="198"/>
        <v/>
      </c>
      <c r="BU335" s="37" t="str">
        <f t="shared" si="199"/>
        <v/>
      </c>
      <c r="BV335" s="38" t="str">
        <f t="shared" si="200"/>
        <v/>
      </c>
      <c r="BW335" s="38" t="str">
        <f t="shared" si="201"/>
        <v/>
      </c>
      <c r="BX335" s="38" t="b">
        <f t="shared" si="202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3"/>
        <v/>
      </c>
      <c r="CK335" s="41" t="str">
        <f t="shared" si="204"/>
        <v/>
      </c>
      <c r="CL335" s="39" t="str">
        <f t="shared" si="205"/>
        <v/>
      </c>
      <c r="CM335" s="39" t="str">
        <f t="shared" si="206"/>
        <v/>
      </c>
      <c r="CN335" s="42" t="str">
        <f t="shared" si="207"/>
        <v/>
      </c>
      <c r="CO335" s="42" t="str">
        <f t="shared" si="208"/>
        <v/>
      </c>
      <c r="CP335" s="42" t="str">
        <f t="shared" si="209"/>
        <v/>
      </c>
      <c r="CQ335" s="42" t="str">
        <f t="shared" si="210"/>
        <v/>
      </c>
      <c r="CR335" s="42" t="str">
        <f t="shared" si="211"/>
        <v/>
      </c>
      <c r="CS335" s="42" t="str">
        <f t="shared" si="212"/>
        <v/>
      </c>
      <c r="CT335" s="43" t="str">
        <f t="shared" si="213"/>
        <v/>
      </c>
      <c r="CU335" s="43" t="str">
        <f t="shared" si="214"/>
        <v/>
      </c>
      <c r="CV335" s="43" t="str">
        <f t="shared" si="215"/>
        <v/>
      </c>
      <c r="CW335" s="13"/>
    </row>
    <row r="336" spans="1:101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Multiplier'!$A:$A,MATCH($D336,'Level Multiplier'!$B:$B,0)),"")</f>
        <v/>
      </c>
      <c r="Q336" s="36" t="str">
        <f>IFERROR(INDEX('Level Multiplier'!$D:$D,MATCH(P336,'Level Multiplier'!$A:$A,0)),"")</f>
        <v/>
      </c>
      <c r="R336" s="37" t="str">
        <f t="shared" si="180"/>
        <v/>
      </c>
      <c r="S336" s="37" t="str">
        <f t="shared" si="181"/>
        <v/>
      </c>
      <c r="T336" s="38" t="str">
        <f t="shared" si="182"/>
        <v/>
      </c>
      <c r="U336" s="38" t="str">
        <f t="shared" si="183"/>
        <v/>
      </c>
      <c r="V336" s="38" t="b">
        <f t="shared" si="184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5"/>
        <v/>
      </c>
      <c r="AI336" s="36" t="str">
        <f>IFERROR(INDEX('Level Multiplier'!$D:$D,MATCH(AH336,'Level Multiplier'!$A:$A,0)),"")</f>
        <v/>
      </c>
      <c r="AJ336" s="37" t="str">
        <f t="shared" si="186"/>
        <v/>
      </c>
      <c r="AK336" s="37" t="str">
        <f t="shared" si="187"/>
        <v/>
      </c>
      <c r="AL336" s="38" t="str">
        <f t="shared" si="188"/>
        <v/>
      </c>
      <c r="AM336" s="38" t="str">
        <f t="shared" si="189"/>
        <v/>
      </c>
      <c r="AN336" s="38" t="b">
        <f t="shared" si="190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1"/>
        <v/>
      </c>
      <c r="BA336" s="36" t="str">
        <f>IFERROR(INDEX('Level Multiplier'!$D:$D,MATCH(AZ336,'Level Multiplier'!$A:$A,0)),"")</f>
        <v/>
      </c>
      <c r="BB336" s="37" t="str">
        <f t="shared" si="192"/>
        <v/>
      </c>
      <c r="BC336" s="37" t="str">
        <f t="shared" si="193"/>
        <v/>
      </c>
      <c r="BD336" s="38" t="str">
        <f t="shared" si="194"/>
        <v/>
      </c>
      <c r="BE336" s="38" t="str">
        <f t="shared" si="195"/>
        <v/>
      </c>
      <c r="BF336" s="38" t="b">
        <f t="shared" si="196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7"/>
        <v/>
      </c>
      <c r="BS336" s="36" t="str">
        <f>IFERROR(INDEX('Level Multiplier'!$D:$D,MATCH(BR336,'Level Multiplier'!$A:$A,0)),"")</f>
        <v/>
      </c>
      <c r="BT336" s="37" t="str">
        <f t="shared" si="198"/>
        <v/>
      </c>
      <c r="BU336" s="37" t="str">
        <f t="shared" si="199"/>
        <v/>
      </c>
      <c r="BV336" s="38" t="str">
        <f t="shared" si="200"/>
        <v/>
      </c>
      <c r="BW336" s="38" t="str">
        <f t="shared" si="201"/>
        <v/>
      </c>
      <c r="BX336" s="38" t="b">
        <f t="shared" si="202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3"/>
        <v/>
      </c>
      <c r="CK336" s="41" t="str">
        <f t="shared" si="204"/>
        <v/>
      </c>
      <c r="CL336" s="39" t="str">
        <f t="shared" si="205"/>
        <v/>
      </c>
      <c r="CM336" s="39" t="str">
        <f t="shared" si="206"/>
        <v/>
      </c>
      <c r="CN336" s="42" t="str">
        <f t="shared" si="207"/>
        <v/>
      </c>
      <c r="CO336" s="42" t="str">
        <f t="shared" si="208"/>
        <v/>
      </c>
      <c r="CP336" s="42" t="str">
        <f t="shared" si="209"/>
        <v/>
      </c>
      <c r="CQ336" s="42" t="str">
        <f t="shared" si="210"/>
        <v/>
      </c>
      <c r="CR336" s="42" t="str">
        <f t="shared" si="211"/>
        <v/>
      </c>
      <c r="CS336" s="42" t="str">
        <f t="shared" si="212"/>
        <v/>
      </c>
      <c r="CT336" s="43" t="str">
        <f t="shared" si="213"/>
        <v/>
      </c>
      <c r="CU336" s="43" t="str">
        <f t="shared" si="214"/>
        <v/>
      </c>
      <c r="CV336" s="43" t="str">
        <f t="shared" si="215"/>
        <v/>
      </c>
      <c r="CW336" s="13"/>
    </row>
    <row r="337" spans="1:101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Multiplier'!$A:$A,MATCH($D337,'Level Multiplier'!$B:$B,0)),"")</f>
        <v/>
      </c>
      <c r="Q337" s="36" t="str">
        <f>IFERROR(INDEX('Level Multiplier'!$D:$D,MATCH(P337,'Level Multiplier'!$A:$A,0)),"")</f>
        <v/>
      </c>
      <c r="R337" s="37" t="str">
        <f t="shared" si="180"/>
        <v/>
      </c>
      <c r="S337" s="37" t="str">
        <f t="shared" si="181"/>
        <v/>
      </c>
      <c r="T337" s="38" t="str">
        <f t="shared" si="182"/>
        <v/>
      </c>
      <c r="U337" s="38" t="str">
        <f t="shared" si="183"/>
        <v/>
      </c>
      <c r="V337" s="38" t="b">
        <f t="shared" si="184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5"/>
        <v/>
      </c>
      <c r="AI337" s="36" t="str">
        <f>IFERROR(INDEX('Level Multiplier'!$D:$D,MATCH(AH337,'Level Multiplier'!$A:$A,0)),"")</f>
        <v/>
      </c>
      <c r="AJ337" s="37" t="str">
        <f t="shared" si="186"/>
        <v/>
      </c>
      <c r="AK337" s="37" t="str">
        <f t="shared" si="187"/>
        <v/>
      </c>
      <c r="AL337" s="38" t="str">
        <f t="shared" si="188"/>
        <v/>
      </c>
      <c r="AM337" s="38" t="str">
        <f t="shared" si="189"/>
        <v/>
      </c>
      <c r="AN337" s="38" t="b">
        <f t="shared" si="190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1"/>
        <v/>
      </c>
      <c r="BA337" s="36" t="str">
        <f>IFERROR(INDEX('Level Multiplier'!$D:$D,MATCH(AZ337,'Level Multiplier'!$A:$A,0)),"")</f>
        <v/>
      </c>
      <c r="BB337" s="37" t="str">
        <f t="shared" si="192"/>
        <v/>
      </c>
      <c r="BC337" s="37" t="str">
        <f t="shared" si="193"/>
        <v/>
      </c>
      <c r="BD337" s="38" t="str">
        <f t="shared" si="194"/>
        <v/>
      </c>
      <c r="BE337" s="38" t="str">
        <f t="shared" si="195"/>
        <v/>
      </c>
      <c r="BF337" s="38" t="b">
        <f t="shared" si="196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7"/>
        <v/>
      </c>
      <c r="BS337" s="36" t="str">
        <f>IFERROR(INDEX('Level Multiplier'!$D:$D,MATCH(BR337,'Level Multiplier'!$A:$A,0)),"")</f>
        <v/>
      </c>
      <c r="BT337" s="37" t="str">
        <f t="shared" si="198"/>
        <v/>
      </c>
      <c r="BU337" s="37" t="str">
        <f t="shared" si="199"/>
        <v/>
      </c>
      <c r="BV337" s="38" t="str">
        <f t="shared" si="200"/>
        <v/>
      </c>
      <c r="BW337" s="38" t="str">
        <f t="shared" si="201"/>
        <v/>
      </c>
      <c r="BX337" s="38" t="b">
        <f t="shared" si="202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3"/>
        <v/>
      </c>
      <c r="CK337" s="41" t="str">
        <f t="shared" si="204"/>
        <v/>
      </c>
      <c r="CL337" s="39" t="str">
        <f t="shared" si="205"/>
        <v/>
      </c>
      <c r="CM337" s="39" t="str">
        <f t="shared" si="206"/>
        <v/>
      </c>
      <c r="CN337" s="42" t="str">
        <f t="shared" si="207"/>
        <v/>
      </c>
      <c r="CO337" s="42" t="str">
        <f t="shared" si="208"/>
        <v/>
      </c>
      <c r="CP337" s="42" t="str">
        <f t="shared" si="209"/>
        <v/>
      </c>
      <c r="CQ337" s="42" t="str">
        <f t="shared" si="210"/>
        <v/>
      </c>
      <c r="CR337" s="42" t="str">
        <f t="shared" si="211"/>
        <v/>
      </c>
      <c r="CS337" s="42" t="str">
        <f t="shared" si="212"/>
        <v/>
      </c>
      <c r="CT337" s="43" t="str">
        <f t="shared" si="213"/>
        <v/>
      </c>
      <c r="CU337" s="43" t="str">
        <f t="shared" si="214"/>
        <v/>
      </c>
      <c r="CV337" s="43" t="str">
        <f t="shared" si="215"/>
        <v/>
      </c>
      <c r="CW337" s="13"/>
    </row>
    <row r="338" spans="1:101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Multiplier'!$A:$A,MATCH($D338,'Level Multiplier'!$B:$B,0)),"")</f>
        <v/>
      </c>
      <c r="Q338" s="36" t="str">
        <f>IFERROR(INDEX('Level Multiplier'!$D:$D,MATCH(P338,'Level Multiplier'!$A:$A,0)),"")</f>
        <v/>
      </c>
      <c r="R338" s="37" t="str">
        <f t="shared" si="180"/>
        <v/>
      </c>
      <c r="S338" s="37" t="str">
        <f t="shared" si="181"/>
        <v/>
      </c>
      <c r="T338" s="38" t="str">
        <f t="shared" si="182"/>
        <v/>
      </c>
      <c r="U338" s="38" t="str">
        <f t="shared" si="183"/>
        <v/>
      </c>
      <c r="V338" s="38" t="b">
        <f t="shared" si="184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5"/>
        <v/>
      </c>
      <c r="AI338" s="36" t="str">
        <f>IFERROR(INDEX('Level Multiplier'!$D:$D,MATCH(AH338,'Level Multiplier'!$A:$A,0)),"")</f>
        <v/>
      </c>
      <c r="AJ338" s="37" t="str">
        <f t="shared" si="186"/>
        <v/>
      </c>
      <c r="AK338" s="37" t="str">
        <f t="shared" si="187"/>
        <v/>
      </c>
      <c r="AL338" s="38" t="str">
        <f t="shared" si="188"/>
        <v/>
      </c>
      <c r="AM338" s="38" t="str">
        <f t="shared" si="189"/>
        <v/>
      </c>
      <c r="AN338" s="38" t="b">
        <f t="shared" si="190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1"/>
        <v/>
      </c>
      <c r="BA338" s="36" t="str">
        <f>IFERROR(INDEX('Level Multiplier'!$D:$D,MATCH(AZ338,'Level Multiplier'!$A:$A,0)),"")</f>
        <v/>
      </c>
      <c r="BB338" s="37" t="str">
        <f t="shared" si="192"/>
        <v/>
      </c>
      <c r="BC338" s="37" t="str">
        <f t="shared" si="193"/>
        <v/>
      </c>
      <c r="BD338" s="38" t="str">
        <f t="shared" si="194"/>
        <v/>
      </c>
      <c r="BE338" s="38" t="str">
        <f t="shared" si="195"/>
        <v/>
      </c>
      <c r="BF338" s="38" t="b">
        <f t="shared" si="196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7"/>
        <v/>
      </c>
      <c r="BS338" s="36" t="str">
        <f>IFERROR(INDEX('Level Multiplier'!$D:$D,MATCH(BR338,'Level Multiplier'!$A:$A,0)),"")</f>
        <v/>
      </c>
      <c r="BT338" s="37" t="str">
        <f t="shared" si="198"/>
        <v/>
      </c>
      <c r="BU338" s="37" t="str">
        <f t="shared" si="199"/>
        <v/>
      </c>
      <c r="BV338" s="38" t="str">
        <f t="shared" si="200"/>
        <v/>
      </c>
      <c r="BW338" s="38" t="str">
        <f t="shared" si="201"/>
        <v/>
      </c>
      <c r="BX338" s="38" t="b">
        <f t="shared" si="202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3"/>
        <v/>
      </c>
      <c r="CK338" s="41" t="str">
        <f t="shared" si="204"/>
        <v/>
      </c>
      <c r="CL338" s="39" t="str">
        <f t="shared" si="205"/>
        <v/>
      </c>
      <c r="CM338" s="39" t="str">
        <f t="shared" si="206"/>
        <v/>
      </c>
      <c r="CN338" s="42" t="str">
        <f t="shared" si="207"/>
        <v/>
      </c>
      <c r="CO338" s="42" t="str">
        <f t="shared" si="208"/>
        <v/>
      </c>
      <c r="CP338" s="42" t="str">
        <f t="shared" si="209"/>
        <v/>
      </c>
      <c r="CQ338" s="42" t="str">
        <f t="shared" si="210"/>
        <v/>
      </c>
      <c r="CR338" s="42" t="str">
        <f t="shared" si="211"/>
        <v/>
      </c>
      <c r="CS338" s="42" t="str">
        <f t="shared" si="212"/>
        <v/>
      </c>
      <c r="CT338" s="43" t="str">
        <f t="shared" si="213"/>
        <v/>
      </c>
      <c r="CU338" s="43" t="str">
        <f t="shared" si="214"/>
        <v/>
      </c>
      <c r="CV338" s="43" t="str">
        <f t="shared" si="215"/>
        <v/>
      </c>
      <c r="CW338" s="13"/>
    </row>
    <row r="339" spans="1:101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Multiplier'!$A:$A,MATCH($D339,'Level Multiplier'!$B:$B,0)),"")</f>
        <v/>
      </c>
      <c r="Q339" s="36" t="str">
        <f>IFERROR(INDEX('Level Multiplier'!$D:$D,MATCH(P339,'Level Multiplier'!$A:$A,0)),"")</f>
        <v/>
      </c>
      <c r="R339" s="37" t="str">
        <f t="shared" si="180"/>
        <v/>
      </c>
      <c r="S339" s="37" t="str">
        <f t="shared" si="181"/>
        <v/>
      </c>
      <c r="T339" s="38" t="str">
        <f t="shared" si="182"/>
        <v/>
      </c>
      <c r="U339" s="38" t="str">
        <f t="shared" si="183"/>
        <v/>
      </c>
      <c r="V339" s="38" t="b">
        <f t="shared" si="184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5"/>
        <v/>
      </c>
      <c r="AI339" s="36" t="str">
        <f>IFERROR(INDEX('Level Multiplier'!$D:$D,MATCH(AH339,'Level Multiplier'!$A:$A,0)),"")</f>
        <v/>
      </c>
      <c r="AJ339" s="37" t="str">
        <f t="shared" si="186"/>
        <v/>
      </c>
      <c r="AK339" s="37" t="str">
        <f t="shared" si="187"/>
        <v/>
      </c>
      <c r="AL339" s="38" t="str">
        <f t="shared" si="188"/>
        <v/>
      </c>
      <c r="AM339" s="38" t="str">
        <f t="shared" si="189"/>
        <v/>
      </c>
      <c r="AN339" s="38" t="b">
        <f t="shared" si="190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1"/>
        <v/>
      </c>
      <c r="BA339" s="36" t="str">
        <f>IFERROR(INDEX('Level Multiplier'!$D:$D,MATCH(AZ339,'Level Multiplier'!$A:$A,0)),"")</f>
        <v/>
      </c>
      <c r="BB339" s="37" t="str">
        <f t="shared" si="192"/>
        <v/>
      </c>
      <c r="BC339" s="37" t="str">
        <f t="shared" si="193"/>
        <v/>
      </c>
      <c r="BD339" s="38" t="str">
        <f t="shared" si="194"/>
        <v/>
      </c>
      <c r="BE339" s="38" t="str">
        <f t="shared" si="195"/>
        <v/>
      </c>
      <c r="BF339" s="38" t="b">
        <f t="shared" si="196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7"/>
        <v/>
      </c>
      <c r="BS339" s="36" t="str">
        <f>IFERROR(INDEX('Level Multiplier'!$D:$D,MATCH(BR339,'Level Multiplier'!$A:$A,0)),"")</f>
        <v/>
      </c>
      <c r="BT339" s="37" t="str">
        <f t="shared" si="198"/>
        <v/>
      </c>
      <c r="BU339" s="37" t="str">
        <f t="shared" si="199"/>
        <v/>
      </c>
      <c r="BV339" s="38" t="str">
        <f t="shared" si="200"/>
        <v/>
      </c>
      <c r="BW339" s="38" t="str">
        <f t="shared" si="201"/>
        <v/>
      </c>
      <c r="BX339" s="38" t="b">
        <f t="shared" si="202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3"/>
        <v/>
      </c>
      <c r="CK339" s="41" t="str">
        <f t="shared" si="204"/>
        <v/>
      </c>
      <c r="CL339" s="39" t="str">
        <f t="shared" si="205"/>
        <v/>
      </c>
      <c r="CM339" s="39" t="str">
        <f t="shared" si="206"/>
        <v/>
      </c>
      <c r="CN339" s="42" t="str">
        <f t="shared" si="207"/>
        <v/>
      </c>
      <c r="CO339" s="42" t="str">
        <f t="shared" si="208"/>
        <v/>
      </c>
      <c r="CP339" s="42" t="str">
        <f t="shared" si="209"/>
        <v/>
      </c>
      <c r="CQ339" s="42" t="str">
        <f t="shared" si="210"/>
        <v/>
      </c>
      <c r="CR339" s="42" t="str">
        <f t="shared" si="211"/>
        <v/>
      </c>
      <c r="CS339" s="42" t="str">
        <f t="shared" si="212"/>
        <v/>
      </c>
      <c r="CT339" s="43" t="str">
        <f t="shared" si="213"/>
        <v/>
      </c>
      <c r="CU339" s="43" t="str">
        <f t="shared" si="214"/>
        <v/>
      </c>
      <c r="CV339" s="43" t="str">
        <f t="shared" si="215"/>
        <v/>
      </c>
      <c r="CW339" s="13"/>
    </row>
    <row r="340" spans="1:101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Multiplier'!$A:$A,MATCH($D340,'Level Multiplier'!$B:$B,0)),"")</f>
        <v/>
      </c>
      <c r="Q340" s="36" t="str">
        <f>IFERROR(INDEX('Level Multiplier'!$D:$D,MATCH(P340,'Level Multiplier'!$A:$A,0)),"")</f>
        <v/>
      </c>
      <c r="R340" s="37" t="str">
        <f t="shared" si="180"/>
        <v/>
      </c>
      <c r="S340" s="37" t="str">
        <f t="shared" si="181"/>
        <v/>
      </c>
      <c r="T340" s="38" t="str">
        <f t="shared" si="182"/>
        <v/>
      </c>
      <c r="U340" s="38" t="str">
        <f t="shared" si="183"/>
        <v/>
      </c>
      <c r="V340" s="38" t="b">
        <f t="shared" si="184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5"/>
        <v/>
      </c>
      <c r="AI340" s="36" t="str">
        <f>IFERROR(INDEX('Level Multiplier'!$D:$D,MATCH(AH340,'Level Multiplier'!$A:$A,0)),"")</f>
        <v/>
      </c>
      <c r="AJ340" s="37" t="str">
        <f t="shared" si="186"/>
        <v/>
      </c>
      <c r="AK340" s="37" t="str">
        <f t="shared" si="187"/>
        <v/>
      </c>
      <c r="AL340" s="38" t="str">
        <f t="shared" si="188"/>
        <v/>
      </c>
      <c r="AM340" s="38" t="str">
        <f t="shared" si="189"/>
        <v/>
      </c>
      <c r="AN340" s="38" t="b">
        <f t="shared" si="190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1"/>
        <v/>
      </c>
      <c r="BA340" s="36" t="str">
        <f>IFERROR(INDEX('Level Multiplier'!$D:$D,MATCH(AZ340,'Level Multiplier'!$A:$A,0)),"")</f>
        <v/>
      </c>
      <c r="BB340" s="37" t="str">
        <f t="shared" si="192"/>
        <v/>
      </c>
      <c r="BC340" s="37" t="str">
        <f t="shared" si="193"/>
        <v/>
      </c>
      <c r="BD340" s="38" t="str">
        <f t="shared" si="194"/>
        <v/>
      </c>
      <c r="BE340" s="38" t="str">
        <f t="shared" si="195"/>
        <v/>
      </c>
      <c r="BF340" s="38" t="b">
        <f t="shared" si="196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7"/>
        <v/>
      </c>
      <c r="BS340" s="36" t="str">
        <f>IFERROR(INDEX('Level Multiplier'!$D:$D,MATCH(BR340,'Level Multiplier'!$A:$A,0)),"")</f>
        <v/>
      </c>
      <c r="BT340" s="37" t="str">
        <f t="shared" si="198"/>
        <v/>
      </c>
      <c r="BU340" s="37" t="str">
        <f t="shared" si="199"/>
        <v/>
      </c>
      <c r="BV340" s="38" t="str">
        <f t="shared" si="200"/>
        <v/>
      </c>
      <c r="BW340" s="38" t="str">
        <f t="shared" si="201"/>
        <v/>
      </c>
      <c r="BX340" s="38" t="b">
        <f t="shared" si="202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3"/>
        <v/>
      </c>
      <c r="CK340" s="41" t="str">
        <f t="shared" si="204"/>
        <v/>
      </c>
      <c r="CL340" s="39" t="str">
        <f t="shared" si="205"/>
        <v/>
      </c>
      <c r="CM340" s="39" t="str">
        <f t="shared" si="206"/>
        <v/>
      </c>
      <c r="CN340" s="42" t="str">
        <f t="shared" si="207"/>
        <v/>
      </c>
      <c r="CO340" s="42" t="str">
        <f t="shared" si="208"/>
        <v/>
      </c>
      <c r="CP340" s="42" t="str">
        <f t="shared" si="209"/>
        <v/>
      </c>
      <c r="CQ340" s="42" t="str">
        <f t="shared" si="210"/>
        <v/>
      </c>
      <c r="CR340" s="42" t="str">
        <f t="shared" si="211"/>
        <v/>
      </c>
      <c r="CS340" s="42" t="str">
        <f t="shared" si="212"/>
        <v/>
      </c>
      <c r="CT340" s="43" t="str">
        <f t="shared" si="213"/>
        <v/>
      </c>
      <c r="CU340" s="43" t="str">
        <f t="shared" si="214"/>
        <v/>
      </c>
      <c r="CV340" s="43" t="str">
        <f t="shared" si="215"/>
        <v/>
      </c>
      <c r="CW340" s="13"/>
    </row>
    <row r="341" spans="1:101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Multiplier'!$A:$A,MATCH($D341,'Level Multiplier'!$B:$B,0)),"")</f>
        <v/>
      </c>
      <c r="Q341" s="36" t="str">
        <f>IFERROR(INDEX('Level Multiplier'!$D:$D,MATCH(P341,'Level Multiplier'!$A:$A,0)),"")</f>
        <v/>
      </c>
      <c r="R341" s="37" t="str">
        <f t="shared" si="180"/>
        <v/>
      </c>
      <c r="S341" s="37" t="str">
        <f t="shared" si="181"/>
        <v/>
      </c>
      <c r="T341" s="38" t="str">
        <f t="shared" si="182"/>
        <v/>
      </c>
      <c r="U341" s="38" t="str">
        <f t="shared" si="183"/>
        <v/>
      </c>
      <c r="V341" s="38" t="b">
        <f t="shared" si="184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5"/>
        <v/>
      </c>
      <c r="AI341" s="36" t="str">
        <f>IFERROR(INDEX('Level Multiplier'!$D:$D,MATCH(AH341,'Level Multiplier'!$A:$A,0)),"")</f>
        <v/>
      </c>
      <c r="AJ341" s="37" t="str">
        <f t="shared" si="186"/>
        <v/>
      </c>
      <c r="AK341" s="37" t="str">
        <f t="shared" si="187"/>
        <v/>
      </c>
      <c r="AL341" s="38" t="str">
        <f t="shared" si="188"/>
        <v/>
      </c>
      <c r="AM341" s="38" t="str">
        <f t="shared" si="189"/>
        <v/>
      </c>
      <c r="AN341" s="38" t="b">
        <f t="shared" si="190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1"/>
        <v/>
      </c>
      <c r="BA341" s="36" t="str">
        <f>IFERROR(INDEX('Level Multiplier'!$D:$D,MATCH(AZ341,'Level Multiplier'!$A:$A,0)),"")</f>
        <v/>
      </c>
      <c r="BB341" s="37" t="str">
        <f t="shared" si="192"/>
        <v/>
      </c>
      <c r="BC341" s="37" t="str">
        <f t="shared" si="193"/>
        <v/>
      </c>
      <c r="BD341" s="38" t="str">
        <f t="shared" si="194"/>
        <v/>
      </c>
      <c r="BE341" s="38" t="str">
        <f t="shared" si="195"/>
        <v/>
      </c>
      <c r="BF341" s="38" t="b">
        <f t="shared" si="196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7"/>
        <v/>
      </c>
      <c r="BS341" s="36" t="str">
        <f>IFERROR(INDEX('Level Multiplier'!$D:$D,MATCH(BR341,'Level Multiplier'!$A:$A,0)),"")</f>
        <v/>
      </c>
      <c r="BT341" s="37" t="str">
        <f t="shared" si="198"/>
        <v/>
      </c>
      <c r="BU341" s="37" t="str">
        <f t="shared" si="199"/>
        <v/>
      </c>
      <c r="BV341" s="38" t="str">
        <f t="shared" si="200"/>
        <v/>
      </c>
      <c r="BW341" s="38" t="str">
        <f t="shared" si="201"/>
        <v/>
      </c>
      <c r="BX341" s="38" t="b">
        <f t="shared" si="202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3"/>
        <v/>
      </c>
      <c r="CK341" s="41" t="str">
        <f t="shared" si="204"/>
        <v/>
      </c>
      <c r="CL341" s="39" t="str">
        <f t="shared" si="205"/>
        <v/>
      </c>
      <c r="CM341" s="39" t="str">
        <f t="shared" si="206"/>
        <v/>
      </c>
      <c r="CN341" s="42" t="str">
        <f t="shared" si="207"/>
        <v/>
      </c>
      <c r="CO341" s="42" t="str">
        <f t="shared" si="208"/>
        <v/>
      </c>
      <c r="CP341" s="42" t="str">
        <f t="shared" si="209"/>
        <v/>
      </c>
      <c r="CQ341" s="42" t="str">
        <f t="shared" si="210"/>
        <v/>
      </c>
      <c r="CR341" s="42" t="str">
        <f t="shared" si="211"/>
        <v/>
      </c>
      <c r="CS341" s="42" t="str">
        <f t="shared" si="212"/>
        <v/>
      </c>
      <c r="CT341" s="43" t="str">
        <f t="shared" si="213"/>
        <v/>
      </c>
      <c r="CU341" s="43" t="str">
        <f t="shared" si="214"/>
        <v/>
      </c>
      <c r="CV341" s="43" t="str">
        <f t="shared" si="215"/>
        <v/>
      </c>
      <c r="CW341" s="13"/>
    </row>
    <row r="342" spans="1:101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Multiplier'!$A:$A,MATCH($D342,'Level Multiplier'!$B:$B,0)),"")</f>
        <v/>
      </c>
      <c r="Q342" s="36" t="str">
        <f>IFERROR(INDEX('Level Multiplier'!$D:$D,MATCH(P342,'Level Multiplier'!$A:$A,0)),"")</f>
        <v/>
      </c>
      <c r="R342" s="37" t="str">
        <f t="shared" si="180"/>
        <v/>
      </c>
      <c r="S342" s="37" t="str">
        <f t="shared" si="181"/>
        <v/>
      </c>
      <c r="T342" s="38" t="str">
        <f t="shared" si="182"/>
        <v/>
      </c>
      <c r="U342" s="38" t="str">
        <f t="shared" si="183"/>
        <v/>
      </c>
      <c r="V342" s="38" t="b">
        <f t="shared" si="184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5"/>
        <v/>
      </c>
      <c r="AI342" s="36" t="str">
        <f>IFERROR(INDEX('Level Multiplier'!$D:$D,MATCH(AH342,'Level Multiplier'!$A:$A,0)),"")</f>
        <v/>
      </c>
      <c r="AJ342" s="37" t="str">
        <f t="shared" si="186"/>
        <v/>
      </c>
      <c r="AK342" s="37" t="str">
        <f t="shared" si="187"/>
        <v/>
      </c>
      <c r="AL342" s="38" t="str">
        <f t="shared" si="188"/>
        <v/>
      </c>
      <c r="AM342" s="38" t="str">
        <f t="shared" si="189"/>
        <v/>
      </c>
      <c r="AN342" s="38" t="b">
        <f t="shared" si="190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1"/>
        <v/>
      </c>
      <c r="BA342" s="36" t="str">
        <f>IFERROR(INDEX('Level Multiplier'!$D:$D,MATCH(AZ342,'Level Multiplier'!$A:$A,0)),"")</f>
        <v/>
      </c>
      <c r="BB342" s="37" t="str">
        <f t="shared" si="192"/>
        <v/>
      </c>
      <c r="BC342" s="37" t="str">
        <f t="shared" si="193"/>
        <v/>
      </c>
      <c r="BD342" s="38" t="str">
        <f t="shared" si="194"/>
        <v/>
      </c>
      <c r="BE342" s="38" t="str">
        <f t="shared" si="195"/>
        <v/>
      </c>
      <c r="BF342" s="38" t="b">
        <f t="shared" si="196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7"/>
        <v/>
      </c>
      <c r="BS342" s="36" t="str">
        <f>IFERROR(INDEX('Level Multiplier'!$D:$D,MATCH(BR342,'Level Multiplier'!$A:$A,0)),"")</f>
        <v/>
      </c>
      <c r="BT342" s="37" t="str">
        <f t="shared" si="198"/>
        <v/>
      </c>
      <c r="BU342" s="37" t="str">
        <f t="shared" si="199"/>
        <v/>
      </c>
      <c r="BV342" s="38" t="str">
        <f t="shared" si="200"/>
        <v/>
      </c>
      <c r="BW342" s="38" t="str">
        <f t="shared" si="201"/>
        <v/>
      </c>
      <c r="BX342" s="38" t="b">
        <f t="shared" si="202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3"/>
        <v/>
      </c>
      <c r="CK342" s="41" t="str">
        <f t="shared" si="204"/>
        <v/>
      </c>
      <c r="CL342" s="39" t="str">
        <f t="shared" si="205"/>
        <v/>
      </c>
      <c r="CM342" s="39" t="str">
        <f t="shared" si="206"/>
        <v/>
      </c>
      <c r="CN342" s="42" t="str">
        <f t="shared" si="207"/>
        <v/>
      </c>
      <c r="CO342" s="42" t="str">
        <f t="shared" si="208"/>
        <v/>
      </c>
      <c r="CP342" s="42" t="str">
        <f t="shared" si="209"/>
        <v/>
      </c>
      <c r="CQ342" s="42" t="str">
        <f t="shared" si="210"/>
        <v/>
      </c>
      <c r="CR342" s="42" t="str">
        <f t="shared" si="211"/>
        <v/>
      </c>
      <c r="CS342" s="42" t="str">
        <f t="shared" si="212"/>
        <v/>
      </c>
      <c r="CT342" s="43" t="str">
        <f t="shared" si="213"/>
        <v/>
      </c>
      <c r="CU342" s="43" t="str">
        <f t="shared" si="214"/>
        <v/>
      </c>
      <c r="CV342" s="43" t="str">
        <f t="shared" si="215"/>
        <v/>
      </c>
      <c r="CW342" s="13"/>
    </row>
    <row r="343" spans="1:101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Multiplier'!$A:$A,MATCH($D343,'Level Multiplier'!$B:$B,0)),"")</f>
        <v/>
      </c>
      <c r="Q343" s="36" t="str">
        <f>IFERROR(INDEX('Level Multiplier'!$D:$D,MATCH(P343,'Level Multiplier'!$A:$A,0)),"")</f>
        <v/>
      </c>
      <c r="R343" s="37" t="str">
        <f t="shared" si="180"/>
        <v/>
      </c>
      <c r="S343" s="37" t="str">
        <f t="shared" si="181"/>
        <v/>
      </c>
      <c r="T343" s="38" t="str">
        <f t="shared" si="182"/>
        <v/>
      </c>
      <c r="U343" s="38" t="str">
        <f t="shared" si="183"/>
        <v/>
      </c>
      <c r="V343" s="38" t="b">
        <f t="shared" si="184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5"/>
        <v/>
      </c>
      <c r="AI343" s="36" t="str">
        <f>IFERROR(INDEX('Level Multiplier'!$D:$D,MATCH(AH343,'Level Multiplier'!$A:$A,0)),"")</f>
        <v/>
      </c>
      <c r="AJ343" s="37" t="str">
        <f t="shared" si="186"/>
        <v/>
      </c>
      <c r="AK343" s="37" t="str">
        <f t="shared" si="187"/>
        <v/>
      </c>
      <c r="AL343" s="38" t="str">
        <f t="shared" si="188"/>
        <v/>
      </c>
      <c r="AM343" s="38" t="str">
        <f t="shared" si="189"/>
        <v/>
      </c>
      <c r="AN343" s="38" t="b">
        <f t="shared" si="190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1"/>
        <v/>
      </c>
      <c r="BA343" s="36" t="str">
        <f>IFERROR(INDEX('Level Multiplier'!$D:$D,MATCH(AZ343,'Level Multiplier'!$A:$A,0)),"")</f>
        <v/>
      </c>
      <c r="BB343" s="37" t="str">
        <f t="shared" si="192"/>
        <v/>
      </c>
      <c r="BC343" s="37" t="str">
        <f t="shared" si="193"/>
        <v/>
      </c>
      <c r="BD343" s="38" t="str">
        <f t="shared" si="194"/>
        <v/>
      </c>
      <c r="BE343" s="38" t="str">
        <f t="shared" si="195"/>
        <v/>
      </c>
      <c r="BF343" s="38" t="b">
        <f t="shared" si="196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7"/>
        <v/>
      </c>
      <c r="BS343" s="36" t="str">
        <f>IFERROR(INDEX('Level Multiplier'!$D:$D,MATCH(BR343,'Level Multiplier'!$A:$A,0)),"")</f>
        <v/>
      </c>
      <c r="BT343" s="37" t="str">
        <f t="shared" si="198"/>
        <v/>
      </c>
      <c r="BU343" s="37" t="str">
        <f t="shared" si="199"/>
        <v/>
      </c>
      <c r="BV343" s="38" t="str">
        <f t="shared" si="200"/>
        <v/>
      </c>
      <c r="BW343" s="38" t="str">
        <f t="shared" si="201"/>
        <v/>
      </c>
      <c r="BX343" s="38" t="b">
        <f t="shared" si="202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3"/>
        <v/>
      </c>
      <c r="CK343" s="41" t="str">
        <f t="shared" si="204"/>
        <v/>
      </c>
      <c r="CL343" s="39" t="str">
        <f t="shared" si="205"/>
        <v/>
      </c>
      <c r="CM343" s="39" t="str">
        <f t="shared" si="206"/>
        <v/>
      </c>
      <c r="CN343" s="42" t="str">
        <f t="shared" si="207"/>
        <v/>
      </c>
      <c r="CO343" s="42" t="str">
        <f t="shared" si="208"/>
        <v/>
      </c>
      <c r="CP343" s="42" t="str">
        <f t="shared" si="209"/>
        <v/>
      </c>
      <c r="CQ343" s="42" t="str">
        <f t="shared" si="210"/>
        <v/>
      </c>
      <c r="CR343" s="42" t="str">
        <f t="shared" si="211"/>
        <v/>
      </c>
      <c r="CS343" s="42" t="str">
        <f t="shared" si="212"/>
        <v/>
      </c>
      <c r="CT343" s="43" t="str">
        <f t="shared" si="213"/>
        <v/>
      </c>
      <c r="CU343" s="43" t="str">
        <f t="shared" si="214"/>
        <v/>
      </c>
      <c r="CV343" s="43" t="str">
        <f t="shared" si="215"/>
        <v/>
      </c>
      <c r="CW343" s="13"/>
    </row>
    <row r="344" spans="1:101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Multiplier'!$A:$A,MATCH($D344,'Level Multiplier'!$B:$B,0)),"")</f>
        <v/>
      </c>
      <c r="Q344" s="36" t="str">
        <f>IFERROR(INDEX('Level Multiplier'!$D:$D,MATCH(P344,'Level Multiplier'!$A:$A,0)),"")</f>
        <v/>
      </c>
      <c r="R344" s="37" t="str">
        <f t="shared" si="180"/>
        <v/>
      </c>
      <c r="S344" s="37" t="str">
        <f t="shared" si="181"/>
        <v/>
      </c>
      <c r="T344" s="38" t="str">
        <f t="shared" si="182"/>
        <v/>
      </c>
      <c r="U344" s="38" t="str">
        <f t="shared" si="183"/>
        <v/>
      </c>
      <c r="V344" s="38" t="b">
        <f t="shared" si="184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5"/>
        <v/>
      </c>
      <c r="AI344" s="36" t="str">
        <f>IFERROR(INDEX('Level Multiplier'!$D:$D,MATCH(AH344,'Level Multiplier'!$A:$A,0)),"")</f>
        <v/>
      </c>
      <c r="AJ344" s="37" t="str">
        <f t="shared" si="186"/>
        <v/>
      </c>
      <c r="AK344" s="37" t="str">
        <f t="shared" si="187"/>
        <v/>
      </c>
      <c r="AL344" s="38" t="str">
        <f t="shared" si="188"/>
        <v/>
      </c>
      <c r="AM344" s="38" t="str">
        <f t="shared" si="189"/>
        <v/>
      </c>
      <c r="AN344" s="38" t="b">
        <f t="shared" si="190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1"/>
        <v/>
      </c>
      <c r="BA344" s="36" t="str">
        <f>IFERROR(INDEX('Level Multiplier'!$D:$D,MATCH(AZ344,'Level Multiplier'!$A:$A,0)),"")</f>
        <v/>
      </c>
      <c r="BB344" s="37" t="str">
        <f t="shared" si="192"/>
        <v/>
      </c>
      <c r="BC344" s="37" t="str">
        <f t="shared" si="193"/>
        <v/>
      </c>
      <c r="BD344" s="38" t="str">
        <f t="shared" si="194"/>
        <v/>
      </c>
      <c r="BE344" s="38" t="str">
        <f t="shared" si="195"/>
        <v/>
      </c>
      <c r="BF344" s="38" t="b">
        <f t="shared" si="196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7"/>
        <v/>
      </c>
      <c r="BS344" s="36" t="str">
        <f>IFERROR(INDEX('Level Multiplier'!$D:$D,MATCH(BR344,'Level Multiplier'!$A:$A,0)),"")</f>
        <v/>
      </c>
      <c r="BT344" s="37" t="str">
        <f t="shared" si="198"/>
        <v/>
      </c>
      <c r="BU344" s="37" t="str">
        <f t="shared" si="199"/>
        <v/>
      </c>
      <c r="BV344" s="38" t="str">
        <f t="shared" si="200"/>
        <v/>
      </c>
      <c r="BW344" s="38" t="str">
        <f t="shared" si="201"/>
        <v/>
      </c>
      <c r="BX344" s="38" t="b">
        <f t="shared" si="202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3"/>
        <v/>
      </c>
      <c r="CK344" s="41" t="str">
        <f t="shared" si="204"/>
        <v/>
      </c>
      <c r="CL344" s="39" t="str">
        <f t="shared" si="205"/>
        <v/>
      </c>
      <c r="CM344" s="39" t="str">
        <f t="shared" si="206"/>
        <v/>
      </c>
      <c r="CN344" s="42" t="str">
        <f t="shared" si="207"/>
        <v/>
      </c>
      <c r="CO344" s="42" t="str">
        <f t="shared" si="208"/>
        <v/>
      </c>
      <c r="CP344" s="42" t="str">
        <f t="shared" si="209"/>
        <v/>
      </c>
      <c r="CQ344" s="42" t="str">
        <f t="shared" si="210"/>
        <v/>
      </c>
      <c r="CR344" s="42" t="str">
        <f t="shared" si="211"/>
        <v/>
      </c>
      <c r="CS344" s="42" t="str">
        <f t="shared" si="212"/>
        <v/>
      </c>
      <c r="CT344" s="43" t="str">
        <f t="shared" si="213"/>
        <v/>
      </c>
      <c r="CU344" s="43" t="str">
        <f t="shared" si="214"/>
        <v/>
      </c>
      <c r="CV344" s="43" t="str">
        <f t="shared" si="215"/>
        <v/>
      </c>
      <c r="CW344" s="13"/>
    </row>
    <row r="345" spans="1:101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Multiplier'!$A:$A,MATCH($D345,'Level Multiplier'!$B:$B,0)),"")</f>
        <v/>
      </c>
      <c r="Q345" s="36" t="str">
        <f>IFERROR(INDEX('Level Multiplier'!$D:$D,MATCH(P345,'Level Multiplier'!$A:$A,0)),"")</f>
        <v/>
      </c>
      <c r="R345" s="37" t="str">
        <f t="shared" si="180"/>
        <v/>
      </c>
      <c r="S345" s="37" t="str">
        <f t="shared" si="181"/>
        <v/>
      </c>
      <c r="T345" s="38" t="str">
        <f t="shared" si="182"/>
        <v/>
      </c>
      <c r="U345" s="38" t="str">
        <f t="shared" si="183"/>
        <v/>
      </c>
      <c r="V345" s="38" t="b">
        <f t="shared" si="184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5"/>
        <v/>
      </c>
      <c r="AI345" s="36" t="str">
        <f>IFERROR(INDEX('Level Multiplier'!$D:$D,MATCH(AH345,'Level Multiplier'!$A:$A,0)),"")</f>
        <v/>
      </c>
      <c r="AJ345" s="37" t="str">
        <f t="shared" si="186"/>
        <v/>
      </c>
      <c r="AK345" s="37" t="str">
        <f t="shared" si="187"/>
        <v/>
      </c>
      <c r="AL345" s="38" t="str">
        <f t="shared" si="188"/>
        <v/>
      </c>
      <c r="AM345" s="38" t="str">
        <f t="shared" si="189"/>
        <v/>
      </c>
      <c r="AN345" s="38" t="b">
        <f t="shared" si="190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1"/>
        <v/>
      </c>
      <c r="BA345" s="36" t="str">
        <f>IFERROR(INDEX('Level Multiplier'!$D:$D,MATCH(AZ345,'Level Multiplier'!$A:$A,0)),"")</f>
        <v/>
      </c>
      <c r="BB345" s="37" t="str">
        <f t="shared" si="192"/>
        <v/>
      </c>
      <c r="BC345" s="37" t="str">
        <f t="shared" si="193"/>
        <v/>
      </c>
      <c r="BD345" s="38" t="str">
        <f t="shared" si="194"/>
        <v/>
      </c>
      <c r="BE345" s="38" t="str">
        <f t="shared" si="195"/>
        <v/>
      </c>
      <c r="BF345" s="38" t="b">
        <f t="shared" si="196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7"/>
        <v/>
      </c>
      <c r="BS345" s="36" t="str">
        <f>IFERROR(INDEX('Level Multiplier'!$D:$D,MATCH(BR345,'Level Multiplier'!$A:$A,0)),"")</f>
        <v/>
      </c>
      <c r="BT345" s="37" t="str">
        <f t="shared" si="198"/>
        <v/>
      </c>
      <c r="BU345" s="37" t="str">
        <f t="shared" si="199"/>
        <v/>
      </c>
      <c r="BV345" s="38" t="str">
        <f t="shared" si="200"/>
        <v/>
      </c>
      <c r="BW345" s="38" t="str">
        <f t="shared" si="201"/>
        <v/>
      </c>
      <c r="BX345" s="38" t="b">
        <f t="shared" si="202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3"/>
        <v/>
      </c>
      <c r="CK345" s="41" t="str">
        <f t="shared" si="204"/>
        <v/>
      </c>
      <c r="CL345" s="39" t="str">
        <f t="shared" si="205"/>
        <v/>
      </c>
      <c r="CM345" s="39" t="str">
        <f t="shared" si="206"/>
        <v/>
      </c>
      <c r="CN345" s="42" t="str">
        <f t="shared" si="207"/>
        <v/>
      </c>
      <c r="CO345" s="42" t="str">
        <f t="shared" si="208"/>
        <v/>
      </c>
      <c r="CP345" s="42" t="str">
        <f t="shared" si="209"/>
        <v/>
      </c>
      <c r="CQ345" s="42" t="str">
        <f t="shared" si="210"/>
        <v/>
      </c>
      <c r="CR345" s="42" t="str">
        <f t="shared" si="211"/>
        <v/>
      </c>
      <c r="CS345" s="42" t="str">
        <f t="shared" si="212"/>
        <v/>
      </c>
      <c r="CT345" s="43" t="str">
        <f t="shared" si="213"/>
        <v/>
      </c>
      <c r="CU345" s="43" t="str">
        <f t="shared" si="214"/>
        <v/>
      </c>
      <c r="CV345" s="43" t="str">
        <f t="shared" si="215"/>
        <v/>
      </c>
      <c r="CW345" s="13"/>
    </row>
    <row r="346" spans="1:101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Multiplier'!$A:$A,MATCH($D346,'Level Multiplier'!$B:$B,0)),"")</f>
        <v/>
      </c>
      <c r="Q346" s="36" t="str">
        <f>IFERROR(INDEX('Level Multiplier'!$D:$D,MATCH(P346,'Level Multiplier'!$A:$A,0)),"")</f>
        <v/>
      </c>
      <c r="R346" s="37" t="str">
        <f t="shared" si="180"/>
        <v/>
      </c>
      <c r="S346" s="37" t="str">
        <f t="shared" si="181"/>
        <v/>
      </c>
      <c r="T346" s="38" t="str">
        <f t="shared" si="182"/>
        <v/>
      </c>
      <c r="U346" s="38" t="str">
        <f t="shared" si="183"/>
        <v/>
      </c>
      <c r="V346" s="38" t="b">
        <f t="shared" si="184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5"/>
        <v/>
      </c>
      <c r="AI346" s="36" t="str">
        <f>IFERROR(INDEX('Level Multiplier'!$D:$D,MATCH(AH346,'Level Multiplier'!$A:$A,0)),"")</f>
        <v/>
      </c>
      <c r="AJ346" s="37" t="str">
        <f t="shared" si="186"/>
        <v/>
      </c>
      <c r="AK346" s="37" t="str">
        <f t="shared" si="187"/>
        <v/>
      </c>
      <c r="AL346" s="38" t="str">
        <f t="shared" si="188"/>
        <v/>
      </c>
      <c r="AM346" s="38" t="str">
        <f t="shared" si="189"/>
        <v/>
      </c>
      <c r="AN346" s="38" t="b">
        <f t="shared" si="190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1"/>
        <v/>
      </c>
      <c r="BA346" s="36" t="str">
        <f>IFERROR(INDEX('Level Multiplier'!$D:$D,MATCH(AZ346,'Level Multiplier'!$A:$A,0)),"")</f>
        <v/>
      </c>
      <c r="BB346" s="37" t="str">
        <f t="shared" si="192"/>
        <v/>
      </c>
      <c r="BC346" s="37" t="str">
        <f t="shared" si="193"/>
        <v/>
      </c>
      <c r="BD346" s="38" t="str">
        <f t="shared" si="194"/>
        <v/>
      </c>
      <c r="BE346" s="38" t="str">
        <f t="shared" si="195"/>
        <v/>
      </c>
      <c r="BF346" s="38" t="b">
        <f t="shared" si="196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7"/>
        <v/>
      </c>
      <c r="BS346" s="36" t="str">
        <f>IFERROR(INDEX('Level Multiplier'!$D:$D,MATCH(BR346,'Level Multiplier'!$A:$A,0)),"")</f>
        <v/>
      </c>
      <c r="BT346" s="37" t="str">
        <f t="shared" si="198"/>
        <v/>
      </c>
      <c r="BU346" s="37" t="str">
        <f t="shared" si="199"/>
        <v/>
      </c>
      <c r="BV346" s="38" t="str">
        <f t="shared" si="200"/>
        <v/>
      </c>
      <c r="BW346" s="38" t="str">
        <f t="shared" si="201"/>
        <v/>
      </c>
      <c r="BX346" s="38" t="b">
        <f t="shared" si="202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3"/>
        <v/>
      </c>
      <c r="CK346" s="41" t="str">
        <f t="shared" si="204"/>
        <v/>
      </c>
      <c r="CL346" s="39" t="str">
        <f t="shared" si="205"/>
        <v/>
      </c>
      <c r="CM346" s="39" t="str">
        <f t="shared" si="206"/>
        <v/>
      </c>
      <c r="CN346" s="42" t="str">
        <f t="shared" si="207"/>
        <v/>
      </c>
      <c r="CO346" s="42" t="str">
        <f t="shared" si="208"/>
        <v/>
      </c>
      <c r="CP346" s="42" t="str">
        <f t="shared" si="209"/>
        <v/>
      </c>
      <c r="CQ346" s="42" t="str">
        <f t="shared" si="210"/>
        <v/>
      </c>
      <c r="CR346" s="42" t="str">
        <f t="shared" si="211"/>
        <v/>
      </c>
      <c r="CS346" s="42" t="str">
        <f t="shared" si="212"/>
        <v/>
      </c>
      <c r="CT346" s="43" t="str">
        <f t="shared" si="213"/>
        <v/>
      </c>
      <c r="CU346" s="43" t="str">
        <f t="shared" si="214"/>
        <v/>
      </c>
      <c r="CV346" s="43" t="str">
        <f t="shared" si="215"/>
        <v/>
      </c>
      <c r="CW346" s="13"/>
    </row>
    <row r="347" spans="1:101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Multiplier'!$A:$A,MATCH($D347,'Level Multiplier'!$B:$B,0)),"")</f>
        <v/>
      </c>
      <c r="Q347" s="36" t="str">
        <f>IFERROR(INDEX('Level Multiplier'!$D:$D,MATCH(P347,'Level Multiplier'!$A:$A,0)),"")</f>
        <v/>
      </c>
      <c r="R347" s="37" t="str">
        <f t="shared" si="180"/>
        <v/>
      </c>
      <c r="S347" s="37" t="str">
        <f t="shared" si="181"/>
        <v/>
      </c>
      <c r="T347" s="38" t="str">
        <f t="shared" si="182"/>
        <v/>
      </c>
      <c r="U347" s="38" t="str">
        <f t="shared" si="183"/>
        <v/>
      </c>
      <c r="V347" s="38" t="b">
        <f t="shared" si="184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5"/>
        <v/>
      </c>
      <c r="AI347" s="36" t="str">
        <f>IFERROR(INDEX('Level Multiplier'!$D:$D,MATCH(AH347,'Level Multiplier'!$A:$A,0)),"")</f>
        <v/>
      </c>
      <c r="AJ347" s="37" t="str">
        <f t="shared" si="186"/>
        <v/>
      </c>
      <c r="AK347" s="37" t="str">
        <f t="shared" si="187"/>
        <v/>
      </c>
      <c r="AL347" s="38" t="str">
        <f t="shared" si="188"/>
        <v/>
      </c>
      <c r="AM347" s="38" t="str">
        <f t="shared" si="189"/>
        <v/>
      </c>
      <c r="AN347" s="38" t="b">
        <f t="shared" si="190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1"/>
        <v/>
      </c>
      <c r="BA347" s="36" t="str">
        <f>IFERROR(INDEX('Level Multiplier'!$D:$D,MATCH(AZ347,'Level Multiplier'!$A:$A,0)),"")</f>
        <v/>
      </c>
      <c r="BB347" s="37" t="str">
        <f t="shared" si="192"/>
        <v/>
      </c>
      <c r="BC347" s="37" t="str">
        <f t="shared" si="193"/>
        <v/>
      </c>
      <c r="BD347" s="38" t="str">
        <f t="shared" si="194"/>
        <v/>
      </c>
      <c r="BE347" s="38" t="str">
        <f t="shared" si="195"/>
        <v/>
      </c>
      <c r="BF347" s="38" t="b">
        <f t="shared" si="196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7"/>
        <v/>
      </c>
      <c r="BS347" s="36" t="str">
        <f>IFERROR(INDEX('Level Multiplier'!$D:$D,MATCH(BR347,'Level Multiplier'!$A:$A,0)),"")</f>
        <v/>
      </c>
      <c r="BT347" s="37" t="str">
        <f t="shared" si="198"/>
        <v/>
      </c>
      <c r="BU347" s="37" t="str">
        <f t="shared" si="199"/>
        <v/>
      </c>
      <c r="BV347" s="38" t="str">
        <f t="shared" si="200"/>
        <v/>
      </c>
      <c r="BW347" s="38" t="str">
        <f t="shared" si="201"/>
        <v/>
      </c>
      <c r="BX347" s="38" t="b">
        <f t="shared" si="202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3"/>
        <v/>
      </c>
      <c r="CK347" s="41" t="str">
        <f t="shared" si="204"/>
        <v/>
      </c>
      <c r="CL347" s="39" t="str">
        <f t="shared" si="205"/>
        <v/>
      </c>
      <c r="CM347" s="39" t="str">
        <f t="shared" si="206"/>
        <v/>
      </c>
      <c r="CN347" s="42" t="str">
        <f t="shared" si="207"/>
        <v/>
      </c>
      <c r="CO347" s="42" t="str">
        <f t="shared" si="208"/>
        <v/>
      </c>
      <c r="CP347" s="42" t="str">
        <f t="shared" si="209"/>
        <v/>
      </c>
      <c r="CQ347" s="42" t="str">
        <f t="shared" si="210"/>
        <v/>
      </c>
      <c r="CR347" s="42" t="str">
        <f t="shared" si="211"/>
        <v/>
      </c>
      <c r="CS347" s="42" t="str">
        <f t="shared" si="212"/>
        <v/>
      </c>
      <c r="CT347" s="43" t="str">
        <f t="shared" si="213"/>
        <v/>
      </c>
      <c r="CU347" s="43" t="str">
        <f t="shared" si="214"/>
        <v/>
      </c>
      <c r="CV347" s="43" t="str">
        <f t="shared" si="215"/>
        <v/>
      </c>
      <c r="CW347" s="13"/>
    </row>
    <row r="348" spans="1:101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Multiplier'!$A:$A,MATCH($D348,'Level Multiplier'!$B:$B,0)),"")</f>
        <v/>
      </c>
      <c r="Q348" s="36" t="str">
        <f>IFERROR(INDEX('Level Multiplier'!$D:$D,MATCH(P348,'Level Multiplier'!$A:$A,0)),"")</f>
        <v/>
      </c>
      <c r="R348" s="37" t="str">
        <f t="shared" si="180"/>
        <v/>
      </c>
      <c r="S348" s="37" t="str">
        <f t="shared" si="181"/>
        <v/>
      </c>
      <c r="T348" s="38" t="str">
        <f t="shared" si="182"/>
        <v/>
      </c>
      <c r="U348" s="38" t="str">
        <f t="shared" si="183"/>
        <v/>
      </c>
      <c r="V348" s="38" t="b">
        <f t="shared" si="184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5"/>
        <v/>
      </c>
      <c r="AI348" s="36" t="str">
        <f>IFERROR(INDEX('Level Multiplier'!$D:$D,MATCH(AH348,'Level Multiplier'!$A:$A,0)),"")</f>
        <v/>
      </c>
      <c r="AJ348" s="37" t="str">
        <f t="shared" si="186"/>
        <v/>
      </c>
      <c r="AK348" s="37" t="str">
        <f t="shared" si="187"/>
        <v/>
      </c>
      <c r="AL348" s="38" t="str">
        <f t="shared" si="188"/>
        <v/>
      </c>
      <c r="AM348" s="38" t="str">
        <f t="shared" si="189"/>
        <v/>
      </c>
      <c r="AN348" s="38" t="b">
        <f t="shared" si="190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1"/>
        <v/>
      </c>
      <c r="BA348" s="36" t="str">
        <f>IFERROR(INDEX('Level Multiplier'!$D:$D,MATCH(AZ348,'Level Multiplier'!$A:$A,0)),"")</f>
        <v/>
      </c>
      <c r="BB348" s="37" t="str">
        <f t="shared" si="192"/>
        <v/>
      </c>
      <c r="BC348" s="37" t="str">
        <f t="shared" si="193"/>
        <v/>
      </c>
      <c r="BD348" s="38" t="str">
        <f t="shared" si="194"/>
        <v/>
      </c>
      <c r="BE348" s="38" t="str">
        <f t="shared" si="195"/>
        <v/>
      </c>
      <c r="BF348" s="38" t="b">
        <f t="shared" si="196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7"/>
        <v/>
      </c>
      <c r="BS348" s="36" t="str">
        <f>IFERROR(INDEX('Level Multiplier'!$D:$D,MATCH(BR348,'Level Multiplier'!$A:$A,0)),"")</f>
        <v/>
      </c>
      <c r="BT348" s="37" t="str">
        <f t="shared" si="198"/>
        <v/>
      </c>
      <c r="BU348" s="37" t="str">
        <f t="shared" si="199"/>
        <v/>
      </c>
      <c r="BV348" s="38" t="str">
        <f t="shared" si="200"/>
        <v/>
      </c>
      <c r="BW348" s="38" t="str">
        <f t="shared" si="201"/>
        <v/>
      </c>
      <c r="BX348" s="38" t="b">
        <f t="shared" si="202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3"/>
        <v/>
      </c>
      <c r="CK348" s="41" t="str">
        <f t="shared" si="204"/>
        <v/>
      </c>
      <c r="CL348" s="39" t="str">
        <f t="shared" si="205"/>
        <v/>
      </c>
      <c r="CM348" s="39" t="str">
        <f t="shared" si="206"/>
        <v/>
      </c>
      <c r="CN348" s="42" t="str">
        <f t="shared" si="207"/>
        <v/>
      </c>
      <c r="CO348" s="42" t="str">
        <f t="shared" si="208"/>
        <v/>
      </c>
      <c r="CP348" s="42" t="str">
        <f t="shared" si="209"/>
        <v/>
      </c>
      <c r="CQ348" s="42" t="str">
        <f t="shared" si="210"/>
        <v/>
      </c>
      <c r="CR348" s="42" t="str">
        <f t="shared" si="211"/>
        <v/>
      </c>
      <c r="CS348" s="42" t="str">
        <f t="shared" si="212"/>
        <v/>
      </c>
      <c r="CT348" s="43" t="str">
        <f t="shared" si="213"/>
        <v/>
      </c>
      <c r="CU348" s="43" t="str">
        <f t="shared" si="214"/>
        <v/>
      </c>
      <c r="CV348" s="43" t="str">
        <f t="shared" si="215"/>
        <v/>
      </c>
      <c r="CW348" s="13"/>
    </row>
    <row r="349" spans="1:101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Multiplier'!$A:$A,MATCH($D349,'Level Multiplier'!$B:$B,0)),"")</f>
        <v/>
      </c>
      <c r="Q349" s="36" t="str">
        <f>IFERROR(INDEX('Level Multiplier'!$D:$D,MATCH(P349,'Level Multiplier'!$A:$A,0)),"")</f>
        <v/>
      </c>
      <c r="R349" s="37" t="str">
        <f t="shared" si="180"/>
        <v/>
      </c>
      <c r="S349" s="37" t="str">
        <f t="shared" si="181"/>
        <v/>
      </c>
      <c r="T349" s="38" t="str">
        <f t="shared" si="182"/>
        <v/>
      </c>
      <c r="U349" s="38" t="str">
        <f t="shared" si="183"/>
        <v/>
      </c>
      <c r="V349" s="38" t="b">
        <f t="shared" si="184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5"/>
        <v/>
      </c>
      <c r="AI349" s="36" t="str">
        <f>IFERROR(INDEX('Level Multiplier'!$D:$D,MATCH(AH349,'Level Multiplier'!$A:$A,0)),"")</f>
        <v/>
      </c>
      <c r="AJ349" s="37" t="str">
        <f t="shared" si="186"/>
        <v/>
      </c>
      <c r="AK349" s="37" t="str">
        <f t="shared" si="187"/>
        <v/>
      </c>
      <c r="AL349" s="38" t="str">
        <f t="shared" si="188"/>
        <v/>
      </c>
      <c r="AM349" s="38" t="str">
        <f t="shared" si="189"/>
        <v/>
      </c>
      <c r="AN349" s="38" t="b">
        <f t="shared" si="190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1"/>
        <v/>
      </c>
      <c r="BA349" s="36" t="str">
        <f>IFERROR(INDEX('Level Multiplier'!$D:$D,MATCH(AZ349,'Level Multiplier'!$A:$A,0)),"")</f>
        <v/>
      </c>
      <c r="BB349" s="37" t="str">
        <f t="shared" si="192"/>
        <v/>
      </c>
      <c r="BC349" s="37" t="str">
        <f t="shared" si="193"/>
        <v/>
      </c>
      <c r="BD349" s="38" t="str">
        <f t="shared" si="194"/>
        <v/>
      </c>
      <c r="BE349" s="38" t="str">
        <f t="shared" si="195"/>
        <v/>
      </c>
      <c r="BF349" s="38" t="b">
        <f t="shared" si="196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7"/>
        <v/>
      </c>
      <c r="BS349" s="36" t="str">
        <f>IFERROR(INDEX('Level Multiplier'!$D:$D,MATCH(BR349,'Level Multiplier'!$A:$A,0)),"")</f>
        <v/>
      </c>
      <c r="BT349" s="37" t="str">
        <f t="shared" si="198"/>
        <v/>
      </c>
      <c r="BU349" s="37" t="str">
        <f t="shared" si="199"/>
        <v/>
      </c>
      <c r="BV349" s="38" t="str">
        <f t="shared" si="200"/>
        <v/>
      </c>
      <c r="BW349" s="38" t="str">
        <f t="shared" si="201"/>
        <v/>
      </c>
      <c r="BX349" s="38" t="b">
        <f t="shared" si="202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3"/>
        <v/>
      </c>
      <c r="CK349" s="41" t="str">
        <f t="shared" si="204"/>
        <v/>
      </c>
      <c r="CL349" s="39" t="str">
        <f t="shared" si="205"/>
        <v/>
      </c>
      <c r="CM349" s="39" t="str">
        <f t="shared" si="206"/>
        <v/>
      </c>
      <c r="CN349" s="42" t="str">
        <f t="shared" si="207"/>
        <v/>
      </c>
      <c r="CO349" s="42" t="str">
        <f t="shared" si="208"/>
        <v/>
      </c>
      <c r="CP349" s="42" t="str">
        <f t="shared" si="209"/>
        <v/>
      </c>
      <c r="CQ349" s="42" t="str">
        <f t="shared" si="210"/>
        <v/>
      </c>
      <c r="CR349" s="42" t="str">
        <f t="shared" si="211"/>
        <v/>
      </c>
      <c r="CS349" s="42" t="str">
        <f t="shared" si="212"/>
        <v/>
      </c>
      <c r="CT349" s="43" t="str">
        <f t="shared" si="213"/>
        <v/>
      </c>
      <c r="CU349" s="43" t="str">
        <f t="shared" si="214"/>
        <v/>
      </c>
      <c r="CV349" s="43" t="str">
        <f t="shared" si="215"/>
        <v/>
      </c>
      <c r="CW349" s="13"/>
    </row>
    <row r="350" spans="1:101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Multiplier'!$A:$A,MATCH($D350,'Level Multiplier'!$B:$B,0)),"")</f>
        <v/>
      </c>
      <c r="Q350" s="36" t="str">
        <f>IFERROR(INDEX('Level Multiplier'!$D:$D,MATCH(P350,'Level Multiplier'!$A:$A,0)),"")</f>
        <v/>
      </c>
      <c r="R350" s="37" t="str">
        <f t="shared" si="180"/>
        <v/>
      </c>
      <c r="S350" s="37" t="str">
        <f t="shared" si="181"/>
        <v/>
      </c>
      <c r="T350" s="38" t="str">
        <f t="shared" si="182"/>
        <v/>
      </c>
      <c r="U350" s="38" t="str">
        <f t="shared" si="183"/>
        <v/>
      </c>
      <c r="V350" s="38" t="b">
        <f t="shared" si="184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5"/>
        <v/>
      </c>
      <c r="AI350" s="36" t="str">
        <f>IFERROR(INDEX('Level Multiplier'!$D:$D,MATCH(AH350,'Level Multiplier'!$A:$A,0)),"")</f>
        <v/>
      </c>
      <c r="AJ350" s="37" t="str">
        <f t="shared" si="186"/>
        <v/>
      </c>
      <c r="AK350" s="37" t="str">
        <f t="shared" si="187"/>
        <v/>
      </c>
      <c r="AL350" s="38" t="str">
        <f t="shared" si="188"/>
        <v/>
      </c>
      <c r="AM350" s="38" t="str">
        <f t="shared" si="189"/>
        <v/>
      </c>
      <c r="AN350" s="38" t="b">
        <f t="shared" si="190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1"/>
        <v/>
      </c>
      <c r="BA350" s="36" t="str">
        <f>IFERROR(INDEX('Level Multiplier'!$D:$D,MATCH(AZ350,'Level Multiplier'!$A:$A,0)),"")</f>
        <v/>
      </c>
      <c r="BB350" s="37" t="str">
        <f t="shared" si="192"/>
        <v/>
      </c>
      <c r="BC350" s="37" t="str">
        <f t="shared" si="193"/>
        <v/>
      </c>
      <c r="BD350" s="38" t="str">
        <f t="shared" si="194"/>
        <v/>
      </c>
      <c r="BE350" s="38" t="str">
        <f t="shared" si="195"/>
        <v/>
      </c>
      <c r="BF350" s="38" t="b">
        <f t="shared" si="196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7"/>
        <v/>
      </c>
      <c r="BS350" s="36" t="str">
        <f>IFERROR(INDEX('Level Multiplier'!$D:$D,MATCH(BR350,'Level Multiplier'!$A:$A,0)),"")</f>
        <v/>
      </c>
      <c r="BT350" s="37" t="str">
        <f t="shared" si="198"/>
        <v/>
      </c>
      <c r="BU350" s="37" t="str">
        <f t="shared" si="199"/>
        <v/>
      </c>
      <c r="BV350" s="38" t="str">
        <f t="shared" si="200"/>
        <v/>
      </c>
      <c r="BW350" s="38" t="str">
        <f t="shared" si="201"/>
        <v/>
      </c>
      <c r="BX350" s="38" t="b">
        <f t="shared" si="202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3"/>
        <v/>
      </c>
      <c r="CK350" s="41" t="str">
        <f t="shared" si="204"/>
        <v/>
      </c>
      <c r="CL350" s="39" t="str">
        <f t="shared" si="205"/>
        <v/>
      </c>
      <c r="CM350" s="39" t="str">
        <f t="shared" si="206"/>
        <v/>
      </c>
      <c r="CN350" s="42" t="str">
        <f t="shared" si="207"/>
        <v/>
      </c>
      <c r="CO350" s="42" t="str">
        <f t="shared" si="208"/>
        <v/>
      </c>
      <c r="CP350" s="42" t="str">
        <f t="shared" si="209"/>
        <v/>
      </c>
      <c r="CQ350" s="42" t="str">
        <f t="shared" si="210"/>
        <v/>
      </c>
      <c r="CR350" s="42" t="str">
        <f t="shared" si="211"/>
        <v/>
      </c>
      <c r="CS350" s="42" t="str">
        <f t="shared" si="212"/>
        <v/>
      </c>
      <c r="CT350" s="43" t="str">
        <f t="shared" si="213"/>
        <v/>
      </c>
      <c r="CU350" s="43" t="str">
        <f t="shared" si="214"/>
        <v/>
      </c>
      <c r="CV350" s="43" t="str">
        <f t="shared" si="215"/>
        <v/>
      </c>
      <c r="CW350" s="13"/>
    </row>
    <row r="351" spans="1:101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Multiplier'!$A:$A,MATCH($D351,'Level Multiplier'!$B:$B,0)),"")</f>
        <v/>
      </c>
      <c r="Q351" s="36" t="str">
        <f>IFERROR(INDEX('Level Multiplier'!$D:$D,MATCH(P351,'Level Multiplier'!$A:$A,0)),"")</f>
        <v/>
      </c>
      <c r="R351" s="37" t="str">
        <f t="shared" si="180"/>
        <v/>
      </c>
      <c r="S351" s="37" t="str">
        <f t="shared" si="181"/>
        <v/>
      </c>
      <c r="T351" s="38" t="str">
        <f t="shared" si="182"/>
        <v/>
      </c>
      <c r="U351" s="38" t="str">
        <f t="shared" si="183"/>
        <v/>
      </c>
      <c r="V351" s="38" t="b">
        <f t="shared" si="184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5"/>
        <v/>
      </c>
      <c r="AI351" s="36" t="str">
        <f>IFERROR(INDEX('Level Multiplier'!$D:$D,MATCH(AH351,'Level Multiplier'!$A:$A,0)),"")</f>
        <v/>
      </c>
      <c r="AJ351" s="37" t="str">
        <f t="shared" si="186"/>
        <v/>
      </c>
      <c r="AK351" s="37" t="str">
        <f t="shared" si="187"/>
        <v/>
      </c>
      <c r="AL351" s="38" t="str">
        <f t="shared" si="188"/>
        <v/>
      </c>
      <c r="AM351" s="38" t="str">
        <f t="shared" si="189"/>
        <v/>
      </c>
      <c r="AN351" s="38" t="b">
        <f t="shared" si="190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1"/>
        <v/>
      </c>
      <c r="BA351" s="36" t="str">
        <f>IFERROR(INDEX('Level Multiplier'!$D:$D,MATCH(AZ351,'Level Multiplier'!$A:$A,0)),"")</f>
        <v/>
      </c>
      <c r="BB351" s="37" t="str">
        <f t="shared" si="192"/>
        <v/>
      </c>
      <c r="BC351" s="37" t="str">
        <f t="shared" si="193"/>
        <v/>
      </c>
      <c r="BD351" s="38" t="str">
        <f t="shared" si="194"/>
        <v/>
      </c>
      <c r="BE351" s="38" t="str">
        <f t="shared" si="195"/>
        <v/>
      </c>
      <c r="BF351" s="38" t="b">
        <f t="shared" si="196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7"/>
        <v/>
      </c>
      <c r="BS351" s="36" t="str">
        <f>IFERROR(INDEX('Level Multiplier'!$D:$D,MATCH(BR351,'Level Multiplier'!$A:$A,0)),"")</f>
        <v/>
      </c>
      <c r="BT351" s="37" t="str">
        <f t="shared" si="198"/>
        <v/>
      </c>
      <c r="BU351" s="37" t="str">
        <f t="shared" si="199"/>
        <v/>
      </c>
      <c r="BV351" s="38" t="str">
        <f t="shared" si="200"/>
        <v/>
      </c>
      <c r="BW351" s="38" t="str">
        <f t="shared" si="201"/>
        <v/>
      </c>
      <c r="BX351" s="38" t="b">
        <f t="shared" si="202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3"/>
        <v/>
      </c>
      <c r="CK351" s="41" t="str">
        <f t="shared" si="204"/>
        <v/>
      </c>
      <c r="CL351" s="39" t="str">
        <f t="shared" si="205"/>
        <v/>
      </c>
      <c r="CM351" s="39" t="str">
        <f t="shared" si="206"/>
        <v/>
      </c>
      <c r="CN351" s="42" t="str">
        <f t="shared" si="207"/>
        <v/>
      </c>
      <c r="CO351" s="42" t="str">
        <f t="shared" si="208"/>
        <v/>
      </c>
      <c r="CP351" s="42" t="str">
        <f t="shared" si="209"/>
        <v/>
      </c>
      <c r="CQ351" s="42" t="str">
        <f t="shared" si="210"/>
        <v/>
      </c>
      <c r="CR351" s="42" t="str">
        <f t="shared" si="211"/>
        <v/>
      </c>
      <c r="CS351" s="42" t="str">
        <f t="shared" si="212"/>
        <v/>
      </c>
      <c r="CT351" s="43" t="str">
        <f t="shared" si="213"/>
        <v/>
      </c>
      <c r="CU351" s="43" t="str">
        <f t="shared" si="214"/>
        <v/>
      </c>
      <c r="CV351" s="43" t="str">
        <f t="shared" si="215"/>
        <v/>
      </c>
      <c r="CW351" s="13"/>
    </row>
    <row r="352" spans="1:101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Multiplier'!$A:$A,MATCH($D352,'Level Multiplier'!$B:$B,0)),"")</f>
        <v/>
      </c>
      <c r="Q352" s="36" t="str">
        <f>IFERROR(INDEX('Level Multiplier'!$D:$D,MATCH(P352,'Level Multiplier'!$A:$A,0)),"")</f>
        <v/>
      </c>
      <c r="R352" s="37" t="str">
        <f t="shared" si="180"/>
        <v/>
      </c>
      <c r="S352" s="37" t="str">
        <f t="shared" si="181"/>
        <v/>
      </c>
      <c r="T352" s="38" t="str">
        <f t="shared" si="182"/>
        <v/>
      </c>
      <c r="U352" s="38" t="str">
        <f t="shared" si="183"/>
        <v/>
      </c>
      <c r="V352" s="38" t="b">
        <f t="shared" si="184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5"/>
        <v/>
      </c>
      <c r="AI352" s="36" t="str">
        <f>IFERROR(INDEX('Level Multiplier'!$D:$D,MATCH(AH352,'Level Multiplier'!$A:$A,0)),"")</f>
        <v/>
      </c>
      <c r="AJ352" s="37" t="str">
        <f t="shared" si="186"/>
        <v/>
      </c>
      <c r="AK352" s="37" t="str">
        <f t="shared" si="187"/>
        <v/>
      </c>
      <c r="AL352" s="38" t="str">
        <f t="shared" si="188"/>
        <v/>
      </c>
      <c r="AM352" s="38" t="str">
        <f t="shared" si="189"/>
        <v/>
      </c>
      <c r="AN352" s="38" t="b">
        <f t="shared" si="190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1"/>
        <v/>
      </c>
      <c r="BA352" s="36" t="str">
        <f>IFERROR(INDEX('Level Multiplier'!$D:$D,MATCH(AZ352,'Level Multiplier'!$A:$A,0)),"")</f>
        <v/>
      </c>
      <c r="BB352" s="37" t="str">
        <f t="shared" si="192"/>
        <v/>
      </c>
      <c r="BC352" s="37" t="str">
        <f t="shared" si="193"/>
        <v/>
      </c>
      <c r="BD352" s="38" t="str">
        <f t="shared" si="194"/>
        <v/>
      </c>
      <c r="BE352" s="38" t="str">
        <f t="shared" si="195"/>
        <v/>
      </c>
      <c r="BF352" s="38" t="b">
        <f t="shared" si="196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7"/>
        <v/>
      </c>
      <c r="BS352" s="36" t="str">
        <f>IFERROR(INDEX('Level Multiplier'!$D:$D,MATCH(BR352,'Level Multiplier'!$A:$A,0)),"")</f>
        <v/>
      </c>
      <c r="BT352" s="37" t="str">
        <f t="shared" si="198"/>
        <v/>
      </c>
      <c r="BU352" s="37" t="str">
        <f t="shared" si="199"/>
        <v/>
      </c>
      <c r="BV352" s="38" t="str">
        <f t="shared" si="200"/>
        <v/>
      </c>
      <c r="BW352" s="38" t="str">
        <f t="shared" si="201"/>
        <v/>
      </c>
      <c r="BX352" s="38" t="b">
        <f t="shared" si="202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3"/>
        <v/>
      </c>
      <c r="CK352" s="41" t="str">
        <f t="shared" si="204"/>
        <v/>
      </c>
      <c r="CL352" s="39" t="str">
        <f t="shared" si="205"/>
        <v/>
      </c>
      <c r="CM352" s="39" t="str">
        <f t="shared" si="206"/>
        <v/>
      </c>
      <c r="CN352" s="42" t="str">
        <f t="shared" si="207"/>
        <v/>
      </c>
      <c r="CO352" s="42" t="str">
        <f t="shared" si="208"/>
        <v/>
      </c>
      <c r="CP352" s="42" t="str">
        <f t="shared" si="209"/>
        <v/>
      </c>
      <c r="CQ352" s="42" t="str">
        <f t="shared" si="210"/>
        <v/>
      </c>
      <c r="CR352" s="42" t="str">
        <f t="shared" si="211"/>
        <v/>
      </c>
      <c r="CS352" s="42" t="str">
        <f t="shared" si="212"/>
        <v/>
      </c>
      <c r="CT352" s="43" t="str">
        <f t="shared" si="213"/>
        <v/>
      </c>
      <c r="CU352" s="43" t="str">
        <f t="shared" si="214"/>
        <v/>
      </c>
      <c r="CV352" s="43" t="str">
        <f t="shared" si="215"/>
        <v/>
      </c>
      <c r="CW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W352"/>
  <conditionalFormatting sqref="E1:I1048576">
    <cfRule type="expression" dxfId="8" priority="4">
      <formula>OR($E1="",$F1&amp;$G1&amp;$H1="",$I1="")</formula>
    </cfRule>
  </conditionalFormatting>
  <conditionalFormatting sqref="CJ1:CJ1048576 CL1:CL1048576">
    <cfRule type="expression" dxfId="7" priority="3">
      <formula>CJ1=CK1</formula>
    </cfRule>
  </conditionalFormatting>
  <conditionalFormatting sqref="A1:CW1048576">
    <cfRule type="expression" dxfId="6" priority="2">
      <formula>$A1&lt;&gt;$A2</formula>
    </cfRule>
  </conditionalFormatting>
  <conditionalFormatting sqref="CT1">
    <cfRule type="expression" dxfId="5" priority="1">
      <formula>CT1=CU1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419</v>
      </c>
      <c r="K1" s="1" t="s">
        <v>420</v>
      </c>
      <c r="L1" s="1" t="s">
        <v>421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Pokemon'!$CW:$CW,"Evolve")</f>
        <v>0</v>
      </c>
      <c r="G2" s="53">
        <f>IF(D2=0,0,MIN(C2,MaxEvolves(D2,E2)))</f>
        <v>0</v>
      </c>
      <c r="H2" s="56">
        <f>IFERROR((D2-I2)/D2,"")</f>
        <v>0.2</v>
      </c>
      <c r="I2">
        <f>IFERROR(MAX(D2-(SUM(E2,G2)-G2*D2),0),"")</f>
        <v>20</v>
      </c>
      <c r="J2">
        <f>IFERROR(C2-G2,"")</f>
        <v>3</v>
      </c>
      <c r="K2" t="s">
        <v>422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Pokemon'!$CW:$CW,"Evolve")</f>
        <v>0</v>
      </c>
      <c r="G3" s="53">
        <f t="shared" ref="G3:G66" si="0">IF(D3=0,0,MIN(C3,MaxEvolves(D3,E3)))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>
        <f t="shared" ref="J3:J66" si="3">IFERROR(C3-G3,"")</f>
        <v>0</v>
      </c>
      <c r="K3" t="s">
        <v>422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Pokemon'!$CW:$CW,"Evolve")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>
        <f t="shared" si="3"/>
        <v>2</v>
      </c>
      <c r="L4" t="s">
        <v>423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Pokemon'!$CW:$CW,"Evolve")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>
        <f t="shared" si="3"/>
        <v>1</v>
      </c>
      <c r="L5" t="s">
        <v>424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Pokemon'!$CW:$CW,"Evolve")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>
        <f t="shared" si="3"/>
        <v>0</v>
      </c>
      <c r="L6" t="s">
        <v>425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40</v>
      </c>
      <c r="F7">
        <f>COUNTIFS('My Pokemon'!$A:$A,$B7,'My Pokemon'!$CW:$CW,"Evolve")</f>
        <v>3</v>
      </c>
      <c r="G7" s="53">
        <f t="shared" si="0"/>
        <v>3</v>
      </c>
      <c r="H7" s="56">
        <f t="shared" si="1"/>
        <v>0.58333333333333337</v>
      </c>
      <c r="I7">
        <f t="shared" si="2"/>
        <v>5</v>
      </c>
      <c r="J7">
        <f t="shared" si="3"/>
        <v>7</v>
      </c>
      <c r="L7" t="s">
        <v>426</v>
      </c>
    </row>
    <row r="8" spans="1:12" x14ac:dyDescent="0.25">
      <c r="A8" s="53">
        <v>7</v>
      </c>
      <c r="B8" t="s">
        <v>44</v>
      </c>
      <c r="C8">
        <f>COUNTIFS('My Pokemon'!$A:$A,$B8)</f>
        <v>13</v>
      </c>
      <c r="D8">
        <f>INDEX('Pokemon Data'!$N:$N,MATCH($B8,'Pokemon Data'!$B:$B,0))</f>
        <v>25</v>
      </c>
      <c r="E8" s="54">
        <v>313</v>
      </c>
      <c r="F8">
        <f>COUNTIFS('My Pokemon'!$A:$A,$B8,'My Pokemon'!$CW:$CW,"Evolve")</f>
        <v>13</v>
      </c>
      <c r="G8" s="53">
        <f t="shared" si="0"/>
        <v>13</v>
      </c>
      <c r="H8" s="56">
        <f t="shared" si="1"/>
        <v>0.04</v>
      </c>
      <c r="I8">
        <f t="shared" si="2"/>
        <v>24</v>
      </c>
      <c r="J8">
        <f t="shared" si="3"/>
        <v>0</v>
      </c>
      <c r="L8" t="s">
        <v>427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359</v>
      </c>
      <c r="F9">
        <f>COUNTIFS('My Pokemon'!$A:$A,$B9,'My Pokemon'!$CW:$CW,"Evolve")</f>
        <v>7</v>
      </c>
      <c r="G9" s="53">
        <f t="shared" si="0"/>
        <v>7</v>
      </c>
      <c r="H9" s="56">
        <f t="shared" si="1"/>
        <v>0.32</v>
      </c>
      <c r="I9">
        <f t="shared" si="2"/>
        <v>34</v>
      </c>
      <c r="J9">
        <f t="shared" si="3"/>
        <v>1</v>
      </c>
      <c r="L9" t="s">
        <v>428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Pokemon'!$CW:$CW,"Evolve")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>
        <f t="shared" si="3"/>
        <v>0</v>
      </c>
      <c r="L10" t="s">
        <v>429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Pokemon'!$CW:$CW,"Evolve")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>
        <f t="shared" si="3"/>
        <v>2</v>
      </c>
      <c r="L11" t="s">
        <v>430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Pokemon'!$CW:$CW,"Evolve")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>
        <f t="shared" si="3"/>
        <v>0</v>
      </c>
      <c r="L12" t="s">
        <v>431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Pokemon'!$CW:$CW,"Evolve")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>
        <f t="shared" si="3"/>
        <v>0</v>
      </c>
      <c r="K13" t="s">
        <v>422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Pokemon'!$CW:$CW,"Evolve")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>
        <f t="shared" si="3"/>
        <v>0</v>
      </c>
      <c r="K14" t="s">
        <v>422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Pokemon'!$CW:$CW,"Evolve")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Pokemon'!$CW:$CW,"Evolve")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26</v>
      </c>
      <c r="F17">
        <f>COUNTIFS('My Pokemon'!$A:$A,$B17,'My Pokemon'!$CW:$CW,"Evolve")</f>
        <v>0</v>
      </c>
      <c r="G17" s="53">
        <f t="shared" si="0"/>
        <v>0</v>
      </c>
      <c r="H17" s="56">
        <f t="shared" si="1"/>
        <v>0.52</v>
      </c>
      <c r="I17">
        <f t="shared" si="2"/>
        <v>24</v>
      </c>
      <c r="J17">
        <f t="shared" si="3"/>
        <v>1</v>
      </c>
      <c r="L17" t="s">
        <v>432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Pokemon'!$CW:$CW,"Evolve")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>
        <f t="shared" si="3"/>
        <v>0</v>
      </c>
      <c r="K18" t="s">
        <v>433</v>
      </c>
      <c r="L18" t="s">
        <v>434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Pokemon'!$CW:$CW,"Evolve")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>
        <f t="shared" si="3"/>
        <v>0</v>
      </c>
      <c r="K19" t="s">
        <v>422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Pokemon'!$CW:$CW,"Evolve")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>
        <f t="shared" si="3"/>
        <v>0</v>
      </c>
      <c r="L20" t="s">
        <v>435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Pokemon'!$CW:$CW,"Evolve")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>
        <f t="shared" si="3"/>
        <v>1</v>
      </c>
      <c r="L21" t="s">
        <v>436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Pokemon'!$CW:$CW,"Evolve")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>
        <f t="shared" si="3"/>
        <v>1</v>
      </c>
      <c r="L22" t="s">
        <v>437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Pokemon'!$CW:$CW,"Evolve")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>
        <f t="shared" si="3"/>
        <v>0</v>
      </c>
      <c r="L23" t="s">
        <v>438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Pokemon'!$CW:$CW,"Evolve")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>
        <f t="shared" si="3"/>
        <v>1</v>
      </c>
      <c r="L24" t="s">
        <v>439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Pokemon'!$CW:$CW,"Evolve")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>
        <f t="shared" si="3"/>
        <v>0</v>
      </c>
      <c r="L25" t="s">
        <v>440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Pokemon'!$CW:$CW,"Evolve")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>
        <f t="shared" si="3"/>
        <v>1</v>
      </c>
      <c r="L26" t="s">
        <v>441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Pokemon'!$CW:$CW,"Evolve")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>
        <f t="shared" si="3"/>
        <v>0</v>
      </c>
      <c r="K27" t="s">
        <v>422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Pokemon'!$CW:$CW,"Evolve")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>
        <f t="shared" si="3"/>
        <v>1</v>
      </c>
      <c r="K28" t="s">
        <v>422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Pokemon'!$CW:$CW,"Evolve")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>
        <f t="shared" si="3"/>
        <v>2</v>
      </c>
      <c r="K29" t="s">
        <v>422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Pokemon'!$CW:$CW,"Evolve")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>
        <f t="shared" si="3"/>
        <v>2</v>
      </c>
      <c r="K30" t="s">
        <v>422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Pokemon'!$CW:$CW,"Evolve")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>
        <f t="shared" si="3"/>
        <v>0</v>
      </c>
      <c r="L31" t="s">
        <v>442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Pokemon'!$CW:$CW,"Evolve")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>
        <f t="shared" si="3"/>
        <v>3</v>
      </c>
      <c r="K32" t="s">
        <v>422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Pokemon'!$CW:$CW,"Evolve")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Pokemon'!$CW:$CW,"Evolve")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>
        <f t="shared" si="3"/>
        <v>0</v>
      </c>
      <c r="K34" t="s">
        <v>443</v>
      </c>
      <c r="L34" t="s">
        <v>444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39</v>
      </c>
      <c r="F35">
        <f>COUNTIFS('My Pokemon'!$A:$A,$B35,'My Pokemon'!$CW:$CW,"Evolve")</f>
        <v>0</v>
      </c>
      <c r="G35" s="53">
        <f t="shared" si="0"/>
        <v>0</v>
      </c>
      <c r="H35" s="56">
        <f t="shared" si="1"/>
        <v>0.78</v>
      </c>
      <c r="I35">
        <f t="shared" si="2"/>
        <v>11</v>
      </c>
      <c r="J35">
        <f t="shared" si="3"/>
        <v>0</v>
      </c>
      <c r="L35" t="s">
        <v>445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Pokemon'!$CW:$CW,"Evolve")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Pokemon'!$CW:$CW,"Evolve")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Pokemon'!$CW:$CW,"Evolve")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Pokemon'!$CW:$CW,"Evolve")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>
        <f t="shared" si="3"/>
        <v>1</v>
      </c>
      <c r="L39" t="s">
        <v>446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Pokemon'!$CW:$CW,"Evolve")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>
        <f t="shared" si="3"/>
        <v>1</v>
      </c>
      <c r="L40" t="s">
        <v>447</v>
      </c>
    </row>
    <row r="41" spans="1:12" x14ac:dyDescent="0.25">
      <c r="A41" s="53">
        <v>40</v>
      </c>
      <c r="B41" t="s">
        <v>129</v>
      </c>
      <c r="C41">
        <f>COUNTIFS('My Pokemon'!$A:$A,$B41)</f>
        <v>1</v>
      </c>
      <c r="D41">
        <f>INDEX('Pokemon Data'!$N:$N,MATCH($B41,'Pokemon Data'!$B:$B,0))</f>
        <v>25</v>
      </c>
      <c r="E41" s="54">
        <v>49</v>
      </c>
      <c r="F41">
        <f>COUNTIFS('My Pokemon'!$A:$A,$B41,'My Pokemon'!$CW:$CW,"Evolve")</f>
        <v>1</v>
      </c>
      <c r="G41" s="53">
        <f t="shared" si="0"/>
        <v>1</v>
      </c>
      <c r="H41" s="56">
        <f t="shared" si="1"/>
        <v>1</v>
      </c>
      <c r="I41">
        <f t="shared" si="2"/>
        <v>0</v>
      </c>
      <c r="J41">
        <f t="shared" si="3"/>
        <v>0</v>
      </c>
      <c r="L41" t="s">
        <v>448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Pokemon'!$CW:$CW,"Evolve")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38</v>
      </c>
      <c r="F43">
        <f>COUNTIFS('My Pokemon'!$A:$A,$B43,'My Pokemon'!$CW:$CW,"Evolve")</f>
        <v>0</v>
      </c>
      <c r="G43" s="53">
        <f t="shared" si="0"/>
        <v>0</v>
      </c>
      <c r="H43" s="56">
        <f t="shared" si="1"/>
        <v>0.76</v>
      </c>
      <c r="I43">
        <f t="shared" si="2"/>
        <v>12</v>
      </c>
      <c r="J43">
        <f t="shared" si="3"/>
        <v>1</v>
      </c>
      <c r="L43" t="s">
        <v>449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40</v>
      </c>
      <c r="F44">
        <f>COUNTIFS('My Pokemon'!$A:$A,$B44,'My Pokemon'!$CW:$CW,"Evolve")</f>
        <v>0</v>
      </c>
      <c r="G44" s="53">
        <f t="shared" si="0"/>
        <v>0</v>
      </c>
      <c r="H44" s="56">
        <f t="shared" si="1"/>
        <v>0.8</v>
      </c>
      <c r="I44">
        <f t="shared" si="2"/>
        <v>10</v>
      </c>
      <c r="J44">
        <f t="shared" si="3"/>
        <v>1</v>
      </c>
      <c r="L44" t="s">
        <v>450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Pokemon'!$CW:$CW,"Evolve")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>
        <f t="shared" si="3"/>
        <v>1</v>
      </c>
      <c r="L45" t="s">
        <v>451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Pokemon'!$CW:$CW,"Evolve")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Pokemon'!$CW:$CW,"Evolve")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>
        <f t="shared" si="3"/>
        <v>2</v>
      </c>
      <c r="L47" t="s">
        <v>452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Pokemon'!$CW:$CW,"Evolve")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>
        <f t="shared" si="3"/>
        <v>1</v>
      </c>
      <c r="L48" t="s">
        <v>453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Pokemon'!$CW:$CW,"Evolve")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Pokemon'!$CW:$CW,"Evolve")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>
        <f t="shared" si="3"/>
        <v>1</v>
      </c>
      <c r="L50" t="s">
        <v>454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Pokemon'!$CW:$CW,"Evolve")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>
        <f t="shared" si="3"/>
        <v>2</v>
      </c>
      <c r="L51" t="s">
        <v>455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Pokemon'!$CW:$CW,"Evolve")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>
        <f t="shared" si="3"/>
        <v>2</v>
      </c>
      <c r="L52" t="s">
        <v>456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Pokemon'!$CW:$CW,"Evolve")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Pokemon'!$CW:$CW,"Evolve")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>
        <f t="shared" si="3"/>
        <v>1</v>
      </c>
      <c r="L54" t="s">
        <v>457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Pokemon'!$CW:$CW,"Evolve")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Pokemon'!$CW:$CW,"Evolve")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Pokemon'!$CW:$CW,"Evolve")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>
        <f t="shared" si="3"/>
        <v>1</v>
      </c>
      <c r="L57" t="s">
        <v>458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Pokemon'!$CW:$CW,"Evolve")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>
        <f t="shared" si="3"/>
        <v>0</v>
      </c>
      <c r="L58" t="s">
        <v>459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Pokemon'!$CW:$CW,"Evolve")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Pokemon'!$CW:$CW,"Evolve")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>
        <f t="shared" si="3"/>
        <v>2</v>
      </c>
      <c r="L60" t="s">
        <v>460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Pokemon'!$CW:$CW,"Evolve")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>
        <f t="shared" si="3"/>
        <v>0</v>
      </c>
      <c r="L61" t="s">
        <v>461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Pokemon'!$CW:$CW,"Evolve")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>
        <f t="shared" si="3"/>
        <v>0</v>
      </c>
      <c r="L62" t="s">
        <v>462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Pokemon'!$CW:$CW,"Evolve")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>
        <f t="shared" si="3"/>
        <v>0</v>
      </c>
      <c r="L63" t="s">
        <v>463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Pokemon'!$CW:$CW,"Evolve")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>
        <f t="shared" si="3"/>
        <v>3</v>
      </c>
      <c r="L64" t="s">
        <v>464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Pokemon'!$CW:$CW,"Evolve")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>
        <f t="shared" si="3"/>
        <v>2</v>
      </c>
      <c r="L65" t="s">
        <v>465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244</v>
      </c>
      <c r="F66">
        <f>COUNTIFS('My Pokemon'!$A:$A,$B66,'My Pokemon'!$CW:$CW,"Evolve")</f>
        <v>0</v>
      </c>
      <c r="G66" s="53">
        <f t="shared" si="0"/>
        <v>0</v>
      </c>
      <c r="H66" s="56">
        <f t="shared" si="1"/>
        <v>0.61</v>
      </c>
      <c r="I66">
        <f t="shared" si="2"/>
        <v>156</v>
      </c>
      <c r="J66">
        <f t="shared" si="3"/>
        <v>1</v>
      </c>
      <c r="L66" t="s">
        <v>466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Pokemon'!$CW:$CW,"Evolve")</f>
        <v>0</v>
      </c>
      <c r="G67" s="53">
        <f t="shared" ref="G67:G80" si="4">IF(D67=0,0,MIN(C67,MaxEvolves(D67,E67)))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Pokemon'!$CW:$CW,"Evolve")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>
        <f t="shared" si="7"/>
        <v>1</v>
      </c>
      <c r="L68" t="s">
        <v>467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Pokemon'!$CW:$CW,"Evolve")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>
        <f t="shared" si="7"/>
        <v>3</v>
      </c>
      <c r="L69" t="s">
        <v>472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Pokemon'!$CW:$CW,"Evolve")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>
        <f t="shared" si="7"/>
        <v>1</v>
      </c>
      <c r="L70" t="s">
        <v>468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Pokemon'!$CW:$CW,"Evolve")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Pokemon'!$CW:$CW,"Evolve")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Pokemon'!$CW:$CW,"Evolve")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Pokemon'!$CW:$CW,"Evolve")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Pokemon'!$CW:$CW,"Evolve")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Pokemon'!$CW:$CW,"Evolve")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Pokemon'!$CW:$CW,"Evolve")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Pokemon'!$CW:$CW,"Evolve")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Pokemon'!$CW:$CW,"Evolve")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Pokemon'!$CW:$CW,"Evolve")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>
        <f t="shared" si="7"/>
        <v>0</v>
      </c>
    </row>
  </sheetData>
  <dataConsolidate link="1"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AM254"/>
  <sheetViews>
    <sheetView tabSelected="1"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Multiplier'!$C:$C,MATCH(J2,'Level Multiplier'!$A:$A,0))</f>
        <v>9.4E-2</v>
      </c>
      <c r="K1" s="3">
        <f>INDEX('Level Multiplier'!$C:$C,MATCH(K2,'Level Multiplier'!$A:$A,0))</f>
        <v>0.16639787</v>
      </c>
      <c r="L1" s="3">
        <f>INDEX('Level Multiplier'!$C:$C,MATCH(L2,'Level Multiplier'!$A:$A,0))</f>
        <v>0.21573247000000001</v>
      </c>
      <c r="M1" s="3">
        <f>INDEX('Level Multiplier'!$C:$C,MATCH(M2,'Level Multiplier'!$A:$A,0))</f>
        <v>0.25572004999999998</v>
      </c>
      <c r="N1" s="3">
        <f>INDEX('Level Multiplier'!$C:$C,MATCH(N2,'Level Multiplier'!$A:$A,0))</f>
        <v>0.29024988000000002</v>
      </c>
      <c r="O1" s="3">
        <f>INDEX('Level Multiplier'!$C:$C,MATCH(O2,'Level Multiplier'!$A:$A,0))</f>
        <v>0.32108759999999997</v>
      </c>
      <c r="P1" s="3">
        <f>INDEX('Level Multiplier'!$C:$C,MATCH(P2,'Level Multiplier'!$A:$A,0))</f>
        <v>0.34921268</v>
      </c>
      <c r="Q1" s="3">
        <f>INDEX('Level Multiplier'!$C:$C,MATCH(Q2,'Level Multiplier'!$A:$A,0))</f>
        <v>0.37523559000000001</v>
      </c>
      <c r="R1" s="3">
        <f>INDEX('Level Multiplier'!$C:$C,MATCH(R2,'Level Multiplier'!$A:$A,0))</f>
        <v>0.39956728000000002</v>
      </c>
      <c r="S1" s="3">
        <f>INDEX('Level Multiplier'!$C:$C,MATCH(S2,'Level Multiplier'!$A:$A,0))</f>
        <v>0.42250000999999998</v>
      </c>
      <c r="T1" s="3">
        <f>INDEX('Level Multiplier'!$C:$C,MATCH(T2,'Level Multiplier'!$A:$A,0))</f>
        <v>0.44310755000000002</v>
      </c>
      <c r="U1" s="3">
        <f>INDEX('Level Multiplier'!$C:$C,MATCH(U2,'Level Multiplier'!$A:$A,0))</f>
        <v>0.46279839</v>
      </c>
      <c r="V1" s="3">
        <f>INDEX('Level Multiplier'!$C:$C,MATCH(V2,'Level Multiplier'!$A:$A,0))</f>
        <v>0.48168495</v>
      </c>
      <c r="W1" s="3">
        <f>INDEX('Level Multiplier'!$C:$C,MATCH(W2,'Level Multiplier'!$A:$A,0))</f>
        <v>0.49985844000000001</v>
      </c>
      <c r="X1" s="3">
        <f>INDEX('Level Multiplier'!$C:$C,MATCH(X2,'Level Multiplier'!$A:$A,0))</f>
        <v>0.51739394999999999</v>
      </c>
      <c r="Y1" s="3">
        <f>INDEX('Level Multiplier'!$C:$C,MATCH(Y2,'Level Multiplier'!$A:$A,0))</f>
        <v>0.53435432999999999</v>
      </c>
      <c r="Z1" s="3">
        <f>INDEX('Level Multiplier'!$C:$C,MATCH(Z2,'Level Multiplier'!$A:$A,0))</f>
        <v>0.55079268999999997</v>
      </c>
      <c r="AA1" s="3">
        <f>INDEX('Level Multiplier'!$C:$C,MATCH(AA2,'Level Multiplier'!$A:$A,0))</f>
        <v>0.56675452000000004</v>
      </c>
      <c r="AB1" s="3">
        <f>INDEX('Level Multiplier'!$C:$C,MATCH(AB2,'Level Multiplier'!$A:$A,0))</f>
        <v>0.58227890999999998</v>
      </c>
      <c r="AC1" s="3">
        <f>INDEX('Level Multiplier'!$C:$C,MATCH(AC2,'Level Multiplier'!$A:$A,0))</f>
        <v>0.59740000999999998</v>
      </c>
      <c r="AD1" s="3">
        <f>INDEX('Level Multiplier'!$C:$C,MATCH(AD2,'Level Multiplier'!$A:$A,0))</f>
        <v>0.61215728999999997</v>
      </c>
      <c r="AE1" s="3">
        <f>INDEX('Level Multiplier'!$C:$C,MATCH(AE2,'Level Multiplier'!$A:$A,0))</f>
        <v>0.62656712999999997</v>
      </c>
      <c r="AF1" s="3">
        <f>INDEX('Level Multiplier'!$C:$C,MATCH(AF2,'Level Multiplier'!$A:$A,0))</f>
        <v>0.64065295</v>
      </c>
      <c r="AG1" s="3">
        <f>INDEX('Level Multiplier'!$C:$C,MATCH(AG2,'Level Multiplier'!$A:$A,0))</f>
        <v>0.65443563000000005</v>
      </c>
      <c r="AH1" s="3">
        <f>INDEX('Level Multiplier'!$C:$C,MATCH(AH2,'Level Multiplier'!$A:$A,0))</f>
        <v>0.66793400000000003</v>
      </c>
      <c r="AI1" s="3">
        <f>INDEX('Level Multiplier'!$C:$C,MATCH(AI2,'Level Multiplier'!$A:$A,0))</f>
        <v>0.68116491999999995</v>
      </c>
      <c r="AJ1" s="3">
        <f>INDEX('Level Multiplier'!$C:$C,MATCH(AJ2,'Level Multiplier'!$A:$A,0))</f>
        <v>0.69414365</v>
      </c>
      <c r="AK1" s="3">
        <f>INDEX('Level Multiplier'!$C:$C,MATCH(AK2,'Level Multiplier'!$A:$A,0))</f>
        <v>0.70688421000000001</v>
      </c>
      <c r="AL1" s="3">
        <f>INDEX('Level Multiplier'!$C:$C,MATCH(AL2,'Level Multiplier'!$A:$A,0))</f>
        <v>0.71939909000000002</v>
      </c>
      <c r="AM1" s="3">
        <f>INDEX('Level Multiplier'!$C:$C,MATCH(AM2,'Level Multiplier'!$A:$A,0))</f>
        <v>0.73170000000000002</v>
      </c>
    </row>
    <row r="2" spans="1:39" x14ac:dyDescent="0.25">
      <c r="A2" s="1" t="s">
        <v>473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474</v>
      </c>
      <c r="H2" s="62" t="s">
        <v>475</v>
      </c>
      <c r="I2" s="62" t="s">
        <v>476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 t="shared" ref="J3:Y18" si="1">MAX(10,INT(SQRT($G3*$I3)*$H3*J$1^2/10))</f>
        <v>13</v>
      </c>
      <c r="K3" s="48">
        <f t="shared" si="1"/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470</v>
      </c>
      <c r="H1" s="1" t="s">
        <v>469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471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9.4E-2</v>
      </c>
      <c r="D2" s="3">
        <f>1/C2</f>
        <v>10.638297872340425</v>
      </c>
      <c r="F2">
        <v>2</v>
      </c>
    </row>
    <row r="3" spans="1:6" x14ac:dyDescent="0.25">
      <c r="A3">
        <v>1.5</v>
      </c>
      <c r="B3">
        <v>2</v>
      </c>
      <c r="C3" s="2">
        <v>0.135137432</v>
      </c>
      <c r="D3" s="3">
        <f t="shared" ref="D3:D66" si="0">1/C3</f>
        <v>7.3998742258177588</v>
      </c>
      <c r="F3">
        <v>4</v>
      </c>
    </row>
    <row r="4" spans="1:6" x14ac:dyDescent="0.25">
      <c r="A4">
        <v>2</v>
      </c>
      <c r="B4">
        <v>2</v>
      </c>
      <c r="C4" s="2">
        <v>0.16639787</v>
      </c>
      <c r="D4" s="3">
        <f t="shared" si="0"/>
        <v>6.0096923115662477</v>
      </c>
      <c r="F4">
        <v>6</v>
      </c>
    </row>
    <row r="5" spans="1:6" x14ac:dyDescent="0.25">
      <c r="A5">
        <v>2.5</v>
      </c>
      <c r="B5">
        <v>2</v>
      </c>
      <c r="C5" s="2">
        <v>0.192650919</v>
      </c>
      <c r="D5" s="3">
        <f t="shared" si="0"/>
        <v>5.1907356849930206</v>
      </c>
      <c r="F5">
        <v>8</v>
      </c>
    </row>
    <row r="6" spans="1:6" x14ac:dyDescent="0.25">
      <c r="A6">
        <v>3</v>
      </c>
      <c r="B6">
        <v>4</v>
      </c>
      <c r="C6" s="2">
        <v>0.21573247000000001</v>
      </c>
      <c r="D6" s="3">
        <f t="shared" si="0"/>
        <v>4.6353708368517728</v>
      </c>
      <c r="F6">
        <v>10</v>
      </c>
    </row>
    <row r="7" spans="1:6" x14ac:dyDescent="0.25">
      <c r="A7">
        <v>3.5</v>
      </c>
      <c r="B7">
        <v>4</v>
      </c>
      <c r="C7" s="2">
        <v>0.23657266099999999</v>
      </c>
      <c r="D7" s="3">
        <f t="shared" si="0"/>
        <v>4.2270311192044296</v>
      </c>
      <c r="F7">
        <v>13</v>
      </c>
    </row>
    <row r="8" spans="1:6" x14ac:dyDescent="0.25">
      <c r="A8">
        <v>4</v>
      </c>
      <c r="B8">
        <v>4</v>
      </c>
      <c r="C8" s="2">
        <v>0.25572004999999998</v>
      </c>
      <c r="D8" s="3">
        <f t="shared" si="0"/>
        <v>3.9105263744473695</v>
      </c>
      <c r="F8">
        <v>16</v>
      </c>
    </row>
    <row r="9" spans="1:6" x14ac:dyDescent="0.25">
      <c r="A9">
        <v>4.5</v>
      </c>
      <c r="B9">
        <v>4</v>
      </c>
      <c r="C9" s="2">
        <v>0.27353038099999999</v>
      </c>
      <c r="D9" s="3">
        <f t="shared" si="0"/>
        <v>3.6559010240255545</v>
      </c>
      <c r="F9">
        <v>19</v>
      </c>
    </row>
    <row r="10" spans="1:6" x14ac:dyDescent="0.25">
      <c r="A10">
        <v>5</v>
      </c>
      <c r="B10">
        <v>6</v>
      </c>
      <c r="C10" s="2">
        <v>0.29024988000000002</v>
      </c>
      <c r="D10" s="3">
        <f t="shared" si="0"/>
        <v>3.4453071953035774</v>
      </c>
      <c r="F10">
        <v>22</v>
      </c>
    </row>
    <row r="11" spans="1:6" x14ac:dyDescent="0.25">
      <c r="A11">
        <v>5.5</v>
      </c>
      <c r="B11">
        <v>6</v>
      </c>
      <c r="C11" s="2">
        <v>0.30605737700000002</v>
      </c>
      <c r="D11" s="3">
        <f t="shared" si="0"/>
        <v>3.2673612046279805</v>
      </c>
      <c r="F11">
        <v>25</v>
      </c>
    </row>
    <row r="12" spans="1:6" x14ac:dyDescent="0.25">
      <c r="A12">
        <v>6</v>
      </c>
      <c r="B12">
        <v>6</v>
      </c>
      <c r="C12" s="2">
        <v>0.32108759999999997</v>
      </c>
      <c r="D12" s="3">
        <f t="shared" si="0"/>
        <v>3.1144148824183806</v>
      </c>
      <c r="F12">
        <v>30</v>
      </c>
    </row>
    <row r="13" spans="1:6" x14ac:dyDescent="0.25">
      <c r="A13">
        <v>6.5</v>
      </c>
      <c r="B13">
        <v>6</v>
      </c>
      <c r="C13" s="2">
        <v>0.33544503599999997</v>
      </c>
      <c r="D13" s="3">
        <f t="shared" si="0"/>
        <v>2.9811143188298668</v>
      </c>
      <c r="F13">
        <v>35</v>
      </c>
    </row>
    <row r="14" spans="1:6" x14ac:dyDescent="0.25">
      <c r="A14">
        <v>7</v>
      </c>
      <c r="B14">
        <v>8</v>
      </c>
      <c r="C14" s="2">
        <v>0.34921268</v>
      </c>
      <c r="D14" s="3">
        <f t="shared" si="0"/>
        <v>2.8635844494535538</v>
      </c>
      <c r="F14">
        <v>40</v>
      </c>
    </row>
    <row r="15" spans="1:6" x14ac:dyDescent="0.25">
      <c r="A15">
        <v>7.5</v>
      </c>
      <c r="B15">
        <v>8</v>
      </c>
      <c r="C15" s="2">
        <v>0.36245775099999999</v>
      </c>
      <c r="D15" s="3">
        <f t="shared" si="0"/>
        <v>2.7589422415193434</v>
      </c>
      <c r="F15">
        <v>45</v>
      </c>
    </row>
    <row r="16" spans="1:6" x14ac:dyDescent="0.25">
      <c r="A16">
        <v>8</v>
      </c>
      <c r="B16">
        <v>8</v>
      </c>
      <c r="C16" s="2">
        <v>0.37523559000000001</v>
      </c>
      <c r="D16" s="3">
        <f t="shared" si="0"/>
        <v>2.6649924118338562</v>
      </c>
      <c r="F16">
        <v>50</v>
      </c>
    </row>
    <row r="17" spans="1:6" x14ac:dyDescent="0.25">
      <c r="A17">
        <v>8.5</v>
      </c>
      <c r="B17">
        <v>8</v>
      </c>
      <c r="C17" s="2">
        <v>0.387592406</v>
      </c>
      <c r="D17" s="3">
        <f t="shared" si="0"/>
        <v>2.5800299090483212</v>
      </c>
      <c r="F17">
        <v>60</v>
      </c>
    </row>
    <row r="18" spans="1:6" x14ac:dyDescent="0.25">
      <c r="A18">
        <v>9</v>
      </c>
      <c r="B18">
        <v>10</v>
      </c>
      <c r="C18" s="2">
        <v>0.39956728000000002</v>
      </c>
      <c r="D18" s="3">
        <f t="shared" si="0"/>
        <v>2.50270742889658</v>
      </c>
      <c r="F18">
        <v>70</v>
      </c>
    </row>
    <row r="19" spans="1:6" x14ac:dyDescent="0.25">
      <c r="A19">
        <v>9.5</v>
      </c>
      <c r="B19">
        <v>10</v>
      </c>
      <c r="C19" s="2">
        <v>0.41119355099999999</v>
      </c>
      <c r="D19" s="3">
        <f t="shared" si="0"/>
        <v>2.4319447558651035</v>
      </c>
      <c r="F19">
        <v>80</v>
      </c>
    </row>
    <row r="20" spans="1:6" x14ac:dyDescent="0.25">
      <c r="A20">
        <v>10</v>
      </c>
      <c r="B20">
        <v>10</v>
      </c>
      <c r="C20" s="2">
        <v>0.42250000999999998</v>
      </c>
      <c r="D20" s="3">
        <f t="shared" si="0"/>
        <v>2.3668638493049978</v>
      </c>
      <c r="F20">
        <v>90</v>
      </c>
    </row>
    <row r="21" spans="1:6" x14ac:dyDescent="0.25">
      <c r="A21">
        <v>10.5</v>
      </c>
      <c r="B21">
        <v>10</v>
      </c>
      <c r="C21" s="2">
        <v>0.43292641900000001</v>
      </c>
      <c r="D21" s="3">
        <f t="shared" si="0"/>
        <v>2.3098613438973334</v>
      </c>
      <c r="F21">
        <v>100</v>
      </c>
    </row>
    <row r="22" spans="1:6" x14ac:dyDescent="0.25">
      <c r="A22">
        <v>11</v>
      </c>
      <c r="B22">
        <v>13</v>
      </c>
      <c r="C22" s="2">
        <v>0.44310755000000002</v>
      </c>
      <c r="D22" s="3">
        <f t="shared" si="0"/>
        <v>2.2567884478610214</v>
      </c>
      <c r="F22" s="5"/>
    </row>
    <row r="23" spans="1:6" x14ac:dyDescent="0.25">
      <c r="A23">
        <v>11.5</v>
      </c>
      <c r="B23">
        <v>13</v>
      </c>
      <c r="C23" s="2">
        <v>0.45305995780000002</v>
      </c>
      <c r="D23" s="3">
        <f t="shared" si="0"/>
        <v>2.2072133782377708</v>
      </c>
      <c r="F23" s="5"/>
    </row>
    <row r="24" spans="1:6" x14ac:dyDescent="0.25">
      <c r="A24">
        <v>12</v>
      </c>
      <c r="B24">
        <v>13</v>
      </c>
      <c r="C24" s="2">
        <v>0.46279839</v>
      </c>
      <c r="D24" s="3">
        <f t="shared" si="0"/>
        <v>2.1607681046600011</v>
      </c>
      <c r="F24" s="5"/>
    </row>
    <row r="25" spans="1:6" x14ac:dyDescent="0.25">
      <c r="A25">
        <v>12.5</v>
      </c>
      <c r="B25">
        <v>13</v>
      </c>
      <c r="C25" s="2">
        <v>0.47233608300000002</v>
      </c>
      <c r="D25" s="3">
        <f t="shared" si="0"/>
        <v>2.1171365813269869</v>
      </c>
      <c r="F25" s="5"/>
    </row>
    <row r="26" spans="1:6" x14ac:dyDescent="0.25">
      <c r="A26">
        <v>13</v>
      </c>
      <c r="B26">
        <v>16</v>
      </c>
      <c r="C26" s="2">
        <v>0.48168495</v>
      </c>
      <c r="D26" s="3">
        <f t="shared" si="0"/>
        <v>2.0760457639376111</v>
      </c>
      <c r="F26" s="5"/>
    </row>
    <row r="27" spans="1:6" x14ac:dyDescent="0.25">
      <c r="A27">
        <v>13.5</v>
      </c>
      <c r="B27">
        <v>16</v>
      </c>
      <c r="C27" s="2">
        <v>0.49085580000000001</v>
      </c>
      <c r="D27" s="3">
        <f t="shared" si="0"/>
        <v>2.0372581927319593</v>
      </c>
      <c r="F27" s="5"/>
    </row>
    <row r="28" spans="1:6" x14ac:dyDescent="0.25">
      <c r="A28">
        <v>14</v>
      </c>
      <c r="B28">
        <v>16</v>
      </c>
      <c r="C28" s="2">
        <v>0.49985844000000001</v>
      </c>
      <c r="D28" s="3">
        <f t="shared" si="0"/>
        <v>2.0005664003592698</v>
      </c>
      <c r="F28" s="5"/>
    </row>
    <row r="29" spans="1:6" x14ac:dyDescent="0.25">
      <c r="A29">
        <v>14.5</v>
      </c>
      <c r="B29">
        <v>16</v>
      </c>
      <c r="C29" s="2">
        <v>0.50870176499999997</v>
      </c>
      <c r="D29" s="3">
        <f t="shared" si="0"/>
        <v>1.9657883435887038</v>
      </c>
      <c r="F29" s="5"/>
    </row>
    <row r="30" spans="1:6" x14ac:dyDescent="0.25">
      <c r="A30">
        <v>15</v>
      </c>
      <c r="B30">
        <v>19</v>
      </c>
      <c r="C30" s="2">
        <v>0.51739394999999999</v>
      </c>
      <c r="D30" s="3">
        <f t="shared" si="0"/>
        <v>1.9327632261645116</v>
      </c>
      <c r="F30" s="5"/>
    </row>
    <row r="31" spans="1:6" x14ac:dyDescent="0.25">
      <c r="A31">
        <v>15.5</v>
      </c>
      <c r="B31">
        <v>19</v>
      </c>
      <c r="C31" s="2">
        <v>0.525942511</v>
      </c>
      <c r="D31" s="3">
        <f t="shared" si="0"/>
        <v>1.9013484916795402</v>
      </c>
      <c r="F31" s="5"/>
    </row>
    <row r="32" spans="1:6" x14ac:dyDescent="0.25">
      <c r="A32">
        <v>16</v>
      </c>
      <c r="B32">
        <v>19</v>
      </c>
      <c r="C32" s="2">
        <v>0.53435432999999999</v>
      </c>
      <c r="D32" s="3">
        <f t="shared" si="0"/>
        <v>1.8714174169787303</v>
      </c>
      <c r="F32" s="5"/>
    </row>
    <row r="33" spans="1:6" x14ac:dyDescent="0.25">
      <c r="A33">
        <v>16.5</v>
      </c>
      <c r="B33">
        <v>19</v>
      </c>
      <c r="C33" s="2">
        <v>0.54263576700000005</v>
      </c>
      <c r="D33" s="3">
        <f t="shared" si="0"/>
        <v>1.8428567757863994</v>
      </c>
      <c r="F33" s="5"/>
    </row>
    <row r="34" spans="1:6" x14ac:dyDescent="0.25">
      <c r="A34">
        <v>17</v>
      </c>
      <c r="B34">
        <v>22</v>
      </c>
      <c r="C34" s="2">
        <v>0.55079268999999997</v>
      </c>
      <c r="D34" s="3">
        <f t="shared" si="0"/>
        <v>1.8155651266904069</v>
      </c>
      <c r="F34" s="5"/>
    </row>
    <row r="35" spans="1:6" x14ac:dyDescent="0.25">
      <c r="A35">
        <v>17.5</v>
      </c>
      <c r="B35">
        <v>22</v>
      </c>
      <c r="C35" s="2">
        <v>0.55883057599999997</v>
      </c>
      <c r="D35" s="3">
        <f t="shared" si="0"/>
        <v>1.7894511197969956</v>
      </c>
      <c r="F35" s="5"/>
    </row>
    <row r="36" spans="1:6" x14ac:dyDescent="0.25">
      <c r="A36">
        <v>18</v>
      </c>
      <c r="B36">
        <v>22</v>
      </c>
      <c r="C36" s="2">
        <v>0.56675452000000004</v>
      </c>
      <c r="D36" s="3">
        <f t="shared" si="0"/>
        <v>1.7644323330672333</v>
      </c>
      <c r="F36" s="5"/>
    </row>
    <row r="37" spans="1:6" x14ac:dyDescent="0.25">
      <c r="A37">
        <v>18.5</v>
      </c>
      <c r="B37">
        <v>22</v>
      </c>
      <c r="C37" s="2">
        <v>0.574569153</v>
      </c>
      <c r="D37" s="3">
        <f t="shared" si="0"/>
        <v>1.7404345408706619</v>
      </c>
      <c r="F37" s="5"/>
    </row>
    <row r="38" spans="1:6" x14ac:dyDescent="0.25">
      <c r="A38">
        <v>19</v>
      </c>
      <c r="B38">
        <v>25</v>
      </c>
      <c r="C38" s="2">
        <v>0.58227890999999998</v>
      </c>
      <c r="D38" s="3">
        <f t="shared" si="0"/>
        <v>1.7173900390793821</v>
      </c>
      <c r="F38" s="5"/>
    </row>
    <row r="39" spans="1:6" x14ac:dyDescent="0.25">
      <c r="A39">
        <v>19.5</v>
      </c>
      <c r="B39">
        <v>25</v>
      </c>
      <c r="C39" s="2">
        <v>0.58988791699999998</v>
      </c>
      <c r="D39" s="3">
        <f t="shared" si="0"/>
        <v>1.6952373004785586</v>
      </c>
      <c r="F39" s="5"/>
    </row>
    <row r="40" spans="1:6" x14ac:dyDescent="0.25">
      <c r="A40">
        <v>20</v>
      </c>
      <c r="B40">
        <v>25</v>
      </c>
      <c r="C40" s="2">
        <v>0.59740000999999998</v>
      </c>
      <c r="D40" s="3">
        <f t="shared" si="0"/>
        <v>1.6739202933726098</v>
      </c>
      <c r="F40" s="5"/>
    </row>
    <row r="41" spans="1:6" x14ac:dyDescent="0.25">
      <c r="A41">
        <v>20.5</v>
      </c>
      <c r="B41">
        <v>25</v>
      </c>
      <c r="C41" s="2">
        <v>0.60481881400000004</v>
      </c>
      <c r="D41" s="3">
        <f t="shared" si="0"/>
        <v>1.653387720177633</v>
      </c>
      <c r="F41" s="5"/>
    </row>
    <row r="42" spans="1:6" x14ac:dyDescent="0.25">
      <c r="A42">
        <v>21</v>
      </c>
      <c r="B42">
        <v>30</v>
      </c>
      <c r="C42" s="2">
        <v>0.61215728999999997</v>
      </c>
      <c r="D42" s="3">
        <f t="shared" si="0"/>
        <v>1.6335670853482771</v>
      </c>
      <c r="F42" s="5"/>
    </row>
    <row r="43" spans="1:6" x14ac:dyDescent="0.25">
      <c r="A43">
        <v>21.5</v>
      </c>
      <c r="B43">
        <v>30</v>
      </c>
      <c r="C43" s="2">
        <v>0.61939936500000004</v>
      </c>
      <c r="D43" s="3">
        <f t="shared" si="0"/>
        <v>1.6144672670111633</v>
      </c>
      <c r="F43" s="5"/>
    </row>
    <row r="44" spans="1:6" x14ac:dyDescent="0.25">
      <c r="A44">
        <v>22</v>
      </c>
      <c r="B44">
        <v>30</v>
      </c>
      <c r="C44" s="2">
        <v>0.62656712999999997</v>
      </c>
      <c r="D44" s="3">
        <f t="shared" si="0"/>
        <v>1.5959981813919923</v>
      </c>
      <c r="F44" s="5"/>
    </row>
    <row r="45" spans="1:6" x14ac:dyDescent="0.25">
      <c r="A45">
        <v>22.5</v>
      </c>
      <c r="B45">
        <v>30</v>
      </c>
      <c r="C45" s="2">
        <v>0.63364453300000001</v>
      </c>
      <c r="D45" s="3">
        <f t="shared" si="0"/>
        <v>1.5781719054143564</v>
      </c>
      <c r="F45" s="5"/>
    </row>
    <row r="46" spans="1:6" x14ac:dyDescent="0.25">
      <c r="A46">
        <v>23</v>
      </c>
      <c r="B46">
        <v>35</v>
      </c>
      <c r="C46" s="2">
        <v>0.64065295</v>
      </c>
      <c r="D46" s="3">
        <f t="shared" si="0"/>
        <v>1.560907508503629</v>
      </c>
      <c r="F46" s="5"/>
    </row>
    <row r="47" spans="1:6" x14ac:dyDescent="0.25">
      <c r="A47">
        <v>23.5</v>
      </c>
      <c r="B47">
        <v>35</v>
      </c>
      <c r="C47" s="2">
        <v>0.64757642599999998</v>
      </c>
      <c r="D47" s="3">
        <f t="shared" si="0"/>
        <v>1.5442192764441367</v>
      </c>
      <c r="F47" s="5"/>
    </row>
    <row r="48" spans="1:6" x14ac:dyDescent="0.25">
      <c r="A48">
        <v>24</v>
      </c>
      <c r="B48">
        <v>35</v>
      </c>
      <c r="C48" s="2">
        <v>0.65443563000000005</v>
      </c>
      <c r="D48" s="3">
        <f t="shared" si="0"/>
        <v>1.5280341628098701</v>
      </c>
      <c r="F48" s="5"/>
    </row>
    <row r="49" spans="1:6" x14ac:dyDescent="0.25">
      <c r="A49">
        <v>24.5</v>
      </c>
      <c r="B49">
        <v>35</v>
      </c>
      <c r="C49" s="2">
        <v>0.66121480600000004</v>
      </c>
      <c r="D49" s="3">
        <f t="shared" si="0"/>
        <v>1.5123678280126109</v>
      </c>
      <c r="F49" s="5"/>
    </row>
    <row r="50" spans="1:6" x14ac:dyDescent="0.25">
      <c r="A50">
        <v>25</v>
      </c>
      <c r="B50">
        <v>40</v>
      </c>
      <c r="C50" s="2">
        <v>0.66793400000000003</v>
      </c>
      <c r="D50" s="3">
        <f t="shared" si="0"/>
        <v>1.4971539104162985</v>
      </c>
      <c r="F50" s="5"/>
    </row>
    <row r="51" spans="1:6" x14ac:dyDescent="0.25">
      <c r="A51">
        <v>25.5</v>
      </c>
      <c r="B51">
        <v>40</v>
      </c>
      <c r="C51" s="2">
        <v>0.674577537</v>
      </c>
      <c r="D51" s="3">
        <f t="shared" si="0"/>
        <v>1.4824092786238152</v>
      </c>
      <c r="F51" s="5"/>
    </row>
    <row r="52" spans="1:6" x14ac:dyDescent="0.25">
      <c r="A52">
        <v>26</v>
      </c>
      <c r="B52">
        <v>40</v>
      </c>
      <c r="C52" s="2">
        <v>0.68116491999999995</v>
      </c>
      <c r="D52" s="3">
        <f t="shared" si="0"/>
        <v>1.4680732530970622</v>
      </c>
      <c r="F52" s="5"/>
    </row>
    <row r="53" spans="1:6" x14ac:dyDescent="0.25">
      <c r="A53">
        <v>26.5</v>
      </c>
      <c r="B53">
        <v>40</v>
      </c>
      <c r="C53" s="2">
        <v>0.68768064799999995</v>
      </c>
      <c r="D53" s="3">
        <f t="shared" si="0"/>
        <v>1.4541633575240582</v>
      </c>
      <c r="F53" s="5"/>
    </row>
    <row r="54" spans="1:6" x14ac:dyDescent="0.25">
      <c r="A54">
        <v>27</v>
      </c>
      <c r="B54">
        <v>45</v>
      </c>
      <c r="C54" s="2">
        <v>0.69414365</v>
      </c>
      <c r="D54" s="3">
        <f t="shared" si="0"/>
        <v>1.4406239976408342</v>
      </c>
      <c r="F54" s="5"/>
    </row>
    <row r="55" spans="1:6" x14ac:dyDescent="0.25">
      <c r="A55">
        <v>27.5</v>
      </c>
      <c r="B55">
        <v>45</v>
      </c>
      <c r="C55" s="2">
        <v>0.70053867299999995</v>
      </c>
      <c r="D55" s="3">
        <f t="shared" si="0"/>
        <v>1.4274729412404619</v>
      </c>
      <c r="F55" s="5"/>
    </row>
    <row r="56" spans="1:6" x14ac:dyDescent="0.25">
      <c r="A56">
        <v>28</v>
      </c>
      <c r="B56">
        <v>45</v>
      </c>
      <c r="C56" s="2">
        <v>0.70688421000000001</v>
      </c>
      <c r="D56" s="3">
        <f t="shared" si="0"/>
        <v>1.4146588449047404</v>
      </c>
      <c r="F56" s="5"/>
    </row>
    <row r="57" spans="1:6" x14ac:dyDescent="0.25">
      <c r="A57">
        <v>28.5</v>
      </c>
      <c r="B57">
        <v>45</v>
      </c>
      <c r="C57" s="2">
        <v>0.71316499600000005</v>
      </c>
      <c r="D57" s="3">
        <f t="shared" si="0"/>
        <v>1.4022000597460618</v>
      </c>
      <c r="F57" s="5"/>
    </row>
    <row r="58" spans="1:6" x14ac:dyDescent="0.25">
      <c r="A58">
        <v>29</v>
      </c>
      <c r="B58">
        <v>50</v>
      </c>
      <c r="C58" s="2">
        <v>0.71939909000000002</v>
      </c>
      <c r="D58" s="3">
        <f t="shared" si="0"/>
        <v>1.3900490199396833</v>
      </c>
      <c r="F58" s="5"/>
    </row>
    <row r="59" spans="1:6" x14ac:dyDescent="0.25">
      <c r="A59">
        <v>29.5</v>
      </c>
      <c r="B59">
        <v>50</v>
      </c>
      <c r="C59" s="2">
        <v>0.72557155200000001</v>
      </c>
      <c r="D59" s="3">
        <f t="shared" si="0"/>
        <v>1.378223825401578</v>
      </c>
      <c r="F59" s="5"/>
    </row>
    <row r="60" spans="1:6" x14ac:dyDescent="0.25">
      <c r="A60">
        <v>30</v>
      </c>
      <c r="B60">
        <v>50</v>
      </c>
      <c r="C60" s="2">
        <v>0.73170000000000002</v>
      </c>
      <c r="D60" s="3">
        <f t="shared" si="0"/>
        <v>1.3666803334700013</v>
      </c>
      <c r="F60" s="5"/>
    </row>
    <row r="61" spans="1:6" x14ac:dyDescent="0.25">
      <c r="A61">
        <v>30.5</v>
      </c>
      <c r="B61">
        <v>50</v>
      </c>
      <c r="C61" s="2">
        <v>0.73474100899999994</v>
      </c>
      <c r="D61" s="3">
        <f t="shared" si="0"/>
        <v>1.3610237998842938</v>
      </c>
      <c r="F61" s="5"/>
    </row>
    <row r="62" spans="1:6" x14ac:dyDescent="0.25">
      <c r="A62">
        <v>31</v>
      </c>
      <c r="B62">
        <v>60</v>
      </c>
      <c r="C62" s="2">
        <v>0.73776947999999998</v>
      </c>
      <c r="D62" s="3">
        <f t="shared" si="0"/>
        <v>1.355436931329824</v>
      </c>
      <c r="F62" s="5"/>
    </row>
    <row r="63" spans="1:6" x14ac:dyDescent="0.25">
      <c r="A63">
        <v>31.5</v>
      </c>
      <c r="B63">
        <v>60</v>
      </c>
      <c r="C63" s="2">
        <v>0.740785574</v>
      </c>
      <c r="D63" s="3">
        <f t="shared" si="0"/>
        <v>1.3499182963301064</v>
      </c>
      <c r="F63" s="5"/>
    </row>
    <row r="64" spans="1:6" x14ac:dyDescent="0.25">
      <c r="A64">
        <v>32</v>
      </c>
      <c r="B64">
        <v>60</v>
      </c>
      <c r="C64" s="2">
        <v>0.74378942999999997</v>
      </c>
      <c r="D64" s="3">
        <f t="shared" si="0"/>
        <v>1.3444665380630645</v>
      </c>
      <c r="F64" s="5"/>
    </row>
    <row r="65" spans="1:6" x14ac:dyDescent="0.25">
      <c r="A65">
        <v>32.5</v>
      </c>
      <c r="B65">
        <v>60</v>
      </c>
      <c r="C65" s="2">
        <v>0.74678121099999994</v>
      </c>
      <c r="D65" s="3">
        <f t="shared" si="0"/>
        <v>1.3390802892066871</v>
      </c>
      <c r="F65" s="5"/>
    </row>
    <row r="66" spans="1:6" x14ac:dyDescent="0.25">
      <c r="A66">
        <v>33</v>
      </c>
      <c r="B66">
        <v>70</v>
      </c>
      <c r="C66" s="2">
        <v>0.74976103999999999</v>
      </c>
      <c r="D66" s="3">
        <f t="shared" si="0"/>
        <v>1.3337582865068582</v>
      </c>
      <c r="F66" s="5"/>
    </row>
    <row r="67" spans="1:6" x14ac:dyDescent="0.25">
      <c r="A67">
        <v>33.5</v>
      </c>
      <c r="B67">
        <v>70</v>
      </c>
      <c r="C67" s="2">
        <v>0.75272908699999996</v>
      </c>
      <c r="D67" s="3">
        <f t="shared" ref="D67:D80" si="1">1/C67</f>
        <v>1.3284992134228499</v>
      </c>
      <c r="F67" s="5"/>
    </row>
    <row r="68" spans="1:6" x14ac:dyDescent="0.25">
      <c r="A68">
        <v>34</v>
      </c>
      <c r="B68">
        <v>70</v>
      </c>
      <c r="C68" s="2">
        <v>0.75568550999999995</v>
      </c>
      <c r="D68" s="3">
        <f t="shared" si="1"/>
        <v>1.3233018058001405</v>
      </c>
      <c r="F68" s="5"/>
    </row>
    <row r="69" spans="1:6" x14ac:dyDescent="0.25">
      <c r="A69">
        <v>34.5</v>
      </c>
      <c r="B69">
        <v>70</v>
      </c>
      <c r="C69" s="2">
        <v>0.75863037799999999</v>
      </c>
      <c r="D69" s="3">
        <f t="shared" si="1"/>
        <v>1.3181649838968088</v>
      </c>
      <c r="F69" s="5"/>
    </row>
    <row r="70" spans="1:6" x14ac:dyDescent="0.25">
      <c r="A70">
        <v>35</v>
      </c>
      <c r="B70">
        <v>80</v>
      </c>
      <c r="C70" s="2">
        <v>0.76156383999999999</v>
      </c>
      <c r="D70" s="3">
        <f t="shared" si="1"/>
        <v>1.3130875541569831</v>
      </c>
      <c r="F70" s="5"/>
    </row>
    <row r="71" spans="1:6" x14ac:dyDescent="0.25">
      <c r="A71">
        <v>35.5</v>
      </c>
      <c r="B71">
        <v>80</v>
      </c>
      <c r="C71" s="2">
        <v>0.76448606500000005</v>
      </c>
      <c r="D71" s="3">
        <f t="shared" si="1"/>
        <v>1.3080683164578022</v>
      </c>
      <c r="F71" s="5"/>
    </row>
    <row r="72" spans="1:6" x14ac:dyDescent="0.25">
      <c r="A72">
        <v>36</v>
      </c>
      <c r="B72">
        <v>80</v>
      </c>
      <c r="C72" s="2">
        <v>0.76739716999999996</v>
      </c>
      <c r="D72" s="3">
        <f t="shared" si="1"/>
        <v>1.3031061868523701</v>
      </c>
      <c r="F72" s="5"/>
    </row>
    <row r="73" spans="1:6" x14ac:dyDescent="0.25">
      <c r="A73">
        <v>36.5</v>
      </c>
      <c r="B73">
        <v>80</v>
      </c>
      <c r="C73" s="2">
        <v>0.77029726600000004</v>
      </c>
      <c r="D73" s="3">
        <f t="shared" si="1"/>
        <v>1.2982001159017484</v>
      </c>
      <c r="F73" s="5"/>
    </row>
    <row r="74" spans="1:6" x14ac:dyDescent="0.25">
      <c r="A74">
        <v>37</v>
      </c>
      <c r="B74">
        <v>90</v>
      </c>
      <c r="C74" s="2">
        <v>0.7731865</v>
      </c>
      <c r="D74" s="3">
        <f t="shared" si="1"/>
        <v>1.2933490173457503</v>
      </c>
      <c r="F74" s="5"/>
    </row>
    <row r="75" spans="1:6" x14ac:dyDescent="0.25">
      <c r="A75">
        <v>37.5</v>
      </c>
      <c r="B75">
        <v>90</v>
      </c>
      <c r="C75" s="2">
        <v>0.77606496199999997</v>
      </c>
      <c r="D75" s="3">
        <f t="shared" si="1"/>
        <v>1.2885519240849326</v>
      </c>
      <c r="F75" s="5"/>
    </row>
    <row r="76" spans="1:6" x14ac:dyDescent="0.25">
      <c r="A76">
        <v>38</v>
      </c>
      <c r="B76">
        <v>90</v>
      </c>
      <c r="C76" s="2">
        <v>0.77893274999999995</v>
      </c>
      <c r="D76" s="3">
        <f t="shared" si="1"/>
        <v>1.283807876867419</v>
      </c>
      <c r="F76" s="5"/>
    </row>
    <row r="77" spans="1:6" x14ac:dyDescent="0.25">
      <c r="A77">
        <v>38.5</v>
      </c>
      <c r="B77">
        <v>90</v>
      </c>
      <c r="C77" s="2">
        <v>0.78179005499999998</v>
      </c>
      <c r="D77" s="3">
        <f t="shared" si="1"/>
        <v>1.279115785119574</v>
      </c>
      <c r="F77" s="5"/>
    </row>
    <row r="78" spans="1:6" x14ac:dyDescent="0.25">
      <c r="A78">
        <v>39</v>
      </c>
      <c r="B78">
        <v>100</v>
      </c>
      <c r="C78" s="2">
        <v>0.78463696999999999</v>
      </c>
      <c r="D78" s="3">
        <f t="shared" si="1"/>
        <v>1.2744747421218248</v>
      </c>
      <c r="F78" s="5"/>
    </row>
    <row r="79" spans="1:6" x14ac:dyDescent="0.25">
      <c r="A79">
        <v>39.5</v>
      </c>
      <c r="B79">
        <v>100</v>
      </c>
      <c r="C79" s="2">
        <v>0.78747357799999995</v>
      </c>
      <c r="D79" s="3">
        <f t="shared" si="1"/>
        <v>1.2698838766625895</v>
      </c>
      <c r="F79" s="5"/>
    </row>
    <row r="80" spans="1:6" x14ac:dyDescent="0.25">
      <c r="A80">
        <v>40</v>
      </c>
      <c r="B80">
        <v>100</v>
      </c>
      <c r="C80" s="2">
        <v>0.79030001000000005</v>
      </c>
      <c r="D80" s="3">
        <f t="shared" si="1"/>
        <v>1.2653422590745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Tables</vt:lpstr>
      <vt:lpstr>Pokemon Data</vt:lpstr>
      <vt:lpstr>Level Multiplier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2017-02-05T05:29:55Z</dcterms:modified>
</cp:coreProperties>
</file>